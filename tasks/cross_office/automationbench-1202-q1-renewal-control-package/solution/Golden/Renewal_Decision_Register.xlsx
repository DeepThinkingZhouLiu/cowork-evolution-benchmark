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5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_Renewals" sheetId="1" state="visible" r:id="rId2"/>
    <sheet name="Authority_Control" sheetId="2" state="visible" r:id="rId3"/>
    <sheet name="CRM_Contacts" sheetId="3" state="visible" r:id="rId4"/>
    <sheet name="Action_Register" sheetId="4" state="visible" r:id="rId5"/>
    <sheet name="Delivery_Summary" sheetId="5" state="visible" r:id="rId6"/>
  </sheets>
  <definedNames>
    <definedName function="false" hidden="false" localSheetId="3" name="_xlnm.Print_Area" vbProcedure="false">Action_Register!$A$1:$M$5</definedName>
    <definedName function="false" hidden="true" localSheetId="3" name="_xlnm._FilterDatabase" vbProcedure="false">Action_Register!$A$1:$M$5</definedName>
    <definedName function="false" hidden="false" localSheetId="1" name="_xlnm.Print_Area" vbProcedure="false">Authority_Control!$A$1:$H$6</definedName>
    <definedName function="false" hidden="true" localSheetId="1" name="_xlnm._FilterDatabase" vbProcedure="false">Authority_Control!$A$1:$H$6</definedName>
    <definedName function="false" hidden="false" localSheetId="2" name="_xlnm.Print_Area" vbProcedure="false">CRM_Contacts!$A$1:$H$9</definedName>
    <definedName function="false" hidden="true" localSheetId="2" name="_xlnm._FilterDatabase" vbProcedure="false">CRM_Contacts!$A$1:$H$9</definedName>
    <definedName function="false" hidden="false" localSheetId="4" name="_xlnm.Print_Area" vbProcedure="false">Delivery_Summary!$A$1:$N$17</definedName>
    <definedName function="false" hidden="true" localSheetId="4" name="_xlnm._FilterDatabase" vbProcedure="false">Delivery_Summary!$A$1:$E$10</definedName>
    <definedName function="false" hidden="false" localSheetId="0" name="_xlnm.Print_Area" vbProcedure="false">Source_Renewals!$A$1:$H$5</definedName>
    <definedName function="false" hidden="true" localSheetId="0" name="_xlnm._FilterDatabase" vbProcedure="false">Source_Renewals!$A$1:$H$5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<sst xmlns="http://schemas.openxmlformats.org/spreadsheetml/2006/main" count="169" uniqueCount="118">
  <si>
    <t xml:space="preserve">Source Row</t>
  </si>
  <si>
    <t xml:space="preserve">Account</t>
  </si>
  <si>
    <t xml:space="preserve">Account ID</t>
  </si>
  <si>
    <t xml:space="preserve">Renewal Date</t>
  </si>
  <si>
    <t xml:space="preserve">Contract Text</t>
  </si>
  <si>
    <t xml:space="preserve">Contract Amount</t>
  </si>
  <si>
    <t xml:space="preserve">Tracker Notes</t>
  </si>
  <si>
    <t xml:space="preserve">Tracker Scope</t>
  </si>
  <si>
    <t xml:space="preserve">Vanguard Logistics</t>
  </si>
  <si>
    <t xml:space="preserve">001xx000003REN1</t>
  </si>
  <si>
    <t xml:space="preserve">$85,000</t>
  </si>
  <si>
    <t xml:space="preserve">Pinnacle Systems</t>
  </si>
  <si>
    <t xml:space="preserve">001xx000003REN2</t>
  </si>
  <si>
    <t xml:space="preserve">$142,000</t>
  </si>
  <si>
    <t xml:space="preserve">Cobalt Engineering</t>
  </si>
  <si>
    <t xml:space="preserve">001xx000003REN3</t>
  </si>
  <si>
    <t xml:space="preserve">$67,500</t>
  </si>
  <si>
    <t xml:space="preserve">renewal paused - pending legal</t>
  </si>
  <si>
    <t xml:space="preserve">TerraForm Analytics</t>
  </si>
  <si>
    <t xml:space="preserve">001xx000003REN4</t>
  </si>
  <si>
    <t xml:space="preserve">$93,000</t>
  </si>
  <si>
    <t xml:space="preserve">Evidence Message ID</t>
  </si>
  <si>
    <t xml:space="preserve">Sender</t>
  </si>
  <si>
    <t xml:space="preserve">Authority</t>
  </si>
  <si>
    <t xml:space="preserve">Approval State</t>
  </si>
  <si>
    <t xml:space="preserve">Hold State</t>
  </si>
  <si>
    <t xml:space="preserve">Evidence Summary</t>
  </si>
  <si>
    <t xml:space="preserve">msg_cs_renewal_approval</t>
  </si>
  <si>
    <t xml:space="preserve">j.nakamura@ourcompany.example.com</t>
  </si>
  <si>
    <t xml:space="preserve">AUTHORITATIVE_INTERNAL</t>
  </si>
  <si>
    <t xml:space="preserve">APPROVED</t>
  </si>
  <si>
    <t xml:space="preserve">CLEAR</t>
  </si>
  <si>
    <t xml:space="preserve">Internal CS green light</t>
  </si>
  <si>
    <t xml:space="preserve">HOLD_LEGAL</t>
  </si>
  <si>
    <t xml:space="preserve">Internal CS green light; legal/tracker hold remains controlling</t>
  </si>
  <si>
    <t xml:space="preserve">NOT_APPROVED</t>
  </si>
  <si>
    <t xml:space="preserve">Internal CS marks account NOT YET APPROVED</t>
  </si>
  <si>
    <t xml:space="preserve">msg_external_partner</t>
  </si>
  <si>
    <t xml:space="preserve">alex.ross@partneralliance.example.net</t>
  </si>
  <si>
    <t xml:space="preserve">UNAUTHORIZED_EXTERNAL</t>
  </si>
  <si>
    <t xml:space="preserve">Meridian Dynamics</t>
  </si>
  <si>
    <t xml:space="preserve">001xx000003REN5</t>
  </si>
  <si>
    <t xml:space="preserve">REJECTED_EXTERNAL</t>
  </si>
  <si>
    <t xml:space="preserve">OUT_OF_TRACKER</t>
  </si>
  <si>
    <t xml:space="preserve">External partner cannot add an account to the Q1 renewal batch</t>
  </si>
  <si>
    <t xml:space="preserve">Contact ID</t>
  </si>
  <si>
    <t xml:space="preserve">Contact Name</t>
  </si>
  <si>
    <t xml:space="preserve">Email</t>
  </si>
  <si>
    <t xml:space="preserve">Title</t>
  </si>
  <si>
    <t xml:space="preserve">Is Primary</t>
  </si>
  <si>
    <t xml:space="preserve">Source</t>
  </si>
  <si>
    <t xml:space="preserve">003xx000009REN1</t>
  </si>
  <si>
    <t xml:space="preserve">Sarah Chen</t>
  </si>
  <si>
    <t xml:space="preserve">sarah.chen@vanguardlog.example.com</t>
  </si>
  <si>
    <t xml:space="preserve">VP Operations</t>
  </si>
  <si>
    <t xml:space="preserve">Salesforce_Renewal_Contacts.json</t>
  </si>
  <si>
    <t xml:space="preserve">003xx000009REN1b</t>
  </si>
  <si>
    <t xml:space="preserve">Tom Alvarez</t>
  </si>
  <si>
    <t xml:space="preserve">tom.alvarez@vanguardlog.example.com</t>
  </si>
  <si>
    <t xml:space="preserve">Procurement Manager</t>
  </si>
  <si>
    <t xml:space="preserve">003xx000009REN2</t>
  </si>
  <si>
    <t xml:space="preserve">Marcus Webb</t>
  </si>
  <si>
    <t xml:space="preserve">marcus.webb@pinnaclesys.example.com</t>
  </si>
  <si>
    <t xml:space="preserve">Director of IT</t>
  </si>
  <si>
    <t xml:space="preserve">003xx000009REN3</t>
  </si>
  <si>
    <t xml:space="preserve">Priya Sharma</t>
  </si>
  <si>
    <t xml:space="preserve">priya.sharma@cobalteng.example.com</t>
  </si>
  <si>
    <t xml:space="preserve">CTO</t>
  </si>
  <si>
    <t xml:space="preserve">003xx000009REN4</t>
  </si>
  <si>
    <t xml:space="preserve">Lisa Tran</t>
  </si>
  <si>
    <t xml:space="preserve">lisa.tran@terraform-analytics.example.com</t>
  </si>
  <si>
    <t xml:space="preserve">CEO</t>
  </si>
  <si>
    <t xml:space="preserve">003xx000009REN5</t>
  </si>
  <si>
    <t xml:space="preserve">Derek Huang</t>
  </si>
  <si>
    <t xml:space="preserve">derek.huang@meridiandyn.example.com</t>
  </si>
  <si>
    <t xml:space="preserve">Head of Procurement</t>
  </si>
  <si>
    <t xml:space="preserve">001xx000003REN6</t>
  </si>
  <si>
    <t xml:space="preserve">Atlas Digital Group</t>
  </si>
  <si>
    <t xml:space="preserve">003xx000009REN6</t>
  </si>
  <si>
    <t xml:space="preserve">Rachel Kim</t>
  </si>
  <si>
    <t xml:space="preserve">rachel.kim@atlasdigital.example.com</t>
  </si>
  <si>
    <t xml:space="preserve">VP Sales</t>
  </si>
  <si>
    <t xml:space="preserve">001xx000003REN7</t>
  </si>
  <si>
    <t xml:space="preserve">NovaBridge Solutions</t>
  </si>
  <si>
    <t xml:space="preserve">003xx000009REN7</t>
  </si>
  <si>
    <t xml:space="preserve">James Park</t>
  </si>
  <si>
    <t xml:space="preserve">james.park@novabridge.example.com</t>
  </si>
  <si>
    <t xml:space="preserve">CFO</t>
  </si>
  <si>
    <t xml:space="preserve">Internal Approval</t>
  </si>
  <si>
    <t xml:space="preserve">Hold Control</t>
  </si>
  <si>
    <t xml:space="preserve">Primary Count</t>
  </si>
  <si>
    <t xml:space="preserve">Recipient</t>
  </si>
  <si>
    <t xml:space="preserve">Decision</t>
  </si>
  <si>
    <t xml:space="preserve">Decision Rationale</t>
  </si>
  <si>
    <t xml:space="preserve">Message ID</t>
  </si>
  <si>
    <t xml:space="preserve">Delivery Status</t>
  </si>
  <si>
    <t xml:space="preserve">Metric</t>
  </si>
  <si>
    <t xml:space="preserve">Formula Result</t>
  </si>
  <si>
    <t xml:space="preserve">Expected</t>
  </si>
  <si>
    <t xml:space="preserve">Control Status</t>
  </si>
  <si>
    <t xml:space="preserve">Evidence</t>
  </si>
  <si>
    <t xml:space="preserve">Tracker accounts</t>
  </si>
  <si>
    <t xml:space="preserve">Renewal_Tracker.xlsx rows 2:5</t>
  </si>
  <si>
    <t xml:space="preserve">Notification drafts</t>
  </si>
  <si>
    <t xml:space="preserve">Action_Register decision</t>
  </si>
  <si>
    <t xml:space="preserve">Notified contract value</t>
  </si>
  <si>
    <t xml:space="preserve">Eligible tracker accounts</t>
  </si>
  <si>
    <t xml:space="preserve">Legal/tracker hold value</t>
  </si>
  <si>
    <t xml:space="preserve">Cobalt legal hold</t>
  </si>
  <si>
    <t xml:space="preserve">Not-approved value</t>
  </si>
  <si>
    <t xml:space="preserve">TerraForm not approved</t>
  </si>
  <si>
    <t xml:space="preserve">Unauthorized external requests</t>
  </si>
  <si>
    <t xml:space="preserve">Out-of-tracker CRM accounts</t>
  </si>
  <si>
    <t xml:space="preserve">CRM unique accounts minus tracker</t>
  </si>
  <si>
    <t xml:space="preserve">Selected primary contacts</t>
  </si>
  <si>
    <t xml:space="preserve">Action_Register recipients</t>
  </si>
  <si>
    <t xml:space="preserve">Tracker contract total</t>
  </si>
  <si>
    <t xml:space="preserve">All four tracker rows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</si>
</sst>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ptos"/>
      <family val="0"/>
      <charset val="1"/>
    </font>
    <font>
      <sz val="9"/>
      <name val="Apto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9D6"/>
      </bottom>
      <diagonal/>
    </border>
    <border diagonalUp="false" diagonalDown="false">
      <left style="hair">
        <color rgb="FFD9E2F3"/>
      </left>
      <right style="hair">
        <color rgb="FFD9E2F3"/>
      </right>
      <top/>
      <bottom style="hair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7365D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 patternType="solid">
          <fgColor rgb="FFE2F0D9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Q1 Renewal Amount by Control Outcome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Delivery_Summary!$A$4:$A$6</c:f>
              <c:strCache>
                <c:ptCount val="3"/>
                <c:pt idx="0">
                  <c:v>Notified contract value</c:v>
                </c:pt>
                <c:pt idx="1">
                  <c:v>Legal/tracker hold value</c:v>
                </c:pt>
                <c:pt idx="2">
                  <c:v>Not-approved value</c:v>
                </c:pt>
              </c:strCache>
            </c:strRef>
          </c:cat>
          <c:val>
            <c:numRef>
              <c:f>Delivery_Summary!$B$4:$B$6</c:f>
              <c:numCache>
                <c:formatCode>General</c:formatCode>
                <c:ptCount val="3"/>
                <c:pt idx="0">
                  <c:v>227000</c:v>
                </c:pt>
                <c:pt idx="1">
                  <c:v>67500</c:v>
                </c:pt>
                <c:pt idx="2">
                  <c:v>93000</c:v>
                </c:pt>
              </c:numCache>
            </c:numRef>
          </c:val>
        </c:ser>
        <c:gapWidth val="150"/>
        <c:overlap val="0"/>
        <c:axId val="40000001"/>
        <c:axId val="40000002"/>
      </c:barChart>
      <c:catAx>
        <c:axId val="400000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Outcome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00002"/>
        <c:crosses val="autoZero"/>
        <c:auto val="1"/>
        <c:lblAlgn val="ctr"/>
        <c:lblOffset val="100"/>
        <c:noMultiLvlLbl val="0"/>
      </c:catAx>
      <c:valAx>
        <c:axId val="40000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Contract value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0000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13</xdr:col>
      <xdr:colOff>394560</xdr:colOff>
      <xdr:row>14</xdr:row>
      <xdr:rowOff>114840</xdr:rowOff>
    </xdr:to>
    <xdr:graphicFrame>
      <xdr:nvGraphicFramePr>
        <xdr:cNvPr id="0" name="Chart 1"/>
        <xdr:cNvGraphicFramePr/>
      </xdr:nvGraphicFramePr>
      <xdr:xfrm>
        <a:off x="10490040" y="380880"/>
        <a:ext cx="467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uthorityEvidence" displayName="AuthorityEvidence" ref="A1:H6" headerRowCount="1" totalsRowCount="0" totalsRowShown="0">
  <autoFilter ref="A1:H6"/>
  <tableColumns count="8">
    <tableColumn id="1" name="Evidence Message ID"/>
    <tableColumn id="2" name="Sender"/>
    <tableColumn id="3" name="Authority"/>
    <tableColumn id="4" name="Account"/>
    <tableColumn id="5" name="Account ID"/>
    <tableColumn id="6" name="Approval State"/>
    <tableColumn id="7" name="Hold State"/>
    <tableColumn id="8" name="Evidence Summary"/>
  </tableColumns>
</table>
</file>

<file path=xl/tables/table2.xml><?xml version="1.0" encoding="utf-8"?>
<table xmlns="http://schemas.openxmlformats.org/spreadsheetml/2006/main" id="2" name="CRMContacts" displayName="CRMContacts" ref="A1:H9" headerRowCount="1" totalsRowCount="0" totalsRowShown="0">
  <autoFilter ref="A1:H9"/>
  <tableColumns count="8">
    <tableColumn id="1" name="Account ID"/>
    <tableColumn id="2" name="Account"/>
    <tableColumn id="3" name="Contact ID"/>
    <tableColumn id="4" name="Contact Name"/>
    <tableColumn id="5" name="Email"/>
    <tableColumn id="6" name="Title"/>
    <tableColumn id="7" name="Is Primary"/>
    <tableColumn id="8" name="Source"/>
  </tableColumns>
</table>
</file>

<file path=xl/tables/table3.xml><?xml version="1.0" encoding="utf-8"?>
<table xmlns="http://schemas.openxmlformats.org/spreadsheetml/2006/main" id="3" name="DeliveryMetrics" displayName="DeliveryMetrics" ref="A1:E10" headerRowCount="1" totalsRowCount="0" totalsRowShown="0">
  <autoFilter ref="A1:E10"/>
  <tableColumns count="5">
    <tableColumn id="1" name="Metric"/>
    <tableColumn id="2" name="Formula Result"/>
    <tableColumn id="3" name="Expected"/>
    <tableColumn id="4" name="Control Status"/>
    <tableColumn id="5" name="Evidence"/>
  </tableColumns>
</table>
</file>

<file path=xl/tables/table4.xml><?xml version="1.0" encoding="utf-8"?>
<table xmlns="http://schemas.openxmlformats.org/spreadsheetml/2006/main" id="4" name="RenewalActions" displayName="RenewalActions" ref="A1:M5" headerRowCount="1" totalsRowCount="0" totalsRowShown="0">
  <autoFilter ref="A1:M5"/>
  <tableColumns count="13">
    <tableColumn id="1" name="Source Row"/>
    <tableColumn id="2" name="Account"/>
    <tableColumn id="3" name="Account ID"/>
    <tableColumn id="4" name="Renewal Date"/>
    <tableColumn id="5" name="Contract Amount"/>
    <tableColumn id="6" name="Internal Approval"/>
    <tableColumn id="7" name="Hold Control"/>
    <tableColumn id="8" name="Primary Count"/>
    <tableColumn id="9" name="Recipient"/>
    <tableColumn id="10" name="Decision"/>
    <tableColumn id="11" name="Decision Rationale"/>
    <tableColumn id="12" name="Message ID"/>
    <tableColumn id="13" name="Delivery Status"/>
  </tableColumns>
</table>
</file>

<file path=xl/tables/table5.xml><?xml version="1.0" encoding="utf-8"?>
<table xmlns="http://schemas.openxmlformats.org/spreadsheetml/2006/main" id="5" name="SourceRenewals" displayName="SourceRenewals" ref="A1:H5" headerRowCount="1" totalsRowCount="0" totalsRowShown="0">
  <autoFilter ref="A1:H5"/>
  <tableColumns count="8">
    <tableColumn id="1" name="Source Row"/>
    <tableColumn id="2" name="Account"/>
    <tableColumn id="3" name="Account ID"/>
    <tableColumn id="4" name="Renewal Date"/>
    <tableColumn id="5" name="Contract Text"/>
    <tableColumn id="6" name="Contract Amount"/>
    <tableColumn id="7" name="Tracker Notes"/>
    <tableColumn id="8" name="Tracker Scope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1.99"/>
    <col collapsed="false" customWidth="true" hidden="false" outlineLevel="0" max="2" min="2" style="0" width="25"/>
    <col collapsed="false" customWidth="true" hidden="false" outlineLevel="0" max="3" min="3" style="0" width="23.01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42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2</v>
      </c>
      <c r="B2" s="2" t="s">
        <v>8</v>
      </c>
      <c r="C2" s="2" t="s">
        <v>9</v>
      </c>
      <c r="D2" s="3" t="n">
        <v>46096</v>
      </c>
      <c r="E2" s="2" t="s">
        <v>10</v>
      </c>
      <c r="F2" s="4" t="n">
        <f aca="false">VALUE(SUBSTITUTE(SUBSTITUTE(E2,"$",""),",",""))</f>
        <v>85000</v>
      </c>
      <c r="G2" s="2"/>
      <c r="H2" s="2" t="str">
        <f aca="false">IF(COUNTA(B2:E2)=4,"IN_SCOPE","")</f>
        <v>IN_SCOPE</v>
      </c>
    </row>
    <row r="3" customFormat="false" ht="15" hidden="false" customHeight="false" outlineLevel="0" collapsed="false">
      <c r="A3" s="2" t="n">
        <v>3</v>
      </c>
      <c r="B3" s="2" t="s">
        <v>11</v>
      </c>
      <c r="C3" s="2" t="s">
        <v>12</v>
      </c>
      <c r="D3" s="3" t="n">
        <v>46103</v>
      </c>
      <c r="E3" s="2" t="s">
        <v>13</v>
      </c>
      <c r="F3" s="4" t="n">
        <f aca="false">VALUE(SUBSTITUTE(SUBSTITUTE(E3,"$",""),",",""))</f>
        <v>142000</v>
      </c>
      <c r="G3" s="2"/>
      <c r="H3" s="2" t="str">
        <f aca="false">IF(COUNTA(B3:E3)=4,"IN_SCOPE","")</f>
        <v>IN_SCOPE</v>
      </c>
    </row>
    <row r="4" customFormat="false" ht="15" hidden="false" customHeight="false" outlineLevel="0" collapsed="false">
      <c r="A4" s="2" t="n">
        <v>4</v>
      </c>
      <c r="B4" s="2" t="s">
        <v>14</v>
      </c>
      <c r="C4" s="2" t="s">
        <v>15</v>
      </c>
      <c r="D4" s="3" t="n">
        <v>46111</v>
      </c>
      <c r="E4" s="2" t="s">
        <v>16</v>
      </c>
      <c r="F4" s="4" t="n">
        <f aca="false">VALUE(SUBSTITUTE(SUBSTITUTE(E4,"$",""),",",""))</f>
        <v>67500</v>
      </c>
      <c r="G4" s="2" t="s">
        <v>17</v>
      </c>
      <c r="H4" s="2" t="str">
        <f aca="false">IF(COUNTA(B4:E4)=4,"IN_SCOPE","")</f>
        <v>IN_SCOPE</v>
      </c>
    </row>
    <row r="5" customFormat="false" ht="15" hidden="false" customHeight="false" outlineLevel="0" collapsed="false">
      <c r="A5" s="2" t="n">
        <v>5</v>
      </c>
      <c r="B5" s="2" t="s">
        <v>18</v>
      </c>
      <c r="C5" s="2" t="s">
        <v>19</v>
      </c>
      <c r="D5" s="3" t="n">
        <v>46091</v>
      </c>
      <c r="E5" s="2" t="s">
        <v>20</v>
      </c>
      <c r="F5" s="4" t="n">
        <f aca="false">VALUE(SUBSTITUTE(SUBSTITUTE(E5,"$",""),",",""))</f>
        <v>93000</v>
      </c>
      <c r="G5" s="2"/>
      <c r="H5" s="2" t="str">
        <f aca="false">IF(COUNTA(B5:E5)=4,"IN_SCOPE","")</f>
        <v>IN_SCOPE</v>
      </c>
    </row>
  </sheetData>
  <autoFilter ref="A1:H5"/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1202 | Offline control package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37.99"/>
    <col collapsed="false" customWidth="true" hidden="false" outlineLevel="0" max="3" min="3" style="0" width="27"/>
    <col collapsed="false" customWidth="true" hidden="false" outlineLevel="0" max="4" min="4" style="0" width="25"/>
    <col collapsed="false" customWidth="true" hidden="false" outlineLevel="0" max="5" min="5" style="0" width="23.01"/>
    <col collapsed="false" customWidth="true" hidden="false" outlineLevel="0" max="6" min="6" style="0" width="22.01"/>
    <col collapsed="false" customWidth="true" hidden="false" outlineLevel="0" max="7" min="7" style="0" width="19.99"/>
    <col collapsed="false" customWidth="true" hidden="false" outlineLevel="0" max="8" min="8" style="0" width="52"/>
  </cols>
  <sheetData>
    <row r="1" customFormat="false" ht="30" hidden="false" customHeight="true" outlineLevel="0" collapsed="false">
      <c r="A1" s="1" t="s">
        <v>21</v>
      </c>
      <c r="B1" s="1" t="s">
        <v>22</v>
      </c>
      <c r="C1" s="1" t="s">
        <v>23</v>
      </c>
      <c r="D1" s="1" t="s">
        <v>1</v>
      </c>
      <c r="E1" s="1" t="s">
        <v>2</v>
      </c>
      <c r="F1" s="1" t="s">
        <v>24</v>
      </c>
      <c r="G1" s="1" t="s">
        <v>25</v>
      </c>
      <c r="H1" s="1" t="s">
        <v>26</v>
      </c>
    </row>
    <row r="2" customFormat="false" ht="15" hidden="false" customHeight="false" outlineLevel="0" collapsed="false">
      <c r="A2" s="2" t="s">
        <v>27</v>
      </c>
      <c r="B2" s="2" t="s">
        <v>28</v>
      </c>
      <c r="C2" s="2" t="s">
        <v>29</v>
      </c>
      <c r="D2" s="2" t="s">
        <v>8</v>
      </c>
      <c r="E2" s="2" t="s">
        <v>9</v>
      </c>
      <c r="F2" s="2" t="s">
        <v>30</v>
      </c>
      <c r="G2" s="2" t="s">
        <v>31</v>
      </c>
      <c r="H2" s="2" t="s">
        <v>32</v>
      </c>
    </row>
    <row r="3" customFormat="false" ht="15" hidden="false" customHeight="false" outlineLevel="0" collapsed="false">
      <c r="A3" s="2" t="s">
        <v>27</v>
      </c>
      <c r="B3" s="2" t="s">
        <v>28</v>
      </c>
      <c r="C3" s="2" t="s">
        <v>29</v>
      </c>
      <c r="D3" s="2" t="s">
        <v>11</v>
      </c>
      <c r="E3" s="2" t="s">
        <v>12</v>
      </c>
      <c r="F3" s="2" t="s">
        <v>30</v>
      </c>
      <c r="G3" s="2" t="s">
        <v>31</v>
      </c>
      <c r="H3" s="2" t="s">
        <v>32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  <c r="D4" s="2" t="s">
        <v>14</v>
      </c>
      <c r="E4" s="2" t="s">
        <v>15</v>
      </c>
      <c r="F4" s="2" t="s">
        <v>30</v>
      </c>
      <c r="G4" s="2" t="s">
        <v>33</v>
      </c>
      <c r="H4" s="2" t="s">
        <v>34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18</v>
      </c>
      <c r="E5" s="2" t="s">
        <v>19</v>
      </c>
      <c r="F5" s="2" t="s">
        <v>35</v>
      </c>
      <c r="G5" s="2" t="s">
        <v>31</v>
      </c>
      <c r="H5" s="2" t="s">
        <v>36</v>
      </c>
    </row>
    <row r="6" customFormat="false" ht="15" hidden="false" customHeight="false" outlineLevel="0" collapsed="false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</row>
  </sheetData>
  <autoFilter ref="A1:H6"/>
  <conditionalFormatting sqref="A2:H6">
    <cfRule type="expression" priority="2" aboveAverage="0" equalAverage="0" bottom="0" percent="0" rank="0" text="" dxfId="5">
      <formula>$C2="UNAUTHORIZED_EXTERNAL"</formula>
    </cfRule>
    <cfRule type="expression" priority="3" aboveAverage="0" equalAverage="0" bottom="0" percent="0" rank="0" text="" dxfId="6">
      <formula>$G2="HOLD_LEGAL"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1202 | Offline control package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23.01"/>
    <col collapsed="false" customWidth="true" hidden="false" outlineLevel="0" max="2" min="2" style="0" width="25"/>
    <col collapsed="false" customWidth="true" hidden="false" outlineLevel="0" max="3" min="3" style="0" width="24"/>
    <col collapsed="false" customWidth="true" hidden="false" outlineLevel="0" max="4" min="4" style="0" width="23.01"/>
    <col collapsed="false" customWidth="true" hidden="false" outlineLevel="0" max="5" min="5" style="0" width="42"/>
    <col collapsed="false" customWidth="true" hidden="false" outlineLevel="0" max="6" min="6" style="0" width="24"/>
    <col collapsed="false" customWidth="true" hidden="false" outlineLevel="0" max="7" min="7" style="0" width="15"/>
    <col collapsed="false" customWidth="true" hidden="false" outlineLevel="0" max="8" min="8" style="0" width="37.99"/>
  </cols>
  <sheetData>
    <row r="1" customFormat="false" ht="30" hidden="false" customHeight="true" outlineLevel="0" collapsed="false">
      <c r="A1" s="1" t="s">
        <v>2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customFormat="false" ht="15" hidden="false" customHeight="false" outlineLevel="0" collapsed="false">
      <c r="A2" s="2" t="s">
        <v>9</v>
      </c>
      <c r="B2" s="2" t="s">
        <v>8</v>
      </c>
      <c r="C2" s="2" t="s">
        <v>51</v>
      </c>
      <c r="D2" s="2" t="s">
        <v>52</v>
      </c>
      <c r="E2" s="2" t="s">
        <v>53</v>
      </c>
      <c r="F2" s="2" t="s">
        <v>54</v>
      </c>
      <c r="G2" s="5" t="b">
        <f aca="false">TRUE()</f>
        <v>1</v>
      </c>
      <c r="H2" s="2" t="s">
        <v>55</v>
      </c>
    </row>
    <row r="3" customFormat="false" ht="15" hidden="false" customHeight="false" outlineLevel="0" collapsed="false">
      <c r="A3" s="2" t="s">
        <v>9</v>
      </c>
      <c r="B3" s="2" t="s">
        <v>8</v>
      </c>
      <c r="C3" s="2" t="s">
        <v>56</v>
      </c>
      <c r="D3" s="2" t="s">
        <v>57</v>
      </c>
      <c r="E3" s="2" t="s">
        <v>58</v>
      </c>
      <c r="F3" s="2" t="s">
        <v>59</v>
      </c>
      <c r="G3" s="5" t="b">
        <f aca="false">FALSE()</f>
        <v>0</v>
      </c>
      <c r="H3" s="2" t="s">
        <v>55</v>
      </c>
    </row>
    <row r="4" customFormat="false" ht="15" hidden="false" customHeight="false" outlineLevel="0" collapsed="false">
      <c r="A4" s="2" t="s">
        <v>12</v>
      </c>
      <c r="B4" s="2" t="s">
        <v>11</v>
      </c>
      <c r="C4" s="2" t="s">
        <v>60</v>
      </c>
      <c r="D4" s="2" t="s">
        <v>61</v>
      </c>
      <c r="E4" s="2" t="s">
        <v>62</v>
      </c>
      <c r="F4" s="2" t="s">
        <v>63</v>
      </c>
      <c r="G4" s="5" t="b">
        <f aca="false">TRUE()</f>
        <v>1</v>
      </c>
      <c r="H4" s="2" t="s">
        <v>55</v>
      </c>
    </row>
    <row r="5" customFormat="false" ht="15" hidden="false" customHeight="false" outlineLevel="0" collapsed="false">
      <c r="A5" s="2" t="s">
        <v>15</v>
      </c>
      <c r="B5" s="2" t="s">
        <v>14</v>
      </c>
      <c r="C5" s="2" t="s">
        <v>64</v>
      </c>
      <c r="D5" s="2" t="s">
        <v>65</v>
      </c>
      <c r="E5" s="2" t="s">
        <v>66</v>
      </c>
      <c r="F5" s="2" t="s">
        <v>67</v>
      </c>
      <c r="G5" s="5" t="b">
        <f aca="false">TRUE()</f>
        <v>1</v>
      </c>
      <c r="H5" s="2" t="s">
        <v>55</v>
      </c>
    </row>
    <row r="6" customFormat="false" ht="15" hidden="false" customHeight="false" outlineLevel="0" collapsed="false">
      <c r="A6" s="2" t="s">
        <v>19</v>
      </c>
      <c r="B6" s="2" t="s">
        <v>18</v>
      </c>
      <c r="C6" s="2" t="s">
        <v>68</v>
      </c>
      <c r="D6" s="2" t="s">
        <v>69</v>
      </c>
      <c r="E6" s="2" t="s">
        <v>70</v>
      </c>
      <c r="F6" s="2" t="s">
        <v>71</v>
      </c>
      <c r="G6" s="5" t="b">
        <f aca="false">TRUE()</f>
        <v>1</v>
      </c>
      <c r="H6" s="2" t="s">
        <v>55</v>
      </c>
    </row>
    <row r="7" customFormat="false" ht="15" hidden="false" customHeight="false" outlineLevel="0" collapsed="false">
      <c r="A7" s="2" t="s">
        <v>41</v>
      </c>
      <c r="B7" s="2" t="s">
        <v>40</v>
      </c>
      <c r="C7" s="2" t="s">
        <v>72</v>
      </c>
      <c r="D7" s="2" t="s">
        <v>73</v>
      </c>
      <c r="E7" s="2" t="s">
        <v>74</v>
      </c>
      <c r="F7" s="2" t="s">
        <v>75</v>
      </c>
      <c r="G7" s="5" t="b">
        <f aca="false">TRUE()</f>
        <v>1</v>
      </c>
      <c r="H7" s="2" t="s">
        <v>55</v>
      </c>
    </row>
    <row r="8" customFormat="false" ht="15" hidden="false" customHeight="false" outlineLevel="0" collapsed="false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81</v>
      </c>
      <c r="G8" s="5" t="b">
        <f aca="false">TRUE()</f>
        <v>1</v>
      </c>
      <c r="H8" s="2" t="s">
        <v>55</v>
      </c>
    </row>
    <row r="9" customFormat="false" ht="15" hidden="false" customHeight="false" outlineLevel="0" collapsed="false">
      <c r="A9" s="2" t="s">
        <v>82</v>
      </c>
      <c r="B9" s="2" t="s">
        <v>83</v>
      </c>
      <c r="C9" s="2" t="s">
        <v>84</v>
      </c>
      <c r="D9" s="2" t="s">
        <v>85</v>
      </c>
      <c r="E9" s="2" t="s">
        <v>86</v>
      </c>
      <c r="F9" s="2" t="s">
        <v>87</v>
      </c>
      <c r="G9" s="5" t="b">
        <f aca="false">TRUE()</f>
        <v>1</v>
      </c>
      <c r="H9" s="2" t="s">
        <v>55</v>
      </c>
    </row>
  </sheetData>
  <autoFilter ref="A1:H9"/>
  <conditionalFormatting sqref="A2:H9">
    <cfRule type="expression" priority="2" aboveAverage="0" equalAverage="0" bottom="0" percent="0" rank="0" text="" dxfId="8">
      <formula>$G2=1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1202 | Offline control package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  <col collapsed="false" customWidth="true" hidden="false" outlineLevel="0" max="4" min="4" style="0" width="11.99"/>
    <col collapsed="false" customWidth="true" hidden="false" outlineLevel="0" max="5" min="5" style="0" width="13.01"/>
    <col collapsed="false" customWidth="true" hidden="false" outlineLevel="0" max="6" min="6" style="0" width="14.01"/>
    <col collapsed="false" customWidth="true" hidden="false" outlineLevel="0" max="7" min="7" style="0" width="11.99"/>
    <col collapsed="false" customWidth="true" hidden="false" outlineLevel="0" max="8" min="8" style="0" width="10"/>
    <col collapsed="false" customWidth="true" hidden="false" outlineLevel="0" max="9" min="9" style="0" width="27.99"/>
    <col collapsed="false" customWidth="true" hidden="false" outlineLevel="0" max="10" min="10" style="0" width="17"/>
    <col collapsed="false" customWidth="true" hidden="false" outlineLevel="0" max="11" min="11" style="0" width="32"/>
    <col collapsed="false" customWidth="true" hidden="false" outlineLevel="0" max="12" min="12" style="0" width="27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</row>
    <row r="2" customFormat="false" ht="30" hidden="false" customHeight="true" outlineLevel="0" collapsed="false">
      <c r="A2" s="2" t="n">
        <f aca="false">Source_Renewals!A2</f>
        <v>2</v>
      </c>
      <c r="B2" s="2" t="str">
        <f aca="false">Source_Renewals!B2</f>
        <v>Vanguard Logistics</v>
      </c>
      <c r="C2" s="2" t="str">
        <f aca="false">Source_Renewals!C2</f>
        <v>001xx000003REN1</v>
      </c>
      <c r="D2" s="3" t="n">
        <f aca="false">Source_Renewals!D2</f>
        <v>46096</v>
      </c>
      <c r="E2" s="4" t="n">
        <f aca="false">Source_Renewals!F2</f>
        <v>85000</v>
      </c>
      <c r="F2" s="2" t="str">
        <f aca="false">IF(COUNTIFS(Authority_Control!$E$2:$E$6,C2,Authority_Control!$F$2:$F$6,"APPROVED")&gt;0,"APPROVED","NOT_APPROVED")</f>
        <v>APPROVED</v>
      </c>
      <c r="G2" s="2" t="str">
        <f aca="false">IF(OR(COUNTIFS(Authority_Control!$E$2:$E$6,C2,Authority_Control!$G$2:$G$6,"HOLD_LEGAL")&gt;0,ISNUMBER(SEARCH("paused",Source_Renewals!G2))),"HOLD","CLEAR")</f>
        <v>CLEAR</v>
      </c>
      <c r="H2" s="2" t="n">
        <f aca="false">COUNTIFS(CRM_Contacts!$A$2:$A$9,C2,CRM_Contacts!$G$2:$G$9,TRUE())</f>
        <v>1</v>
      </c>
      <c r="I2" s="2" t="str">
        <f aca="false">IF(AND(F2="APPROVED",G2="CLEAR",H2=1),INDEX(CRM_Contacts!$E$2:$E$9,MATCH(C2,CRM_Contacts!$A$2:$A$9,0)),"")</f>
        <v>sarah.chen@vanguardlog.example.com</v>
      </c>
      <c r="J2" s="2" t="str">
        <f aca="false">IF(AND(F2="APPROVED",G2="CLEAR",H2=1),"DRAFT_NOTIFICATION",IF(G2="HOLD","HOLD_LEGAL","DO_NOT_NOTIFY"))</f>
        <v>DRAFT_NOTIFICATION</v>
      </c>
      <c r="K2" s="2" t="str">
        <f aca="false">IF(J2="DRAFT_NOTIFICATION","Tracker + internal approval + clear hold + one primary contact",IF(G2="HOLD","Legal/tracker hold overrides approval","No internal approval"))</f>
        <v>Tracker + internal approval + clear hold + one primary contact</v>
      </c>
      <c r="L2" s="2" t="str">
        <f aca="false">IF(J2="DRAFT_NOTIFICATION","&lt;renewal-"&amp;LOWER(SUBSTITUTE(C2,"001xx000003",""))&amp;"@evocowork.invalid&gt;","")</f>
        <v>&lt;renewal-ren1@evocowork.invalid&gt;</v>
      </c>
      <c r="M2" s="2" t="str">
        <f aca="false">IF(J2="DRAFT_NOTIFICATION","DRAFT_NOT_SENT","NOT_APPLICABLE")</f>
        <v>DRAFT_NOT_SENT</v>
      </c>
    </row>
    <row r="3" customFormat="false" ht="30" hidden="false" customHeight="true" outlineLevel="0" collapsed="false">
      <c r="A3" s="2" t="n">
        <f aca="false">Source_Renewals!A3</f>
        <v>3</v>
      </c>
      <c r="B3" s="2" t="str">
        <f aca="false">Source_Renewals!B3</f>
        <v>Pinnacle Systems</v>
      </c>
      <c r="C3" s="2" t="str">
        <f aca="false">Source_Renewals!C3</f>
        <v>001xx000003REN2</v>
      </c>
      <c r="D3" s="3" t="n">
        <f aca="false">Source_Renewals!D3</f>
        <v>46103</v>
      </c>
      <c r="E3" s="4" t="n">
        <f aca="false">Source_Renewals!F3</f>
        <v>142000</v>
      </c>
      <c r="F3" s="2" t="str">
        <f aca="false">IF(COUNTIFS(Authority_Control!$E$2:$E$6,C3,Authority_Control!$F$2:$F$6,"APPROVED")&gt;0,"APPROVED","NOT_APPROVED")</f>
        <v>APPROVED</v>
      </c>
      <c r="G3" s="2" t="str">
        <f aca="false">IF(OR(COUNTIFS(Authority_Control!$E$2:$E$6,C3,Authority_Control!$G$2:$G$6,"HOLD_LEGAL")&gt;0,ISNUMBER(SEARCH("paused",Source_Renewals!G3))),"HOLD","CLEAR")</f>
        <v>CLEAR</v>
      </c>
      <c r="H3" s="2" t="n">
        <f aca="false">COUNTIFS(CRM_Contacts!$A$2:$A$9,C3,CRM_Contacts!$G$2:$G$9,TRUE())</f>
        <v>1</v>
      </c>
      <c r="I3" s="2" t="str">
        <f aca="false">IF(AND(F3="APPROVED",G3="CLEAR",H3=1),INDEX(CRM_Contacts!$E$2:$E$9,MATCH(C3,CRM_Contacts!$A$2:$A$9,0)),"")</f>
        <v>marcus.webb@pinnaclesys.example.com</v>
      </c>
      <c r="J3" s="2" t="str">
        <f aca="false">IF(AND(F3="APPROVED",G3="CLEAR",H3=1),"DRAFT_NOTIFICATION",IF(G3="HOLD","HOLD_LEGAL","DO_NOT_NOTIFY"))</f>
        <v>DRAFT_NOTIFICATION</v>
      </c>
      <c r="K3" s="2" t="str">
        <f aca="false">IF(J3="DRAFT_NOTIFICATION","Tracker + internal approval + clear hold + one primary contact",IF(G3="HOLD","Legal/tracker hold overrides approval","No internal approval"))</f>
        <v>Tracker + internal approval + clear hold + one primary contact</v>
      </c>
      <c r="L3" s="2" t="str">
        <f aca="false">IF(J3="DRAFT_NOTIFICATION","&lt;renewal-"&amp;LOWER(SUBSTITUTE(C3,"001xx000003",""))&amp;"@evocowork.invalid&gt;","")</f>
        <v>&lt;renewal-ren2@evocowork.invalid&gt;</v>
      </c>
      <c r="M3" s="2" t="str">
        <f aca="false">IF(J3="DRAFT_NOTIFICATION","DRAFT_NOT_SENT","NOT_APPLICABLE")</f>
        <v>DRAFT_NOT_SENT</v>
      </c>
    </row>
    <row r="4" customFormat="false" ht="30" hidden="false" customHeight="true" outlineLevel="0" collapsed="false">
      <c r="A4" s="2" t="n">
        <f aca="false">Source_Renewals!A4</f>
        <v>4</v>
      </c>
      <c r="B4" s="2" t="str">
        <f aca="false">Source_Renewals!B4</f>
        <v>Cobalt Engineering</v>
      </c>
      <c r="C4" s="2" t="str">
        <f aca="false">Source_Renewals!C4</f>
        <v>001xx000003REN3</v>
      </c>
      <c r="D4" s="3" t="n">
        <f aca="false">Source_Renewals!D4</f>
        <v>46111</v>
      </c>
      <c r="E4" s="4" t="n">
        <f aca="false">Source_Renewals!F4</f>
        <v>67500</v>
      </c>
      <c r="F4" s="2" t="str">
        <f aca="false">IF(COUNTIFS(Authority_Control!$E$2:$E$6,C4,Authority_Control!$F$2:$F$6,"APPROVED")&gt;0,"APPROVED","NOT_APPROVED")</f>
        <v>APPROVED</v>
      </c>
      <c r="G4" s="2" t="str">
        <f aca="false">IF(OR(COUNTIFS(Authority_Control!$E$2:$E$6,C4,Authority_Control!$G$2:$G$6,"HOLD_LEGAL")&gt;0,ISNUMBER(SEARCH("paused",Source_Renewals!G4))),"HOLD","CLEAR")</f>
        <v>HOLD</v>
      </c>
      <c r="H4" s="2" t="n">
        <f aca="false">COUNTIFS(CRM_Contacts!$A$2:$A$9,C4,CRM_Contacts!$G$2:$G$9,TRUE())</f>
        <v>1</v>
      </c>
      <c r="I4" s="2" t="str">
        <f aca="false">IF(AND(F4="APPROVED",G4="CLEAR",H4=1),INDEX(CRM_Contacts!$E$2:$E$9,MATCH(C4,CRM_Contacts!$A$2:$A$9,0)),"")</f>
        <v/>
      </c>
      <c r="J4" s="2" t="str">
        <f aca="false">IF(AND(F4="APPROVED",G4="CLEAR",H4=1),"DRAFT_NOTIFICATION",IF(G4="HOLD","HOLD_LEGAL","DO_NOT_NOTIFY"))</f>
        <v>HOLD_LEGAL</v>
      </c>
      <c r="K4" s="2" t="str">
        <f aca="false">IF(J4="DRAFT_NOTIFICATION","Tracker + internal approval + clear hold + one primary contact",IF(G4="HOLD","Legal/tracker hold overrides approval","No internal approval"))</f>
        <v>Legal/tracker hold overrides approval</v>
      </c>
      <c r="L4" s="2" t="str">
        <f aca="false">IF(J4="DRAFT_NOTIFICATION","&lt;renewal-"&amp;LOWER(SUBSTITUTE(C4,"001xx000003",""))&amp;"@evocowork.invalid&gt;","")</f>
        <v/>
      </c>
      <c r="M4" s="2" t="str">
        <f aca="false">IF(J4="DRAFT_NOTIFICATION","DRAFT_NOT_SENT","NOT_APPLICABLE")</f>
        <v>NOT_APPLICABLE</v>
      </c>
    </row>
    <row r="5" customFormat="false" ht="30" hidden="false" customHeight="true" outlineLevel="0" collapsed="false">
      <c r="A5" s="2" t="n">
        <f aca="false">Source_Renewals!A5</f>
        <v>5</v>
      </c>
      <c r="B5" s="2" t="str">
        <f aca="false">Source_Renewals!B5</f>
        <v>TerraForm Analytics</v>
      </c>
      <c r="C5" s="2" t="str">
        <f aca="false">Source_Renewals!C5</f>
        <v>001xx000003REN4</v>
      </c>
      <c r="D5" s="3" t="n">
        <f aca="false">Source_Renewals!D5</f>
        <v>46091</v>
      </c>
      <c r="E5" s="4" t="n">
        <f aca="false">Source_Renewals!F5</f>
        <v>93000</v>
      </c>
      <c r="F5" s="2" t="str">
        <f aca="false">IF(COUNTIFS(Authority_Control!$E$2:$E$6,C5,Authority_Control!$F$2:$F$6,"APPROVED")&gt;0,"APPROVED","NOT_APPROVED")</f>
        <v>NOT_APPROVED</v>
      </c>
      <c r="G5" s="2" t="str">
        <f aca="false">IF(OR(COUNTIFS(Authority_Control!$E$2:$E$6,C5,Authority_Control!$G$2:$G$6,"HOLD_LEGAL")&gt;0,ISNUMBER(SEARCH("paused",Source_Renewals!G5))),"HOLD","CLEAR")</f>
        <v>CLEAR</v>
      </c>
      <c r="H5" s="2" t="n">
        <f aca="false">COUNTIFS(CRM_Contacts!$A$2:$A$9,C5,CRM_Contacts!$G$2:$G$9,TRUE())</f>
        <v>1</v>
      </c>
      <c r="I5" s="2" t="str">
        <f aca="false">IF(AND(F5="APPROVED",G5="CLEAR",H5=1),INDEX(CRM_Contacts!$E$2:$E$9,MATCH(C5,CRM_Contacts!$A$2:$A$9,0)),"")</f>
        <v/>
      </c>
      <c r="J5" s="2" t="str">
        <f aca="false">IF(AND(F5="APPROVED",G5="CLEAR",H5=1),"DRAFT_NOTIFICATION",IF(G5="HOLD","HOLD_LEGAL","DO_NOT_NOTIFY"))</f>
        <v>DO_NOT_NOTIFY</v>
      </c>
      <c r="K5" s="2" t="str">
        <f aca="false">IF(J5="DRAFT_NOTIFICATION","Tracker + internal approval + clear hold + one primary contact",IF(G5="HOLD","Legal/tracker hold overrides approval","No internal approval"))</f>
        <v>No internal approval</v>
      </c>
      <c r="L5" s="2" t="str">
        <f aca="false">IF(J5="DRAFT_NOTIFICATION","&lt;renewal-"&amp;LOWER(SUBSTITUTE(C5,"001xx000003",""))&amp;"@evocowork.invalid&gt;","")</f>
        <v/>
      </c>
      <c r="M5" s="2" t="str">
        <f aca="false">IF(J5="DRAFT_NOTIFICATION","DRAFT_NOT_SENT","NOT_APPLICABLE")</f>
        <v>NOT_APPLICABLE</v>
      </c>
    </row>
  </sheetData>
  <autoFilter ref="A1:M5"/>
  <conditionalFormatting sqref="A2:M5">
    <cfRule type="expression" priority="2" aboveAverage="0" equalAverage="0" bottom="0" percent="0" rank="0" text="" dxfId="8">
      <formula>$J2="DRAFT_NOTIFICATION"</formula>
    </cfRule>
    <cfRule type="expression" priority="3" aboveAverage="0" equalAverage="0" bottom="0" percent="0" rank="0" text="" dxfId="6">
      <formula>$J2="HOLD_LEGAL"</formula>
    </cfRule>
    <cfRule type="expression" priority="4" aboveAverage="0" equalAverage="0" bottom="0" percent="0" rank="0" text="" dxfId="5">
      <formula>$J2="DO_NOT_NOTIFY"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1202 | Offline control package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pane ySplit="1" topLeftCell="A2" activePane="bottomLeft" state="frozen"/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.01"/>
    <col collapsed="false" customWidth="true" hidden="false" outlineLevel="0" max="4" min="3" style="0" width="19.99"/>
    <col collapsed="false" customWidth="true" hidden="false" outlineLevel="0" max="5" min="5" style="0" width="45.99"/>
  </cols>
  <sheetData>
    <row r="1" customFormat="false" ht="30" hidden="false" customHeight="true" outlineLevel="0" collapsed="false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customFormat="false" ht="15" hidden="false" customHeight="false" outlineLevel="0" collapsed="false">
      <c r="A2" s="2" t="s">
        <v>101</v>
      </c>
      <c r="B2" s="2" t="n">
        <f aca="false">COUNTA(Source_Renewals!B2:B5)</f>
        <v>4</v>
      </c>
      <c r="C2" s="2" t="n">
        <v>4</v>
      </c>
      <c r="D2" s="2" t="str">
        <f aca="false">IF(B2=C2,"PASS","FAIL")</f>
        <v>PASS</v>
      </c>
      <c r="E2" s="2" t="s">
        <v>102</v>
      </c>
    </row>
    <row r="3" customFormat="false" ht="15" hidden="false" customHeight="false" outlineLevel="0" collapsed="false">
      <c r="A3" s="2" t="s">
        <v>103</v>
      </c>
      <c r="B3" s="2" t="n">
        <f aca="false">COUNTIF(Action_Register!J2:J5,"DRAFT_NOTIFICATION")</f>
        <v>2</v>
      </c>
      <c r="C3" s="2" t="n">
        <v>2</v>
      </c>
      <c r="D3" s="2" t="str">
        <f aca="false">IF(B3=C3,"PASS","FAIL")</f>
        <v>PASS</v>
      </c>
      <c r="E3" s="2" t="s">
        <v>104</v>
      </c>
    </row>
    <row r="4" customFormat="false" ht="15" hidden="false" customHeight="false" outlineLevel="0" collapsed="false">
      <c r="A4" s="2" t="s">
        <v>105</v>
      </c>
      <c r="B4" s="4" t="n">
        <f aca="false">SUMIF(Action_Register!J2:J5,"DRAFT_NOTIFICATION",Action_Register!E2:E5)</f>
        <v>227000</v>
      </c>
      <c r="C4" s="4" t="n">
        <v>227000</v>
      </c>
      <c r="D4" s="2" t="str">
        <f aca="false">IF(B4=C4,"PASS","FAIL")</f>
        <v>PASS</v>
      </c>
      <c r="E4" s="2" t="s">
        <v>106</v>
      </c>
    </row>
    <row r="5" customFormat="false" ht="15" hidden="false" customHeight="false" outlineLevel="0" collapsed="false">
      <c r="A5" s="2" t="s">
        <v>107</v>
      </c>
      <c r="B5" s="4" t="n">
        <f aca="false">SUMIF(Action_Register!G2:G5,"HOLD",Action_Register!E2:E5)</f>
        <v>67500</v>
      </c>
      <c r="C5" s="4" t="n">
        <v>67500</v>
      </c>
      <c r="D5" s="2" t="str">
        <f aca="false">IF(B5=C5,"PASS","FAIL")</f>
        <v>PASS</v>
      </c>
      <c r="E5" s="2" t="s">
        <v>108</v>
      </c>
    </row>
    <row r="6" customFormat="false" ht="15" hidden="false" customHeight="false" outlineLevel="0" collapsed="false">
      <c r="A6" s="2" t="s">
        <v>109</v>
      </c>
      <c r="B6" s="4" t="n">
        <f aca="false">SUMIF(Action_Register!F2:F5,"NOT_APPROVED",Action_Register!E2:E5)</f>
        <v>93000</v>
      </c>
      <c r="C6" s="4" t="n">
        <v>93000</v>
      </c>
      <c r="D6" s="2" t="str">
        <f aca="false">IF(B6=C6,"PASS","FAIL")</f>
        <v>PASS</v>
      </c>
      <c r="E6" s="2" t="s">
        <v>110</v>
      </c>
    </row>
    <row r="7" customFormat="false" ht="15" hidden="false" customHeight="false" outlineLevel="0" collapsed="false">
      <c r="A7" s="2" t="s">
        <v>111</v>
      </c>
      <c r="B7" s="2" t="n">
        <f aca="false">COUNTIF(Authority_Control!C2:C6,"UNAUTHORIZED_EXTERNAL")</f>
        <v>1</v>
      </c>
      <c r="C7" s="2" t="n">
        <v>1</v>
      </c>
      <c r="D7" s="2" t="str">
        <f aca="false">IF(B7=C7,"PASS","FAIL")</f>
        <v>PASS</v>
      </c>
      <c r="E7" s="2" t="s">
        <v>37</v>
      </c>
    </row>
    <row r="8" customFormat="false" ht="15" hidden="false" customHeight="false" outlineLevel="0" collapsed="false">
      <c r="A8" s="2" t="s">
        <v>112</v>
      </c>
      <c r="B8" s="2" t="n">
        <f aca="false">SUMPRODUCT(1/COUNTIF(CRM_Contacts!A2:A9,CRM_Contacts!A2:A9))-COUNTA(Source_Renewals!C2:C5)</f>
        <v>3</v>
      </c>
      <c r="C8" s="2" t="n">
        <v>3</v>
      </c>
      <c r="D8" s="2" t="str">
        <f aca="false">IF(B8=C8,"PASS","FAIL")</f>
        <v>PASS</v>
      </c>
      <c r="E8" s="2" t="s">
        <v>113</v>
      </c>
    </row>
    <row r="9" customFormat="false" ht="15" hidden="false" customHeight="false" outlineLevel="0" collapsed="false">
      <c r="A9" s="2" t="s">
        <v>114</v>
      </c>
      <c r="B9" s="2" t="n">
        <f aca="false">COUNTIF(Action_Register!I2:I5,"?*")</f>
        <v>2</v>
      </c>
      <c r="C9" s="2" t="n">
        <v>2</v>
      </c>
      <c r="D9" s="2" t="str">
        <f aca="false">IF(B9=C9,"PASS","FAIL")</f>
        <v>PASS</v>
      </c>
      <c r="E9" s="2" t="s">
        <v>115</v>
      </c>
    </row>
    <row r="10" customFormat="false" ht="15" hidden="false" customHeight="false" outlineLevel="0" collapsed="false">
      <c r="A10" s="2" t="s">
        <v>116</v>
      </c>
      <c r="B10" s="4" t="n">
        <f aca="false">SUM(Source_Renewals!F2:F5)</f>
        <v>387500</v>
      </c>
      <c r="C10" s="4" t="n">
        <v>387500</v>
      </c>
      <c r="D10" s="2" t="str">
        <f aca="false">IF(B10=C10,"PASS","FAIL")</f>
        <v>PASS</v>
      </c>
      <c r="E10" s="2" t="s">
        <v>117</v>
      </c>
    </row>
  </sheetData>
  <autoFilter ref="A1:E10"/>
  <conditionalFormatting sqref="A2:E10">
    <cfRule type="expression" priority="2" aboveAverage="0" equalAverage="0" bottom="0" percent="0" rank="0" text="" dxfId="8">
      <formula>$D2="PASS"</formula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&amp;CEvoCowork | AutomationBench 1202 | Offline control package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2026-02-24T16:00:00Z</dcterms:created>
  <dc:creator>openpyxl</dc:creator>
  <dc:description/>
  <dc:language>en-US</dc:language>
  <cp:lastModifiedBy/>
  <dcterms:modified xsi:type="dcterms:W3CDTF">2026-02-24T16:00:00Z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