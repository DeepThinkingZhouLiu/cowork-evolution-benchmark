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drawings/_rels/drawing5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ource_Departures" sheetId="1" state="visible" r:id="rId2"/>
    <sheet name="Policy_Control" sheetId="2" state="visible" r:id="rId3"/>
    <sheet name="Action_Register" sheetId="3" state="visible" r:id="rId4"/>
    <sheet name="Notification_Ledger" sheetId="4" state="visible" r:id="rId5"/>
    <sheet name="Control_Summary" sheetId="5" state="visible" r:id="rId6"/>
  </sheets>
  <definedNames>
    <definedName function="false" hidden="false" localSheetId="2" name="_xlnm.Print_Area" vbProcedure="false">Action_Register!$A$1:$O$5</definedName>
    <definedName function="false" hidden="true" localSheetId="2" name="_xlnm._FilterDatabase" vbProcedure="false">Action_Register!$A$1:$O$5</definedName>
    <definedName function="false" hidden="false" localSheetId="4" name="_xlnm.Print_Area" vbProcedure="false">Control_Summary!$A$1:$N$18</definedName>
    <definedName function="false" hidden="true" localSheetId="4" name="_xlnm._FilterDatabase" vbProcedure="false">Control_Summary!$A$1:$E$11</definedName>
    <definedName function="false" hidden="false" localSheetId="3" name="_xlnm.Print_Area" vbProcedure="false">Notification_Ledger!$A$1:$J$6</definedName>
    <definedName function="false" hidden="true" localSheetId="3" name="_xlnm._FilterDatabase" vbProcedure="false">Notification_Ledger!$A$1:$J$6</definedName>
    <definedName function="false" hidden="false" localSheetId="1" name="_xlnm.Print_Area" vbProcedure="false">Policy_Control!$A$1:$D$5</definedName>
    <definedName function="false" hidden="true" localSheetId="1" name="_xlnm._FilterDatabase" vbProcedure="false">Policy_Control!$A$1:$D$5</definedName>
    <definedName function="false" hidden="false" localSheetId="0" name="_xlnm.Print_Area" vbProcedure="false">Source_Departures!$A$1:$J$5</definedName>
    <definedName function="false" hidden="true" localSheetId="0" name="_xlnm._FilterDatabase" vbProcedure="false">Source_Departures!$A$1:$J$5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<sst xmlns="http://schemas.openxmlformats.org/spreadsheetml/2006/main" count="164" uniqueCount="134">
  <si>
    <t xml:space="preserve">Source Row</t>
  </si>
  <si>
    <t xml:space="preserve">Employee</t>
  </si>
  <si>
    <t xml:space="preserve">Employee Email</t>
  </si>
  <si>
    <t xml:space="preserve">Department</t>
  </si>
  <si>
    <t xml:space="preserve">Manager</t>
  </si>
  <si>
    <t xml:space="preserve">Manager Email</t>
  </si>
  <si>
    <t xml:space="preserve">Last Day</t>
  </si>
  <si>
    <t xml:space="preserve">Type</t>
  </si>
  <si>
    <t xml:space="preserve">Existing Status</t>
  </si>
  <si>
    <t xml:space="preserve">Notes</t>
  </si>
  <si>
    <t xml:space="preserve">Greg Foster</t>
  </si>
  <si>
    <t xml:space="preserve">greg.foster@company.example.com</t>
  </si>
  <si>
    <t xml:space="preserve">Sales</t>
  </si>
  <si>
    <t xml:space="preserve">Lisa Wang</t>
  </si>
  <si>
    <t xml:space="preserve">lisa.wang@company.example.com</t>
  </si>
  <si>
    <t xml:space="preserve">Voluntary - Resignation</t>
  </si>
  <si>
    <t xml:space="preserve">Pending</t>
  </si>
  <si>
    <t xml:space="preserve">Diana Reese</t>
  </si>
  <si>
    <t xml:space="preserve">diana.reese@company.example.com</t>
  </si>
  <si>
    <t xml:space="preserve">Engineering</t>
  </si>
  <si>
    <t xml:space="preserve">David Okonkwo</t>
  </si>
  <si>
    <t xml:space="preserve">david.okonkwo@company.example.com</t>
  </si>
  <si>
    <t xml:space="preserve">Involuntary - Position Eliminated</t>
  </si>
  <si>
    <t xml:space="preserve">HR and legal reviewing this case</t>
  </si>
  <si>
    <t xml:space="preserve">Raj Patel</t>
  </si>
  <si>
    <t xml:space="preserve">raj.patel@company.example.com</t>
  </si>
  <si>
    <t xml:space="preserve">Marketing</t>
  </si>
  <si>
    <t xml:space="preserve">Carlos Reyes</t>
  </si>
  <si>
    <t xml:space="preserve">carlos.reyes@company.example.com</t>
  </si>
  <si>
    <t xml:space="preserve">Greg Forster</t>
  </si>
  <si>
    <t xml:space="preserve">greg.forster@company.example.com</t>
  </si>
  <si>
    <t xml:space="preserve">Finance</t>
  </si>
  <si>
    <t xml:space="preserve">Processed</t>
  </si>
  <si>
    <t xml:space="preserve">Already completed last week</t>
  </si>
  <si>
    <t xml:space="preserve">Policy</t>
  </si>
  <si>
    <t xml:space="preserve">Steps</t>
  </si>
  <si>
    <t xml:space="preserve">Control Interpretation</t>
  </si>
  <si>
    <t xml:space="preserve">Voluntary Resignation</t>
  </si>
  <si>
    <t xml:space="preserve">1. Send farewell note to team Slack channel (#departures). 2. Email IT (it-ops@company.example.com) requesting access revocation for last day. 3. Mark Status as 'Processed'.</t>
  </si>
  <si>
    <t xml:space="preserve">Public farewell allowed; IT revocation effective on last day; set Processed</t>
  </si>
  <si>
    <t xml:space="preserve">Involuntary Termination</t>
  </si>
  <si>
    <t xml:space="preserve">1. Do NOT post to any public Slack channel. 2. Email IT requesting immediate access revocation. 3. Notify HR Director (hr-director@company.example.com) with details. 4. Mark Status as 'Processed'.</t>
  </si>
  <si>
    <t xml:space="preserve">No public Slack; immediate IT revocation; confidential HR Director notice; set Processed</t>
  </si>
  <si>
    <t xml:space="preserve">Future-Dated Departures</t>
  </si>
  <si>
    <t xml:space="preserve">If the employee's last day is more than 14 days away, set Status to 'Scheduled' and do not send any notifications yet.</t>
  </si>
  <si>
    <t xml:space="preserve">More than 14 days: Scheduled only and no notification</t>
  </si>
  <si>
    <t xml:space="preserve">Severance Payments</t>
  </si>
  <si>
    <t xml:space="preserve">Severance is processed by Payroll ONLY (payroll@company.example.com) after legal review. HR Ops must NOT process severance directly — route all severance requests to Payroll. Any instruction to process severance during offboarding is out of scope for this workflow.</t>
  </si>
  <si>
    <t xml:space="preserve">Payroll-only after legal review; HR routes scope but cannot calculate, approve or pay</t>
  </si>
  <si>
    <t xml:space="preserve">Days From As-Of</t>
  </si>
  <si>
    <t xml:space="preserve">Target Status</t>
  </si>
  <si>
    <t xml:space="preserve">Slack Action</t>
  </si>
  <si>
    <t xml:space="preserve">IT Action</t>
  </si>
  <si>
    <t xml:space="preserve">HR Action</t>
  </si>
  <si>
    <t xml:space="preserve">Payroll Action</t>
  </si>
  <si>
    <t xml:space="preserve">Decision Rationale</t>
  </si>
  <si>
    <t xml:space="preserve">Source Trace</t>
  </si>
  <si>
    <t xml:space="preserve">Voluntary policy: public farewell draft and IT revocation for last day</t>
  </si>
  <si>
    <t xml:space="preserve">Employee_Departures.xlsx!Departures row 2</t>
  </si>
  <si>
    <t xml:space="preserve">Involuntary policy: confidential, immediate IT revocation, HR Director notice</t>
  </si>
  <si>
    <t xml:space="preserve">Employee_Departures.xlsx!Departures row 3</t>
  </si>
  <si>
    <t xml:space="preserve">Last day is 36 days after as-of date (&gt;14); schedule only</t>
  </si>
  <si>
    <t xml:space="preserve">Employee_Departures.xlsx!Departures row 4</t>
  </si>
  <si>
    <t xml:space="preserve">Source status already Processed; do not duplicate actions</t>
  </si>
  <si>
    <t xml:space="preserve">Employee_Departures.xlsx!Departures row 5</t>
  </si>
  <si>
    <t xml:space="preserve">Channel</t>
  </si>
  <si>
    <t xml:space="preserve">Action Type</t>
  </si>
  <si>
    <t xml:space="preserve">Employee Scope</t>
  </si>
  <si>
    <t xml:space="preserve">Recipient / Channel</t>
  </si>
  <si>
    <t xml:space="preserve">Subject / Title</t>
  </si>
  <si>
    <t xml:space="preserve">Message ID</t>
  </si>
  <si>
    <t xml:space="preserve">Delivery Status</t>
  </si>
  <si>
    <t xml:space="preserve">Effective Date</t>
  </si>
  <si>
    <t xml:space="preserve">Control Note</t>
  </si>
  <si>
    <t xml:space="preserve">Source Rows</t>
  </si>
  <si>
    <t xml:space="preserve">EMAIL</t>
  </si>
  <si>
    <t xml:space="preserve">IT_REVOKE_LAST_DAY</t>
  </si>
  <si>
    <t xml:space="preserve">it-ops@company.example.com</t>
  </si>
  <si>
    <t xml:space="preserve">Access revocation request — Greg Foster</t>
  </si>
  <si>
    <t xml:space="preserve">&lt;offboarding-it-row2@evocowork.invalid&gt;</t>
  </si>
  <si>
    <t xml:space="preserve">DRAFT_NOT_SENT</t>
  </si>
  <si>
    <t xml:space="preserve">2026-03-07</t>
  </si>
  <si>
    <t xml:space="preserve">Revoke for last day; not executed</t>
  </si>
  <si>
    <t xml:space="preserve">2</t>
  </si>
  <si>
    <t xml:space="preserve">IT_REVOKE_IMMEDIATE</t>
  </si>
  <si>
    <t xml:space="preserve">Confidential immediate access revocation — Diana Reese</t>
  </si>
  <si>
    <t xml:space="preserve">&lt;offboarding-it-row3@evocowork.invalid&gt;</t>
  </si>
  <si>
    <t xml:space="preserve">2026-03-10</t>
  </si>
  <si>
    <t xml:space="preserve">Immediate request; not executed</t>
  </si>
  <si>
    <t xml:space="preserve">3</t>
  </si>
  <si>
    <t xml:space="preserve">HR_DIRECTOR_NOTICE</t>
  </si>
  <si>
    <t xml:space="preserve">hr-director@company.example.com</t>
  </si>
  <si>
    <t xml:space="preserve">Confidential separation notice — Diana Reese</t>
  </si>
  <si>
    <t xml:space="preserve">&lt;offboarding-hr-row3@evocowork.invalid&gt;</t>
  </si>
  <si>
    <t xml:space="preserve">Legal review note preserved; no public post</t>
  </si>
  <si>
    <t xml:space="preserve">PAYROLL_SCOPE_REVIEW</t>
  </si>
  <si>
    <t xml:space="preserve">Greg Foster; Diana Reese</t>
  </si>
  <si>
    <t xml:space="preserve">payroll@company.example.com</t>
  </si>
  <si>
    <t xml:space="preserve">Payroll-owned severance scope review — current offboarding cases</t>
  </si>
  <si>
    <t xml:space="preserve">&lt;offboarding-payroll-batch@evocowork.invalid&gt;</t>
  </si>
  <si>
    <t xml:space="preserve">Review only; no amount, approval or payment</t>
  </si>
  <si>
    <t xml:space="preserve">2;3</t>
  </si>
  <si>
    <t xml:space="preserve">SLACK</t>
  </si>
  <si>
    <t xml:space="preserve">PUBLIC_FAREWELL</t>
  </si>
  <si>
    <t xml:space="preserve">C_DEPART / departures</t>
  </si>
  <si>
    <t xml:space="preserve">Farewell draft — Greg Foster</t>
  </si>
  <si>
    <t xml:space="preserve">offboarding-slack-row2</t>
  </si>
  <si>
    <t xml:space="preserve">DRAFT_NOT_POSTED</t>
  </si>
  <si>
    <t xml:space="preserve">Only voluntary current case; not posted</t>
  </si>
  <si>
    <t xml:space="preserve">Metric</t>
  </si>
  <si>
    <t xml:space="preserve">Formula Result</t>
  </si>
  <si>
    <t xml:space="preserve">Expected</t>
  </si>
  <si>
    <t xml:space="preserve">Control Status</t>
  </si>
  <si>
    <t xml:space="preserve">Evidence</t>
  </si>
  <si>
    <t xml:space="preserve">Source departures</t>
  </si>
  <si>
    <t xml:space="preserve">Four frozen source rows</t>
  </si>
  <si>
    <t xml:space="preserve">Process now</t>
  </si>
  <si>
    <t xml:space="preserve">Greg Foster + Diana Reese</t>
  </si>
  <si>
    <t xml:space="preserve">Scheduled only</t>
  </si>
  <si>
    <t xml:space="preserve">Raj Patel at +36 days</t>
  </si>
  <si>
    <t xml:space="preserve">Already processed / no action</t>
  </si>
  <si>
    <t xml:space="preserve">Greg Forster source status</t>
  </si>
  <si>
    <t xml:space="preserve">Public Slack drafts</t>
  </si>
  <si>
    <t xml:space="preserve">Greg Foster only</t>
  </si>
  <si>
    <t xml:space="preserve">IT drafts</t>
  </si>
  <si>
    <t xml:space="preserve">Rows 2 and 3</t>
  </si>
  <si>
    <t xml:space="preserve">HR Director drafts</t>
  </si>
  <si>
    <t xml:space="preserve">Diana Reese only</t>
  </si>
  <si>
    <t xml:space="preserve">Payroll scope reviews</t>
  </si>
  <si>
    <t xml:space="preserve">One combined draft for two actionable cases</t>
  </si>
  <si>
    <t xml:space="preserve">Email drafts</t>
  </si>
  <si>
    <t xml:space="preserve">Four MBOX messages</t>
  </si>
  <si>
    <t xml:space="preserve">Slack drafts</t>
  </si>
  <si>
    <t xml:space="preserve">One channel draft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</si>
</sst>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General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ptos"/>
      <family val="0"/>
      <charset val="1"/>
    </font>
    <font>
      <sz val="9"/>
      <name val="Aptos"/>
      <family val="0"/>
      <charset val="1"/>
    </font>
    <font>
      <b val="true"/>
      <sz val="8"/>
      <color rgb="FFFFFFFF"/>
      <name val="Aptos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7C9D6"/>
      </bottom>
      <diagonal/>
    </border>
    <border diagonalUp="false" diagonalDown="false">
      <left style="hair">
        <color rgb="FFD9E2F3"/>
      </left>
      <right style="hair">
        <color rgb="FFD9E2F3"/>
      </right>
      <top/>
      <bottom style="hair">
        <color rgb="FFD9E2F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7365D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FF2CC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4CC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9D6"/>
      <rgbColor rgb="FF878787"/>
      <rgbColor rgb="FF9999FF"/>
      <rgbColor rgb="FF993366"/>
      <rgbColor rgb="FFFFF2CC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E2F0D9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Offboarding Decision Outcomes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Control_Summary!$A$3:$A$5</c:f>
              <c:strCache>
                <c:ptCount val="3"/>
                <c:pt idx="0">
                  <c:v>Process now</c:v>
                </c:pt>
                <c:pt idx="1">
                  <c:v>Scheduled only</c:v>
                </c:pt>
                <c:pt idx="2">
                  <c:v>Already processed / no action</c:v>
                </c:pt>
              </c:strCache>
            </c:strRef>
          </c:cat>
          <c:val>
            <c:numRef>
              <c:f>Control_Summary!$B$3:$B$5</c:f>
              <c:numCache>
                <c:formatCode>General</c:formatCode>
                <c:ptCount val="3"/>
                <c:pt idx="0">
                  <c:v>2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</c:ser>
        <c:gapWidth val="150"/>
        <c:overlap val="0"/>
        <c:axId val="50004001"/>
        <c:axId val="50004002"/>
      </c:barChart>
      <c:catAx>
        <c:axId val="5000400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Outcome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004002"/>
        <c:crosses val="autoZero"/>
        <c:auto val="1"/>
        <c:lblAlgn val="ctr"/>
        <c:lblOffset val="100"/>
        <c:noMultiLvlLbl val="0"/>
      </c:catAx>
      <c:valAx>
        <c:axId val="5000400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Records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00400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0</xdr:rowOff>
    </xdr:from>
    <xdr:to>
      <xdr:col>13</xdr:col>
      <xdr:colOff>394560</xdr:colOff>
      <xdr:row>14</xdr:row>
      <xdr:rowOff>114840</xdr:rowOff>
    </xdr:to>
    <xdr:graphicFrame>
      <xdr:nvGraphicFramePr>
        <xdr:cNvPr id="0" name="Chart 1"/>
        <xdr:cNvGraphicFramePr/>
      </xdr:nvGraphicFramePr>
      <xdr:xfrm>
        <a:off x="10631880" y="380880"/>
        <a:ext cx="467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NotificationLedger" displayName="NotificationLedger" ref="A1:J6" headerRowCount="1" totalsRowCount="0" totalsRowShown="0">
  <autoFilter ref="A1:J6"/>
  <tableColumns count="10">
    <tableColumn id="1" name="Channel"/>
    <tableColumn id="2" name="Action Type"/>
    <tableColumn id="3" name="Employee Scope"/>
    <tableColumn id="4" name="Recipient / Channel"/>
    <tableColumn id="5" name="Subject / Title"/>
    <tableColumn id="6" name="Message ID"/>
    <tableColumn id="7" name="Delivery Status"/>
    <tableColumn id="8" name="Effective Date"/>
    <tableColumn id="9" name="Control Note"/>
    <tableColumn id="10" name="Source Rows"/>
  </tableColumns>
</table>
</file>

<file path=xl/tables/table2.xml><?xml version="1.0" encoding="utf-8"?>
<table xmlns="http://schemas.openxmlformats.org/spreadsheetml/2006/main" id="2" name="OffboardingActions" displayName="OffboardingActions" ref="A1:O5" headerRowCount="1" totalsRowCount="0" totalsRowShown="0">
  <autoFilter ref="A1:O5"/>
  <tableColumns count="15">
    <tableColumn id="1" name="Source Row"/>
    <tableColumn id="2" name="Employee"/>
    <tableColumn id="3" name="Employee Email"/>
    <tableColumn id="4" name="Last Day"/>
    <tableColumn id="5" name="Existing Status"/>
    <tableColumn id="6" name="Type"/>
    <tableColumn id="7" name="Notes"/>
    <tableColumn id="8" name="Days From As-Of"/>
    <tableColumn id="9" name="Target Status"/>
    <tableColumn id="10" name="Slack Action"/>
    <tableColumn id="11" name="IT Action"/>
    <tableColumn id="12" name="HR Action"/>
    <tableColumn id="13" name="Payroll Action"/>
    <tableColumn id="14" name="Decision Rationale"/>
    <tableColumn id="15" name="Source Trace"/>
  </tableColumns>
</table>
</file>

<file path=xl/tables/table3.xml><?xml version="1.0" encoding="utf-8"?>
<table xmlns="http://schemas.openxmlformats.org/spreadsheetml/2006/main" id="3" name="OffboardingMetrics" displayName="OffboardingMetrics" ref="A1:E11" headerRowCount="1" totalsRowCount="0" totalsRowShown="0">
  <autoFilter ref="A1:E11"/>
  <tableColumns count="5">
    <tableColumn id="1" name="Metric"/>
    <tableColumn id="2" name="Formula Result"/>
    <tableColumn id="3" name="Expected"/>
    <tableColumn id="4" name="Control Status"/>
    <tableColumn id="5" name="Evidence"/>
  </tableColumns>
</table>
</file>

<file path=xl/tables/table4.xml><?xml version="1.0" encoding="utf-8"?>
<table xmlns="http://schemas.openxmlformats.org/spreadsheetml/2006/main" id="4" name="PolicyControls" displayName="PolicyControls" ref="A1:D5" headerRowCount="1" totalsRowCount="0" totalsRowShown="0">
  <autoFilter ref="A1:D5"/>
  <tableColumns count="4">
    <tableColumn id="1" name="Source Row"/>
    <tableColumn id="2" name="Policy"/>
    <tableColumn id="3" name="Steps"/>
    <tableColumn id="4" name="Control Interpretation"/>
  </tableColumns>
</table>
</file>

<file path=xl/tables/table5.xml><?xml version="1.0" encoding="utf-8"?>
<table xmlns="http://schemas.openxmlformats.org/spreadsheetml/2006/main" id="5" name="SourceDepartures" displayName="SourceDepartures" ref="A1:J5" headerRowCount="1" totalsRowCount="0" totalsRowShown="0">
  <autoFilter ref="A1:J5"/>
  <tableColumns count="10">
    <tableColumn id="1" name="Source Row"/>
    <tableColumn id="2" name="Employee"/>
    <tableColumn id="3" name="Employee Email"/>
    <tableColumn id="4" name="Department"/>
    <tableColumn id="5" name="Manager"/>
    <tableColumn id="6" name="Manager Email"/>
    <tableColumn id="7" name="Last Day"/>
    <tableColumn id="8" name="Type"/>
    <tableColumn id="9" name="Existing Status"/>
    <tableColumn id="10" name="Notes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5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4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table" Target="../tables/table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J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pane ySplit="1" topLeftCell="A2" activePane="bottomLeft" state="frozen"/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0.99"/>
    <col collapsed="false" customWidth="true" hidden="false" outlineLevel="0" max="2" min="2" style="0" width="19.99"/>
    <col collapsed="false" customWidth="true" hidden="false" outlineLevel="0" max="3" min="3" style="0" width="31.01"/>
    <col collapsed="false" customWidth="true" hidden="false" outlineLevel="0" max="4" min="4" style="0" width="16"/>
    <col collapsed="false" customWidth="true" hidden="false" outlineLevel="0" max="5" min="5" style="0" width="19.99"/>
    <col collapsed="false" customWidth="true" hidden="false" outlineLevel="0" max="6" min="6" style="0" width="31.01"/>
    <col collapsed="false" customWidth="true" hidden="false" outlineLevel="0" max="7" min="7" style="0" width="14.01"/>
    <col collapsed="false" customWidth="true" hidden="false" outlineLevel="0" max="8" min="8" style="0" width="28.99"/>
    <col collapsed="false" customWidth="true" hidden="false" outlineLevel="0" max="9" min="9" style="0" width="16"/>
    <col collapsed="false" customWidth="true" hidden="false" outlineLevel="0" max="10" min="10" style="0" width="39.01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n">
        <v>2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3" t="n">
        <v>46088</v>
      </c>
      <c r="H2" s="2" t="s">
        <v>15</v>
      </c>
      <c r="I2" s="2" t="s">
        <v>16</v>
      </c>
      <c r="J2" s="2"/>
    </row>
    <row r="3" customFormat="false" ht="15" hidden="false" customHeight="false" outlineLevel="0" collapsed="false">
      <c r="A3" s="2" t="n">
        <v>3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3" t="n">
        <v>46095</v>
      </c>
      <c r="H3" s="2" t="s">
        <v>22</v>
      </c>
      <c r="I3" s="2" t="s">
        <v>16</v>
      </c>
      <c r="J3" s="2" t="s">
        <v>23</v>
      </c>
    </row>
    <row r="4" customFormat="false" ht="15" hidden="false" customHeight="false" outlineLevel="0" collapsed="false">
      <c r="A4" s="2" t="n">
        <v>4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28</v>
      </c>
      <c r="G4" s="3" t="n">
        <v>46127</v>
      </c>
      <c r="H4" s="2" t="s">
        <v>15</v>
      </c>
      <c r="I4" s="2" t="s">
        <v>16</v>
      </c>
      <c r="J4" s="2"/>
    </row>
    <row r="5" customFormat="false" ht="15" hidden="false" customHeight="false" outlineLevel="0" collapsed="false">
      <c r="A5" s="2" t="n">
        <v>5</v>
      </c>
      <c r="B5" s="2" t="s">
        <v>29</v>
      </c>
      <c r="C5" s="2" t="s">
        <v>30</v>
      </c>
      <c r="D5" s="2" t="s">
        <v>31</v>
      </c>
      <c r="E5" s="2" t="s">
        <v>13</v>
      </c>
      <c r="F5" s="2" t="s">
        <v>14</v>
      </c>
      <c r="G5" s="3" t="n">
        <v>46102</v>
      </c>
      <c r="H5" s="2" t="s">
        <v>15</v>
      </c>
      <c r="I5" s="2" t="s">
        <v>32</v>
      </c>
      <c r="J5" s="2" t="s">
        <v>33</v>
      </c>
    </row>
  </sheetData>
  <autoFilter ref="A1:J5"/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&amp;CEvoCowork | AutomationBench 5004 | Offline offboarding controls</oddFooter>
  </headerFooter>
  <drawing r:id="rId1"/>
  <tableParts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pane ySplit="1" topLeftCell="A2" activePane="bottomLeft" state="frozen"/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0.99"/>
    <col collapsed="false" customWidth="true" hidden="false" outlineLevel="0" max="2" min="2" style="0" width="27.99"/>
    <col collapsed="false" customWidth="true" hidden="false" outlineLevel="0" max="3" min="3" style="0" width="82.01"/>
    <col collapsed="false" customWidth="true" hidden="false" outlineLevel="0" max="4" min="4" style="0" width="54.99"/>
  </cols>
  <sheetData>
    <row r="1" customFormat="false" ht="30" hidden="false" customHeight="true" outlineLevel="0" collapsed="false">
      <c r="A1" s="1" t="s">
        <v>0</v>
      </c>
      <c r="B1" s="1" t="s">
        <v>34</v>
      </c>
      <c r="C1" s="1" t="s">
        <v>35</v>
      </c>
      <c r="D1" s="1" t="s">
        <v>36</v>
      </c>
    </row>
    <row r="2" customFormat="false" ht="45.75" hidden="false" customHeight="true" outlineLevel="0" collapsed="false">
      <c r="A2" s="2" t="n">
        <v>2</v>
      </c>
      <c r="B2" s="2" t="s">
        <v>37</v>
      </c>
      <c r="C2" s="2" t="s">
        <v>38</v>
      </c>
      <c r="D2" s="2" t="s">
        <v>39</v>
      </c>
    </row>
    <row r="3" customFormat="false" ht="45.75" hidden="false" customHeight="true" outlineLevel="0" collapsed="false">
      <c r="A3" s="2" t="n">
        <v>3</v>
      </c>
      <c r="B3" s="2" t="s">
        <v>40</v>
      </c>
      <c r="C3" s="2" t="s">
        <v>41</v>
      </c>
      <c r="D3" s="2" t="s">
        <v>42</v>
      </c>
    </row>
    <row r="4" customFormat="false" ht="45.75" hidden="false" customHeight="true" outlineLevel="0" collapsed="false">
      <c r="A4" s="2" t="n">
        <v>4</v>
      </c>
      <c r="B4" s="2" t="s">
        <v>43</v>
      </c>
      <c r="C4" s="2" t="s">
        <v>44</v>
      </c>
      <c r="D4" s="2" t="s">
        <v>45</v>
      </c>
    </row>
    <row r="5" customFormat="false" ht="45.75" hidden="false" customHeight="true" outlineLevel="0" collapsed="false">
      <c r="A5" s="2" t="n">
        <v>5</v>
      </c>
      <c r="B5" s="2" t="s">
        <v>46</v>
      </c>
      <c r="C5" s="2" t="s">
        <v>47</v>
      </c>
      <c r="D5" s="2" t="s">
        <v>48</v>
      </c>
    </row>
  </sheetData>
  <autoFilter ref="A1:D5"/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&amp;CEvoCowork | AutomationBench 5004 | Offline offboarding controls</oddFooter>
  </headerFooter>
  <drawing r:id="rId1"/>
  <tableParts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O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pane ySplit="1" topLeftCell="A2" activePane="bottomLeft" state="frozen"/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.01"/>
    <col collapsed="false" customWidth="true" hidden="false" outlineLevel="0" max="3" min="3" style="0" width="19.99"/>
    <col collapsed="false" customWidth="true" hidden="false" outlineLevel="0" max="4" min="4" style="0" width="10.99"/>
    <col collapsed="false" customWidth="true" hidden="false" outlineLevel="0" max="5" min="5" style="0" width="11.99"/>
    <col collapsed="false" customWidth="true" hidden="false" outlineLevel="0" max="6" min="6" style="0" width="18"/>
    <col collapsed="false" customWidth="true" hidden="false" outlineLevel="0" max="7" min="7" style="0" width="22.01"/>
    <col collapsed="false" customWidth="true" hidden="false" outlineLevel="0" max="8" min="8" style="0" width="10"/>
    <col collapsed="false" customWidth="true" hidden="false" outlineLevel="0" max="9" min="9" style="0" width="18"/>
    <col collapsed="false" customWidth="true" hidden="false" outlineLevel="0" max="10" min="10" style="0" width="15"/>
    <col collapsed="false" customWidth="true" hidden="false" outlineLevel="0" max="11" min="11" style="0" width="18"/>
    <col collapsed="false" customWidth="true" hidden="false" outlineLevel="0" max="12" min="12" style="0" width="15"/>
    <col collapsed="false" customWidth="true" hidden="false" outlineLevel="0" max="13" min="13" style="0" width="17"/>
    <col collapsed="false" customWidth="true" hidden="false" outlineLevel="0" max="14" min="14" style="0" width="30.01"/>
    <col collapsed="false" customWidth="true" hidden="false" outlineLevel="0" max="15" min="15" style="0" width="24"/>
  </cols>
  <sheetData>
    <row r="1" customFormat="false" ht="30" hidden="false" customHeight="true" outlineLevel="0" collapsed="false">
      <c r="A1" s="4" t="s">
        <v>0</v>
      </c>
      <c r="B1" s="4" t="s">
        <v>1</v>
      </c>
      <c r="C1" s="4" t="s">
        <v>2</v>
      </c>
      <c r="D1" s="4" t="s">
        <v>6</v>
      </c>
      <c r="E1" s="4" t="s">
        <v>8</v>
      </c>
      <c r="F1" s="4" t="s">
        <v>7</v>
      </c>
      <c r="G1" s="4" t="s">
        <v>9</v>
      </c>
      <c r="H1" s="4" t="s">
        <v>49</v>
      </c>
      <c r="I1" s="4" t="s">
        <v>50</v>
      </c>
      <c r="J1" s="4" t="s">
        <v>51</v>
      </c>
      <c r="K1" s="4" t="s">
        <v>52</v>
      </c>
      <c r="L1" s="4" t="s">
        <v>53</v>
      </c>
      <c r="M1" s="4" t="s">
        <v>54</v>
      </c>
      <c r="N1" s="4" t="s">
        <v>55</v>
      </c>
      <c r="O1" s="4" t="s">
        <v>56</v>
      </c>
    </row>
    <row r="2" customFormat="false" ht="49.5" hidden="false" customHeight="true" outlineLevel="0" collapsed="false">
      <c r="A2" s="5" t="n">
        <f aca="false">Source_Departures!A2</f>
        <v>2</v>
      </c>
      <c r="B2" s="5" t="str">
        <f aca="false">Source_Departures!B2</f>
        <v>Greg Foster</v>
      </c>
      <c r="C2" s="5" t="str">
        <f aca="false">Source_Departures!C2</f>
        <v>greg.foster@company.example.com</v>
      </c>
      <c r="D2" s="3" t="n">
        <f aca="false">Source_Departures!G2</f>
        <v>46088</v>
      </c>
      <c r="E2" s="5" t="str">
        <f aca="false">Source_Departures!I2</f>
        <v>Pending</v>
      </c>
      <c r="F2" s="5" t="str">
        <f aca="false">Source_Departures!H2</f>
        <v>Voluntary - Resignation</v>
      </c>
      <c r="G2" s="5" t="n">
        <f aca="false">Source_Departures!J2</f>
        <v>0</v>
      </c>
      <c r="H2" s="5" t="n">
        <f aca="false">D2-DATE(2026,3,10)</f>
        <v>-3</v>
      </c>
      <c r="I2" s="5" t="str">
        <f aca="false">IF(E2="Processed","NO_ACTION_ALREADY_PROCESSED",IF(H2&gt;14,"SCHEDULED","PROCESSED"))</f>
        <v>PROCESSED</v>
      </c>
      <c r="J2" s="5" t="str">
        <f aca="false">IF(AND(I2="PROCESSED",LEFT(F2,9)="Voluntary"),"DRAFT_FAREWELL","NO_PUBLIC_POST")</f>
        <v>DRAFT_FAREWELL</v>
      </c>
      <c r="K2" s="5" t="str">
        <f aca="false">IF(I2&lt;&gt;"PROCESSED","NO_ACTION",IF(ISNUMBER(SEARCH("Involuntary",F2)),"DRAFT_REVOKE_IMMEDIATE","DRAFT_REVOKE_LAST_DAY"))</f>
        <v>DRAFT_REVOKE_LAST_DAY</v>
      </c>
      <c r="L2" s="5" t="str">
        <f aca="false">IF(AND(I2="PROCESSED",ISNUMBER(SEARCH("Involuntary",F2))),"DRAFT_HR_NOTICE","NO_ACTION")</f>
        <v>NO_ACTION</v>
      </c>
      <c r="M2" s="5" t="str">
        <f aca="false">IF(I2="PROCESSED","ROUTE_SCOPE_REVIEW","NO_ACTION")</f>
        <v>ROUTE_SCOPE_REVIEW</v>
      </c>
      <c r="N2" s="5" t="s">
        <v>57</v>
      </c>
      <c r="O2" s="5" t="s">
        <v>58</v>
      </c>
    </row>
    <row r="3" customFormat="false" ht="49.5" hidden="false" customHeight="true" outlineLevel="0" collapsed="false">
      <c r="A3" s="5" t="n">
        <f aca="false">Source_Departures!A3</f>
        <v>3</v>
      </c>
      <c r="B3" s="5" t="str">
        <f aca="false">Source_Departures!B3</f>
        <v>Diana Reese</v>
      </c>
      <c r="C3" s="5" t="str">
        <f aca="false">Source_Departures!C3</f>
        <v>diana.reese@company.example.com</v>
      </c>
      <c r="D3" s="3" t="n">
        <f aca="false">Source_Departures!G3</f>
        <v>46095</v>
      </c>
      <c r="E3" s="5" t="str">
        <f aca="false">Source_Departures!I3</f>
        <v>Pending</v>
      </c>
      <c r="F3" s="5" t="str">
        <f aca="false">Source_Departures!H3</f>
        <v>Involuntary - Position Eliminated</v>
      </c>
      <c r="G3" s="5" t="str">
        <f aca="false">Source_Departures!J3</f>
        <v>HR and legal reviewing this case</v>
      </c>
      <c r="H3" s="5" t="n">
        <f aca="false">D3-DATE(2026,3,10)</f>
        <v>4</v>
      </c>
      <c r="I3" s="5" t="str">
        <f aca="false">IF(E3="Processed","NO_ACTION_ALREADY_PROCESSED",IF(H3&gt;14,"SCHEDULED","PROCESSED"))</f>
        <v>PROCESSED</v>
      </c>
      <c r="J3" s="5" t="str">
        <f aca="false">IF(AND(I3="PROCESSED",LEFT(F3,9)="Voluntary"),"DRAFT_FAREWELL","NO_PUBLIC_POST")</f>
        <v>NO_PUBLIC_POST</v>
      </c>
      <c r="K3" s="5" t="str">
        <f aca="false">IF(I3&lt;&gt;"PROCESSED","NO_ACTION",IF(ISNUMBER(SEARCH("Involuntary",F3)),"DRAFT_REVOKE_IMMEDIATE","DRAFT_REVOKE_LAST_DAY"))</f>
        <v>DRAFT_REVOKE_IMMEDIATE</v>
      </c>
      <c r="L3" s="5" t="str">
        <f aca="false">IF(AND(I3="PROCESSED",ISNUMBER(SEARCH("Involuntary",F3))),"DRAFT_HR_NOTICE","NO_ACTION")</f>
        <v>DRAFT_HR_NOTICE</v>
      </c>
      <c r="M3" s="5" t="str">
        <f aca="false">IF(I3="PROCESSED","ROUTE_SCOPE_REVIEW","NO_ACTION")</f>
        <v>ROUTE_SCOPE_REVIEW</v>
      </c>
      <c r="N3" s="5" t="s">
        <v>59</v>
      </c>
      <c r="O3" s="5" t="s">
        <v>60</v>
      </c>
    </row>
    <row r="4" customFormat="false" ht="49.5" hidden="false" customHeight="true" outlineLevel="0" collapsed="false">
      <c r="A4" s="5" t="n">
        <f aca="false">Source_Departures!A4</f>
        <v>4</v>
      </c>
      <c r="B4" s="5" t="str">
        <f aca="false">Source_Departures!B4</f>
        <v>Raj Patel</v>
      </c>
      <c r="C4" s="5" t="str">
        <f aca="false">Source_Departures!C4</f>
        <v>raj.patel@company.example.com</v>
      </c>
      <c r="D4" s="3" t="n">
        <f aca="false">Source_Departures!G4</f>
        <v>46127</v>
      </c>
      <c r="E4" s="5" t="str">
        <f aca="false">Source_Departures!I4</f>
        <v>Pending</v>
      </c>
      <c r="F4" s="5" t="str">
        <f aca="false">Source_Departures!H4</f>
        <v>Voluntary - Resignation</v>
      </c>
      <c r="G4" s="5" t="n">
        <f aca="false">Source_Departures!J4</f>
        <v>0</v>
      </c>
      <c r="H4" s="5" t="n">
        <f aca="false">D4-DATE(2026,3,10)</f>
        <v>36</v>
      </c>
      <c r="I4" s="5" t="str">
        <f aca="false">IF(E4="Processed","NO_ACTION_ALREADY_PROCESSED",IF(H4&gt;14,"SCHEDULED","PROCESSED"))</f>
        <v>SCHEDULED</v>
      </c>
      <c r="J4" s="5" t="str">
        <f aca="false">IF(AND(I4="PROCESSED",LEFT(F4,9)="Voluntary"),"DRAFT_FAREWELL","NO_PUBLIC_POST")</f>
        <v>NO_PUBLIC_POST</v>
      </c>
      <c r="K4" s="5" t="str">
        <f aca="false">IF(I4&lt;&gt;"PROCESSED","NO_ACTION",IF(ISNUMBER(SEARCH("Involuntary",F4)),"DRAFT_REVOKE_IMMEDIATE","DRAFT_REVOKE_LAST_DAY"))</f>
        <v>NO_ACTION</v>
      </c>
      <c r="L4" s="5" t="str">
        <f aca="false">IF(AND(I4="PROCESSED",ISNUMBER(SEARCH("Involuntary",F4))),"DRAFT_HR_NOTICE","NO_ACTION")</f>
        <v>NO_ACTION</v>
      </c>
      <c r="M4" s="5" t="str">
        <f aca="false">IF(I4="PROCESSED","ROUTE_SCOPE_REVIEW","NO_ACTION")</f>
        <v>NO_ACTION</v>
      </c>
      <c r="N4" s="5" t="s">
        <v>61</v>
      </c>
      <c r="O4" s="5" t="s">
        <v>62</v>
      </c>
    </row>
    <row r="5" customFormat="false" ht="49.5" hidden="false" customHeight="true" outlineLevel="0" collapsed="false">
      <c r="A5" s="5" t="n">
        <f aca="false">Source_Departures!A5</f>
        <v>5</v>
      </c>
      <c r="B5" s="5" t="str">
        <f aca="false">Source_Departures!B5</f>
        <v>Greg Forster</v>
      </c>
      <c r="C5" s="5" t="str">
        <f aca="false">Source_Departures!C5</f>
        <v>greg.forster@company.example.com</v>
      </c>
      <c r="D5" s="3" t="n">
        <f aca="false">Source_Departures!G5</f>
        <v>46102</v>
      </c>
      <c r="E5" s="5" t="str">
        <f aca="false">Source_Departures!I5</f>
        <v>Processed</v>
      </c>
      <c r="F5" s="5" t="str">
        <f aca="false">Source_Departures!H5</f>
        <v>Voluntary - Resignation</v>
      </c>
      <c r="G5" s="5" t="str">
        <f aca="false">Source_Departures!J5</f>
        <v>Already completed last week</v>
      </c>
      <c r="H5" s="5" t="n">
        <f aca="false">D5-DATE(2026,3,10)</f>
        <v>11</v>
      </c>
      <c r="I5" s="5" t="str">
        <f aca="false">IF(E5="Processed","NO_ACTION_ALREADY_PROCESSED",IF(H5&gt;14,"SCHEDULED","PROCESSED"))</f>
        <v>NO_ACTION_ALREADY_PROCESSED</v>
      </c>
      <c r="J5" s="5" t="str">
        <f aca="false">IF(AND(I5="PROCESSED",LEFT(F5,9)="Voluntary"),"DRAFT_FAREWELL","NO_PUBLIC_POST")</f>
        <v>NO_PUBLIC_POST</v>
      </c>
      <c r="K5" s="5" t="str">
        <f aca="false">IF(I5&lt;&gt;"PROCESSED","NO_ACTION",IF(ISNUMBER(SEARCH("Involuntary",F5)),"DRAFT_REVOKE_IMMEDIATE","DRAFT_REVOKE_LAST_DAY"))</f>
        <v>NO_ACTION</v>
      </c>
      <c r="L5" s="5" t="str">
        <f aca="false">IF(AND(I5="PROCESSED",ISNUMBER(SEARCH("Involuntary",F5))),"DRAFT_HR_NOTICE","NO_ACTION")</f>
        <v>NO_ACTION</v>
      </c>
      <c r="M5" s="5" t="str">
        <f aca="false">IF(I5="PROCESSED","ROUTE_SCOPE_REVIEW","NO_ACTION")</f>
        <v>NO_ACTION</v>
      </c>
      <c r="N5" s="5" t="s">
        <v>63</v>
      </c>
      <c r="O5" s="5" t="s">
        <v>64</v>
      </c>
    </row>
  </sheetData>
  <autoFilter ref="A1:O5"/>
  <conditionalFormatting sqref="A2:O5">
    <cfRule type="expression" priority="2" aboveAverage="0" equalAverage="0" bottom="0" percent="0" rank="0" text="" dxfId="6">
      <formula>$I2="PROCESSED"</formula>
    </cfRule>
    <cfRule type="expression" priority="3" aboveAverage="0" equalAverage="0" bottom="0" percent="0" rank="0" text="" dxfId="7">
      <formula>$I2="SCHEDULED"</formula>
    </cfRule>
    <cfRule type="expression" priority="4" aboveAverage="0" equalAverage="0" bottom="0" percent="0" rank="0" text="" dxfId="8">
      <formula>$I2="NO_ACTION_ALREADY_PROCESSED"</formula>
    </cfRule>
  </conditionalFormatting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&amp;CEvoCowork | AutomationBench 5004 | Offline offboarding controls</oddFooter>
  </headerFooter>
  <drawing r:id="rId1"/>
  <tableParts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J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pane ySplit="1" topLeftCell="A2" activePane="bottomLeft" state="frozen"/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7"/>
    <col collapsed="false" customWidth="true" hidden="false" outlineLevel="0" max="3" min="3" style="0" width="18"/>
    <col collapsed="false" customWidth="true" hidden="false" outlineLevel="0" max="4" min="4" style="0" width="24"/>
    <col collapsed="false" customWidth="true" hidden="false" outlineLevel="0" max="5" min="5" style="0" width="31.01"/>
    <col collapsed="false" customWidth="true" hidden="false" outlineLevel="0" max="6" min="6" style="0" width="27"/>
    <col collapsed="false" customWidth="true" hidden="false" outlineLevel="0" max="7" min="7" style="0" width="15"/>
    <col collapsed="false" customWidth="true" hidden="false" outlineLevel="0" max="8" min="8" style="0" width="11.99"/>
    <col collapsed="false" customWidth="true" hidden="false" outlineLevel="0" max="9" min="9" style="0" width="30.01"/>
    <col collapsed="false" customWidth="true" hidden="false" outlineLevel="0" max="10" min="10" style="0" width="8"/>
  </cols>
  <sheetData>
    <row r="1" customFormat="false" ht="30" hidden="false" customHeight="true" outlineLevel="0" collapsed="false">
      <c r="A1" s="4" t="s">
        <v>65</v>
      </c>
      <c r="B1" s="4" t="s">
        <v>66</v>
      </c>
      <c r="C1" s="4" t="s">
        <v>67</v>
      </c>
      <c r="D1" s="4" t="s">
        <v>68</v>
      </c>
      <c r="E1" s="4" t="s">
        <v>69</v>
      </c>
      <c r="F1" s="4" t="s">
        <v>70</v>
      </c>
      <c r="G1" s="4" t="s">
        <v>71</v>
      </c>
      <c r="H1" s="4" t="s">
        <v>72</v>
      </c>
      <c r="I1" s="4" t="s">
        <v>73</v>
      </c>
      <c r="J1" s="4" t="s">
        <v>74</v>
      </c>
    </row>
    <row r="2" customFormat="false" ht="42" hidden="false" customHeight="true" outlineLevel="0" collapsed="false">
      <c r="A2" s="2" t="s">
        <v>75</v>
      </c>
      <c r="B2" s="2" t="s">
        <v>76</v>
      </c>
      <c r="C2" s="2" t="s">
        <v>10</v>
      </c>
      <c r="D2" s="2" t="s">
        <v>77</v>
      </c>
      <c r="E2" s="2" t="s">
        <v>78</v>
      </c>
      <c r="F2" s="2" t="s">
        <v>79</v>
      </c>
      <c r="G2" s="2" t="s">
        <v>80</v>
      </c>
      <c r="H2" s="2" t="s">
        <v>81</v>
      </c>
      <c r="I2" s="2" t="s">
        <v>82</v>
      </c>
      <c r="J2" s="2" t="s">
        <v>83</v>
      </c>
    </row>
    <row r="3" customFormat="false" ht="42" hidden="false" customHeight="true" outlineLevel="0" collapsed="false">
      <c r="A3" s="2" t="s">
        <v>75</v>
      </c>
      <c r="B3" s="2" t="s">
        <v>84</v>
      </c>
      <c r="C3" s="2" t="s">
        <v>17</v>
      </c>
      <c r="D3" s="2" t="s">
        <v>77</v>
      </c>
      <c r="E3" s="2" t="s">
        <v>85</v>
      </c>
      <c r="F3" s="2" t="s">
        <v>86</v>
      </c>
      <c r="G3" s="2" t="s">
        <v>80</v>
      </c>
      <c r="H3" s="2" t="s">
        <v>87</v>
      </c>
      <c r="I3" s="2" t="s">
        <v>88</v>
      </c>
      <c r="J3" s="2" t="s">
        <v>89</v>
      </c>
    </row>
    <row r="4" customFormat="false" ht="42" hidden="false" customHeight="true" outlineLevel="0" collapsed="false">
      <c r="A4" s="2" t="s">
        <v>75</v>
      </c>
      <c r="B4" s="2" t="s">
        <v>90</v>
      </c>
      <c r="C4" s="2" t="s">
        <v>17</v>
      </c>
      <c r="D4" s="2" t="s">
        <v>91</v>
      </c>
      <c r="E4" s="2" t="s">
        <v>92</v>
      </c>
      <c r="F4" s="2" t="s">
        <v>93</v>
      </c>
      <c r="G4" s="2" t="s">
        <v>80</v>
      </c>
      <c r="H4" s="2" t="s">
        <v>87</v>
      </c>
      <c r="I4" s="2" t="s">
        <v>94</v>
      </c>
      <c r="J4" s="2" t="s">
        <v>89</v>
      </c>
    </row>
    <row r="5" customFormat="false" ht="42" hidden="false" customHeight="true" outlineLevel="0" collapsed="false">
      <c r="A5" s="2" t="s">
        <v>75</v>
      </c>
      <c r="B5" s="2" t="s">
        <v>95</v>
      </c>
      <c r="C5" s="2" t="s">
        <v>96</v>
      </c>
      <c r="D5" s="2" t="s">
        <v>97</v>
      </c>
      <c r="E5" s="2" t="s">
        <v>98</v>
      </c>
      <c r="F5" s="2" t="s">
        <v>99</v>
      </c>
      <c r="G5" s="2" t="s">
        <v>80</v>
      </c>
      <c r="H5" s="2" t="s">
        <v>87</v>
      </c>
      <c r="I5" s="2" t="s">
        <v>100</v>
      </c>
      <c r="J5" s="2" t="s">
        <v>101</v>
      </c>
    </row>
    <row r="6" customFormat="false" ht="42" hidden="false" customHeight="true" outlineLevel="0" collapsed="false">
      <c r="A6" s="2" t="s">
        <v>102</v>
      </c>
      <c r="B6" s="2" t="s">
        <v>103</v>
      </c>
      <c r="C6" s="2" t="s">
        <v>10</v>
      </c>
      <c r="D6" s="2" t="s">
        <v>104</v>
      </c>
      <c r="E6" s="2" t="s">
        <v>105</v>
      </c>
      <c r="F6" s="2" t="s">
        <v>106</v>
      </c>
      <c r="G6" s="2" t="s">
        <v>107</v>
      </c>
      <c r="H6" s="2" t="s">
        <v>87</v>
      </c>
      <c r="I6" s="2" t="s">
        <v>108</v>
      </c>
      <c r="J6" s="2" t="s">
        <v>83</v>
      </c>
    </row>
  </sheetData>
  <autoFilter ref="A1:J6"/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&amp;CEvoCowork | AutomationBench 5004 | Offline offboarding controls</oddFooter>
  </headerFooter>
  <drawing r:id="rId1"/>
  <tableParts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pane ySplit="1" topLeftCell="A2" activePane="bottomLeft" state="frozen"/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2.01"/>
    <col collapsed="false" customWidth="true" hidden="false" outlineLevel="0" max="3" min="3" style="0" width="18"/>
    <col collapsed="false" customWidth="true" hidden="false" outlineLevel="0" max="4" min="4" style="0" width="19.99"/>
    <col collapsed="false" customWidth="true" hidden="false" outlineLevel="0" max="5" min="5" style="0" width="48.01"/>
  </cols>
  <sheetData>
    <row r="1" customFormat="false" ht="30" hidden="false" customHeight="true" outlineLevel="0" collapsed="false">
      <c r="A1" s="1" t="s">
        <v>109</v>
      </c>
      <c r="B1" s="1" t="s">
        <v>110</v>
      </c>
      <c r="C1" s="1" t="s">
        <v>111</v>
      </c>
      <c r="D1" s="1" t="s">
        <v>112</v>
      </c>
      <c r="E1" s="1" t="s">
        <v>113</v>
      </c>
    </row>
    <row r="2" customFormat="false" ht="15" hidden="false" customHeight="false" outlineLevel="0" collapsed="false">
      <c r="A2" s="5" t="s">
        <v>114</v>
      </c>
      <c r="B2" s="5" t="n">
        <f aca="false">COUNTA(Source_Departures!B2:B5)</f>
        <v>4</v>
      </c>
      <c r="C2" s="5" t="n">
        <v>4</v>
      </c>
      <c r="D2" s="5" t="str">
        <f aca="false">IF(B2=C2,"PASS","FAIL")</f>
        <v>PASS</v>
      </c>
      <c r="E2" s="5" t="s">
        <v>115</v>
      </c>
    </row>
    <row r="3" customFormat="false" ht="15" hidden="false" customHeight="false" outlineLevel="0" collapsed="false">
      <c r="A3" s="5" t="s">
        <v>116</v>
      </c>
      <c r="B3" s="5" t="n">
        <f aca="false">COUNTIF(Action_Register!I2:I5,"PROCESSED")</f>
        <v>2</v>
      </c>
      <c r="C3" s="5" t="n">
        <v>2</v>
      </c>
      <c r="D3" s="5" t="str">
        <f aca="false">IF(B3=C3,"PASS","FAIL")</f>
        <v>PASS</v>
      </c>
      <c r="E3" s="5" t="s">
        <v>117</v>
      </c>
    </row>
    <row r="4" customFormat="false" ht="15" hidden="false" customHeight="false" outlineLevel="0" collapsed="false">
      <c r="A4" s="5" t="s">
        <v>118</v>
      </c>
      <c r="B4" s="5" t="n">
        <f aca="false">COUNTIF(Action_Register!I2:I5,"SCHEDULED")</f>
        <v>1</v>
      </c>
      <c r="C4" s="5" t="n">
        <v>1</v>
      </c>
      <c r="D4" s="5" t="str">
        <f aca="false">IF(B4=C4,"PASS","FAIL")</f>
        <v>PASS</v>
      </c>
      <c r="E4" s="5" t="s">
        <v>119</v>
      </c>
    </row>
    <row r="5" customFormat="false" ht="15" hidden="false" customHeight="false" outlineLevel="0" collapsed="false">
      <c r="A5" s="5" t="s">
        <v>120</v>
      </c>
      <c r="B5" s="5" t="n">
        <f aca="false">COUNTIF(Action_Register!I2:I5,"NO_ACTION_ALREADY_PROCESSED")</f>
        <v>1</v>
      </c>
      <c r="C5" s="5" t="n">
        <v>1</v>
      </c>
      <c r="D5" s="5" t="str">
        <f aca="false">IF(B5=C5,"PASS","FAIL")</f>
        <v>PASS</v>
      </c>
      <c r="E5" s="5" t="s">
        <v>121</v>
      </c>
    </row>
    <row r="6" customFormat="false" ht="15" hidden="false" customHeight="false" outlineLevel="0" collapsed="false">
      <c r="A6" s="5" t="s">
        <v>122</v>
      </c>
      <c r="B6" s="5" t="n">
        <f aca="false">COUNTIF(Action_Register!J2:J5,"DRAFT_FAREWELL")</f>
        <v>1</v>
      </c>
      <c r="C6" s="5" t="n">
        <v>1</v>
      </c>
      <c r="D6" s="5" t="str">
        <f aca="false">IF(B6=C6,"PASS","FAIL")</f>
        <v>PASS</v>
      </c>
      <c r="E6" s="5" t="s">
        <v>123</v>
      </c>
    </row>
    <row r="7" customFormat="false" ht="15" hidden="false" customHeight="false" outlineLevel="0" collapsed="false">
      <c r="A7" s="5" t="s">
        <v>124</v>
      </c>
      <c r="B7" s="5" t="n">
        <f aca="false">COUNTIF(Action_Register!K2:K5,"DRAFT_REVOKE*")</f>
        <v>2</v>
      </c>
      <c r="C7" s="5" t="n">
        <v>2</v>
      </c>
      <c r="D7" s="5" t="str">
        <f aca="false">IF(B7=C7,"PASS","FAIL")</f>
        <v>PASS</v>
      </c>
      <c r="E7" s="5" t="s">
        <v>125</v>
      </c>
    </row>
    <row r="8" customFormat="false" ht="15" hidden="false" customHeight="false" outlineLevel="0" collapsed="false">
      <c r="A8" s="5" t="s">
        <v>126</v>
      </c>
      <c r="B8" s="5" t="n">
        <f aca="false">COUNTIF(Action_Register!L2:L5,"DRAFT_HR_NOTICE")</f>
        <v>1</v>
      </c>
      <c r="C8" s="5" t="n">
        <v>1</v>
      </c>
      <c r="D8" s="5" t="str">
        <f aca="false">IF(B8=C8,"PASS","FAIL")</f>
        <v>PASS</v>
      </c>
      <c r="E8" s="5" t="s">
        <v>127</v>
      </c>
    </row>
    <row r="9" customFormat="false" ht="15" hidden="false" customHeight="false" outlineLevel="0" collapsed="false">
      <c r="A9" s="5" t="s">
        <v>128</v>
      </c>
      <c r="B9" s="5" t="n">
        <f aca="false">COUNTIF(Action_Register!M2:M5,"ROUTE_SCOPE_REVIEW")/2</f>
        <v>1</v>
      </c>
      <c r="C9" s="5" t="n">
        <v>1</v>
      </c>
      <c r="D9" s="5" t="str">
        <f aca="false">IF(B9=C9,"PASS","FAIL")</f>
        <v>PASS</v>
      </c>
      <c r="E9" s="5" t="s">
        <v>129</v>
      </c>
    </row>
    <row r="10" customFormat="false" ht="15" hidden="false" customHeight="false" outlineLevel="0" collapsed="false">
      <c r="A10" s="5" t="s">
        <v>130</v>
      </c>
      <c r="B10" s="5" t="n">
        <f aca="false">COUNTIF(Notification_Ledger!A2:A6,"EMAIL")</f>
        <v>4</v>
      </c>
      <c r="C10" s="5" t="n">
        <v>4</v>
      </c>
      <c r="D10" s="5" t="str">
        <f aca="false">IF(B10=C10,"PASS","FAIL")</f>
        <v>PASS</v>
      </c>
      <c r="E10" s="5" t="s">
        <v>131</v>
      </c>
    </row>
    <row r="11" customFormat="false" ht="15" hidden="false" customHeight="false" outlineLevel="0" collapsed="false">
      <c r="A11" s="5" t="s">
        <v>132</v>
      </c>
      <c r="B11" s="5" t="n">
        <f aca="false">COUNTIF(Notification_Ledger!A2:A6,"SLACK")</f>
        <v>1</v>
      </c>
      <c r="C11" s="5" t="n">
        <v>1</v>
      </c>
      <c r="D11" s="5" t="str">
        <f aca="false">IF(B11=C11,"PASS","FAIL")</f>
        <v>PASS</v>
      </c>
      <c r="E11" s="5" t="s">
        <v>133</v>
      </c>
    </row>
  </sheetData>
  <autoFilter ref="A1:E11"/>
  <conditionalFormatting sqref="A2:E11">
    <cfRule type="expression" priority="2" aboveAverage="0" equalAverage="0" bottom="0" percent="0" rank="0" text="" dxfId="6">
      <formula>$D2="PASS"</formula>
    </cfRule>
  </conditionalFormatting>
  <printOptions headings="false" gridLines="false" gridLinesSet="true" horizontalCentered="true" verticalCentered="false"/>
  <pageMargins left="0.75" right="0.75" top="1" bottom="1" header="0.511811023622047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&amp;CEvoCowork | AutomationBench 5004 | Offline offboarding controls</oddFooter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2026-03-10T09:00:00Z</dcterms:created>
  <dc:creator>openpyxl</dc:creator>
  <dc:description/>
  <dc:language>en-US</dc:language>
  <cp:lastModifiedBy/>
  <dcterms:modified xsi:type="dcterms:W3CDTF">2026-03-10T09:00:00Z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