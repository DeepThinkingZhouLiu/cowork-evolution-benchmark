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ands" sheetId="1" state="visible" r:id="rId1"/>
    <sheet xmlns:r="http://schemas.openxmlformats.org/officeDocument/2006/relationships" name="Source_Employees" sheetId="2" state="visible" r:id="rId2"/>
    <sheet xmlns:r="http://schemas.openxmlformats.org/officeDocument/2006/relationships" name="Source_Flag_Convention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Band_Check" sheetId="5" state="visible" r:id="rId5"/>
    <sheet xmlns:r="http://schemas.openxmlformats.org/officeDocument/2006/relationships" name="Flagged_Employees" sheetId="6" state="visible" r:id="rId6"/>
    <sheet xmlns:r="http://schemas.openxmlformats.org/officeDocument/2006/relationships" name="Within_Band" sheetId="7" state="visible" r:id="rId7"/>
    <sheet xmlns:r="http://schemas.openxmlformats.org/officeDocument/2006/relationships" name="Flag_Update_Drafts" sheetId="8" state="visible" r:id="rId8"/>
    <sheet xmlns:r="http://schemas.openxmlformats.org/officeDocument/2006/relationships" name="Report_Draft" sheetId="9" state="visible" r:id="rId9"/>
    <sheet xmlns:r="http://schemas.openxmlformats.org/officeDocument/2006/relationships" name="Control_Summary" sheetId="10" state="visible" r:id="rId10"/>
  </sheets>
  <definedNames>
    <definedName name="_xlnm.Print_Area" localSheetId="0">'Source_Bands'!$A$1:$F$6</definedName>
    <definedName name="_xlnm.Print_Area" localSheetId="1">'Source_Employees'!$A$1:$F$7</definedName>
    <definedName name="_xlnm.Print_Area" localSheetId="2">'Source_Flag_Convention'!$A$1:$C$3</definedName>
    <definedName name="_xlnm.Print_Area" localSheetId="3">'Evidence_Register'!$A$1:$C$3</definedName>
    <definedName name="_xlnm.Print_Area" localSheetId="4">'Band_Check'!$A$1:$L$7</definedName>
    <definedName name="_xlnm.Print_Area" localSheetId="5">'Flagged_Employees'!$A$1:$G$4</definedName>
    <definedName name="_xlnm.Print_Area" localSheetId="6">'Within_Band'!$A$1:$F$4</definedName>
    <definedName name="_xlnm.Print_Area" localSheetId="7">'Flag_Update_Drafts'!$A$1:$D$4</definedName>
    <definedName name="_xlnm.Print_Area" localSheetId="8">'Report_Draft'!$A$1:$D$2</definedName>
    <definedName name="_xlnm.Print_Area" localSheetId="9">'Control_Summary'!$A$1:$C$9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Salary band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'Control_Summary'!$A$2:$A$4</f>
            </numRef>
          </cat>
          <val>
            <numRef>
              <f>'Control_Summary'!$B$2:$B$4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Bands" displayName="SourceBands" ref="A1:F6" headerRowCount="1">
  <autoFilter ref="A1:F6"/>
  <tableColumns count="6">
    <tableColumn id="1" name="Source Row"/>
    <tableColumn id="2" name="Level"/>
    <tableColumn id="3" name="Title Pattern"/>
    <tableColumn id="4" name="Min"/>
    <tableColumn id="5" name="Mid"/>
    <tableColumn id="6" name="Max"/>
  </tableColumns>
  <tableStyleInfo name="TableStyleMedium2" showRowStripes="1"/>
</table>
</file>

<file path=xl/tables/table2.xml><?xml version="1.0" encoding="utf-8"?>
<table xmlns="http://schemas.openxmlformats.org/spreadsheetml/2006/main" id="2" name="SourceEmployees" displayName="SourceEmployees" ref="A1:F7" headerRowCount="1">
  <autoFilter ref="A1:F7"/>
  <tableColumns count="6">
    <tableColumn id="1" name="Source Row"/>
    <tableColumn id="2" name="Employee"/>
    <tableColumn id="3" name="Title"/>
    <tableColumn id="4" name="Level"/>
    <tableColumn id="5" name="Salary"/>
    <tableColumn id="6" name="Flag"/>
  </tableColumns>
  <tableStyleInfo name="TableStyleMedium2" showRowStripes="1"/>
</table>
</file>

<file path=xl/tables/table3.xml><?xml version="1.0" encoding="utf-8"?>
<table xmlns="http://schemas.openxmlformats.org/spreadsheetml/2006/main" id="3" name="SourceFlagConvention" displayName="SourceFlagConvention" ref="A1:C3" headerRowCount="1">
  <autoFilter ref="A1:C3"/>
  <tableColumns count="3">
    <tableColumn id="1" name="Source Row"/>
    <tableColumn id="2" name="Condition"/>
    <tableColumn id="3" name="Flag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3" headerRowCount="1">
  <autoFilter ref="A1:C3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BandCheck" displayName="BandCheck" ref="A1:L7" headerRowCount="1">
  <autoFilter ref="A1:L7"/>
  <tableColumns count="12">
    <tableColumn id="1" name="Row"/>
    <tableColumn id="2" name="Employee"/>
    <tableColumn id="3" name="Title"/>
    <tableColumn id="4" name="Level"/>
    <tableColumn id="5" name="Salary"/>
    <tableColumn id="6" name="Current Flag"/>
    <tableColumn id="7" name="Band Min"/>
    <tableColumn id="8" name="Band Mid"/>
    <tableColumn id="9" name="Band Max"/>
    <tableColumn id="10" name="Audit Flag"/>
    <tableColumn id="11" name="Variance to Boundary"/>
    <tableColumn id="12" name="Trace"/>
  </tableColumns>
  <tableStyleInfo name="TableStyleMedium2" showRowStripes="1"/>
</table>
</file>

<file path=xl/tables/table6.xml><?xml version="1.0" encoding="utf-8"?>
<table xmlns="http://schemas.openxmlformats.org/spreadsheetml/2006/main" id="6" name="FlaggedEmployees" displayName="FlaggedEmployees" ref="A1:G4" headerRowCount="1">
  <autoFilter ref="A1:G4"/>
  <tableColumns count="7">
    <tableColumn id="1" name="Employee"/>
    <tableColumn id="2" name="Level"/>
    <tableColumn id="3" name="Salary"/>
    <tableColumn id="4" name="Band Min"/>
    <tableColumn id="5" name="Band Max"/>
    <tableColumn id="6" name="Flag"/>
    <tableColumn id="7" name="Variance"/>
  </tableColumns>
  <tableStyleInfo name="TableStyleMedium2" showRowStripes="1"/>
</table>
</file>

<file path=xl/tables/table7.xml><?xml version="1.0" encoding="utf-8"?>
<table xmlns="http://schemas.openxmlformats.org/spreadsheetml/2006/main" id="7" name="WithinBand" displayName="WithinBand" ref="A1:F4" headerRowCount="1">
  <autoFilter ref="A1:F4"/>
  <tableColumns count="6">
    <tableColumn id="1" name="Employee"/>
    <tableColumn id="2" name="Level"/>
    <tableColumn id="3" name="Salary"/>
    <tableColumn id="4" name="Band Min"/>
    <tableColumn id="5" name="Band Max"/>
    <tableColumn id="6" name="Flag"/>
  </tableColumns>
  <tableStyleInfo name="TableStyleMedium2" showRowStripes="1"/>
</table>
</file>

<file path=xl/tables/table8.xml><?xml version="1.0" encoding="utf-8"?>
<table xmlns="http://schemas.openxmlformats.org/spreadsheetml/2006/main" id="8" name="FlagUpdateDrafts" displayName="FlagUpdateDrafts" ref="A1:D4" headerRowCount="1">
  <autoFilter ref="A1:D4"/>
  <tableColumns count="4">
    <tableColumn id="1" name="Source Row"/>
    <tableColumn id="2" name="Employee"/>
    <tableColumn id="3" name="Flag"/>
    <tableColumn id="4" name="Applied"/>
  </tableColumns>
  <tableStyleInfo name="TableStyleMedium2" showRowStripes="1"/>
</table>
</file>

<file path=xl/tables/table9.xml><?xml version="1.0" encoding="utf-8"?>
<table xmlns="http://schemas.openxmlformats.org/spreadsheetml/2006/main" id="9" name="ReportDraft" displayName="ReportDraft" ref="A1:D2" headerRowCount="1">
  <autoFilter ref="A1:D2"/>
  <tableColumns count="4">
    <tableColumn id="1" name="To"/>
    <tableColumn id="2" name="Flagged Count"/>
    <tableColumn id="3" name="Exact Amounts"/>
    <tableColumn id="4" name="State"/>
  </tableColumns>
  <tableStyleInfo name="TableStyleMedium2" showRowStripes="1"/>
</table>
</file>

<file path=xl/tables/table10.xml><?xml version="1.0" encoding="utf-8"?>
<table xmlns="http://schemas.openxmlformats.org/spreadsheetml/2006/main" id="10" name="ControlSummary" displayName="ControlSummary" ref="A1:C9" headerRowCount="1">
  <autoFilter ref="A1:C9"/>
  <tableColumns count="3">
    <tableColumn id="1" name="Metric"/>
    <tableColumn id="2" name="Count"/>
    <tableColumn id="3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Source Row</t>
        </is>
      </c>
      <c r="B1" s="1" t="inlineStr">
        <is>
          <t>Level</t>
        </is>
      </c>
      <c r="C1" s="1" t="inlineStr">
        <is>
          <t>Title Pattern</t>
        </is>
      </c>
      <c r="D1" s="1" t="inlineStr">
        <is>
          <t>Min</t>
        </is>
      </c>
      <c r="E1" s="1" t="inlineStr">
        <is>
          <t>Mid</t>
        </is>
      </c>
      <c r="F1" s="1" t="inlineStr">
        <is>
          <t>Max</t>
        </is>
      </c>
    </row>
    <row r="2">
      <c r="A2" s="2" t="n">
        <v>2</v>
      </c>
      <c r="B2" s="2" t="inlineStr">
        <is>
          <t>IC1</t>
        </is>
      </c>
      <c r="C2" s="2" t="inlineStr">
        <is>
          <t>Junior/Associate</t>
        </is>
      </c>
      <c r="D2" s="2" t="n">
        <v>55000</v>
      </c>
      <c r="E2" s="2" t="n">
        <v>70000</v>
      </c>
      <c r="F2" s="2" t="n">
        <v>85000</v>
      </c>
    </row>
    <row r="3">
      <c r="A3" s="2" t="n">
        <v>3</v>
      </c>
      <c r="B3" s="2" t="inlineStr">
        <is>
          <t>IC2</t>
        </is>
      </c>
      <c r="C3" s="2" t="inlineStr">
        <is>
          <t>Mid-level (no prefix)</t>
        </is>
      </c>
      <c r="D3" s="2" t="n">
        <v>80000</v>
      </c>
      <c r="E3" s="2" t="n">
        <v>100000</v>
      </c>
      <c r="F3" s="2" t="n">
        <v>120000</v>
      </c>
    </row>
    <row r="4">
      <c r="A4" s="2" t="n">
        <v>4</v>
      </c>
      <c r="B4" s="2" t="inlineStr">
        <is>
          <t>IC3</t>
        </is>
      </c>
      <c r="C4" s="2" t="inlineStr">
        <is>
          <t>Senior</t>
        </is>
      </c>
      <c r="D4" s="2" t="n">
        <v>110000</v>
      </c>
      <c r="E4" s="2" t="n">
        <v>135000</v>
      </c>
      <c r="F4" s="2" t="n">
        <v>160000</v>
      </c>
    </row>
    <row r="5">
      <c r="A5" s="2" t="n">
        <v>5</v>
      </c>
      <c r="B5" s="2" t="inlineStr">
        <is>
          <t>IC4</t>
        </is>
      </c>
      <c r="C5" s="2" t="inlineStr">
        <is>
          <t>Staff/Principal</t>
        </is>
      </c>
      <c r="D5" s="2" t="n">
        <v>150000</v>
      </c>
      <c r="E5" s="2" t="n">
        <v>180000</v>
      </c>
      <c r="F5" s="2" t="n">
        <v>210000</v>
      </c>
    </row>
    <row r="6">
      <c r="A6" s="2" t="n">
        <v>6</v>
      </c>
      <c r="B6" s="2" t="inlineStr">
        <is>
          <t>M1</t>
        </is>
      </c>
      <c r="C6" s="2" t="inlineStr">
        <is>
          <t>Manager</t>
        </is>
      </c>
      <c r="D6" s="2" t="n">
        <v>120000</v>
      </c>
      <c r="E6" s="2" t="n">
        <v>145000</v>
      </c>
      <c r="F6" s="2" t="n">
        <v>170000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Title</t>
        </is>
      </c>
      <c r="D1" s="1" t="inlineStr">
        <is>
          <t>Level</t>
        </is>
      </c>
      <c r="E1" s="1" t="inlineStr">
        <is>
          <t>Salary</t>
        </is>
      </c>
      <c r="F1" s="1" t="inlineStr">
        <is>
          <t>Flag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Senior Software Engineer</t>
        </is>
      </c>
      <c r="D2" s="2" t="inlineStr">
        <is>
          <t>IC3</t>
        </is>
      </c>
      <c r="E2" s="2" t="n">
        <v>155000</v>
      </c>
      <c r="F2" s="2" t="n"/>
    </row>
    <row r="3">
      <c r="A3" s="2" t="n">
        <v>3</v>
      </c>
      <c r="B3" s="2" t="inlineStr">
        <is>
          <t>Bob Chen</t>
        </is>
      </c>
      <c r="C3" s="2" t="inlineStr">
        <is>
          <t>Software Engineer</t>
        </is>
      </c>
      <c r="D3" s="2" t="inlineStr">
        <is>
          <t>IC2</t>
        </is>
      </c>
      <c r="E3" s="2" t="n">
        <v>125000</v>
      </c>
      <c r="F3" s="2" t="n"/>
    </row>
    <row r="4">
      <c r="A4" s="2" t="n">
        <v>4</v>
      </c>
      <c r="B4" s="2" t="inlineStr">
        <is>
          <t>Carol Diaz</t>
        </is>
      </c>
      <c r="C4" s="2" t="inlineStr">
        <is>
          <t>Senior Marketing Analyst</t>
        </is>
      </c>
      <c r="D4" s="2" t="inlineStr">
        <is>
          <t>IC3</t>
        </is>
      </c>
      <c r="E4" s="2" t="n">
        <v>108000</v>
      </c>
      <c r="F4" s="2" t="n"/>
    </row>
    <row r="5">
      <c r="A5" s="2" t="n">
        <v>5</v>
      </c>
      <c r="B5" s="2" t="inlineStr">
        <is>
          <t>Dave Kim</t>
        </is>
      </c>
      <c r="C5" s="2" t="inlineStr">
        <is>
          <t>Junior Developer</t>
        </is>
      </c>
      <c r="D5" s="2" t="inlineStr">
        <is>
          <t>IC1</t>
        </is>
      </c>
      <c r="E5" s="2" t="n">
        <v>72000</v>
      </c>
      <c r="F5" s="2" t="n"/>
    </row>
    <row r="6">
      <c r="A6" s="2" t="n">
        <v>6</v>
      </c>
      <c r="B6" s="2" t="inlineStr">
        <is>
          <t>Eve Liu</t>
        </is>
      </c>
      <c r="C6" s="2" t="inlineStr">
        <is>
          <t>Staff Data Scientist</t>
        </is>
      </c>
      <c r="D6" s="2" t="inlineStr">
        <is>
          <t>IC4</t>
        </is>
      </c>
      <c r="E6" s="2" t="n">
        <v>215000</v>
      </c>
      <c r="F6" s="2" t="n"/>
    </row>
    <row r="7">
      <c r="A7" s="2" t="n">
        <v>7</v>
      </c>
      <c r="B7" s="2" t="inlineStr">
        <is>
          <t>Lisa Wang</t>
        </is>
      </c>
      <c r="C7" s="2" t="inlineStr">
        <is>
          <t>Sales Manager</t>
        </is>
      </c>
      <c r="D7" s="2" t="inlineStr">
        <is>
          <t>M1</t>
        </is>
      </c>
      <c r="E7" s="2" t="n">
        <v>148000</v>
      </c>
      <c r="F7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8" customWidth="1" min="3" max="3"/>
  </cols>
  <sheetData>
    <row r="1">
      <c r="A1" s="1" t="inlineStr">
        <is>
          <t>Source Row</t>
        </is>
      </c>
      <c r="B1" s="1" t="inlineStr">
        <is>
          <t>Condition</t>
        </is>
      </c>
      <c r="C1" s="1" t="inlineStr">
        <is>
          <t>Flag</t>
        </is>
      </c>
    </row>
    <row r="2">
      <c r="A2" s="2" t="n">
        <v>2</v>
      </c>
      <c r="B2" s="2" t="inlineStr">
        <is>
          <t>Salary above band maximum</t>
        </is>
      </c>
      <c r="C2" s="2" t="inlineStr">
        <is>
          <t>Over</t>
        </is>
      </c>
    </row>
    <row r="3">
      <c r="A3" s="2" t="n">
        <v>3</v>
      </c>
      <c r="B3" s="2" t="inlineStr">
        <is>
          <t>Salary below band minimum</t>
        </is>
      </c>
      <c r="C3" s="2" t="inlineStr">
        <is>
          <t>Under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Salary_Band_Audit_Source.xlsx</t>
        </is>
      </c>
      <c r="B2" s="2" t="inlineStr">
        <is>
          <t>Frozen AutomationBench 5011 source</t>
        </is>
      </c>
      <c r="C2" s="2" t="inlineStr">
        <is>
          <t>c957d578ace7081a3bd51eec0465b3886760a1405b382c9db0c09fbf47d8efce</t>
        </is>
      </c>
    </row>
    <row r="3">
      <c r="A3" s="2" t="inlineStr">
        <is>
          <t>Workflow_Context.json</t>
        </is>
      </c>
      <c r="B3" s="2" t="inlineStr">
        <is>
          <t>Frozen AutomationBench 5011 source</t>
        </is>
      </c>
      <c r="C3" s="2" t="inlineStr">
        <is>
          <t>9ea425af08fa2ebb0a5d8cc2b5dfcaeaf3b9b8f35b06a184eda50466be34a60d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  <col width="110" customWidth="1" min="12" max="12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Title</t>
        </is>
      </c>
      <c r="D1" s="1" t="inlineStr">
        <is>
          <t>Level</t>
        </is>
      </c>
      <c r="E1" s="1" t="inlineStr">
        <is>
          <t>Salary</t>
        </is>
      </c>
      <c r="F1" s="1" t="inlineStr">
        <is>
          <t>Current Flag</t>
        </is>
      </c>
      <c r="G1" s="1" t="inlineStr">
        <is>
          <t>Band Min</t>
        </is>
      </c>
      <c r="H1" s="1" t="inlineStr">
        <is>
          <t>Band Mid</t>
        </is>
      </c>
      <c r="I1" s="1" t="inlineStr">
        <is>
          <t>Band Max</t>
        </is>
      </c>
      <c r="J1" s="1" t="inlineStr">
        <is>
          <t>Audit Flag</t>
        </is>
      </c>
      <c r="K1" s="1" t="inlineStr">
        <is>
          <t>Variance to Boundary</t>
        </is>
      </c>
      <c r="L1" s="1" t="inlineStr">
        <is>
          <t>Trace</t>
        </is>
      </c>
    </row>
    <row r="2">
      <c r="A2" s="2">
        <f>Source_Employees!A2</f>
        <v/>
      </c>
      <c r="B2" s="2">
        <f>Source_Employees!B2</f>
        <v/>
      </c>
      <c r="C2" s="2">
        <f>Source_Employees!C2</f>
        <v/>
      </c>
      <c r="D2" s="2">
        <f>Source_Employees!D2</f>
        <v/>
      </c>
      <c r="E2" s="2">
        <f>Source_Employees!E2</f>
        <v/>
      </c>
      <c r="F2" s="2">
        <f>Source_Employees!F2</f>
        <v/>
      </c>
      <c r="G2" s="2">
        <f>VLOOKUP(D2,Source_Bands!$B$2:$F$6,3,FALSE)</f>
        <v/>
      </c>
      <c r="H2" s="2">
        <f>VLOOKUP(D2,Source_Bands!$B$2:$F$6,4,FALSE)</f>
        <v/>
      </c>
      <c r="I2" s="2">
        <f>VLOOKUP(D2,Source_Bands!$B$2:$F$6,5,FALSE)</f>
        <v/>
      </c>
      <c r="J2" s="2">
        <f>IF(E2&gt;I2,"Over",IF(E2&lt;G2,"Under","Within"))</f>
        <v/>
      </c>
      <c r="K2" s="2">
        <f>IF(J2="Over",E2-I2,IF(J2="Under",E2-G2,0))</f>
        <v/>
      </c>
      <c r="L2" s="2">
        <f>"employee="&amp;B2&amp;"|level="&amp;D2&amp;"|salary="&amp;TEXT(E2,"0")&amp;"|band="&amp;TEXT(G2,"0")&amp;"-"&amp;TEXT(I2,"0")&amp;"|flag="&amp;J2</f>
        <v/>
      </c>
    </row>
    <row r="3">
      <c r="A3" s="2">
        <f>Source_Employees!A3</f>
        <v/>
      </c>
      <c r="B3" s="2">
        <f>Source_Employees!B3</f>
        <v/>
      </c>
      <c r="C3" s="2">
        <f>Source_Employees!C3</f>
        <v/>
      </c>
      <c r="D3" s="2">
        <f>Source_Employees!D3</f>
        <v/>
      </c>
      <c r="E3" s="2">
        <f>Source_Employees!E3</f>
        <v/>
      </c>
      <c r="F3" s="2">
        <f>Source_Employees!F3</f>
        <v/>
      </c>
      <c r="G3" s="2">
        <f>VLOOKUP(D3,Source_Bands!$B$2:$F$6,3,FALSE)</f>
        <v/>
      </c>
      <c r="H3" s="2">
        <f>VLOOKUP(D3,Source_Bands!$B$2:$F$6,4,FALSE)</f>
        <v/>
      </c>
      <c r="I3" s="2">
        <f>VLOOKUP(D3,Source_Bands!$B$2:$F$6,5,FALSE)</f>
        <v/>
      </c>
      <c r="J3" s="2">
        <f>IF(E3&gt;I3,"Over",IF(E3&lt;G3,"Under","Within"))</f>
        <v/>
      </c>
      <c r="K3" s="2">
        <f>IF(J3="Over",E3-I3,IF(J3="Under",E3-G3,0))</f>
        <v/>
      </c>
      <c r="L3" s="2">
        <f>"employee="&amp;B3&amp;"|level="&amp;D3&amp;"|salary="&amp;TEXT(E3,"0")&amp;"|band="&amp;TEXT(G3,"0")&amp;"-"&amp;TEXT(I3,"0")&amp;"|flag="&amp;J3</f>
        <v/>
      </c>
    </row>
    <row r="4">
      <c r="A4" s="2">
        <f>Source_Employees!A4</f>
        <v/>
      </c>
      <c r="B4" s="2">
        <f>Source_Employees!B4</f>
        <v/>
      </c>
      <c r="C4" s="2">
        <f>Source_Employees!C4</f>
        <v/>
      </c>
      <c r="D4" s="2">
        <f>Source_Employees!D4</f>
        <v/>
      </c>
      <c r="E4" s="2">
        <f>Source_Employees!E4</f>
        <v/>
      </c>
      <c r="F4" s="2">
        <f>Source_Employees!F4</f>
        <v/>
      </c>
      <c r="G4" s="2">
        <f>VLOOKUP(D4,Source_Bands!$B$2:$F$6,3,FALSE)</f>
        <v/>
      </c>
      <c r="H4" s="2">
        <f>VLOOKUP(D4,Source_Bands!$B$2:$F$6,4,FALSE)</f>
        <v/>
      </c>
      <c r="I4" s="2">
        <f>VLOOKUP(D4,Source_Bands!$B$2:$F$6,5,FALSE)</f>
        <v/>
      </c>
      <c r="J4" s="2">
        <f>IF(E4&gt;I4,"Over",IF(E4&lt;G4,"Under","Within"))</f>
        <v/>
      </c>
      <c r="K4" s="2">
        <f>IF(J4="Over",E4-I4,IF(J4="Under",E4-G4,0))</f>
        <v/>
      </c>
      <c r="L4" s="2">
        <f>"employee="&amp;B4&amp;"|level="&amp;D4&amp;"|salary="&amp;TEXT(E4,"0")&amp;"|band="&amp;TEXT(G4,"0")&amp;"-"&amp;TEXT(I4,"0")&amp;"|flag="&amp;J4</f>
        <v/>
      </c>
    </row>
    <row r="5">
      <c r="A5" s="2">
        <f>Source_Employees!A5</f>
        <v/>
      </c>
      <c r="B5" s="2">
        <f>Source_Employees!B5</f>
        <v/>
      </c>
      <c r="C5" s="2">
        <f>Source_Employees!C5</f>
        <v/>
      </c>
      <c r="D5" s="2">
        <f>Source_Employees!D5</f>
        <v/>
      </c>
      <c r="E5" s="2">
        <f>Source_Employees!E5</f>
        <v/>
      </c>
      <c r="F5" s="2">
        <f>Source_Employees!F5</f>
        <v/>
      </c>
      <c r="G5" s="2">
        <f>VLOOKUP(D5,Source_Bands!$B$2:$F$6,3,FALSE)</f>
        <v/>
      </c>
      <c r="H5" s="2">
        <f>VLOOKUP(D5,Source_Bands!$B$2:$F$6,4,FALSE)</f>
        <v/>
      </c>
      <c r="I5" s="2">
        <f>VLOOKUP(D5,Source_Bands!$B$2:$F$6,5,FALSE)</f>
        <v/>
      </c>
      <c r="J5" s="2">
        <f>IF(E5&gt;I5,"Over",IF(E5&lt;G5,"Under","Within"))</f>
        <v/>
      </c>
      <c r="K5" s="2">
        <f>IF(J5="Over",E5-I5,IF(J5="Under",E5-G5,0))</f>
        <v/>
      </c>
      <c r="L5" s="2">
        <f>"employee="&amp;B5&amp;"|level="&amp;D5&amp;"|salary="&amp;TEXT(E5,"0")&amp;"|band="&amp;TEXT(G5,"0")&amp;"-"&amp;TEXT(I5,"0")&amp;"|flag="&amp;J5</f>
        <v/>
      </c>
    </row>
    <row r="6">
      <c r="A6" s="2">
        <f>Source_Employees!A6</f>
        <v/>
      </c>
      <c r="B6" s="2">
        <f>Source_Employees!B6</f>
        <v/>
      </c>
      <c r="C6" s="2">
        <f>Source_Employees!C6</f>
        <v/>
      </c>
      <c r="D6" s="2">
        <f>Source_Employees!D6</f>
        <v/>
      </c>
      <c r="E6" s="2">
        <f>Source_Employees!E6</f>
        <v/>
      </c>
      <c r="F6" s="2">
        <f>Source_Employees!F6</f>
        <v/>
      </c>
      <c r="G6" s="2">
        <f>VLOOKUP(D6,Source_Bands!$B$2:$F$6,3,FALSE)</f>
        <v/>
      </c>
      <c r="H6" s="2">
        <f>VLOOKUP(D6,Source_Bands!$B$2:$F$6,4,FALSE)</f>
        <v/>
      </c>
      <c r="I6" s="2">
        <f>VLOOKUP(D6,Source_Bands!$B$2:$F$6,5,FALSE)</f>
        <v/>
      </c>
      <c r="J6" s="2">
        <f>IF(E6&gt;I6,"Over",IF(E6&lt;G6,"Under","Within"))</f>
        <v/>
      </c>
      <c r="K6" s="2">
        <f>IF(J6="Over",E6-I6,IF(J6="Under",E6-G6,0))</f>
        <v/>
      </c>
      <c r="L6" s="2">
        <f>"employee="&amp;B6&amp;"|level="&amp;D6&amp;"|salary="&amp;TEXT(E6,"0")&amp;"|band="&amp;TEXT(G6,"0")&amp;"-"&amp;TEXT(I6,"0")&amp;"|flag="&amp;J6</f>
        <v/>
      </c>
    </row>
    <row r="7">
      <c r="A7" s="2">
        <f>Source_Employees!A7</f>
        <v/>
      </c>
      <c r="B7" s="2">
        <f>Source_Employees!B7</f>
        <v/>
      </c>
      <c r="C7" s="2">
        <f>Source_Employees!C7</f>
        <v/>
      </c>
      <c r="D7" s="2">
        <f>Source_Employees!D7</f>
        <v/>
      </c>
      <c r="E7" s="2">
        <f>Source_Employees!E7</f>
        <v/>
      </c>
      <c r="F7" s="2">
        <f>Source_Employees!F7</f>
        <v/>
      </c>
      <c r="G7" s="2">
        <f>VLOOKUP(D7,Source_Bands!$B$2:$F$6,3,FALSE)</f>
        <v/>
      </c>
      <c r="H7" s="2">
        <f>VLOOKUP(D7,Source_Bands!$B$2:$F$6,4,FALSE)</f>
        <v/>
      </c>
      <c r="I7" s="2">
        <f>VLOOKUP(D7,Source_Bands!$B$2:$F$6,5,FALSE)</f>
        <v/>
      </c>
      <c r="J7" s="2">
        <f>IF(E7&gt;I7,"Over",IF(E7&lt;G7,"Under","Within"))</f>
        <v/>
      </c>
      <c r="K7" s="2">
        <f>IF(J7="Over",E7-I7,IF(J7="Under",E7-G7,0))</f>
        <v/>
      </c>
      <c r="L7" s="2">
        <f>"employee="&amp;B7&amp;"|level="&amp;D7&amp;"|salary="&amp;TEXT(E7,"0")&amp;"|band="&amp;TEXT(G7,"0")&amp;"-"&amp;TEXT(I7,"0")&amp;"|flag="&amp;J7</f>
        <v/>
      </c>
    </row>
  </sheetData>
  <conditionalFormatting sqref="J2:J7">
    <cfRule type="expression" priority="1" dxfId="0">
      <formula>J2="Within"</formula>
    </cfRule>
    <cfRule type="expression" priority="2" dxfId="1">
      <formula>J2&lt;&gt;"Within"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Level</t>
        </is>
      </c>
      <c r="C1" s="1" t="inlineStr">
        <is>
          <t>Salary</t>
        </is>
      </c>
      <c r="D1" s="1" t="inlineStr">
        <is>
          <t>Band Min</t>
        </is>
      </c>
      <c r="E1" s="1" t="inlineStr">
        <is>
          <t>Band Max</t>
        </is>
      </c>
      <c r="F1" s="1" t="inlineStr">
        <is>
          <t>Flag</t>
        </is>
      </c>
      <c r="G1" s="1" t="inlineStr">
        <is>
          <t>Variance</t>
        </is>
      </c>
    </row>
    <row r="2">
      <c r="A2" s="2" t="inlineStr">
        <is>
          <t>Bob Chen</t>
        </is>
      </c>
      <c r="B2" s="2" t="inlineStr">
        <is>
          <t>IC2</t>
        </is>
      </c>
      <c r="C2" s="2" t="n">
        <v>125000</v>
      </c>
      <c r="D2" s="2" t="n">
        <v>80000</v>
      </c>
      <c r="E2" s="2" t="n">
        <v>120000</v>
      </c>
      <c r="F2" s="2" t="inlineStr">
        <is>
          <t>Over</t>
        </is>
      </c>
      <c r="G2" s="2" t="n">
        <v>5000</v>
      </c>
    </row>
    <row r="3">
      <c r="A3" s="2" t="inlineStr">
        <is>
          <t>Carol Diaz</t>
        </is>
      </c>
      <c r="B3" s="2" t="inlineStr">
        <is>
          <t>IC3</t>
        </is>
      </c>
      <c r="C3" s="2" t="n">
        <v>108000</v>
      </c>
      <c r="D3" s="2" t="n">
        <v>110000</v>
      </c>
      <c r="E3" s="2" t="n">
        <v>160000</v>
      </c>
      <c r="F3" s="2" t="inlineStr">
        <is>
          <t>Under</t>
        </is>
      </c>
      <c r="G3" s="2" t="n">
        <v>-2000</v>
      </c>
    </row>
    <row r="4">
      <c r="A4" s="2" t="inlineStr">
        <is>
          <t>Eve Liu</t>
        </is>
      </c>
      <c r="B4" s="2" t="inlineStr">
        <is>
          <t>IC4</t>
        </is>
      </c>
      <c r="C4" s="2" t="n">
        <v>215000</v>
      </c>
      <c r="D4" s="2" t="n">
        <v>150000</v>
      </c>
      <c r="E4" s="2" t="n">
        <v>210000</v>
      </c>
      <c r="F4" s="2" t="inlineStr">
        <is>
          <t>Over</t>
        </is>
      </c>
      <c r="G4" s="2" t="n">
        <v>5000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Employee</t>
        </is>
      </c>
      <c r="B1" s="1" t="inlineStr">
        <is>
          <t>Level</t>
        </is>
      </c>
      <c r="C1" s="1" t="inlineStr">
        <is>
          <t>Salary</t>
        </is>
      </c>
      <c r="D1" s="1" t="inlineStr">
        <is>
          <t>Band Min</t>
        </is>
      </c>
      <c r="E1" s="1" t="inlineStr">
        <is>
          <t>Band Max</t>
        </is>
      </c>
      <c r="F1" s="1" t="inlineStr">
        <is>
          <t>Flag</t>
        </is>
      </c>
    </row>
    <row r="2">
      <c r="A2" s="2" t="inlineStr">
        <is>
          <t>Alice Park</t>
        </is>
      </c>
      <c r="B2" s="2" t="inlineStr">
        <is>
          <t>IC3</t>
        </is>
      </c>
      <c r="C2" s="2" t="n">
        <v>155000</v>
      </c>
      <c r="D2" s="2" t="n">
        <v>110000</v>
      </c>
      <c r="E2" s="2" t="n">
        <v>160000</v>
      </c>
      <c r="F2" s="2" t="inlineStr">
        <is>
          <t>Within</t>
        </is>
      </c>
    </row>
    <row r="3">
      <c r="A3" s="2" t="inlineStr">
        <is>
          <t>Dave Kim</t>
        </is>
      </c>
      <c r="B3" s="2" t="inlineStr">
        <is>
          <t>IC1</t>
        </is>
      </c>
      <c r="C3" s="2" t="n">
        <v>72000</v>
      </c>
      <c r="D3" s="2" t="n">
        <v>55000</v>
      </c>
      <c r="E3" s="2" t="n">
        <v>85000</v>
      </c>
      <c r="F3" s="2" t="inlineStr">
        <is>
          <t>Within</t>
        </is>
      </c>
    </row>
    <row r="4">
      <c r="A4" s="2" t="inlineStr">
        <is>
          <t>Lisa Wang</t>
        </is>
      </c>
      <c r="B4" s="2" t="inlineStr">
        <is>
          <t>M1</t>
        </is>
      </c>
      <c r="C4" s="2" t="n">
        <v>148000</v>
      </c>
      <c r="D4" s="2" t="n">
        <v>120000</v>
      </c>
      <c r="E4" s="2" t="n">
        <v>170000</v>
      </c>
      <c r="F4" s="2" t="inlineStr">
        <is>
          <t>Within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6" customWidth="1" min="4" max="4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Flag</t>
        </is>
      </c>
      <c r="D1" s="1" t="inlineStr">
        <is>
          <t>Applied</t>
        </is>
      </c>
    </row>
    <row r="2">
      <c r="A2" s="2" t="n">
        <v>3</v>
      </c>
      <c r="B2" s="2" t="inlineStr">
        <is>
          <t>Bob Chen</t>
        </is>
      </c>
      <c r="C2" s="2" t="inlineStr">
        <is>
          <t>Over</t>
        </is>
      </c>
      <c r="D2" s="2" t="inlineStr">
        <is>
          <t>NO</t>
        </is>
      </c>
    </row>
    <row r="3">
      <c r="A3" s="2" t="n">
        <v>4</v>
      </c>
      <c r="B3" s="2" t="inlineStr">
        <is>
          <t>Carol Diaz</t>
        </is>
      </c>
      <c r="C3" s="2" t="inlineStr">
        <is>
          <t>Under</t>
        </is>
      </c>
      <c r="D3" s="2" t="inlineStr">
        <is>
          <t>NO</t>
        </is>
      </c>
    </row>
    <row r="4">
      <c r="A4" s="2" t="n">
        <v>6</v>
      </c>
      <c r="B4" s="2" t="inlineStr">
        <is>
          <t>Eve Liu</t>
        </is>
      </c>
      <c r="C4" s="2" t="inlineStr">
        <is>
          <t>Over</t>
        </is>
      </c>
      <c r="D4" s="2" t="inlineStr">
        <is>
          <t>NO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10" customWidth="1" min="3" max="3"/>
    <col width="24" customWidth="1" min="4" max="4"/>
  </cols>
  <sheetData>
    <row r="1">
      <c r="A1" s="1" t="inlineStr">
        <is>
          <t>To</t>
        </is>
      </c>
      <c r="B1" s="1" t="inlineStr">
        <is>
          <t>Flagged Count</t>
        </is>
      </c>
      <c r="C1" s="1" t="inlineStr">
        <is>
          <t>Exact Amounts</t>
        </is>
      </c>
      <c r="D1" s="1" t="inlineStr">
        <is>
          <t>State</t>
        </is>
      </c>
    </row>
    <row r="2">
      <c r="A2" s="2" t="inlineStr">
        <is>
          <t>comp-team@company.example.com</t>
        </is>
      </c>
      <c r="B2" s="2" t="n">
        <v>3</v>
      </c>
      <c r="C2" s="2" t="inlineStr">
        <is>
          <t>Bob 125000/80000-120000; Carol 108000/110000-160000; Eve 215000/150000-210000</t>
        </is>
      </c>
      <c r="D2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86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State</t>
        </is>
      </c>
    </row>
    <row r="2">
      <c r="A2" s="2" t="inlineStr">
        <is>
          <t>Employees reviewed</t>
        </is>
      </c>
      <c r="B2" s="2" t="n">
        <v>6</v>
      </c>
      <c r="C2" s="2" t="inlineStr">
        <is>
          <t>Complete</t>
        </is>
      </c>
    </row>
    <row r="3">
      <c r="A3" s="2" t="inlineStr">
        <is>
          <t>Flagged</t>
        </is>
      </c>
      <c r="B3" s="2" t="n">
        <v>3</v>
      </c>
      <c r="C3" s="2" t="inlineStr">
        <is>
          <t>Bob; Carol; Eve</t>
        </is>
      </c>
    </row>
    <row r="4">
      <c r="A4" s="2" t="inlineStr">
        <is>
          <t>Within band</t>
        </is>
      </c>
      <c r="B4" s="2" t="n">
        <v>3</v>
      </c>
      <c r="C4" s="2" t="inlineStr">
        <is>
          <t>Alice; Dave; Lisa</t>
        </is>
      </c>
    </row>
    <row r="5">
      <c r="A5" s="2" t="inlineStr">
        <is>
          <t>Flag update drafts</t>
        </is>
      </c>
      <c r="B5" s="2" t="n">
        <v>3</v>
      </c>
      <c r="C5" s="2" t="inlineStr">
        <is>
          <t>DRAFT_NOT_APPLIED</t>
        </is>
      </c>
    </row>
    <row r="6">
      <c r="A6" s="2" t="inlineStr">
        <is>
          <t>Source rows updated</t>
        </is>
      </c>
      <c r="B6" s="2" t="n">
        <v>0</v>
      </c>
      <c r="C6" s="2" t="inlineStr">
        <is>
          <t>NONE</t>
        </is>
      </c>
    </row>
    <row r="7">
      <c r="A7" s="2" t="inlineStr">
        <is>
          <t>Report email drafts</t>
        </is>
      </c>
      <c r="B7" s="2" t="n">
        <v>1</v>
      </c>
      <c r="C7" s="2" t="inlineStr">
        <is>
          <t>DRAFT_NOT_SENT</t>
        </is>
      </c>
    </row>
    <row r="8">
      <c r="A8" s="2" t="inlineStr">
        <is>
          <t>Emails sent</t>
        </is>
      </c>
      <c r="B8" s="2" t="n">
        <v>0</v>
      </c>
      <c r="C8" s="2" t="inlineStr">
        <is>
          <t>NONE</t>
        </is>
      </c>
    </row>
    <row r="9">
      <c r="A9" s="2" t="inlineStr">
        <is>
          <t>Real side effects</t>
        </is>
      </c>
      <c r="B9" s="2" t="n">
        <v>0</v>
      </c>
      <c r="C9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Quarterly Salary Band Compliance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