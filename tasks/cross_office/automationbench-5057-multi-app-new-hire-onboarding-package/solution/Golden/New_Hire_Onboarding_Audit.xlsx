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Checklist" sheetId="1" state="visible" r:id="rId1"/>
    <sheet xmlns:r="http://schemas.openxmlformats.org/officeDocument/2006/relationships" name="Source_System_State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Hire_Decisions" sheetId="4" state="visible" r:id="rId4"/>
    <sheet xmlns:r="http://schemas.openxmlformats.org/officeDocument/2006/relationships" name="BambooHR_Drafts" sheetId="5" state="visible" r:id="rId5"/>
    <sheet xmlns:r="http://schemas.openxmlformats.org/officeDocument/2006/relationships" name="Drive_Drafts" sheetId="6" state="visible" r:id="rId6"/>
    <sheet xmlns:r="http://schemas.openxmlformats.org/officeDocument/2006/relationships" name="Jira_Drafts" sheetId="7" state="visible" r:id="rId7"/>
    <sheet xmlns:r="http://schemas.openxmlformats.org/officeDocument/2006/relationships" name="Welcome_Drafts" sheetId="8" state="visible" r:id="rId8"/>
    <sheet xmlns:r="http://schemas.openxmlformats.org/officeDocument/2006/relationships" name="Manager_Exclusion" sheetId="9" state="visible" r:id="rId9"/>
    <sheet xmlns:r="http://schemas.openxmlformats.org/officeDocument/2006/relationships" name="Cross_System_Reconciliation" sheetId="10" state="visible" r:id="rId10"/>
    <sheet xmlns:r="http://schemas.openxmlformats.org/officeDocument/2006/relationships" name="Readiness_Matrix" sheetId="11" state="visible" r:id="rId11"/>
    <sheet xmlns:r="http://schemas.openxmlformats.org/officeDocument/2006/relationships" name="Control_Summary" sheetId="12" state="visible" r:id="rId12"/>
  </sheets>
  <definedNames>
    <definedName name="_xlnm.Print_Area" localSheetId="0">'Source_Checklist'!$A$1:$H$3</definedName>
    <definedName name="_xlnm.Print_Area" localSheetId="1">'Source_System_State'!$A$1:$C$4</definedName>
    <definedName name="_xlnm.Print_Area" localSheetId="2">'Evidence_Register'!$A$1:$C$4</definedName>
    <definedName name="_xlnm.Print_Area" localSheetId="3">'Hire_Decisions'!$A$1:$P$3</definedName>
    <definedName name="_xlnm.Print_Area" localSheetId="4">'BambooHR_Drafts'!$A$1:$H$3</definedName>
    <definedName name="_xlnm.Print_Area" localSheetId="5">'Drive_Drafts'!$A$1:$D$3</definedName>
    <definedName name="_xlnm.Print_Area" localSheetId="6">'Jira_Drafts'!$A$1:$C$3</definedName>
    <definedName name="_xlnm.Print_Area" localSheetId="7">'Welcome_Drafts'!$A$1:$F$3</definedName>
    <definedName name="_xlnm.Print_Area" localSheetId="8">'Manager_Exclusion'!$A$1:$D$3</definedName>
    <definedName name="_xlnm.Print_Area" localSheetId="9">'Cross_System_Reconciliation'!$A$1:$F$3</definedName>
    <definedName name="_xlnm.Print_Area" localSheetId="10">'Readiness_Matrix'!$A$1:$F$3</definedName>
    <definedName name="_xlnm.Print_Area" localSheetId="11">'Control_Summary'!$A$1:$C$9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  <sz val="9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Onboarding draft coverage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'Control_Summary'!$A$2:$A$6</f>
            </numRef>
          </cat>
          <val>
            <numRef>
              <f>'Control_Summary'!$B$2:$B$6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Checklist" displayName="SourceChecklist" ref="A1:H3" headerRowCount="1">
  <autoFilter ref="A1:H3"/>
  <tableColumns count="8">
    <tableColumn id="1" name="Row"/>
    <tableColumn id="2" name="Name"/>
    <tableColumn id="3" name="Email"/>
    <tableColumn id="4" name="Department"/>
    <tableColumn id="5" name="Manager"/>
    <tableColumn id="6" name="Start Date"/>
    <tableColumn id="7" name="Location"/>
    <tableColumn id="8" name="Role"/>
  </tableColumns>
  <tableStyleInfo name="TableStyleMedium2" showRowStripes="1"/>
</table>
</file>

<file path=xl/tables/table2.xml><?xml version="1.0" encoding="utf-8"?>
<table xmlns="http://schemas.openxmlformats.org/spreadsheetml/2006/main" id="2" name="SourceSystemState" displayName="SourceSystemState" ref="A1:C4" headerRowCount="1">
  <autoFilter ref="A1:C4"/>
  <tableColumns count="3">
    <tableColumn id="1" name="System"/>
    <tableColumn id="2" name="Initial State"/>
    <tableColumn id="3" name="Anchor"/>
  </tableColumns>
  <tableStyleInfo name="TableStyleMedium2" showRowStripes="1"/>
</table>
</file>

<file path=xl/tables/table3.xml><?xml version="1.0" encoding="utf-8"?>
<table xmlns="http://schemas.openxmlformats.org/spreadsheetml/2006/main" id="3" name="EvidenceRegister" displayName="EvidenceRegister" ref="A1:C4" headerRowCount="1">
  <autoFilter ref="A1:C4"/>
  <tableColumns count="3">
    <tableColumn id="1" name="Evidence"/>
    <tableColumn id="2" name="Supports"/>
    <tableColumn id="3" name="SHA256"/>
  </tableColumns>
  <tableStyleInfo name="TableStyleMedium2" showRowStripes="1"/>
</table>
</file>

<file path=xl/tables/table4.xml><?xml version="1.0" encoding="utf-8"?>
<table xmlns="http://schemas.openxmlformats.org/spreadsheetml/2006/main" id="4" name="HireDecisions" displayName="HireDecisions" ref="A1:P3" headerRowCount="1">
  <autoFilter ref="A1:P3"/>
  <tableColumns count="16">
    <tableColumn id="1" name="Row"/>
    <tableColumn id="2" name="Name"/>
    <tableColumn id="3" name="Email"/>
    <tableColumn id="4" name="Department"/>
    <tableColumn id="5" name="Manager"/>
    <tableColumn id="6" name="Start Date"/>
    <tableColumn id="7" name="Location"/>
    <tableColumn id="8" name="Role"/>
    <tableColumn id="9" name="Bamboo Profile"/>
    <tableColumn id="10" name="Drive Folder"/>
    <tableColumn id="11" name="Jira Ticket"/>
    <tableColumn id="12" name="Welcome Recipient"/>
    <tableColumn id="13" name="Four-way Match"/>
    <tableColumn id="14" name="Manager Excluded"/>
    <tableColumn id="15" name="State"/>
    <tableColumn id="16" name="Trace"/>
  </tableColumns>
  <tableStyleInfo name="TableStyleMedium2" showRowStripes="1"/>
</table>
</file>

<file path=xl/tables/table5.xml><?xml version="1.0" encoding="utf-8"?>
<table xmlns="http://schemas.openxmlformats.org/spreadsheetml/2006/main" id="5" name="BambooDrafts" displayName="BambooDrafts" ref="A1:H3" headerRowCount="1">
  <autoFilter ref="A1:H3"/>
  <tableColumns count="8">
    <tableColumn id="1" name="Name"/>
    <tableColumn id="2" name="Email"/>
    <tableColumn id="3" name="Department"/>
    <tableColumn id="4" name="Manager"/>
    <tableColumn id="5" name="Start Date"/>
    <tableColumn id="6" name="Location"/>
    <tableColumn id="7" name="Role"/>
    <tableColumn id="8" name="State"/>
  </tableColumns>
  <tableStyleInfo name="TableStyleMedium2" showRowStripes="1"/>
</table>
</file>

<file path=xl/tables/table6.xml><?xml version="1.0" encoding="utf-8"?>
<table xmlns="http://schemas.openxmlformats.org/spreadsheetml/2006/main" id="6" name="DriveDrafts" displayName="DriveDrafts" ref="A1:D3" headerRowCount="1">
  <autoFilter ref="A1:D3"/>
  <tableColumns count="4">
    <tableColumn id="1" name="Folder Name"/>
    <tableColumn id="2" name="Parent ID"/>
    <tableColumn id="3" name="Parent Name"/>
    <tableColumn id="4" name="State"/>
  </tableColumns>
  <tableStyleInfo name="TableStyleMedium2" showRowStripes="1"/>
</table>
</file>

<file path=xl/tables/table7.xml><?xml version="1.0" encoding="utf-8"?>
<table xmlns="http://schemas.openxmlformats.org/spreadsheetml/2006/main" id="7" name="JiraDrafts" displayName="JiraDrafts" ref="A1:C3" headerRowCount="1">
  <autoFilter ref="A1:C3"/>
  <tableColumns count="3">
    <tableColumn id="1" name="Summary"/>
    <tableColumn id="2" name="Description"/>
    <tableColumn id="3" name="State"/>
  </tableColumns>
  <tableStyleInfo name="TableStyleMedium2" showRowStripes="1"/>
</table>
</file>

<file path=xl/tables/table8.xml><?xml version="1.0" encoding="utf-8"?>
<table xmlns="http://schemas.openxmlformats.org/spreadsheetml/2006/main" id="8" name="WelcomeDrafts" displayName="WelcomeDrafts" ref="A1:F3" headerRowCount="1">
  <autoFilter ref="A1:F3"/>
  <tableColumns count="6">
    <tableColumn id="1" name="New Hire"/>
    <tableColumn id="2" name="To"/>
    <tableColumn id="3" name="Start Date"/>
    <tableColumn id="4" name="Location"/>
    <tableColumn id="5" name="Manager"/>
    <tableColumn id="6" name="State"/>
  </tableColumns>
  <tableStyleInfo name="TableStyleMedium2" showRowStripes="1"/>
</table>
</file>

<file path=xl/tables/table9.xml><?xml version="1.0" encoding="utf-8"?>
<table xmlns="http://schemas.openxmlformats.org/spreadsheetml/2006/main" id="9" name="ManagerExclusion" displayName="ManagerExclusion" ref="A1:D3" headerRowCount="1">
  <autoFilter ref="A1:D3"/>
  <tableColumns count="4">
    <tableColumn id="1" name="Manager"/>
    <tableColumn id="2" name="Profile Created"/>
    <tableColumn id="3" name="Welcome Email"/>
    <tableColumn id="4" name="Reason"/>
  </tableColumns>
  <tableStyleInfo name="TableStyleMedium2" showRowStripes="1"/>
</table>
</file>

<file path=xl/tables/table10.xml><?xml version="1.0" encoding="utf-8"?>
<table xmlns="http://schemas.openxmlformats.org/spreadsheetml/2006/main" id="10" name="CrossSystemReconciliation" displayName="CrossSystemReconciliation" ref="A1:F3" headerRowCount="1">
  <autoFilter ref="A1:F3"/>
  <tableColumns count="6">
    <tableColumn id="1" name="New Hire"/>
    <tableColumn id="2" name="Bamboo"/>
    <tableColumn id="3" name="Drive"/>
    <tableColumn id="4" name="Jira"/>
    <tableColumn id="5" name="Welcome"/>
    <tableColumn id="6" name="Matched"/>
  </tableColumns>
  <tableStyleInfo name="TableStyleMedium2" showRowStripes="1"/>
</table>
</file>

<file path=xl/tables/table11.xml><?xml version="1.0" encoding="utf-8"?>
<table xmlns="http://schemas.openxmlformats.org/spreadsheetml/2006/main" id="11" name="ReadinessMatrix" displayName="ReadinessMatrix" ref="A1:F3" headerRowCount="1">
  <autoFilter ref="A1:F3"/>
  <tableColumns count="6">
    <tableColumn id="1" name="New Hire"/>
    <tableColumn id="2" name="Profile"/>
    <tableColumn id="3" name="Folder"/>
    <tableColumn id="4" name="Ticket"/>
    <tableColumn id="5" name="Email"/>
    <tableColumn id="6" name="Execution"/>
  </tableColumns>
  <tableStyleInfo name="TableStyleMedium2" showRowStripes="1"/>
</table>
</file>

<file path=xl/tables/table12.xml><?xml version="1.0" encoding="utf-8"?>
<table xmlns="http://schemas.openxmlformats.org/spreadsheetml/2006/main" id="12" name="ControlSummary" displayName="ControlSummary" ref="A1:C9" headerRowCount="1">
  <autoFilter ref="A1:C9"/>
  <tableColumns count="3">
    <tableColumn id="1" name="Metric"/>
    <tableColumn id="2" name="Count"/>
    <tableColumn id="3" name="St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2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2" customWidth="1" min="3" max="3"/>
    <col width="22" customWidth="1" min="4" max="4"/>
    <col width="24" customWidth="1" min="5" max="5"/>
    <col width="18" customWidth="1" min="6" max="6"/>
    <col width="18" customWidth="1" min="7" max="7"/>
    <col width="30" customWidth="1" min="8" max="8"/>
  </cols>
  <sheetData>
    <row r="1">
      <c r="A1" s="1" t="inlineStr">
        <is>
          <t>Row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Manager</t>
        </is>
      </c>
      <c r="F1" s="1" t="inlineStr">
        <is>
          <t>Start Date</t>
        </is>
      </c>
      <c r="G1" s="1" t="inlineStr">
        <is>
          <t>Location</t>
        </is>
      </c>
      <c r="H1" s="1" t="inlineStr">
        <is>
          <t>Role</t>
        </is>
      </c>
    </row>
    <row r="2">
      <c r="A2" s="2" t="n">
        <v>2</v>
      </c>
      <c r="B2" s="2" t="inlineStr">
        <is>
          <t>Alicia Fernandez</t>
        </is>
      </c>
      <c r="C2" s="2" t="inlineStr">
        <is>
          <t>alicia.fernandez@company.example.com</t>
        </is>
      </c>
      <c r="D2" s="2" t="inlineStr">
        <is>
          <t>Engineering</t>
        </is>
      </c>
      <c r="E2" s="2" t="inlineStr">
        <is>
          <t>David Okonkwo</t>
        </is>
      </c>
      <c r="F2" s="3" t="n">
        <v>46105</v>
      </c>
      <c r="G2" s="2" t="inlineStr">
        <is>
          <t>Austin</t>
        </is>
      </c>
      <c r="H2" s="2" t="inlineStr">
        <is>
          <t>Frontend Developer</t>
        </is>
      </c>
    </row>
    <row r="3">
      <c r="A3" s="2" t="n">
        <v>3</v>
      </c>
      <c r="B3" s="2" t="inlineStr">
        <is>
          <t>Tyrone Washington</t>
        </is>
      </c>
      <c r="C3" s="2" t="inlineStr">
        <is>
          <t>tyrone.washington@company.example.com</t>
        </is>
      </c>
      <c r="D3" s="2" t="inlineStr">
        <is>
          <t>Sales</t>
        </is>
      </c>
      <c r="E3" s="2" t="inlineStr">
        <is>
          <t>Lisa Wang</t>
        </is>
      </c>
      <c r="F3" s="3" t="n">
        <v>46106</v>
      </c>
      <c r="G3" s="2" t="inlineStr">
        <is>
          <t>Remote</t>
        </is>
      </c>
      <c r="H3" s="2" t="inlineStr">
        <is>
          <t>Account Executive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2" customWidth="1" min="3" max="3"/>
  </cols>
  <sheetData>
    <row r="1">
      <c r="A1" s="1" t="inlineStr">
        <is>
          <t>System</t>
        </is>
      </c>
      <c r="B1" s="1" t="inlineStr">
        <is>
          <t>Initial State</t>
        </is>
      </c>
      <c r="C1" s="1" t="inlineStr">
        <is>
          <t>Anchor</t>
        </is>
      </c>
    </row>
    <row r="2">
      <c r="A2" s="2" t="inlineStr">
        <is>
          <t>BambooHR</t>
        </is>
      </c>
      <c r="B2" s="2" t="inlineStr">
        <is>
          <t>No actions</t>
        </is>
      </c>
      <c r="C2" s="2" t="inlineStr">
        <is>
          <t>None</t>
        </is>
      </c>
    </row>
    <row r="3">
      <c r="A3" s="2" t="inlineStr">
        <is>
          <t>Google Drive</t>
        </is>
      </c>
      <c r="B3" s="2" t="inlineStr">
        <is>
          <t>One parent folder</t>
        </is>
      </c>
      <c r="C3" s="2" t="inlineStr">
        <is>
          <t>folder_employees / Employee Documents</t>
        </is>
      </c>
    </row>
    <row r="4">
      <c r="A4" s="2" t="inlineStr">
        <is>
          <t>Jira</t>
        </is>
      </c>
      <c r="B4" s="2" t="inlineStr">
        <is>
          <t>No actions</t>
        </is>
      </c>
      <c r="C4" s="2" t="inlineStr">
        <is>
          <t>None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4" customWidth="1" min="2" max="2"/>
    <col width="68" customWidth="1" min="3" max="3"/>
  </cols>
  <sheetData>
    <row r="1">
      <c r="A1" s="1" t="inlineStr">
        <is>
          <t>Evidence</t>
        </is>
      </c>
      <c r="B1" s="1" t="inlineStr">
        <is>
          <t>Supports</t>
        </is>
      </c>
      <c r="C1" s="1" t="inlineStr">
        <is>
          <t>SHA256</t>
        </is>
      </c>
    </row>
    <row r="2">
      <c r="A2" s="2" t="inlineStr">
        <is>
          <t>Full_Onboarding_Checklist.xlsx</t>
        </is>
      </c>
      <c r="B2" s="2" t="inlineStr">
        <is>
          <t>Frozen AutomationBench 5057 source</t>
        </is>
      </c>
      <c r="C2" s="2" t="inlineStr">
        <is>
          <t>741c44f29a6a88d724e239a999d722d6f2e34befb165ceffab5d0ac4bd75c6c1</t>
        </is>
      </c>
    </row>
    <row r="3">
      <c r="A3" s="2" t="inlineStr">
        <is>
          <t>Initial_Application_State.json</t>
        </is>
      </c>
      <c r="B3" s="2" t="inlineStr">
        <is>
          <t>Frozen AutomationBench 5057 source</t>
        </is>
      </c>
      <c r="C3" s="2" t="inlineStr">
        <is>
          <t>3404ee64b25349823923e4973ae6e4f5ab568e1076df3a0530e3836d68172a02</t>
        </is>
      </c>
    </row>
    <row r="4">
      <c r="A4" s="2" t="inlineStr">
        <is>
          <t>Workflow_Context.json</t>
        </is>
      </c>
      <c r="B4" s="2" t="inlineStr">
        <is>
          <t>Frozen AutomationBench 5057 source</t>
        </is>
      </c>
      <c r="C4" s="2" t="inlineStr">
        <is>
          <t>a8a2321ff9af256293a203a899bd5e0140b101f1590d4cd295b34a8c98d1757a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2" customWidth="1" min="3" max="3"/>
    <col width="22" customWidth="1" min="4" max="4"/>
    <col width="24" customWidth="1" min="5" max="5"/>
    <col width="18" customWidth="1" min="6" max="6"/>
    <col width="18" customWidth="1" min="7" max="7"/>
    <col width="30" customWidth="1" min="8" max="8"/>
    <col width="36" customWidth="1" min="9" max="9"/>
    <col width="38" customWidth="1" min="10" max="10"/>
    <col width="38" customWidth="1" min="11" max="11"/>
    <col width="42" customWidth="1" min="12" max="12"/>
    <col width="20" customWidth="1" min="13" max="13"/>
    <col width="22" customWidth="1" min="14" max="14"/>
    <col width="34" customWidth="1" min="15" max="15"/>
    <col width="112" customWidth="1" min="16" max="16"/>
  </cols>
  <sheetData>
    <row r="1">
      <c r="A1" s="1" t="inlineStr">
        <is>
          <t>Row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Manager</t>
        </is>
      </c>
      <c r="F1" s="1" t="inlineStr">
        <is>
          <t>Start Date</t>
        </is>
      </c>
      <c r="G1" s="1" t="inlineStr">
        <is>
          <t>Location</t>
        </is>
      </c>
      <c r="H1" s="1" t="inlineStr">
        <is>
          <t>Role</t>
        </is>
      </c>
      <c r="I1" s="1" t="inlineStr">
        <is>
          <t>Bamboo Profile</t>
        </is>
      </c>
      <c r="J1" s="1" t="inlineStr">
        <is>
          <t>Drive Folder</t>
        </is>
      </c>
      <c r="K1" s="1" t="inlineStr">
        <is>
          <t>Jira Ticket</t>
        </is>
      </c>
      <c r="L1" s="1" t="inlineStr">
        <is>
          <t>Welcome Recipient</t>
        </is>
      </c>
      <c r="M1" s="1" t="inlineStr">
        <is>
          <t>Four-way Match</t>
        </is>
      </c>
      <c r="N1" s="1" t="inlineStr">
        <is>
          <t>Manager Excluded</t>
        </is>
      </c>
      <c r="O1" s="1" t="inlineStr">
        <is>
          <t>State</t>
        </is>
      </c>
      <c r="P1" s="1" t="inlineStr">
        <is>
          <t>Trace</t>
        </is>
      </c>
    </row>
    <row r="2">
      <c r="A2" s="2">
        <f>Source_Checklist!A2</f>
        <v/>
      </c>
      <c r="B2" s="2">
        <f>Source_Checklist!B2</f>
        <v/>
      </c>
      <c r="C2" s="2">
        <f>Source_Checklist!C2</f>
        <v/>
      </c>
      <c r="D2" s="2">
        <f>Source_Checklist!D2</f>
        <v/>
      </c>
      <c r="E2" s="2">
        <f>Source_Checklist!E2</f>
        <v/>
      </c>
      <c r="F2" s="2">
        <f>Source_Checklist!F2</f>
        <v/>
      </c>
      <c r="G2" s="2">
        <f>Source_Checklist!G2</f>
        <v/>
      </c>
      <c r="H2" s="2">
        <f>Source_Checklist!H2</f>
        <v/>
      </c>
      <c r="I2" s="2">
        <f>"PROFILE_DRAFT:"&amp;B2</f>
        <v/>
      </c>
      <c r="J2" s="2">
        <f>"folder_employees/"&amp;B2</f>
        <v/>
      </c>
      <c r="K2" s="2">
        <f>"Onboarding: "&amp;B2</f>
        <v/>
      </c>
      <c r="L2" s="2">
        <f>C2</f>
        <v/>
      </c>
      <c r="M2" s="2">
        <f>IF(AND(I2&lt;&gt;"",J2&lt;&gt;"",K2&lt;&gt;"",L2=C2),"YES","NO")</f>
        <v/>
      </c>
      <c r="N2" s="2">
        <f>IF(OR(L2=E2,L2="david.okonkwo@company.example.com",L2="lisa.wang@company.example.com"),"NO","YES")</f>
        <v/>
      </c>
      <c r="O2" s="2">
        <f>IF(AND(M2="YES",N2="YES"),"READY_DRAFT_NOT_EXECUTED","ERROR")</f>
        <v/>
      </c>
      <c r="P2" s="2">
        <f>"name="&amp;B2&amp;"|email="&amp;C2&amp;"|manager="&amp;E2&amp;"|start="&amp;TEXT(F2,"yyyy-mm-dd")&amp;"|state="&amp;O2</f>
        <v/>
      </c>
    </row>
    <row r="3">
      <c r="A3" s="2">
        <f>Source_Checklist!A3</f>
        <v/>
      </c>
      <c r="B3" s="2">
        <f>Source_Checklist!B3</f>
        <v/>
      </c>
      <c r="C3" s="2">
        <f>Source_Checklist!C3</f>
        <v/>
      </c>
      <c r="D3" s="2">
        <f>Source_Checklist!D3</f>
        <v/>
      </c>
      <c r="E3" s="2">
        <f>Source_Checklist!E3</f>
        <v/>
      </c>
      <c r="F3" s="2">
        <f>Source_Checklist!F3</f>
        <v/>
      </c>
      <c r="G3" s="2">
        <f>Source_Checklist!G3</f>
        <v/>
      </c>
      <c r="H3" s="2">
        <f>Source_Checklist!H3</f>
        <v/>
      </c>
      <c r="I3" s="2">
        <f>"PROFILE_DRAFT:"&amp;B3</f>
        <v/>
      </c>
      <c r="J3" s="2">
        <f>"folder_employees/"&amp;B3</f>
        <v/>
      </c>
      <c r="K3" s="2">
        <f>"Onboarding: "&amp;B3</f>
        <v/>
      </c>
      <c r="L3" s="2">
        <f>C3</f>
        <v/>
      </c>
      <c r="M3" s="2">
        <f>IF(AND(I3&lt;&gt;"",J3&lt;&gt;"",K3&lt;&gt;"",L3=C3),"YES","NO")</f>
        <v/>
      </c>
      <c r="N3" s="2">
        <f>IF(OR(L3=E3,L3="david.okonkwo@company.example.com",L3="lisa.wang@company.example.com"),"NO","YES")</f>
        <v/>
      </c>
      <c r="O3" s="2">
        <f>IF(AND(M3="YES",N3="YES"),"READY_DRAFT_NOT_EXECUTED","ERROR")</f>
        <v/>
      </c>
      <c r="P3" s="2">
        <f>"name="&amp;B3&amp;"|email="&amp;C3&amp;"|manager="&amp;E3&amp;"|start="&amp;TEXT(F3,"yyyy-mm-dd")&amp;"|state="&amp;O3</f>
        <v/>
      </c>
    </row>
  </sheetData>
  <conditionalFormatting sqref="M2:M3">
    <cfRule type="expression" priority="1" dxfId="0">
      <formula>M2="YES"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2" customWidth="1" min="3" max="3"/>
    <col width="24" customWidth="1" min="4" max="4"/>
    <col width="18" customWidth="1" min="5" max="5"/>
    <col width="18" customWidth="1" min="6" max="6"/>
    <col width="30" customWidth="1" min="7" max="7"/>
    <col width="26" customWidth="1" min="8" max="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Department</t>
        </is>
      </c>
      <c r="D1" s="1" t="inlineStr">
        <is>
          <t>Manager</t>
        </is>
      </c>
      <c r="E1" s="1" t="inlineStr">
        <is>
          <t>Start Date</t>
        </is>
      </c>
      <c r="F1" s="1" t="inlineStr">
        <is>
          <t>Location</t>
        </is>
      </c>
      <c r="G1" s="1" t="inlineStr">
        <is>
          <t>Role</t>
        </is>
      </c>
      <c r="H1" s="1" t="inlineStr">
        <is>
          <t>State</t>
        </is>
      </c>
    </row>
    <row r="2">
      <c r="A2" s="2" t="inlineStr">
        <is>
          <t>Alicia Fernandez</t>
        </is>
      </c>
      <c r="B2" s="2" t="inlineStr">
        <is>
          <t>alicia.fernandez@company.example.com</t>
        </is>
      </c>
      <c r="C2" s="2" t="inlineStr">
        <is>
          <t>Engineering</t>
        </is>
      </c>
      <c r="D2" s="2" t="inlineStr">
        <is>
          <t>David Okonkwo</t>
        </is>
      </c>
      <c r="E2" s="2" t="inlineStr">
        <is>
          <t>2026-03-24</t>
        </is>
      </c>
      <c r="F2" s="2" t="inlineStr">
        <is>
          <t>Austin</t>
        </is>
      </c>
      <c r="G2" s="2" t="inlineStr">
        <is>
          <t>Frontend Developer</t>
        </is>
      </c>
      <c r="H2" s="2" t="inlineStr">
        <is>
          <t>DRAFT_NOT_CREATED</t>
        </is>
      </c>
    </row>
    <row r="3">
      <c r="A3" s="2" t="inlineStr">
        <is>
          <t>Tyrone Washington</t>
        </is>
      </c>
      <c r="B3" s="2" t="inlineStr">
        <is>
          <t>tyrone.washington@company.example.com</t>
        </is>
      </c>
      <c r="C3" s="2" t="inlineStr">
        <is>
          <t>Sales</t>
        </is>
      </c>
      <c r="D3" s="2" t="inlineStr">
        <is>
          <t>Lisa Wang</t>
        </is>
      </c>
      <c r="E3" s="2" t="inlineStr">
        <is>
          <t>2026-03-25</t>
        </is>
      </c>
      <c r="F3" s="2" t="inlineStr">
        <is>
          <t>Remote</t>
        </is>
      </c>
      <c r="G3" s="2" t="inlineStr">
        <is>
          <t>Account Executive</t>
        </is>
      </c>
      <c r="H3" s="2" t="inlineStr">
        <is>
          <t>DRAFT_NOT_CREATED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32" customWidth="1" min="3" max="3"/>
    <col width="26" customWidth="1" min="4" max="4"/>
  </cols>
  <sheetData>
    <row r="1">
      <c r="A1" s="1" t="inlineStr">
        <is>
          <t>Folder Name</t>
        </is>
      </c>
      <c r="B1" s="1" t="inlineStr">
        <is>
          <t>Parent ID</t>
        </is>
      </c>
      <c r="C1" s="1" t="inlineStr">
        <is>
          <t>Parent Name</t>
        </is>
      </c>
      <c r="D1" s="1" t="inlineStr">
        <is>
          <t>State</t>
        </is>
      </c>
    </row>
    <row r="2">
      <c r="A2" s="2" t="inlineStr">
        <is>
          <t>Alicia Fernandez</t>
        </is>
      </c>
      <c r="B2" s="2" t="inlineStr">
        <is>
          <t>folder_employees</t>
        </is>
      </c>
      <c r="C2" s="2" t="inlineStr">
        <is>
          <t>Employee Documents</t>
        </is>
      </c>
      <c r="D2" s="2" t="inlineStr">
        <is>
          <t>DRAFT_NOT_CREATED</t>
        </is>
      </c>
    </row>
    <row r="3">
      <c r="A3" s="2" t="inlineStr">
        <is>
          <t>Tyrone Washington</t>
        </is>
      </c>
      <c r="B3" s="2" t="inlineStr">
        <is>
          <t>folder_employees</t>
        </is>
      </c>
      <c r="C3" s="2" t="inlineStr">
        <is>
          <t>Employee Documents</t>
        </is>
      </c>
      <c r="D3" s="2" t="inlineStr">
        <is>
          <t>DRAFT_NOT_CREATED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8" customWidth="1" min="2" max="2"/>
    <col width="26" customWidth="1" min="3" max="3"/>
  </cols>
  <sheetData>
    <row r="1">
      <c r="A1" s="1" t="inlineStr">
        <is>
          <t>Summary</t>
        </is>
      </c>
      <c r="B1" s="1" t="inlineStr">
        <is>
          <t>Description</t>
        </is>
      </c>
      <c r="C1" s="1" t="inlineStr">
        <is>
          <t>State</t>
        </is>
      </c>
    </row>
    <row r="2">
      <c r="A2" s="2" t="inlineStr">
        <is>
          <t>Onboarding: Alicia Fernandez</t>
        </is>
      </c>
      <c r="B2" s="2" t="inlineStr">
        <is>
          <t>New hire Alicia Fernandez | Frontend Developer | Engineering | Manager David Okonkwo | Start 2026-03-24 | Location Austin</t>
        </is>
      </c>
      <c r="C2" s="2" t="inlineStr">
        <is>
          <t>DRAFT_NOT_CREATED</t>
        </is>
      </c>
    </row>
    <row r="3">
      <c r="A3" s="2" t="inlineStr">
        <is>
          <t>Onboarding: Tyrone Washington</t>
        </is>
      </c>
      <c r="B3" s="2" t="inlineStr">
        <is>
          <t>New hire Tyrone Washington | Account Executive | Sales | Manager Lisa Wang | Start 2026-03-25 | Location Remote</t>
        </is>
      </c>
      <c r="C3" s="2" t="inlineStr">
        <is>
          <t>DRAFT_NOT_CREATED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8" customWidth="1" min="3" max="3"/>
    <col width="18" customWidth="1" min="4" max="4"/>
    <col width="24" customWidth="1" min="5" max="5"/>
    <col width="24" customWidth="1" min="6" max="6"/>
  </cols>
  <sheetData>
    <row r="1">
      <c r="A1" s="1" t="inlineStr">
        <is>
          <t>New Hire</t>
        </is>
      </c>
      <c r="B1" s="1" t="inlineStr">
        <is>
          <t>To</t>
        </is>
      </c>
      <c r="C1" s="1" t="inlineStr">
        <is>
          <t>Start Date</t>
        </is>
      </c>
      <c r="D1" s="1" t="inlineStr">
        <is>
          <t>Location</t>
        </is>
      </c>
      <c r="E1" s="1" t="inlineStr">
        <is>
          <t>Manager</t>
        </is>
      </c>
      <c r="F1" s="1" t="inlineStr">
        <is>
          <t>State</t>
        </is>
      </c>
    </row>
    <row r="2">
      <c r="A2" s="2" t="inlineStr">
        <is>
          <t>Alicia Fernandez</t>
        </is>
      </c>
      <c r="B2" s="2" t="inlineStr">
        <is>
          <t>alicia.fernandez@company.example.com</t>
        </is>
      </c>
      <c r="C2" s="3" t="n">
        <v>46105</v>
      </c>
      <c r="D2" s="2" t="inlineStr">
        <is>
          <t>Austin</t>
        </is>
      </c>
      <c r="E2" s="2" t="inlineStr">
        <is>
          <t>David Okonkwo</t>
        </is>
      </c>
      <c r="F2" s="2" t="inlineStr">
        <is>
          <t>DRAFT_NOT_SENT</t>
        </is>
      </c>
    </row>
    <row r="3">
      <c r="A3" s="2" t="inlineStr">
        <is>
          <t>Tyrone Washington</t>
        </is>
      </c>
      <c r="B3" s="2" t="inlineStr">
        <is>
          <t>tyrone.washington@company.example.com</t>
        </is>
      </c>
      <c r="C3" s="3" t="n">
        <v>46106</v>
      </c>
      <c r="D3" s="2" t="inlineStr">
        <is>
          <t>Remote</t>
        </is>
      </c>
      <c r="E3" s="2" t="inlineStr">
        <is>
          <t>Lisa Wang</t>
        </is>
      </c>
      <c r="F3" s="2" t="inlineStr">
        <is>
          <t>DRAFT_NOT_SENT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52" customWidth="1" min="4" max="4"/>
  </cols>
  <sheetData>
    <row r="1">
      <c r="A1" s="1" t="inlineStr">
        <is>
          <t>Manager</t>
        </is>
      </c>
      <c r="B1" s="1" t="inlineStr">
        <is>
          <t>Profile Created</t>
        </is>
      </c>
      <c r="C1" s="1" t="inlineStr">
        <is>
          <t>Welcome Email</t>
        </is>
      </c>
      <c r="D1" s="1" t="inlineStr">
        <is>
          <t>Reason</t>
        </is>
      </c>
    </row>
    <row r="2">
      <c r="A2" s="2" t="inlineStr">
        <is>
          <t>David Okonkwo</t>
        </is>
      </c>
      <c r="B2" s="2" t="n">
        <v>0</v>
      </c>
      <c r="C2" s="2" t="n">
        <v>0</v>
      </c>
      <c r="D2" s="2" t="inlineStr">
        <is>
          <t>Manager field; not a new hire</t>
        </is>
      </c>
    </row>
    <row r="3">
      <c r="A3" s="2" t="inlineStr">
        <is>
          <t>Lisa Wang</t>
        </is>
      </c>
      <c r="B3" s="2" t="n">
        <v>0</v>
      </c>
      <c r="C3" s="2" t="n">
        <v>0</v>
      </c>
      <c r="D3" s="2" t="inlineStr">
        <is>
          <t>Manager field; not a new hire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New Hire</t>
        </is>
      </c>
      <c r="B1" s="1" t="inlineStr">
        <is>
          <t>Bamboo</t>
        </is>
      </c>
      <c r="C1" s="1" t="inlineStr">
        <is>
          <t>Drive</t>
        </is>
      </c>
      <c r="D1" s="1" t="inlineStr">
        <is>
          <t>Jira</t>
        </is>
      </c>
      <c r="E1" s="1" t="inlineStr">
        <is>
          <t>Welcome</t>
        </is>
      </c>
      <c r="F1" s="1" t="inlineStr">
        <is>
          <t>Matched</t>
        </is>
      </c>
    </row>
    <row r="2">
      <c r="A2" s="2" t="inlineStr">
        <is>
          <t>Alicia Fernandez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inlineStr">
        <is>
          <t>YES</t>
        </is>
      </c>
    </row>
    <row r="3">
      <c r="A3" s="2" t="inlineStr">
        <is>
          <t>Tyrone Washington</t>
        </is>
      </c>
      <c r="B3" s="2" t="n">
        <v>1</v>
      </c>
      <c r="C3" s="2" t="n">
        <v>1</v>
      </c>
      <c r="D3" s="2" t="n">
        <v>1</v>
      </c>
      <c r="E3" s="2" t="n">
        <v>1</v>
      </c>
      <c r="F3" s="2" t="inlineStr">
        <is>
          <t>YES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1" t="inlineStr">
        <is>
          <t>New Hire</t>
        </is>
      </c>
      <c r="B1" s="1" t="inlineStr">
        <is>
          <t>Profile</t>
        </is>
      </c>
      <c r="C1" s="1" t="inlineStr">
        <is>
          <t>Folder</t>
        </is>
      </c>
      <c r="D1" s="1" t="inlineStr">
        <is>
          <t>Ticket</t>
        </is>
      </c>
      <c r="E1" s="1" t="inlineStr">
        <is>
          <t>Email</t>
        </is>
      </c>
      <c r="F1" s="1" t="inlineStr">
        <is>
          <t>Execution</t>
        </is>
      </c>
    </row>
    <row r="2">
      <c r="A2" s="2" t="inlineStr">
        <is>
          <t>Alicia Fernandez</t>
        </is>
      </c>
      <c r="B2" s="2" t="inlineStr">
        <is>
          <t>DRAFT</t>
        </is>
      </c>
      <c r="C2" s="2" t="inlineStr">
        <is>
          <t>DRAFT</t>
        </is>
      </c>
      <c r="D2" s="2" t="inlineStr">
        <is>
          <t>DRAFT</t>
        </is>
      </c>
      <c r="E2" s="2" t="inlineStr">
        <is>
          <t>DRAFT</t>
        </is>
      </c>
      <c r="F2" s="2" t="inlineStr">
        <is>
          <t>NOT_EXECUTED</t>
        </is>
      </c>
    </row>
    <row r="3">
      <c r="A3" s="2" t="inlineStr">
        <is>
          <t>Tyrone Washington</t>
        </is>
      </c>
      <c r="B3" s="2" t="inlineStr">
        <is>
          <t>DRAFT</t>
        </is>
      </c>
      <c r="C3" s="2" t="inlineStr">
        <is>
          <t>DRAFT</t>
        </is>
      </c>
      <c r="D3" s="2" t="inlineStr">
        <is>
          <t>DRAFT</t>
        </is>
      </c>
      <c r="E3" s="2" t="inlineStr">
        <is>
          <t>DRAFT</t>
        </is>
      </c>
      <c r="F3" s="2" t="inlineStr">
        <is>
          <t>NOT_EXECUTED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76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State</t>
        </is>
      </c>
    </row>
    <row r="2">
      <c r="A2" s="2" t="inlineStr">
        <is>
          <t>New hires</t>
        </is>
      </c>
      <c r="B2" s="2" t="n">
        <v>2</v>
      </c>
      <c r="C2" s="2" t="inlineStr">
        <is>
          <t>Alicia; Tyrone</t>
        </is>
      </c>
    </row>
    <row r="3">
      <c r="A3" s="2" t="inlineStr">
        <is>
          <t>BambooHR profile drafts</t>
        </is>
      </c>
      <c r="B3" s="2" t="n">
        <v>2</v>
      </c>
      <c r="C3" s="2" t="inlineStr">
        <is>
          <t>NOT_CREATED</t>
        </is>
      </c>
    </row>
    <row r="4">
      <c r="A4" s="2" t="inlineStr">
        <is>
          <t>Drive folder drafts</t>
        </is>
      </c>
      <c r="B4" s="2" t="n">
        <v>2</v>
      </c>
      <c r="C4" s="2" t="inlineStr">
        <is>
          <t>NOT_CREATED</t>
        </is>
      </c>
    </row>
    <row r="5">
      <c r="A5" s="2" t="inlineStr">
        <is>
          <t>Jira ticket drafts</t>
        </is>
      </c>
      <c r="B5" s="2" t="n">
        <v>2</v>
      </c>
      <c r="C5" s="2" t="inlineStr">
        <is>
          <t>NOT_CREATED</t>
        </is>
      </c>
    </row>
    <row r="6">
      <c r="A6" s="2" t="inlineStr">
        <is>
          <t>Welcome email drafts</t>
        </is>
      </c>
      <c r="B6" s="2" t="n">
        <v>2</v>
      </c>
      <c r="C6" s="2" t="inlineStr">
        <is>
          <t>NOT_SENT</t>
        </is>
      </c>
    </row>
    <row r="7">
      <c r="A7" s="2" t="inlineStr">
        <is>
          <t>Manager actions</t>
        </is>
      </c>
      <c r="B7" s="2" t="n">
        <v>0</v>
      </c>
      <c r="C7" s="2" t="inlineStr">
        <is>
          <t>NONE</t>
        </is>
      </c>
    </row>
    <row r="8">
      <c r="A8" s="2" t="inlineStr">
        <is>
          <t>External actions executed</t>
        </is>
      </c>
      <c r="B8" s="2" t="n">
        <v>0</v>
      </c>
      <c r="C8" s="2" t="inlineStr">
        <is>
          <t>NONE</t>
        </is>
      </c>
    </row>
    <row r="9">
      <c r="A9" s="2" t="inlineStr">
        <is>
          <t>Real side effects</t>
        </is>
      </c>
      <c r="B9" s="2" t="n">
        <v>0</v>
      </c>
      <c r="C9" s="2" t="inlineStr">
        <is>
          <t>NONE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EvoCowork reference solution</dc:creator>
  <dc:title xmlns:dc="http://purl.org/dc/elements/1.1/">Multi-Application New Hire Onboarding Audit</dc:title>
  <dcterms:created xmlns:dcterms="http://purl.org/dc/terms/" xmlns:xsi="http://www.w3.org/2001/XMLSchema-instance" xsi:type="dcterms:W3CDTF">2026-04-15T09:00:00Z</dcterms:created>
  <dcterms:modified xmlns:dcterms="http://purl.org/dc/terms/" xmlns:xsi="http://www.w3.org/2001/XMLSchema-instance" xsi:type="dcterms:W3CDTF">2026-04-15T09:00:00Z</dcterms:modified>
</cp:coreProperties>
</file>