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Week" sheetId="1" state="visible" r:id="rId1"/>
    <sheet xmlns:r="http://schemas.openxmlformats.org/officeDocument/2006/relationships" name="Source_Convention" sheetId="2" state="visible" r:id="rId2"/>
    <sheet xmlns:r="http://schemas.openxmlformats.org/officeDocument/2006/relationships" name="Source_System_State" sheetId="3" state="visible" r:id="rId3"/>
    <sheet xmlns:r="http://schemas.openxmlformats.org/officeDocument/2006/relationships" name="Evidence_Register" sheetId="4" state="visible" r:id="rId4"/>
    <sheet xmlns:r="http://schemas.openxmlformats.org/officeDocument/2006/relationships" name="Scope_Decisions" sheetId="5" state="visible" r:id="rId5"/>
    <sheet xmlns:r="http://schemas.openxmlformats.org/officeDocument/2006/relationships" name="BambooHR_Drafts" sheetId="6" state="visible" r:id="rId6"/>
    <sheet xmlns:r="http://schemas.openxmlformats.org/officeDocument/2006/relationships" name="Jira_Drafts" sheetId="7" state="visible" r:id="rId7"/>
    <sheet xmlns:r="http://schemas.openxmlformats.org/officeDocument/2006/relationships" name="Payroll_Draft" sheetId="8" state="visible" r:id="rId8"/>
    <sheet xmlns:r="http://schemas.openxmlformats.org/officeDocument/2006/relationships" name="Tracker_Drafts" sheetId="9" state="visible" r:id="rId9"/>
    <sheet xmlns:r="http://schemas.openxmlformats.org/officeDocument/2006/relationships" name="Skipped_Employees" sheetId="10" state="visible" r:id="rId10"/>
    <sheet xmlns:r="http://schemas.openxmlformats.org/officeDocument/2006/relationships" name="Cross_System_Reconciliation" sheetId="11" state="visible" r:id="rId11"/>
    <sheet xmlns:r="http://schemas.openxmlformats.org/officeDocument/2006/relationships" name="Control_Summary" sheetId="12" state="visible" r:id="rId12"/>
  </sheets>
  <definedNames>
    <definedName name="_xlnm.Print_Area" localSheetId="0">'Source_Week'!$A$1:$H$4</definedName>
    <definedName name="_xlnm.Print_Area" localSheetId="1">'Source_Convention'!$A$1:$C$2</definedName>
    <definedName name="_xlnm.Print_Area" localSheetId="2">'Source_System_State'!$A$1:$C$3</definedName>
    <definedName name="_xlnm.Print_Area" localSheetId="3">'Evidence_Register'!$A$1:$C$4</definedName>
    <definedName name="_xlnm.Print_Area" localSheetId="4">'Scope_Decisions'!$A$1:$L$4</definedName>
    <definedName name="_xlnm.Print_Area" localSheetId="5">'BambooHR_Drafts'!$A$1:$F$3</definedName>
    <definedName name="_xlnm.Print_Area" localSheetId="6">'Jira_Drafts'!$A$1:$C$3</definedName>
    <definedName name="_xlnm.Print_Area" localSheetId="7">'Payroll_Draft'!$A$1:$E$2</definedName>
    <definedName name="_xlnm.Print_Area" localSheetId="8">'Tracker_Drafts'!$A$1:$F$3</definedName>
    <definedName name="_xlnm.Print_Area" localSheetId="9">'Skipped_Employees'!$A$1:$F$2</definedName>
    <definedName name="_xlnm.Print_Area" localSheetId="10">'Cross_System_Reconciliation'!$A$1:$G$3</definedName>
    <definedName name="_xlnm.Print_Area" localSheetId="11">'Control_Summary'!$A$1:$C$10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  <sz val="9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Offboarding draft coverage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'Control_Summary'!$A$4:$A$8</f>
            </numRef>
          </cat>
          <val>
            <numRef>
              <f>'Control_Summary'!$B$4:$B$8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Week" displayName="SourceWeek" ref="A1:H4" headerRowCount="1">
  <autoFilter ref="A1:H4"/>
  <tableColumns count="8">
    <tableColumn id="1" name="Row"/>
    <tableColumn id="2" name="Employee"/>
    <tableColumn id="3" name="Employee ID"/>
    <tableColumn id="4" name="Email"/>
    <tableColumn id="5" name="Last Day"/>
    <tableColumn id="6" name="Type"/>
    <tableColumn id="7" name="PTO Remaining"/>
    <tableColumn id="8" name="Status"/>
  </tableColumns>
  <tableStyleInfo name="TableStyleMedium2" showRowStripes="1"/>
</table>
</file>

<file path=xl/tables/table2.xml><?xml version="1.0" encoding="utf-8"?>
<table xmlns="http://schemas.openxmlformats.org/spreadsheetml/2006/main" id="2" name="SourceConvention" displayName="SourceConvention" ref="A1:C2" headerRowCount="1">
  <autoFilter ref="A1:C2"/>
  <tableColumns count="3">
    <tableColumn id="1" name="Row"/>
    <tableColumn id="2" name="Outcome"/>
    <tableColumn id="3" name="Tracker Status"/>
  </tableColumns>
  <tableStyleInfo name="TableStyleMedium2" showRowStripes="1"/>
</table>
</file>

<file path=xl/tables/table3.xml><?xml version="1.0" encoding="utf-8"?>
<table xmlns="http://schemas.openxmlformats.org/spreadsheetml/2006/main" id="3" name="SourceSystemState" displayName="SourceSystemState" ref="A1:C3" headerRowCount="1">
  <autoFilter ref="A1:C3"/>
  <tableColumns count="3">
    <tableColumn id="1" name="System"/>
    <tableColumn id="2" name="Initial State"/>
    <tableColumn id="3" name="Action Boundary"/>
  </tableColumns>
  <tableStyleInfo name="TableStyleMedium2" showRowStripes="1"/>
</table>
</file>

<file path=xl/tables/table4.xml><?xml version="1.0" encoding="utf-8"?>
<table xmlns="http://schemas.openxmlformats.org/spreadsheetml/2006/main" id="4" name="EvidenceRegister" displayName="EvidenceRegister" ref="A1:C4" headerRowCount="1">
  <autoFilter ref="A1:C4"/>
  <tableColumns count="3">
    <tableColumn id="1" name="Evidence"/>
    <tableColumn id="2" name="Supports"/>
    <tableColumn id="3" name="SHA256"/>
  </tableColumns>
  <tableStyleInfo name="TableStyleMedium2" showRowStripes="1"/>
</table>
</file>

<file path=xl/tables/table5.xml><?xml version="1.0" encoding="utf-8"?>
<table xmlns="http://schemas.openxmlformats.org/spreadsheetml/2006/main" id="5" name="ScopeDecisions" displayName="ScopeDecisions" ref="A1:L4" headerRowCount="1">
  <autoFilter ref="A1:L4"/>
  <tableColumns count="12">
    <tableColumn id="1" name="Row"/>
    <tableColumn id="2" name="Employee"/>
    <tableColumn id="3" name="Employee ID"/>
    <tableColumn id="4" name="Email"/>
    <tableColumn id="5" name="Last Day"/>
    <tableColumn id="6" name="Type"/>
    <tableColumn id="7" name="PTO Remaining"/>
    <tableColumn id="8" name="Source Status"/>
    <tableColumn id="9" name="In Scope"/>
    <tableColumn id="10" name="Decision"/>
    <tableColumn id="11" name="Target Status"/>
    <tableColumn id="12" name="Trace"/>
  </tableColumns>
  <tableStyleInfo name="TableStyleMedium2" showRowStripes="1"/>
</table>
</file>

<file path=xl/tables/table6.xml><?xml version="1.0" encoding="utf-8"?>
<table xmlns="http://schemas.openxmlformats.org/spreadsheetml/2006/main" id="6" name="BambooDrafts" displayName="BambooDrafts" ref="A1:F3" headerRowCount="1">
  <autoFilter ref="A1:F3"/>
  <tableColumns count="6">
    <tableColumn id="1" name="Employee"/>
    <tableColumn id="2" name="Employee ID"/>
    <tableColumn id="3" name="Current"/>
    <tableColumn id="4" name="Target"/>
    <tableColumn id="5" name="Effective Date"/>
    <tableColumn id="6" name="State"/>
  </tableColumns>
  <tableStyleInfo name="TableStyleMedium2" showRowStripes="1"/>
</table>
</file>

<file path=xl/tables/table7.xml><?xml version="1.0" encoding="utf-8"?>
<table xmlns="http://schemas.openxmlformats.org/spreadsheetml/2006/main" id="7" name="JiraDrafts" displayName="JiraDrafts" ref="A1:C3" headerRowCount="1">
  <autoFilter ref="A1:C3"/>
  <tableColumns count="3">
    <tableColumn id="1" name="Summary"/>
    <tableColumn id="2" name="Description"/>
    <tableColumn id="3" name="State"/>
  </tableColumns>
  <tableStyleInfo name="TableStyleMedium2" showRowStripes="1"/>
</table>
</file>

<file path=xl/tables/table8.xml><?xml version="1.0" encoding="utf-8"?>
<table xmlns="http://schemas.openxmlformats.org/spreadsheetml/2006/main" id="8" name="PayrollDraft" displayName="PayrollDraft" ref="A1:E2" headerRowCount="1">
  <autoFilter ref="A1:E2"/>
  <tableColumns count="5">
    <tableColumn id="1" name="Recipient"/>
    <tableColumn id="2" name="Employees"/>
    <tableColumn id="3" name="Greg PTO"/>
    <tableColumn id="4" name="Ian PTO"/>
    <tableColumn id="5" name="State"/>
  </tableColumns>
  <tableStyleInfo name="TableStyleMedium2" showRowStripes="1"/>
</table>
</file>

<file path=xl/tables/table9.xml><?xml version="1.0" encoding="utf-8"?>
<table xmlns="http://schemas.openxmlformats.org/spreadsheetml/2006/main" id="9" name="TrackerDrafts" displayName="TrackerDrafts" ref="A1:F3" headerRowCount="1">
  <autoFilter ref="A1:F3"/>
  <tableColumns count="6">
    <tableColumn id="1" name="Row"/>
    <tableColumn id="2" name="Employee"/>
    <tableColumn id="3" name="Employee ID"/>
    <tableColumn id="4" name="Previous"/>
    <tableColumn id="5" name="Target"/>
    <tableColumn id="6" name="Applied"/>
  </tableColumns>
  <tableStyleInfo name="TableStyleMedium2" showRowStripes="1"/>
</table>
</file>

<file path=xl/tables/table10.xml><?xml version="1.0" encoding="utf-8"?>
<table xmlns="http://schemas.openxmlformats.org/spreadsheetml/2006/main" id="10" name="SkippedEmployees" displayName="SkippedEmployees" ref="A1:F2" headerRowCount="1">
  <autoFilter ref="A1:F2"/>
  <tableColumns count="6">
    <tableColumn id="1" name="Employee"/>
    <tableColumn id="2" name="Employee ID"/>
    <tableColumn id="3" name="Last Day"/>
    <tableColumn id="4" name="Source Status"/>
    <tableColumn id="5" name="Decision"/>
    <tableColumn id="6" name="Reason"/>
  </tableColumns>
  <tableStyleInfo name="TableStyleMedium2" showRowStripes="1"/>
</table>
</file>

<file path=xl/tables/table11.xml><?xml version="1.0" encoding="utf-8"?>
<table xmlns="http://schemas.openxmlformats.org/spreadsheetml/2006/main" id="11" name="CrossSystemReconciliation" displayName="CrossSystemReconciliation" ref="A1:G3" headerRowCount="1">
  <autoFilter ref="A1:G3"/>
  <tableColumns count="7">
    <tableColumn id="1" name="Employee"/>
    <tableColumn id="2" name="Employee ID"/>
    <tableColumn id="3" name="Bamboo"/>
    <tableColumn id="4" name="Jira"/>
    <tableColumn id="5" name="Payroll"/>
    <tableColumn id="6" name="Tracker"/>
    <tableColumn id="7" name="Matched"/>
  </tableColumns>
  <tableStyleInfo name="TableStyleMedium2" showRowStripes="1"/>
</table>
</file>

<file path=xl/tables/table12.xml><?xml version="1.0" encoding="utf-8"?>
<table xmlns="http://schemas.openxmlformats.org/spreadsheetml/2006/main" id="12" name="ControlSummary" displayName="ControlSummary" ref="A1:C10" headerRowCount="1">
  <autoFilter ref="A1:C10"/>
  <tableColumns count="3">
    <tableColumn id="1" name="Metric"/>
    <tableColumn id="2" name="Count"/>
    <tableColumn id="3" name="St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42" customWidth="1" min="4" max="4"/>
    <col width="18" customWidth="1" min="5" max="5"/>
    <col width="18" customWidth="1" min="6" max="6"/>
    <col width="22" customWidth="1" min="7" max="7"/>
    <col width="18" customWidth="1" min="8" max="8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Employee ID</t>
        </is>
      </c>
      <c r="D1" s="1" t="inlineStr">
        <is>
          <t>Email</t>
        </is>
      </c>
      <c r="E1" s="1" t="inlineStr">
        <is>
          <t>Last Day</t>
        </is>
      </c>
      <c r="F1" s="1" t="inlineStr">
        <is>
          <t>Type</t>
        </is>
      </c>
      <c r="G1" s="1" t="inlineStr">
        <is>
          <t>PTO Remaining</t>
        </is>
      </c>
      <c r="H1" s="1" t="inlineStr">
        <is>
          <t>Status</t>
        </is>
      </c>
    </row>
    <row r="2">
      <c r="A2" s="2" t="n">
        <v>2</v>
      </c>
      <c r="B2" s="2" t="inlineStr">
        <is>
          <t>Greg Foster</t>
        </is>
      </c>
      <c r="C2" s="2" t="inlineStr">
        <is>
          <t>EMP-2001</t>
        </is>
      </c>
      <c r="D2" s="2" t="inlineStr">
        <is>
          <t>greg.foster@company.example.com</t>
        </is>
      </c>
      <c r="E2" s="3" t="n">
        <v>46102</v>
      </c>
      <c r="F2" s="2" t="inlineStr">
        <is>
          <t>Voluntary</t>
        </is>
      </c>
      <c r="G2" s="2" t="inlineStr">
        <is>
          <t>5 days</t>
        </is>
      </c>
      <c r="H2" s="2" t="inlineStr">
        <is>
          <t>Pending</t>
        </is>
      </c>
    </row>
    <row r="3">
      <c r="A3" s="2" t="n">
        <v>3</v>
      </c>
      <c r="B3" s="2" t="inlineStr">
        <is>
          <t>Ian Costa</t>
        </is>
      </c>
      <c r="C3" s="2" t="inlineStr">
        <is>
          <t>EMP-2004</t>
        </is>
      </c>
      <c r="D3" s="2" t="inlineStr">
        <is>
          <t>ian.costa@company.example.com</t>
        </is>
      </c>
      <c r="E3" s="3" t="n">
        <v>46101</v>
      </c>
      <c r="F3" s="2" t="inlineStr">
        <is>
          <t>Voluntary</t>
        </is>
      </c>
      <c r="G3" s="2" t="inlineStr">
        <is>
          <t>0 days</t>
        </is>
      </c>
      <c r="H3" s="2" t="inlineStr">
        <is>
          <t>Pending</t>
        </is>
      </c>
    </row>
    <row r="4">
      <c r="A4" s="2" t="n">
        <v>4</v>
      </c>
      <c r="B4" s="2" t="inlineStr">
        <is>
          <t>Nadia Petrova</t>
        </is>
      </c>
      <c r="C4" s="2" t="inlineStr">
        <is>
          <t>EMP-2005</t>
        </is>
      </c>
      <c r="D4" s="2" t="inlineStr">
        <is>
          <t>nadia.petrova@company.example.com</t>
        </is>
      </c>
      <c r="E4" s="3" t="n">
        <v>46117</v>
      </c>
      <c r="F4" s="2" t="inlineStr">
        <is>
          <t>Voluntary</t>
        </is>
      </c>
      <c r="G4" s="2" t="inlineStr">
        <is>
          <t>3 days</t>
        </is>
      </c>
      <c r="H4" s="2" t="inlineStr">
        <is>
          <t>Pending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4" customWidth="1" min="2" max="2"/>
    <col width="24" customWidth="1" min="3" max="3"/>
  </cols>
  <sheetData>
    <row r="1">
      <c r="A1" s="1" t="inlineStr">
        <is>
          <t>Row</t>
        </is>
      </c>
      <c r="B1" s="1" t="inlineStr">
        <is>
          <t>Outcome</t>
        </is>
      </c>
      <c r="C1" s="1" t="inlineStr">
        <is>
          <t>Tracker Status</t>
        </is>
      </c>
    </row>
    <row r="2">
      <c r="A2" s="2" t="n">
        <v>2</v>
      </c>
      <c r="B2" s="2" t="inlineStr">
        <is>
          <t>All required offboarding actions completed</t>
        </is>
      </c>
      <c r="C2" s="2" t="inlineStr">
        <is>
          <t>Processed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44" customWidth="1" min="3" max="3"/>
  </cols>
  <sheetData>
    <row r="1">
      <c r="A1" s="1" t="inlineStr">
        <is>
          <t>System</t>
        </is>
      </c>
      <c r="B1" s="1" t="inlineStr">
        <is>
          <t>Initial State</t>
        </is>
      </c>
      <c r="C1" s="1" t="inlineStr">
        <is>
          <t>Action Boundary</t>
        </is>
      </c>
    </row>
    <row r="2">
      <c r="A2" s="2" t="inlineStr">
        <is>
          <t>BambooHR</t>
        </is>
      </c>
      <c r="B2" s="2" t="inlineStr">
        <is>
          <t>No actions</t>
        </is>
      </c>
      <c r="C2" s="2" t="inlineStr">
        <is>
          <t>Draft only</t>
        </is>
      </c>
    </row>
    <row r="3">
      <c r="A3" s="2" t="inlineStr">
        <is>
          <t>Jira</t>
        </is>
      </c>
      <c r="B3" s="2" t="inlineStr">
        <is>
          <t>No actions</t>
        </is>
      </c>
      <c r="C3" s="2" t="inlineStr">
        <is>
          <t>Draft only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54" customWidth="1" min="2" max="2"/>
    <col width="68" customWidth="1" min="3" max="3"/>
  </cols>
  <sheetData>
    <row r="1">
      <c r="A1" s="1" t="inlineStr">
        <is>
          <t>Evidence</t>
        </is>
      </c>
      <c r="B1" s="1" t="inlineStr">
        <is>
          <t>Supports</t>
        </is>
      </c>
      <c r="C1" s="1" t="inlineStr">
        <is>
          <t>SHA256</t>
        </is>
      </c>
    </row>
    <row r="2">
      <c r="A2" s="2" t="inlineStr">
        <is>
          <t>Initial_Application_State.json</t>
        </is>
      </c>
      <c r="B2" s="2" t="inlineStr">
        <is>
          <t>Frozen AutomationBench 5070 source</t>
        </is>
      </c>
      <c r="C2" s="2" t="inlineStr">
        <is>
          <t>ae2fb67332f1613150faaf09df20b906be87de8609382b7d4482fcc1e3a1e1dc</t>
        </is>
      </c>
    </row>
    <row r="3">
      <c r="A3" s="2" t="inlineStr">
        <is>
          <t>Offboarding_Master.xlsx</t>
        </is>
      </c>
      <c r="B3" s="2" t="inlineStr">
        <is>
          <t>Frozen AutomationBench 5070 source</t>
        </is>
      </c>
      <c r="C3" s="2" t="inlineStr">
        <is>
          <t>bf25180c05172e57d11eefc87a0f522ea18384f645b3426f857e641d548dd742</t>
        </is>
      </c>
    </row>
    <row r="4">
      <c r="A4" s="2" t="inlineStr">
        <is>
          <t>Workflow_Context.json</t>
        </is>
      </c>
      <c r="B4" s="2" t="inlineStr">
        <is>
          <t>Frozen AutomationBench 5070 source</t>
        </is>
      </c>
      <c r="C4" s="2" t="inlineStr">
        <is>
          <t>a11d79dcd287ae48fed36f167220293cf0a95200000012e2135aa9b9abe5e476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42" customWidth="1" min="4" max="4"/>
    <col width="18" customWidth="1" min="5" max="5"/>
    <col width="18" customWidth="1" min="6" max="6"/>
    <col width="22" customWidth="1" min="7" max="7"/>
    <col width="18" customWidth="1" min="8" max="8"/>
    <col width="16" customWidth="1" min="9" max="9"/>
    <col width="26" customWidth="1" min="10" max="10"/>
    <col width="20" customWidth="1" min="11" max="11"/>
    <col width="112" customWidth="1" min="12" max="12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Employee ID</t>
        </is>
      </c>
      <c r="D1" s="1" t="inlineStr">
        <is>
          <t>Email</t>
        </is>
      </c>
      <c r="E1" s="1" t="inlineStr">
        <is>
          <t>Last Day</t>
        </is>
      </c>
      <c r="F1" s="1" t="inlineStr">
        <is>
          <t>Type</t>
        </is>
      </c>
      <c r="G1" s="1" t="inlineStr">
        <is>
          <t>PTO Remaining</t>
        </is>
      </c>
      <c r="H1" s="1" t="inlineStr">
        <is>
          <t>Source Status</t>
        </is>
      </c>
      <c r="I1" s="1" t="inlineStr">
        <is>
          <t>In Scope</t>
        </is>
      </c>
      <c r="J1" s="1" t="inlineStr">
        <is>
          <t>Decision</t>
        </is>
      </c>
      <c r="K1" s="1" t="inlineStr">
        <is>
          <t>Target Status</t>
        </is>
      </c>
      <c r="L1" s="1" t="inlineStr">
        <is>
          <t>Trace</t>
        </is>
      </c>
    </row>
    <row r="2">
      <c r="A2" s="2">
        <f>Source_Week!A2</f>
        <v/>
      </c>
      <c r="B2" s="2">
        <f>Source_Week!B2</f>
        <v/>
      </c>
      <c r="C2" s="2">
        <f>Source_Week!C2</f>
        <v/>
      </c>
      <c r="D2" s="2">
        <f>Source_Week!D2</f>
        <v/>
      </c>
      <c r="E2" s="2">
        <f>Source_Week!E2</f>
        <v/>
      </c>
      <c r="F2" s="2">
        <f>Source_Week!F2</f>
        <v/>
      </c>
      <c r="G2" s="2">
        <f>Source_Week!G2</f>
        <v/>
      </c>
      <c r="H2" s="2">
        <f>Source_Week!H2</f>
        <v/>
      </c>
      <c r="I2" s="2">
        <f>IF(AND(E2&gt;=DATE(2026,3,18),E2&lt;=DATE(2026,3,22)),"YES","NO")</f>
        <v/>
      </c>
      <c r="J2" s="2">
        <f>IF(I2="YES","PROCESS_OFFBOARDING","SKIP_OUT_OF_SCOPE")</f>
        <v/>
      </c>
      <c r="K2" s="2">
        <f>IF(I2="YES","Processed",H2)</f>
        <v/>
      </c>
      <c r="L2" s="2">
        <f>"employee_id="&amp;C2&amp;"|last_day="&amp;TEXT(E2,"yyyy-mm-dd")&amp;"|pto="&amp;G2&amp;"|decision="&amp;J2&amp;"|target="&amp;K2</f>
        <v/>
      </c>
    </row>
    <row r="3">
      <c r="A3" s="2">
        <f>Source_Week!A3</f>
        <v/>
      </c>
      <c r="B3" s="2">
        <f>Source_Week!B3</f>
        <v/>
      </c>
      <c r="C3" s="2">
        <f>Source_Week!C3</f>
        <v/>
      </c>
      <c r="D3" s="2">
        <f>Source_Week!D3</f>
        <v/>
      </c>
      <c r="E3" s="2">
        <f>Source_Week!E3</f>
        <v/>
      </c>
      <c r="F3" s="2">
        <f>Source_Week!F3</f>
        <v/>
      </c>
      <c r="G3" s="2">
        <f>Source_Week!G3</f>
        <v/>
      </c>
      <c r="H3" s="2">
        <f>Source_Week!H3</f>
        <v/>
      </c>
      <c r="I3" s="2">
        <f>IF(AND(E3&gt;=DATE(2026,3,18),E3&lt;=DATE(2026,3,22)),"YES","NO")</f>
        <v/>
      </c>
      <c r="J3" s="2">
        <f>IF(I3="YES","PROCESS_OFFBOARDING","SKIP_OUT_OF_SCOPE")</f>
        <v/>
      </c>
      <c r="K3" s="2">
        <f>IF(I3="YES","Processed",H3)</f>
        <v/>
      </c>
      <c r="L3" s="2">
        <f>"employee_id="&amp;C3&amp;"|last_day="&amp;TEXT(E3,"yyyy-mm-dd")&amp;"|pto="&amp;G3&amp;"|decision="&amp;J3&amp;"|target="&amp;K3</f>
        <v/>
      </c>
    </row>
    <row r="4">
      <c r="A4" s="2">
        <f>Source_Week!A4</f>
        <v/>
      </c>
      <c r="B4" s="2">
        <f>Source_Week!B4</f>
        <v/>
      </c>
      <c r="C4" s="2">
        <f>Source_Week!C4</f>
        <v/>
      </c>
      <c r="D4" s="2">
        <f>Source_Week!D4</f>
        <v/>
      </c>
      <c r="E4" s="2">
        <f>Source_Week!E4</f>
        <v/>
      </c>
      <c r="F4" s="2">
        <f>Source_Week!F4</f>
        <v/>
      </c>
      <c r="G4" s="2">
        <f>Source_Week!G4</f>
        <v/>
      </c>
      <c r="H4" s="2">
        <f>Source_Week!H4</f>
        <v/>
      </c>
      <c r="I4" s="2">
        <f>IF(AND(E4&gt;=DATE(2026,3,18),E4&lt;=DATE(2026,3,22)),"YES","NO")</f>
        <v/>
      </c>
      <c r="J4" s="2">
        <f>IF(I4="YES","PROCESS_OFFBOARDING","SKIP_OUT_OF_SCOPE")</f>
        <v/>
      </c>
      <c r="K4" s="2">
        <f>IF(I4="YES","Processed",H4)</f>
        <v/>
      </c>
      <c r="L4" s="2">
        <f>"employee_id="&amp;C4&amp;"|last_day="&amp;TEXT(E4,"yyyy-mm-dd")&amp;"|pto="&amp;G4&amp;"|decision="&amp;J4&amp;"|target="&amp;K4</f>
        <v/>
      </c>
    </row>
  </sheetData>
  <conditionalFormatting sqref="I2:I4">
    <cfRule type="expression" priority="1" dxfId="0">
      <formula>I2="YES"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20" customWidth="1" min="5" max="5"/>
    <col width="28" customWidth="1" min="6" max="6"/>
  </cols>
  <sheetData>
    <row r="1">
      <c r="A1" s="1" t="inlineStr">
        <is>
          <t>Employee</t>
        </is>
      </c>
      <c r="B1" s="1" t="inlineStr">
        <is>
          <t>Employee ID</t>
        </is>
      </c>
      <c r="C1" s="1" t="inlineStr">
        <is>
          <t>Current</t>
        </is>
      </c>
      <c r="D1" s="1" t="inlineStr">
        <is>
          <t>Target</t>
        </is>
      </c>
      <c r="E1" s="1" t="inlineStr">
        <is>
          <t>Effective Date</t>
        </is>
      </c>
      <c r="F1" s="1" t="inlineStr">
        <is>
          <t>State</t>
        </is>
      </c>
    </row>
    <row r="2">
      <c r="A2" s="2" t="inlineStr">
        <is>
          <t>Greg Foster</t>
        </is>
      </c>
      <c r="B2" s="2" t="inlineStr">
        <is>
          <t>EMP-2001</t>
        </is>
      </c>
      <c r="C2" s="2" t="inlineStr">
        <is>
          <t>Pending</t>
        </is>
      </c>
      <c r="D2" s="2" t="inlineStr">
        <is>
          <t>Inactive</t>
        </is>
      </c>
      <c r="E2" s="2" t="inlineStr">
        <is>
          <t>2026-03-21</t>
        </is>
      </c>
      <c r="F2" s="2" t="inlineStr">
        <is>
          <t>DRAFT_NOT_APPLIED</t>
        </is>
      </c>
    </row>
    <row r="3">
      <c r="A3" s="2" t="inlineStr">
        <is>
          <t>Ian Costa</t>
        </is>
      </c>
      <c r="B3" s="2" t="inlineStr">
        <is>
          <t>EMP-2004</t>
        </is>
      </c>
      <c r="C3" s="2" t="inlineStr">
        <is>
          <t>Pending</t>
        </is>
      </c>
      <c r="D3" s="2" t="inlineStr">
        <is>
          <t>Inactive</t>
        </is>
      </c>
      <c r="E3" s="2" t="inlineStr">
        <is>
          <t>2026-03-20</t>
        </is>
      </c>
      <c r="F3" s="2" t="inlineStr">
        <is>
          <t>DRAFT_NOT_APPLIED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16" customWidth="1" min="2" max="2"/>
    <col width="28" customWidth="1" min="3" max="3"/>
  </cols>
  <sheetData>
    <row r="1">
      <c r="A1" s="1" t="inlineStr">
        <is>
          <t>Summary</t>
        </is>
      </c>
      <c r="B1" s="1" t="inlineStr">
        <is>
          <t>Description</t>
        </is>
      </c>
      <c r="C1" s="1" t="inlineStr">
        <is>
          <t>State</t>
        </is>
      </c>
    </row>
    <row r="2">
      <c r="A2" s="2" t="inlineStr">
        <is>
          <t>Revoke access for Greg Foster (EMP-2001)</t>
        </is>
      </c>
      <c r="B2" s="2" t="inlineStr">
        <is>
          <t>Revoke company-system access for Greg Foster (EMP-2001) after the last day 2026-03-21. Offboarding type: Voluntary.</t>
        </is>
      </c>
      <c r="C2" s="2" t="inlineStr">
        <is>
          <t>DRAFT_NOT_CREATED</t>
        </is>
      </c>
    </row>
    <row r="3">
      <c r="A3" s="2" t="inlineStr">
        <is>
          <t>Revoke access for Ian Costa (EMP-2004)</t>
        </is>
      </c>
      <c r="B3" s="2" t="inlineStr">
        <is>
          <t>Revoke company-system access for Ian Costa (EMP-2004) after the last day 2026-03-20. Offboarding type: Voluntary.</t>
        </is>
      </c>
      <c r="C3" s="2" t="inlineStr">
        <is>
          <t>DRAFT_NOT_CREATED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8" customWidth="1" min="3" max="3"/>
    <col width="18" customWidth="1" min="4" max="4"/>
    <col width="26" customWidth="1" min="5" max="5"/>
  </cols>
  <sheetData>
    <row r="1">
      <c r="A1" s="1" t="inlineStr">
        <is>
          <t>Recipient</t>
        </is>
      </c>
      <c r="B1" s="1" t="inlineStr">
        <is>
          <t>Employees</t>
        </is>
      </c>
      <c r="C1" s="1" t="inlineStr">
        <is>
          <t>Greg PTO</t>
        </is>
      </c>
      <c r="D1" s="1" t="inlineStr">
        <is>
          <t>Ian PTO</t>
        </is>
      </c>
      <c r="E1" s="1" t="inlineStr">
        <is>
          <t>State</t>
        </is>
      </c>
    </row>
    <row r="2">
      <c r="A2" s="2" t="inlineStr">
        <is>
          <t>payroll@company.example.com</t>
        </is>
      </c>
      <c r="B2" s="2" t="inlineStr">
        <is>
          <t>Greg Foster; Ian Costa</t>
        </is>
      </c>
      <c r="C2" s="2" t="inlineStr">
        <is>
          <t>5 days</t>
        </is>
      </c>
      <c r="D2" s="2" t="inlineStr">
        <is>
          <t>0 days</t>
        </is>
      </c>
      <c r="E2" s="2" t="inlineStr">
        <is>
          <t>DRAFT_NOT_SENT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Employee ID</t>
        </is>
      </c>
      <c r="D1" s="1" t="inlineStr">
        <is>
          <t>Previous</t>
        </is>
      </c>
      <c r="E1" s="1" t="inlineStr">
        <is>
          <t>Target</t>
        </is>
      </c>
      <c r="F1" s="1" t="inlineStr">
        <is>
          <t>Applied</t>
        </is>
      </c>
    </row>
    <row r="2">
      <c r="A2" s="2" t="n">
        <v>2</v>
      </c>
      <c r="B2" s="2" t="inlineStr">
        <is>
          <t>Greg Foster</t>
        </is>
      </c>
      <c r="C2" s="2" t="inlineStr">
        <is>
          <t>EMP-2001</t>
        </is>
      </c>
      <c r="D2" s="2" t="inlineStr">
        <is>
          <t>Pending</t>
        </is>
      </c>
      <c r="E2" s="2" t="inlineStr">
        <is>
          <t>Processed</t>
        </is>
      </c>
      <c r="F2" s="2" t="b">
        <v>0</v>
      </c>
    </row>
    <row r="3">
      <c r="A3" s="2" t="n">
        <v>3</v>
      </c>
      <c r="B3" s="2" t="inlineStr">
        <is>
          <t>Ian Costa</t>
        </is>
      </c>
      <c r="C3" s="2" t="inlineStr">
        <is>
          <t>EMP-2004</t>
        </is>
      </c>
      <c r="D3" s="2" t="inlineStr">
        <is>
          <t>Pending</t>
        </is>
      </c>
      <c r="E3" s="2" t="inlineStr">
        <is>
          <t>Processed</t>
        </is>
      </c>
      <c r="F3" s="2" t="b">
        <v>0</v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20" customWidth="1" min="4" max="4"/>
    <col width="26" customWidth="1" min="5" max="5"/>
    <col width="52" customWidth="1" min="6" max="6"/>
  </cols>
  <sheetData>
    <row r="1">
      <c r="A1" s="1" t="inlineStr">
        <is>
          <t>Employee</t>
        </is>
      </c>
      <c r="B1" s="1" t="inlineStr">
        <is>
          <t>Employee ID</t>
        </is>
      </c>
      <c r="C1" s="1" t="inlineStr">
        <is>
          <t>Last Day</t>
        </is>
      </c>
      <c r="D1" s="1" t="inlineStr">
        <is>
          <t>Source Status</t>
        </is>
      </c>
      <c r="E1" s="1" t="inlineStr">
        <is>
          <t>Decision</t>
        </is>
      </c>
      <c r="F1" s="1" t="inlineStr">
        <is>
          <t>Reason</t>
        </is>
      </c>
    </row>
    <row r="2">
      <c r="A2" s="2" t="inlineStr">
        <is>
          <t>Nadia Petrova</t>
        </is>
      </c>
      <c r="B2" s="2" t="inlineStr">
        <is>
          <t>EMP-2005</t>
        </is>
      </c>
      <c r="C2" s="3" t="n">
        <v>46117</v>
      </c>
      <c r="D2" s="2" t="inlineStr">
        <is>
          <t>Pending</t>
        </is>
      </c>
      <c r="E2" s="2" t="inlineStr">
        <is>
          <t>SKIP_OUT_OF_SCOPE</t>
        </is>
      </c>
      <c r="F2" s="2" t="inlineStr">
        <is>
          <t>Last day is after 2026-03-22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Employee</t>
        </is>
      </c>
      <c r="B1" s="1" t="inlineStr">
        <is>
          <t>Employee ID</t>
        </is>
      </c>
      <c r="C1" s="1" t="inlineStr">
        <is>
          <t>Bamboo</t>
        </is>
      </c>
      <c r="D1" s="1" t="inlineStr">
        <is>
          <t>Jira</t>
        </is>
      </c>
      <c r="E1" s="1" t="inlineStr">
        <is>
          <t>Payroll</t>
        </is>
      </c>
      <c r="F1" s="1" t="inlineStr">
        <is>
          <t>Tracker</t>
        </is>
      </c>
      <c r="G1" s="1" t="inlineStr">
        <is>
          <t>Matched</t>
        </is>
      </c>
    </row>
    <row r="2">
      <c r="A2" s="2" t="inlineStr">
        <is>
          <t>Greg Foster</t>
        </is>
      </c>
      <c r="B2" s="2" t="inlineStr">
        <is>
          <t>EMP-2001</t>
        </is>
      </c>
      <c r="C2" s="2" t="n">
        <v>1</v>
      </c>
      <c r="D2" s="2" t="n">
        <v>1</v>
      </c>
      <c r="E2" s="2" t="n">
        <v>1</v>
      </c>
      <c r="F2" s="2" t="n">
        <v>1</v>
      </c>
      <c r="G2" s="2" t="inlineStr">
        <is>
          <t>YES</t>
        </is>
      </c>
    </row>
    <row r="3">
      <c r="A3" s="2" t="inlineStr">
        <is>
          <t>Ian Costa</t>
        </is>
      </c>
      <c r="B3" s="2" t="inlineStr">
        <is>
          <t>EMP-2004</t>
        </is>
      </c>
      <c r="C3" s="2" t="n">
        <v>1</v>
      </c>
      <c r="D3" s="2" t="n">
        <v>1</v>
      </c>
      <c r="E3" s="2" t="n">
        <v>1</v>
      </c>
      <c r="F3" s="2" t="n">
        <v>1</v>
      </c>
      <c r="G3" s="2" t="inlineStr">
        <is>
          <t>YES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76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State</t>
        </is>
      </c>
    </row>
    <row r="2">
      <c r="A2" s="2" t="inlineStr">
        <is>
          <t>Employees reviewed</t>
        </is>
      </c>
      <c r="B2" s="2" t="n">
        <v>3</v>
      </c>
      <c r="C2" s="2" t="inlineStr">
        <is>
          <t>Greg; Ian; Nadia</t>
        </is>
      </c>
    </row>
    <row r="3">
      <c r="A3" s="2" t="inlineStr">
        <is>
          <t>Employees in scope</t>
        </is>
      </c>
      <c r="B3" s="2" t="n">
        <v>2</v>
      </c>
      <c r="C3" s="2" t="inlineStr">
        <is>
          <t>Greg; Ian</t>
        </is>
      </c>
    </row>
    <row r="4">
      <c r="A4" s="2" t="inlineStr">
        <is>
          <t>Employees skipped</t>
        </is>
      </c>
      <c r="B4" s="2" t="n">
        <v>1</v>
      </c>
      <c r="C4" s="2" t="inlineStr">
        <is>
          <t>Nadia: out of scope</t>
        </is>
      </c>
    </row>
    <row r="5">
      <c r="A5" s="2" t="inlineStr">
        <is>
          <t>BambooHR drafts</t>
        </is>
      </c>
      <c r="B5" s="2" t="n">
        <v>2</v>
      </c>
      <c r="C5" s="2" t="inlineStr">
        <is>
          <t>NOT_APPLIED</t>
        </is>
      </c>
    </row>
    <row r="6">
      <c r="A6" s="2" t="inlineStr">
        <is>
          <t>Jira drafts</t>
        </is>
      </c>
      <c r="B6" s="2" t="n">
        <v>2</v>
      </c>
      <c r="C6" s="2" t="inlineStr">
        <is>
          <t>NOT_CREATED</t>
        </is>
      </c>
    </row>
    <row r="7">
      <c r="A7" s="2" t="inlineStr">
        <is>
          <t>Payroll drafts</t>
        </is>
      </c>
      <c r="B7" s="2" t="n">
        <v>1</v>
      </c>
      <c r="C7" s="2" t="inlineStr">
        <is>
          <t>NOT_SENT</t>
        </is>
      </c>
    </row>
    <row r="8">
      <c r="A8" s="2" t="inlineStr">
        <is>
          <t>Tracker drafts</t>
        </is>
      </c>
      <c r="B8" s="2" t="n">
        <v>2</v>
      </c>
      <c r="C8" s="2" t="inlineStr">
        <is>
          <t>NOT_APPLIED</t>
        </is>
      </c>
    </row>
    <row r="9">
      <c r="A9" s="2" t="inlineStr">
        <is>
          <t>External actions executed</t>
        </is>
      </c>
      <c r="B9" s="2" t="n">
        <v>0</v>
      </c>
      <c r="C9" s="2" t="inlineStr">
        <is>
          <t>NONE</t>
        </is>
      </c>
    </row>
    <row r="10">
      <c r="A10" s="2" t="inlineStr">
        <is>
          <t>Real side effects</t>
        </is>
      </c>
      <c r="B10" s="2" t="n">
        <v>0</v>
      </c>
      <c r="C10" s="2" t="inlineStr">
        <is>
          <t>NONE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EvoCowork reference solution</dc:creator>
  <dc:title xmlns:dc="http://purl.org/dc/elements/1.1/">Multi-System Offboarding Audit</dc:title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