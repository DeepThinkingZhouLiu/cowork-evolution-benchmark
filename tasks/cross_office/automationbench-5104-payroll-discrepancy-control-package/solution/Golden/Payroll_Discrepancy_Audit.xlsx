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6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drawings/_rels/drawing6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3.xml" ContentType="application/vnd.openxmlformats-officedocument.spreadsheetml.table+xml"/>
  <Override PartName="/xl/tables/table1.xml" ContentType="application/vnd.openxmlformats-officedocument.spreadsheetml.table+xml"/>
  <Override PartName="/xl/tables/table4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ource_Cases" sheetId="1" state="visible" r:id="rId2"/>
    <sheet name="Source_Policy" sheetId="2" state="visible" r:id="rId3"/>
    <sheet name="Evidence_Register" sheetId="3" state="visible" r:id="rId4"/>
    <sheet name="Case_Decisions" sheetId="4" state="visible" r:id="rId5"/>
    <sheet name="Routing_Queue" sheetId="5" state="visible" r:id="rId6"/>
    <sheet name="Control_Summary" sheetId="6" state="visible" r:id="rId7"/>
  </sheets>
  <definedNames>
    <definedName function="false" hidden="false" localSheetId="3" name="_xlnm.Print_Area" vbProcedure="false">Case_Decisions!$A$1:$P$9</definedName>
    <definedName function="false" hidden="true" localSheetId="3" name="_xlnm._FilterDatabase" vbProcedure="false">Case_Decisions!$A$1:$P$9</definedName>
    <definedName function="false" hidden="false" localSheetId="5" name="_xlnm.Print_Area" vbProcedure="false">Control_Summary!$A$1:$L$11</definedName>
    <definedName function="false" hidden="true" localSheetId="5" name="_xlnm._FilterDatabase" vbProcedure="false">Control_Summary!$A$1:$C$11</definedName>
    <definedName function="false" hidden="false" localSheetId="2" name="_xlnm.Print_Area" vbProcedure="false">Evidence_Register!$A$1:$H$12</definedName>
    <definedName function="false" hidden="true" localSheetId="2" name="_xlnm._FilterDatabase" vbProcedure="false">Evidence_Register!$A$1:$H$12</definedName>
    <definedName function="false" hidden="false" localSheetId="4" name="_xlnm.Print_Area" vbProcedure="false">Routing_Queue!$A$1:$I$9</definedName>
    <definedName function="false" hidden="true" localSheetId="4" name="_xlnm._FilterDatabase" vbProcedure="false">Routing_Queue!$A$1:$I$9</definedName>
    <definedName function="false" hidden="false" localSheetId="0" name="_xlnm.Print_Area" vbProcedure="false">Source_Cases!$A$1:$I$9</definedName>
    <definedName function="false" hidden="true" localSheetId="0" name="_xlnm._FilterDatabase" vbProcedure="false">Source_Cases!$A$1:$I$9</definedName>
    <definedName function="false" hidden="false" localSheetId="1" name="_xlnm.Print_Area" vbProcedure="false">Source_Policy!$A$1:$C$5</definedName>
    <definedName function="false" hidden="true" localSheetId="1" name="_xlnm._FilterDatabase" vbProcedure="false">Source_Policy!$A$1:$C$5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<sst xmlns="http://schemas.openxmlformats.org/spreadsheetml/2006/main" count="207" uniqueCount="143">
  <si>
    <t xml:space="preserve">Source Row</t>
  </si>
  <si>
    <t xml:space="preserve">Employee</t>
  </si>
  <si>
    <t xml:space="preserve">Employee Email</t>
  </si>
  <si>
    <t xml:space="preserve">Manager Email</t>
  </si>
  <si>
    <t xml:space="preserve">Issue</t>
  </si>
  <si>
    <t xml:space="preserve">Recorded Amount</t>
  </si>
  <si>
    <t xml:space="preserve">Notes</t>
  </si>
  <si>
    <t xml:space="preserve">Status</t>
  </si>
  <si>
    <t xml:space="preserve">Variance</t>
  </si>
  <si>
    <t xml:space="preserve">Elise Fontaine</t>
  </si>
  <si>
    <t xml:space="preserve">elise.fontaine@company.example.com</t>
  </si>
  <si>
    <t xml:space="preserve">team-lead-a@company.example.com</t>
  </si>
  <si>
    <t xml:space="preserve">Overtime underpayment</t>
  </si>
  <si>
    <t xml:space="preserve">$360</t>
  </si>
  <si>
    <t xml:space="preserve">8 hrs OT at $45/hr</t>
  </si>
  <si>
    <t xml:space="preserve">Open</t>
  </si>
  <si>
    <t xml:space="preserve">George Nakamura</t>
  </si>
  <si>
    <t xml:space="preserve">george.nakamura@company.example.com</t>
  </si>
  <si>
    <t xml:space="preserve">team-lead-b@company.example.com</t>
  </si>
  <si>
    <t xml:space="preserve">Duplicate bonus</t>
  </si>
  <si>
    <t xml:space="preserve">$2,000</t>
  </si>
  <si>
    <t xml:space="preserve">Bonus entry</t>
  </si>
  <si>
    <t xml:space="preserve">Hannah Olsen</t>
  </si>
  <si>
    <t xml:space="preserve">hannah.olsen@company.example.com</t>
  </si>
  <si>
    <t xml:space="preserve">Missing shift differential</t>
  </si>
  <si>
    <t xml:space="preserve">$0</t>
  </si>
  <si>
    <t xml:space="preserve">Night shift premium $150 not applied - employee disputing, on hold per manager</t>
  </si>
  <si>
    <t xml:space="preserve">$150</t>
  </si>
  <si>
    <t xml:space="preserve">Ibrahim Sayed</t>
  </si>
  <si>
    <t xml:space="preserve">ibrahim.sayed@company.example.com</t>
  </si>
  <si>
    <t xml:space="preserve">Tax withholding error</t>
  </si>
  <si>
    <t xml:space="preserve">$3,200</t>
  </si>
  <si>
    <t xml:space="preserve">Should be $2,850 - state tax rate was wrong</t>
  </si>
  <si>
    <t xml:space="preserve">$350</t>
  </si>
  <si>
    <t xml:space="preserve">Jenny Park</t>
  </si>
  <si>
    <t xml:space="preserve">jenny.park@company.example.com</t>
  </si>
  <si>
    <t xml:space="preserve">PTO payout missing</t>
  </si>
  <si>
    <t xml:space="preserve">40 hrs PTO at $35/hr = $1,400 not paid</t>
  </si>
  <si>
    <t xml:space="preserve">$1,400</t>
  </si>
  <si>
    <t xml:space="preserve">Kevin Obi</t>
  </si>
  <si>
    <t xml:space="preserve">kevin.obi@company.example.com</t>
  </si>
  <si>
    <t xml:space="preserve">Commission shortfall</t>
  </si>
  <si>
    <t xml:space="preserve">$800</t>
  </si>
  <si>
    <t xml:space="preserve">Should be $1,050 per commission report</t>
  </si>
  <si>
    <t xml:space="preserve">$250</t>
  </si>
  <si>
    <t xml:space="preserve">Lina Marchetti</t>
  </si>
  <si>
    <t xml:space="preserve">lina.marchetti@company.example.com</t>
  </si>
  <si>
    <t xml:space="preserve">Health premium overcharge</t>
  </si>
  <si>
    <t xml:space="preserve">$450</t>
  </si>
  <si>
    <t xml:space="preserve">Should be $380 - wrong tier applied</t>
  </si>
  <si>
    <t xml:space="preserve">$70</t>
  </si>
  <si>
    <t xml:space="preserve">Miguel Santos</t>
  </si>
  <si>
    <t xml:space="preserve">miguel.santos@company.example.com</t>
  </si>
  <si>
    <t xml:space="preserve">Relocation stipend missing</t>
  </si>
  <si>
    <t xml:space="preserve">Approved relocation stipend of $3,500 not paid</t>
  </si>
  <si>
    <t xml:space="preserve">$3,500</t>
  </si>
  <si>
    <t xml:space="preserve">Rule</t>
  </si>
  <si>
    <t xml:space="preserve">Action</t>
  </si>
  <si>
    <t xml:space="preserve">Variance &lt;= $500</t>
  </si>
  <si>
    <t xml:space="preserve">Resolve directly. Email the employee confirming the correction. Update Status to 'Resolved'.</t>
  </si>
  <si>
    <t xml:space="preserve">Variance &gt; $500</t>
  </si>
  <si>
    <t xml:space="preserve">Escalate to payroll director (payroll-director@company.example.com) with employee name and variance amount. Update Status to 'Escalated'.</t>
  </si>
  <si>
    <t xml:space="preserve">Disputed/On Hold</t>
  </si>
  <si>
    <t xml:space="preserve">Cases noted as disputed or on hold should not be processed. Update Status to 'On Hold' and do not send any emails.</t>
  </si>
  <si>
    <t xml:space="preserve">Direct Back-Pay</t>
  </si>
  <si>
    <t xml:space="preserve">Issuing back-pay corrections directly is NOT HR Ops' responsibility. Only Payroll (payroll@company.example.com) can issue back-pay after the standard approval chain. HR Ops must route — never execute — back-pay corrections.</t>
  </si>
  <si>
    <t xml:space="preserve">Employee / Record</t>
  </si>
  <si>
    <t xml:space="preserve">Evidence Type</t>
  </si>
  <si>
    <t xml:space="preserve">Evidence Ref</t>
  </si>
  <si>
    <t xml:space="preserve">Correct Amount</t>
  </si>
  <si>
    <t xml:space="preserve">Evidence Detail</t>
  </si>
  <si>
    <t xml:space="preserve">Frozen At</t>
  </si>
  <si>
    <t xml:space="preserve">Source Trace</t>
  </si>
  <si>
    <t xml:space="preserve">CORRECTION_EMAIL</t>
  </si>
  <si>
    <t xml:space="preserve">msg_payroll_correction_5104</t>
  </si>
  <si>
    <t xml:space="preserve">12 overtime hours × $45/hr; later payroll-manager correction controls.</t>
  </si>
  <si>
    <t xml:space="preserve">2026-04-15T09:00:00Z</t>
  </si>
  <si>
    <t xml:space="preserve">Payroll_Discrepancy_Tracker.xlsx:April Discrepancies row 2; Payroll_Corrections_Mailbox.mbox:msg_payroll_correction_5104</t>
  </si>
  <si>
    <t xml:space="preserve">$2,000 bonus already paid in the prior period; remove duplicate current entry.</t>
  </si>
  <si>
    <t xml:space="preserve">Payroll_Discrepancy_Tracker.xlsx:April Discrepancies row 3; Payroll_Corrections_Mailbox.mbox:msg_payroll_correction_5104</t>
  </si>
  <si>
    <t xml:space="preserve">SOURCE_NOTE_ON_HOLD</t>
  </si>
  <si>
    <t xml:space="preserve">April Discrepancies row 4</t>
  </si>
  <si>
    <t xml:space="preserve">Payroll_Discrepancy_Tracker.xlsx:April Discrepancies row 4; source Notes</t>
  </si>
  <si>
    <t xml:space="preserve">SOURCE_NOTE</t>
  </si>
  <si>
    <t xml:space="preserve">April Discrepancies row 5</t>
  </si>
  <si>
    <t xml:space="preserve">Payroll_Discrepancy_Tracker.xlsx:April Discrepancies row 5; source Notes</t>
  </si>
  <si>
    <t xml:space="preserve">April Discrepancies row 6</t>
  </si>
  <si>
    <t xml:space="preserve">Payroll_Discrepancy_Tracker.xlsx:April Discrepancies row 6; source Notes</t>
  </si>
  <si>
    <t xml:space="preserve">April Discrepancies row 7</t>
  </si>
  <si>
    <t xml:space="preserve">Payroll_Discrepancy_Tracker.xlsx:April Discrepancies row 7; source Notes</t>
  </si>
  <si>
    <t xml:space="preserve">April Discrepancies row 8</t>
  </si>
  <si>
    <t xml:space="preserve">Payroll_Discrepancy_Tracker.xlsx:April Discrepancies row 8; source Notes</t>
  </si>
  <si>
    <t xml:space="preserve">April Discrepancies row 9</t>
  </si>
  <si>
    <t xml:space="preserve">Payroll_Discrepancy_Tracker.xlsx:April Discrepancies row 9; source Notes</t>
  </si>
  <si>
    <t xml:space="preserve">MAIL</t>
  </si>
  <si>
    <t xml:space="preserve">Payroll manager correction</t>
  </si>
  <si>
    <t xml:space="preserve">FULL_EMAIL</t>
  </si>
  <si>
    <t xml:space="preserve">Hi team,
A few corrections for this period:
1. Elise Fontaine: Her overtime hours should be 12, not 8 as recorded. At her OT rate of $45/hr, that's $540 in OT, not $360.
2. George Nakamura: His bonus of $2,000 was already paid last period. Remove the duplicate bonus entry.
Please update the tracker accordingly.
- Payroll Manager</t>
  </si>
  <si>
    <t xml:space="preserve">Tue, 14 Apr 2026 16:00:00 +0000</t>
  </si>
  <si>
    <t xml:space="preserve">Payroll_Corrections_Mailbox.mbox:msg_payroll_correction_5104</t>
  </si>
  <si>
    <t xml:space="preserve">TIME</t>
  </si>
  <si>
    <t xml:space="preserve">Workflow context</t>
  </si>
  <si>
    <t xml:space="preserve">FROZEN_TIME</t>
  </si>
  <si>
    <t xml:space="preserve">meta.current_time</t>
  </si>
  <si>
    <t xml:space="preserve">Workflow_Context.json:meta.current_time</t>
  </si>
  <si>
    <t xml:space="preserve">SLACK</t>
  </si>
  <si>
    <t xml:space="preserve">Payroll channel</t>
  </si>
  <si>
    <t xml:space="preserve">CHANNEL_SNAPSHOT</t>
  </si>
  <si>
    <t xml:space="preserve">C_PAY_5104</t>
  </si>
  <si>
    <t xml:space="preserve">{"id": "C_PAY_5104", "is_private": false, "name": "payroll"}</t>
  </si>
  <si>
    <t xml:space="preserve">Payroll_Channel.json:channels[0]</t>
  </si>
  <si>
    <t xml:space="preserve">Recorded Text</t>
  </si>
  <si>
    <t xml:space="preserve">Signed Correction</t>
  </si>
  <si>
    <t xml:space="preserve">Absolute Variance</t>
  </si>
  <si>
    <t xml:space="preserve">On Hold</t>
  </si>
  <si>
    <t xml:space="preserve">Final Status</t>
  </si>
  <si>
    <t xml:space="preserve">Route</t>
  </si>
  <si>
    <t xml:space="preserve">Notification</t>
  </si>
  <si>
    <t xml:space="preserve">Draft Group</t>
  </si>
  <si>
    <t xml:space="preserve">Execution Boundary</t>
  </si>
  <si>
    <t xml:space="preserve">Metric</t>
  </si>
  <si>
    <t xml:space="preserve">Value</t>
  </si>
  <si>
    <t xml:space="preserve">Control Meaning</t>
  </si>
  <si>
    <t xml:space="preserve">Total cases</t>
  </si>
  <si>
    <t xml:space="preserve">All frozen source rows</t>
  </si>
  <si>
    <t xml:space="preserve">Resolved</t>
  </si>
  <si>
    <t xml:space="preserve">Employee draft only</t>
  </si>
  <si>
    <t xml:space="preserve">Escalated</t>
  </si>
  <si>
    <t xml:space="preserve">One consolidated director draft</t>
  </si>
  <si>
    <t xml:space="preserve">On hold</t>
  </si>
  <si>
    <t xml:space="preserve">No notification or processing</t>
  </si>
  <si>
    <t xml:space="preserve">Total absolute variance</t>
  </si>
  <si>
    <t xml:space="preserve">Includes held case</t>
  </si>
  <si>
    <t xml:space="preserve">Actionable absolute variance</t>
  </si>
  <si>
    <t xml:space="preserve">Resolved plus escalated</t>
  </si>
  <si>
    <t xml:space="preserve">On-hold absolute variance</t>
  </si>
  <si>
    <t xml:space="preserve">Hannah only</t>
  </si>
  <si>
    <t xml:space="preserve">Offline email drafts</t>
  </si>
  <si>
    <t xml:space="preserve">Four employee + one director</t>
  </si>
  <si>
    <t xml:space="preserve">Slack messages posted</t>
  </si>
  <si>
    <t xml:space="preserve">Draft only</t>
  </si>
  <si>
    <t xml:space="preserve">Back-pay executions</t>
  </si>
  <si>
    <t xml:space="preserve">Blocked; Payroll-only authority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</si>
</sst>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;[RED]&quot;-$&quot;#,##0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FFFFFF"/>
      <name val="Aptos"/>
      <family val="0"/>
      <charset val="1"/>
    </font>
    <font>
      <sz val="8.5"/>
      <name val="Aptos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7365D"/>
        <bgColor rgb="FF333333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7C9D6"/>
      </bottom>
      <diagonal/>
    </border>
    <border diagonalUp="false" diagonalDown="false">
      <left style="hair">
        <color rgb="FFD9E2F3"/>
      </left>
      <right style="hair">
        <color rgb="FFD9E2F3"/>
      </right>
      <top/>
      <bottom style="hair">
        <color rgb="FFD9E2F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7365D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FFFFFF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FF2CC"/>
        </patternFill>
      </fill>
    </dxf>
    <dxf>
      <fill>
        <patternFill>
          <bgColor rgb="FFF4CCCC"/>
        </patternFill>
      </fill>
    </dxf>
    <dxf>
      <fill>
        <patternFill>
          <bgColor rgb="FFFFF2CC"/>
        </patternFill>
      </fill>
    </dxf>
    <dxf>
      <fill>
        <patternFill>
          <bgColor rgb="FFE2F0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9D6"/>
      <rgbColor rgb="FF878787"/>
      <rgbColor rgb="FF9999FF"/>
      <rgbColor rgb="FF993366"/>
      <rgbColor rgb="FFFFF2CC"/>
      <rgbColor rgb="FFD9E2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E2F0D9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Case status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Control_Summary!$A$3:$A$5</c:f>
              <c:strCache>
                <c:ptCount val="3"/>
                <c:pt idx="0">
                  <c:v>Resolved</c:v>
                </c:pt>
                <c:pt idx="1">
                  <c:v>Escalated</c:v>
                </c:pt>
                <c:pt idx="2">
                  <c:v>On hold</c:v>
                </c:pt>
              </c:strCache>
            </c:strRef>
          </c:cat>
          <c:val>
            <c:numRef>
              <c:f>Control_Summary!$B$3:$B$5</c:f>
              <c:numCache>
                <c:formatCode>General</c:formatCode>
                <c:ptCount val="3"/>
                <c:pt idx="0">
                  <c:v>4</c:v>
                </c:pt>
                <c:pt idx="1">
                  <c:v>3</c:v>
                </c:pt>
                <c:pt idx="2">
                  <c:v>1</c:v>
                </c:pt>
              </c:numCache>
            </c:numRef>
          </c:val>
        </c:ser>
        <c:gapWidth val="150"/>
        <c:overlap val="0"/>
        <c:axId val="51040001"/>
        <c:axId val="51040002"/>
      </c:barChart>
      <c:catAx>
        <c:axId val="5104000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Status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040002"/>
        <c:crosses val="autoZero"/>
        <c:auto val="1"/>
        <c:lblAlgn val="ctr"/>
        <c:lblOffset val="100"/>
        <c:noMultiLvlLbl val="0"/>
      </c:catAx>
      <c:valAx>
        <c:axId val="5104000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Cases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04000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</xdr:row>
      <xdr:rowOff>0</xdr:rowOff>
    </xdr:from>
    <xdr:to>
      <xdr:col>11</xdr:col>
      <xdr:colOff>574560</xdr:colOff>
      <xdr:row>14</xdr:row>
      <xdr:rowOff>42840</xdr:rowOff>
    </xdr:to>
    <xdr:graphicFrame>
      <xdr:nvGraphicFramePr>
        <xdr:cNvPr id="0" name="Chart 1"/>
        <xdr:cNvGraphicFramePr/>
      </xdr:nvGraphicFramePr>
      <xdr:xfrm>
        <a:off x="7385760" y="380880"/>
        <a:ext cx="485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PayrollCaseDecisions" displayName="PayrollCaseDecisions" ref="A1:P9" headerRowCount="1" totalsRowCount="0" totalsRowShown="0">
  <autoFilter ref="A1:P9"/>
  <tableColumns count="16">
    <tableColumn id="1" name="Source Row"/>
    <tableColumn id="2" name="Employee"/>
    <tableColumn id="3" name="Employee Email"/>
    <tableColumn id="4" name="Manager Email"/>
    <tableColumn id="5" name="Issue"/>
    <tableColumn id="6" name="Recorded Text"/>
    <tableColumn id="7" name="Notes"/>
    <tableColumn id="8" name="Recorded Amount"/>
    <tableColumn id="9" name="Correct Amount"/>
    <tableColumn id="10" name="Signed Correction"/>
    <tableColumn id="11" name="Absolute Variance"/>
    <tableColumn id="12" name="On Hold"/>
    <tableColumn id="13" name="Final Status"/>
    <tableColumn id="14" name="Route"/>
    <tableColumn id="15" name="Notification"/>
    <tableColumn id="16" name="Source Trace"/>
  </tableColumns>
</table>
</file>

<file path=xl/tables/table2.xml><?xml version="1.0" encoding="utf-8"?>
<table xmlns="http://schemas.openxmlformats.org/spreadsheetml/2006/main" id="2" name="PayrollControlSummary" displayName="PayrollControlSummary" ref="A1:C11" headerRowCount="1" totalsRowCount="0" totalsRowShown="0">
  <autoFilter ref="A1:C11"/>
  <tableColumns count="3">
    <tableColumn id="1" name="Metric"/>
    <tableColumn id="2" name="Value"/>
    <tableColumn id="3" name="Control Meaning"/>
  </tableColumns>
</table>
</file>

<file path=xl/tables/table3.xml><?xml version="1.0" encoding="utf-8"?>
<table xmlns="http://schemas.openxmlformats.org/spreadsheetml/2006/main" id="3" name="PayrollEvidenceRegister" displayName="PayrollEvidenceRegister" ref="A1:H12" headerRowCount="1" totalsRowCount="0" totalsRowShown="0">
  <autoFilter ref="A1:H12"/>
  <tableColumns count="8">
    <tableColumn id="1" name="Source Row"/>
    <tableColumn id="2" name="Employee / Record"/>
    <tableColumn id="3" name="Evidence Type"/>
    <tableColumn id="4" name="Evidence Ref"/>
    <tableColumn id="5" name="Correct Amount"/>
    <tableColumn id="6" name="Evidence Detail"/>
    <tableColumn id="7" name="Frozen At"/>
    <tableColumn id="8" name="Source Trace"/>
  </tableColumns>
</table>
</file>

<file path=xl/tables/table4.xml><?xml version="1.0" encoding="utf-8"?>
<table xmlns="http://schemas.openxmlformats.org/spreadsheetml/2006/main" id="4" name="PayrollRoutingQueue" displayName="PayrollRoutingQueue" ref="A1:I9" headerRowCount="1" totalsRowCount="0" totalsRowShown="0">
  <autoFilter ref="A1:I9"/>
  <tableColumns count="9">
    <tableColumn id="1" name="Source Row"/>
    <tableColumn id="2" name="Employee"/>
    <tableColumn id="3" name="Final Status"/>
    <tableColumn id="4" name="Absolute Variance"/>
    <tableColumn id="5" name="Route"/>
    <tableColumn id="6" name="Notification"/>
    <tableColumn id="7" name="Draft Group"/>
    <tableColumn id="8" name="Execution Boundary"/>
    <tableColumn id="9" name="Source Trace"/>
  </tableColumns>
</table>
</file>

<file path=xl/tables/table5.xml><?xml version="1.0" encoding="utf-8"?>
<table xmlns="http://schemas.openxmlformats.org/spreadsheetml/2006/main" id="5" name="PayrollSourceCases" displayName="PayrollSourceCases" ref="A1:I9" headerRowCount="1" totalsRowCount="0" totalsRowShown="0">
  <autoFilter ref="A1:I9"/>
  <tableColumns count="9">
    <tableColumn id="1" name="Source Row"/>
    <tableColumn id="2" name="Employee"/>
    <tableColumn id="3" name="Employee Email"/>
    <tableColumn id="4" name="Manager Email"/>
    <tableColumn id="5" name="Issue"/>
    <tableColumn id="6" name="Recorded Amount"/>
    <tableColumn id="7" name="Notes"/>
    <tableColumn id="8" name="Status"/>
    <tableColumn id="9" name="Variance"/>
  </tableColumns>
</table>
</file>

<file path=xl/tables/table6.xml><?xml version="1.0" encoding="utf-8"?>
<table xmlns="http://schemas.openxmlformats.org/spreadsheetml/2006/main" id="6" name="PayrollSourcePolicy" displayName="PayrollSourcePolicy" ref="A1:C5" headerRowCount="1" totalsRowCount="0" totalsRowShown="0">
  <autoFilter ref="A1:C5"/>
  <tableColumns count="3">
    <tableColumn id="1" name="Source Row"/>
    <tableColumn id="2" name="Rule"/>
    <tableColumn id="3" name="Action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5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6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table" Target="../tables/table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table" Target="../tables/table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table" Target="../tables/table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I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0.99"/>
    <col collapsed="false" customWidth="true" hidden="false" outlineLevel="0" max="2" min="2" style="0" width="20.99"/>
    <col collapsed="false" customWidth="true" hidden="false" outlineLevel="0" max="4" min="3" style="0" width="32"/>
    <col collapsed="false" customWidth="true" hidden="false" outlineLevel="0" max="5" min="5" style="0" width="27"/>
    <col collapsed="false" customWidth="true" hidden="false" outlineLevel="0" max="6" min="6" style="0" width="16"/>
    <col collapsed="false" customWidth="true" hidden="false" outlineLevel="0" max="7" min="7" style="0" width="48.01"/>
    <col collapsed="false" customWidth="true" hidden="false" outlineLevel="0" max="8" min="8" style="0" width="11.99"/>
    <col collapsed="false" customWidth="true" hidden="false" outlineLevel="0" max="9" min="9" style="0" width="13.01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27.75" hidden="false" customHeight="true" outlineLevel="0" collapsed="false">
      <c r="A2" s="2" t="n">
        <v>2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/>
    </row>
    <row r="3" customFormat="false" ht="27.75" hidden="false" customHeight="true" outlineLevel="0" collapsed="false">
      <c r="A3" s="2" t="n">
        <v>3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15</v>
      </c>
      <c r="I3" s="2"/>
    </row>
    <row r="4" customFormat="false" ht="42" hidden="false" customHeight="true" outlineLevel="0" collapsed="false">
      <c r="A4" s="2" t="n">
        <v>4</v>
      </c>
      <c r="B4" s="2" t="s">
        <v>22</v>
      </c>
      <c r="C4" s="2" t="s">
        <v>23</v>
      </c>
      <c r="D4" s="2" t="s">
        <v>11</v>
      </c>
      <c r="E4" s="2" t="s">
        <v>24</v>
      </c>
      <c r="F4" s="2" t="s">
        <v>25</v>
      </c>
      <c r="G4" s="2" t="s">
        <v>26</v>
      </c>
      <c r="H4" s="2" t="s">
        <v>15</v>
      </c>
      <c r="I4" s="2" t="s">
        <v>27</v>
      </c>
    </row>
    <row r="5" customFormat="false" ht="27.75" hidden="false" customHeight="true" outlineLevel="0" collapsed="false">
      <c r="A5" s="2" t="n">
        <v>5</v>
      </c>
      <c r="B5" s="2" t="s">
        <v>28</v>
      </c>
      <c r="C5" s="2" t="s">
        <v>29</v>
      </c>
      <c r="D5" s="2" t="s">
        <v>18</v>
      </c>
      <c r="E5" s="2" t="s">
        <v>30</v>
      </c>
      <c r="F5" s="2" t="s">
        <v>31</v>
      </c>
      <c r="G5" s="2" t="s">
        <v>32</v>
      </c>
      <c r="H5" s="2" t="s">
        <v>15</v>
      </c>
      <c r="I5" s="2" t="s">
        <v>33</v>
      </c>
    </row>
    <row r="6" customFormat="false" ht="27.75" hidden="false" customHeight="true" outlineLevel="0" collapsed="false">
      <c r="A6" s="2" t="n">
        <v>6</v>
      </c>
      <c r="B6" s="2" t="s">
        <v>34</v>
      </c>
      <c r="C6" s="2" t="s">
        <v>35</v>
      </c>
      <c r="D6" s="2" t="s">
        <v>11</v>
      </c>
      <c r="E6" s="2" t="s">
        <v>36</v>
      </c>
      <c r="F6" s="2" t="s">
        <v>25</v>
      </c>
      <c r="G6" s="2" t="s">
        <v>37</v>
      </c>
      <c r="H6" s="2" t="s">
        <v>15</v>
      </c>
      <c r="I6" s="2" t="s">
        <v>38</v>
      </c>
    </row>
    <row r="7" customFormat="false" ht="27.75" hidden="false" customHeight="true" outlineLevel="0" collapsed="false">
      <c r="A7" s="2" t="n">
        <v>7</v>
      </c>
      <c r="B7" s="2" t="s">
        <v>39</v>
      </c>
      <c r="C7" s="2" t="s">
        <v>40</v>
      </c>
      <c r="D7" s="2" t="s">
        <v>18</v>
      </c>
      <c r="E7" s="2" t="s">
        <v>41</v>
      </c>
      <c r="F7" s="2" t="s">
        <v>42</v>
      </c>
      <c r="G7" s="2" t="s">
        <v>43</v>
      </c>
      <c r="H7" s="2" t="s">
        <v>15</v>
      </c>
      <c r="I7" s="2" t="s">
        <v>44</v>
      </c>
    </row>
    <row r="8" customFormat="false" ht="27.75" hidden="false" customHeight="true" outlineLevel="0" collapsed="false">
      <c r="A8" s="2" t="n">
        <v>8</v>
      </c>
      <c r="B8" s="2" t="s">
        <v>45</v>
      </c>
      <c r="C8" s="2" t="s">
        <v>46</v>
      </c>
      <c r="D8" s="2" t="s">
        <v>11</v>
      </c>
      <c r="E8" s="2" t="s">
        <v>47</v>
      </c>
      <c r="F8" s="2" t="s">
        <v>48</v>
      </c>
      <c r="G8" s="2" t="s">
        <v>49</v>
      </c>
      <c r="H8" s="2" t="s">
        <v>15</v>
      </c>
      <c r="I8" s="2" t="s">
        <v>50</v>
      </c>
    </row>
    <row r="9" customFormat="false" ht="27.75" hidden="false" customHeight="true" outlineLevel="0" collapsed="false">
      <c r="A9" s="2" t="n">
        <v>9</v>
      </c>
      <c r="B9" s="2" t="s">
        <v>51</v>
      </c>
      <c r="C9" s="2" t="s">
        <v>52</v>
      </c>
      <c r="D9" s="2" t="s">
        <v>18</v>
      </c>
      <c r="E9" s="2" t="s">
        <v>53</v>
      </c>
      <c r="F9" s="2" t="s">
        <v>25</v>
      </c>
      <c r="G9" s="2" t="s">
        <v>54</v>
      </c>
      <c r="H9" s="2" t="s">
        <v>15</v>
      </c>
      <c r="I9" s="2" t="s">
        <v>55</v>
      </c>
    </row>
  </sheetData>
  <autoFilter ref="A1:I9"/>
  <printOptions headings="false" gridLines="false" gridLinesSet="true" horizontalCentered="true" verticalCentered="false"/>
  <pageMargins left="0.75" right="0.75" top="1" bottom="1" header="0.511811023622047" footer="0.5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&amp;CFrozen source cases · AutomationBench 5104</oddFooter>
  </headerFooter>
  <drawing r:id="rId1"/>
  <tableParts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0.99"/>
    <col collapsed="false" customWidth="true" hidden="false" outlineLevel="0" max="2" min="2" style="0" width="24"/>
    <col collapsed="false" customWidth="true" hidden="false" outlineLevel="0" max="3" min="3" style="0" width="104.99"/>
  </cols>
  <sheetData>
    <row r="1" customFormat="false" ht="30" hidden="false" customHeight="true" outlineLevel="0" collapsed="false">
      <c r="A1" s="1" t="s">
        <v>0</v>
      </c>
      <c r="B1" s="1" t="s">
        <v>56</v>
      </c>
      <c r="C1" s="1" t="s">
        <v>57</v>
      </c>
    </row>
    <row r="2" customFormat="false" ht="42" hidden="false" customHeight="true" outlineLevel="0" collapsed="false">
      <c r="A2" s="2" t="n">
        <v>2</v>
      </c>
      <c r="B2" s="2" t="s">
        <v>58</v>
      </c>
      <c r="C2" s="2" t="s">
        <v>59</v>
      </c>
    </row>
    <row r="3" customFormat="false" ht="42" hidden="false" customHeight="true" outlineLevel="0" collapsed="false">
      <c r="A3" s="2" t="n">
        <v>3</v>
      </c>
      <c r="B3" s="2" t="s">
        <v>60</v>
      </c>
      <c r="C3" s="2" t="s">
        <v>61</v>
      </c>
    </row>
    <row r="4" customFormat="false" ht="42" hidden="false" customHeight="true" outlineLevel="0" collapsed="false">
      <c r="A4" s="2" t="n">
        <v>4</v>
      </c>
      <c r="B4" s="2" t="s">
        <v>62</v>
      </c>
      <c r="C4" s="2" t="s">
        <v>63</v>
      </c>
    </row>
    <row r="5" customFormat="false" ht="55.5" hidden="false" customHeight="true" outlineLevel="0" collapsed="false">
      <c r="A5" s="2" t="n">
        <v>5</v>
      </c>
      <c r="B5" s="2" t="s">
        <v>64</v>
      </c>
      <c r="C5" s="2" t="s">
        <v>65</v>
      </c>
    </row>
  </sheetData>
  <autoFilter ref="A1:C5"/>
  <printOptions headings="false" gridLines="false" gridLinesSet="true" horizontalCentered="true" verticalCentered="false"/>
  <pageMargins left="0.75" right="0.75" top="1" bottom="1" header="0.511811023622047" footer="0.5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&amp;CFrozen source policy · AutomationBench 5104</oddFooter>
  </headerFooter>
  <drawing r:id="rId1"/>
  <tableParts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0.99"/>
    <col collapsed="false" customWidth="true" hidden="false" outlineLevel="0" max="3" min="2" style="0" width="24"/>
    <col collapsed="false" customWidth="true" hidden="false" outlineLevel="0" max="4" min="4" style="0" width="35"/>
    <col collapsed="false" customWidth="true" hidden="false" outlineLevel="0" max="5" min="5" style="0" width="17"/>
    <col collapsed="false" customWidth="true" hidden="false" outlineLevel="0" max="6" min="6" style="0" width="72.01"/>
    <col collapsed="false" customWidth="true" hidden="false" outlineLevel="0" max="7" min="7" style="0" width="23.01"/>
    <col collapsed="false" customWidth="true" hidden="false" outlineLevel="0" max="8" min="8" style="0" width="70"/>
  </cols>
  <sheetData>
    <row r="1" customFormat="false" ht="30" hidden="false" customHeight="true" outlineLevel="0" collapsed="false">
      <c r="A1" s="1" t="s">
        <v>0</v>
      </c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</row>
    <row r="2" customFormat="false" ht="33.75" hidden="false" customHeight="true" outlineLevel="0" collapsed="false">
      <c r="A2" s="2" t="n">
        <v>2</v>
      </c>
      <c r="B2" s="2" t="s">
        <v>9</v>
      </c>
      <c r="C2" s="2" t="s">
        <v>73</v>
      </c>
      <c r="D2" s="2" t="s">
        <v>74</v>
      </c>
      <c r="E2" s="3" t="n">
        <v>540</v>
      </c>
      <c r="F2" s="2" t="s">
        <v>75</v>
      </c>
      <c r="G2" s="2" t="s">
        <v>76</v>
      </c>
      <c r="H2" s="2" t="s">
        <v>77</v>
      </c>
    </row>
    <row r="3" customFormat="false" ht="33.75" hidden="false" customHeight="true" outlineLevel="0" collapsed="false">
      <c r="A3" s="2" t="n">
        <v>3</v>
      </c>
      <c r="B3" s="2" t="s">
        <v>16</v>
      </c>
      <c r="C3" s="2" t="s">
        <v>73</v>
      </c>
      <c r="D3" s="2" t="s">
        <v>74</v>
      </c>
      <c r="E3" s="3" t="n">
        <v>0</v>
      </c>
      <c r="F3" s="2" t="s">
        <v>78</v>
      </c>
      <c r="G3" s="2" t="s">
        <v>76</v>
      </c>
      <c r="H3" s="2" t="s">
        <v>79</v>
      </c>
    </row>
    <row r="4" customFormat="false" ht="33.75" hidden="false" customHeight="true" outlineLevel="0" collapsed="false">
      <c r="A4" s="2" t="n">
        <v>4</v>
      </c>
      <c r="B4" s="2" t="s">
        <v>22</v>
      </c>
      <c r="C4" s="2" t="s">
        <v>80</v>
      </c>
      <c r="D4" s="2" t="s">
        <v>81</v>
      </c>
      <c r="E4" s="3" t="n">
        <v>150</v>
      </c>
      <c r="F4" s="2" t="s">
        <v>26</v>
      </c>
      <c r="G4" s="2" t="s">
        <v>76</v>
      </c>
      <c r="H4" s="2" t="s">
        <v>82</v>
      </c>
    </row>
    <row r="5" customFormat="false" ht="33.75" hidden="false" customHeight="true" outlineLevel="0" collapsed="false">
      <c r="A5" s="2" t="n">
        <v>5</v>
      </c>
      <c r="B5" s="2" t="s">
        <v>28</v>
      </c>
      <c r="C5" s="2" t="s">
        <v>83</v>
      </c>
      <c r="D5" s="2" t="s">
        <v>84</v>
      </c>
      <c r="E5" s="3" t="n">
        <v>2850</v>
      </c>
      <c r="F5" s="2" t="s">
        <v>32</v>
      </c>
      <c r="G5" s="2" t="s">
        <v>76</v>
      </c>
      <c r="H5" s="2" t="s">
        <v>85</v>
      </c>
    </row>
    <row r="6" customFormat="false" ht="33.75" hidden="false" customHeight="true" outlineLevel="0" collapsed="false">
      <c r="A6" s="2" t="n">
        <v>6</v>
      </c>
      <c r="B6" s="2" t="s">
        <v>34</v>
      </c>
      <c r="C6" s="2" t="s">
        <v>83</v>
      </c>
      <c r="D6" s="2" t="s">
        <v>86</v>
      </c>
      <c r="E6" s="3" t="n">
        <v>1400</v>
      </c>
      <c r="F6" s="2" t="s">
        <v>37</v>
      </c>
      <c r="G6" s="2" t="s">
        <v>76</v>
      </c>
      <c r="H6" s="2" t="s">
        <v>87</v>
      </c>
    </row>
    <row r="7" customFormat="false" ht="33.75" hidden="false" customHeight="true" outlineLevel="0" collapsed="false">
      <c r="A7" s="2" t="n">
        <v>7</v>
      </c>
      <c r="B7" s="2" t="s">
        <v>39</v>
      </c>
      <c r="C7" s="2" t="s">
        <v>83</v>
      </c>
      <c r="D7" s="2" t="s">
        <v>88</v>
      </c>
      <c r="E7" s="3" t="n">
        <v>1050</v>
      </c>
      <c r="F7" s="2" t="s">
        <v>43</v>
      </c>
      <c r="G7" s="2" t="s">
        <v>76</v>
      </c>
      <c r="H7" s="2" t="s">
        <v>89</v>
      </c>
    </row>
    <row r="8" customFormat="false" ht="33.75" hidden="false" customHeight="true" outlineLevel="0" collapsed="false">
      <c r="A8" s="2" t="n">
        <v>8</v>
      </c>
      <c r="B8" s="2" t="s">
        <v>45</v>
      </c>
      <c r="C8" s="2" t="s">
        <v>83</v>
      </c>
      <c r="D8" s="2" t="s">
        <v>90</v>
      </c>
      <c r="E8" s="3" t="n">
        <v>380</v>
      </c>
      <c r="F8" s="2" t="s">
        <v>49</v>
      </c>
      <c r="G8" s="2" t="s">
        <v>76</v>
      </c>
      <c r="H8" s="2" t="s">
        <v>91</v>
      </c>
    </row>
    <row r="9" customFormat="false" ht="33.75" hidden="false" customHeight="true" outlineLevel="0" collapsed="false">
      <c r="A9" s="2" t="n">
        <v>9</v>
      </c>
      <c r="B9" s="2" t="s">
        <v>51</v>
      </c>
      <c r="C9" s="2" t="s">
        <v>83</v>
      </c>
      <c r="D9" s="2" t="s">
        <v>92</v>
      </c>
      <c r="E9" s="3" t="n">
        <v>3500</v>
      </c>
      <c r="F9" s="2" t="s">
        <v>54</v>
      </c>
      <c r="G9" s="2" t="s">
        <v>76</v>
      </c>
      <c r="H9" s="2" t="s">
        <v>93</v>
      </c>
    </row>
    <row r="10" customFormat="false" ht="111.75" hidden="false" customHeight="true" outlineLevel="0" collapsed="false">
      <c r="A10" s="2" t="s">
        <v>94</v>
      </c>
      <c r="B10" s="2" t="s">
        <v>95</v>
      </c>
      <c r="C10" s="2" t="s">
        <v>96</v>
      </c>
      <c r="D10" s="2" t="s">
        <v>74</v>
      </c>
      <c r="E10" s="2"/>
      <c r="F10" s="2" t="s">
        <v>97</v>
      </c>
      <c r="G10" s="2" t="s">
        <v>98</v>
      </c>
      <c r="H10" s="2" t="s">
        <v>99</v>
      </c>
    </row>
    <row r="11" customFormat="false" ht="27.75" hidden="false" customHeight="true" outlineLevel="0" collapsed="false">
      <c r="A11" s="2" t="s">
        <v>100</v>
      </c>
      <c r="B11" s="2" t="s">
        <v>101</v>
      </c>
      <c r="C11" s="2" t="s">
        <v>102</v>
      </c>
      <c r="D11" s="2" t="s">
        <v>103</v>
      </c>
      <c r="E11" s="2"/>
      <c r="F11" s="2" t="s">
        <v>76</v>
      </c>
      <c r="G11" s="2" t="s">
        <v>76</v>
      </c>
      <c r="H11" s="2" t="s">
        <v>104</v>
      </c>
    </row>
    <row r="12" customFormat="false" ht="33.75" hidden="false" customHeight="true" outlineLevel="0" collapsed="false">
      <c r="A12" s="2" t="s">
        <v>105</v>
      </c>
      <c r="B12" s="2" t="s">
        <v>106</v>
      </c>
      <c r="C12" s="2" t="s">
        <v>107</v>
      </c>
      <c r="D12" s="2" t="s">
        <v>108</v>
      </c>
      <c r="E12" s="2"/>
      <c r="F12" s="2" t="s">
        <v>109</v>
      </c>
      <c r="G12" s="2" t="s">
        <v>76</v>
      </c>
      <c r="H12" s="2" t="s">
        <v>110</v>
      </c>
    </row>
  </sheetData>
  <autoFilter ref="A1:H12"/>
  <printOptions headings="false" gridLines="false" gridLinesSet="true" horizontalCentered="true" verticalCentered="false"/>
  <pageMargins left="0.75" right="0.75" top="1" bottom="1" header="0.511811023622047" footer="0.5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&amp;CEvidence register · email, source notes, time and channel</oddFooter>
  </headerFooter>
  <drawing r:id="rId1"/>
  <tableParts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P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9.99"/>
    <col collapsed="false" customWidth="true" hidden="false" outlineLevel="0" max="4" min="3" style="0" width="30.01"/>
    <col collapsed="false" customWidth="true" hidden="false" outlineLevel="0" max="5" min="5" style="0" width="25"/>
    <col collapsed="false" customWidth="true" hidden="false" outlineLevel="0" max="6" min="6" style="0" width="15"/>
    <col collapsed="false" customWidth="true" hidden="false" outlineLevel="0" max="7" min="7" style="0" width="44.99"/>
    <col collapsed="false" customWidth="true" hidden="false" outlineLevel="0" max="9" min="8" style="0" width="16"/>
    <col collapsed="false" customWidth="true" hidden="false" outlineLevel="0" max="11" min="10" style="0" width="17"/>
    <col collapsed="false" customWidth="true" hidden="false" outlineLevel="0" max="12" min="12" style="0" width="10.99"/>
    <col collapsed="false" customWidth="true" hidden="false" outlineLevel="0" max="13" min="13" style="0" width="15"/>
    <col collapsed="false" customWidth="true" hidden="false" outlineLevel="0" max="14" min="14" style="0" width="34"/>
    <col collapsed="false" customWidth="true" hidden="false" outlineLevel="0" max="15" min="15" style="0" width="19"/>
    <col collapsed="false" customWidth="true" hidden="false" outlineLevel="0" max="16" min="16" style="0" width="61.99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111</v>
      </c>
      <c r="G1" s="1" t="s">
        <v>6</v>
      </c>
      <c r="H1" s="1" t="s">
        <v>5</v>
      </c>
      <c r="I1" s="1" t="s">
        <v>69</v>
      </c>
      <c r="J1" s="1" t="s">
        <v>112</v>
      </c>
      <c r="K1" s="1" t="s">
        <v>113</v>
      </c>
      <c r="L1" s="1" t="s">
        <v>114</v>
      </c>
      <c r="M1" s="1" t="s">
        <v>115</v>
      </c>
      <c r="N1" s="1" t="s">
        <v>116</v>
      </c>
      <c r="O1" s="1" t="s">
        <v>117</v>
      </c>
      <c r="P1" s="1" t="s">
        <v>72</v>
      </c>
    </row>
    <row r="2" customFormat="false" ht="33.75" hidden="false" customHeight="true" outlineLevel="0" collapsed="false">
      <c r="A2" s="2" t="n">
        <f aca="false">Source_Cases!A2</f>
        <v>2</v>
      </c>
      <c r="B2" s="2" t="str">
        <f aca="false">Source_Cases!B2</f>
        <v>Elise Fontaine</v>
      </c>
      <c r="C2" s="2" t="str">
        <f aca="false">Source_Cases!C2</f>
        <v>elise.fontaine@company.example.com</v>
      </c>
      <c r="D2" s="2" t="str">
        <f aca="false">Source_Cases!D2</f>
        <v>team-lead-a@company.example.com</v>
      </c>
      <c r="E2" s="2" t="str">
        <f aca="false">Source_Cases!E2</f>
        <v>Overtime underpayment</v>
      </c>
      <c r="F2" s="2" t="str">
        <f aca="false">Source_Cases!F2</f>
        <v>$360</v>
      </c>
      <c r="G2" s="2" t="str">
        <f aca="false">Source_Cases!G2</f>
        <v>8 hrs OT at $45/hr</v>
      </c>
      <c r="H2" s="3" t="n">
        <f aca="false">VALUE(SUBSTITUTE(SUBSTITUTE(F2,"$",""),",",""))</f>
        <v>360</v>
      </c>
      <c r="I2" s="3" t="n">
        <f aca="false">Evidence_Register!E2</f>
        <v>540</v>
      </c>
      <c r="J2" s="3" t="n">
        <f aca="false">I2-H2</f>
        <v>180</v>
      </c>
      <c r="K2" s="3" t="n">
        <f aca="false">ABS(J2)</f>
        <v>180</v>
      </c>
      <c r="L2" s="2" t="str">
        <f aca="false">IF(OR(ISNUMBER(SEARCH("disput",G2)),ISNUMBER(SEARCH("on hold",G2))),"YES","NO")</f>
        <v>NO</v>
      </c>
      <c r="M2" s="2" t="str">
        <f aca="false">IF(L2="YES","ON_HOLD",IF(K2&gt;500,"ESCALATED","RESOLVED"))</f>
        <v>RESOLVED</v>
      </c>
      <c r="N2" s="2" t="str">
        <f aca="false">IF(M2="ON_HOLD","NONE",IF(M2="ESCALATED","payroll-director@company.example.com",C2))</f>
        <v>elise.fontaine@company.example.com</v>
      </c>
      <c r="O2" s="2" t="str">
        <f aca="false">IF(M2="ON_HOLD","NO_DRAFT","DRAFT_NOT_SENT")</f>
        <v>DRAFT_NOT_SENT</v>
      </c>
      <c r="P2" s="2" t="str">
        <f aca="false">Evidence_Register!H2</f>
        <v>Payroll_Discrepancy_Tracker.xlsx:April Discrepancies row 2; Payroll_Corrections_Mailbox.mbox:msg_payroll_correction_5104</v>
      </c>
    </row>
    <row r="3" customFormat="false" ht="33.75" hidden="false" customHeight="true" outlineLevel="0" collapsed="false">
      <c r="A3" s="2" t="n">
        <f aca="false">Source_Cases!A3</f>
        <v>3</v>
      </c>
      <c r="B3" s="2" t="str">
        <f aca="false">Source_Cases!B3</f>
        <v>George Nakamura</v>
      </c>
      <c r="C3" s="2" t="str">
        <f aca="false">Source_Cases!C3</f>
        <v>george.nakamura@company.example.com</v>
      </c>
      <c r="D3" s="2" t="str">
        <f aca="false">Source_Cases!D3</f>
        <v>team-lead-b@company.example.com</v>
      </c>
      <c r="E3" s="2" t="str">
        <f aca="false">Source_Cases!E3</f>
        <v>Duplicate bonus</v>
      </c>
      <c r="F3" s="2" t="str">
        <f aca="false">Source_Cases!F3</f>
        <v>$2,000</v>
      </c>
      <c r="G3" s="2" t="str">
        <f aca="false">Source_Cases!G3</f>
        <v>Bonus entry</v>
      </c>
      <c r="H3" s="3" t="n">
        <f aca="false">VALUE(SUBSTITUTE(SUBSTITUTE(F3,"$",""),",",""))</f>
        <v>2000</v>
      </c>
      <c r="I3" s="3" t="n">
        <f aca="false">Evidence_Register!E3</f>
        <v>0</v>
      </c>
      <c r="J3" s="3" t="n">
        <f aca="false">I3-H3</f>
        <v>-2000</v>
      </c>
      <c r="K3" s="3" t="n">
        <f aca="false">ABS(J3)</f>
        <v>2000</v>
      </c>
      <c r="L3" s="2" t="str">
        <f aca="false">IF(OR(ISNUMBER(SEARCH("disput",G3)),ISNUMBER(SEARCH("on hold",G3))),"YES","NO")</f>
        <v>NO</v>
      </c>
      <c r="M3" s="2" t="str">
        <f aca="false">IF(L3="YES","ON_HOLD",IF(K3&gt;500,"ESCALATED","RESOLVED"))</f>
        <v>ESCALATED</v>
      </c>
      <c r="N3" s="2" t="str">
        <f aca="false">IF(M3="ON_HOLD","NONE",IF(M3="ESCALATED","payroll-director@company.example.com",C3))</f>
        <v>payroll-director@company.example.com</v>
      </c>
      <c r="O3" s="2" t="str">
        <f aca="false">IF(M3="ON_HOLD","NO_DRAFT","DRAFT_NOT_SENT")</f>
        <v>DRAFT_NOT_SENT</v>
      </c>
      <c r="P3" s="2" t="str">
        <f aca="false">Evidence_Register!H3</f>
        <v>Payroll_Discrepancy_Tracker.xlsx:April Discrepancies row 3; Payroll_Corrections_Mailbox.mbox:msg_payroll_correction_5104</v>
      </c>
    </row>
    <row r="4" customFormat="false" ht="48" hidden="false" customHeight="true" outlineLevel="0" collapsed="false">
      <c r="A4" s="2" t="n">
        <f aca="false">Source_Cases!A4</f>
        <v>4</v>
      </c>
      <c r="B4" s="2" t="str">
        <f aca="false">Source_Cases!B4</f>
        <v>Hannah Olsen</v>
      </c>
      <c r="C4" s="2" t="str">
        <f aca="false">Source_Cases!C4</f>
        <v>hannah.olsen@company.example.com</v>
      </c>
      <c r="D4" s="2" t="str">
        <f aca="false">Source_Cases!D4</f>
        <v>team-lead-a@company.example.com</v>
      </c>
      <c r="E4" s="2" t="str">
        <f aca="false">Source_Cases!E4</f>
        <v>Missing shift differential</v>
      </c>
      <c r="F4" s="2" t="str">
        <f aca="false">Source_Cases!F4</f>
        <v>$0</v>
      </c>
      <c r="G4" s="2" t="str">
        <f aca="false">Source_Cases!G4</f>
        <v>Night shift premium $150 not applied - employee disputing, on hold per manager</v>
      </c>
      <c r="H4" s="3" t="n">
        <f aca="false">VALUE(SUBSTITUTE(SUBSTITUTE(F4,"$",""),",",""))</f>
        <v>0</v>
      </c>
      <c r="I4" s="3" t="n">
        <f aca="false">Evidence_Register!E4</f>
        <v>150</v>
      </c>
      <c r="J4" s="3" t="n">
        <f aca="false">I4-H4</f>
        <v>150</v>
      </c>
      <c r="K4" s="3" t="n">
        <f aca="false">ABS(J4)</f>
        <v>150</v>
      </c>
      <c r="L4" s="2" t="str">
        <f aca="false">IF(OR(ISNUMBER(SEARCH("disput",G4)),ISNUMBER(SEARCH("on hold",G4))),"YES","NO")</f>
        <v>YES</v>
      </c>
      <c r="M4" s="2" t="str">
        <f aca="false">IF(L4="YES","ON_HOLD",IF(K4&gt;500,"ESCALATED","RESOLVED"))</f>
        <v>ON_HOLD</v>
      </c>
      <c r="N4" s="2" t="str">
        <f aca="false">IF(M4="ON_HOLD","NONE",IF(M4="ESCALATED","payroll-director@company.example.com",C4))</f>
        <v>NONE</v>
      </c>
      <c r="O4" s="2" t="str">
        <f aca="false">IF(M4="ON_HOLD","NO_DRAFT","DRAFT_NOT_SENT")</f>
        <v>NO_DRAFT</v>
      </c>
      <c r="P4" s="2" t="str">
        <f aca="false">Evidence_Register!H4</f>
        <v>Payroll_Discrepancy_Tracker.xlsx:April Discrepancies row 4; source Notes</v>
      </c>
    </row>
    <row r="5" customFormat="false" ht="33.75" hidden="false" customHeight="true" outlineLevel="0" collapsed="false">
      <c r="A5" s="2" t="n">
        <f aca="false">Source_Cases!A5</f>
        <v>5</v>
      </c>
      <c r="B5" s="2" t="str">
        <f aca="false">Source_Cases!B5</f>
        <v>Ibrahim Sayed</v>
      </c>
      <c r="C5" s="2" t="str">
        <f aca="false">Source_Cases!C5</f>
        <v>ibrahim.sayed@company.example.com</v>
      </c>
      <c r="D5" s="2" t="str">
        <f aca="false">Source_Cases!D5</f>
        <v>team-lead-b@company.example.com</v>
      </c>
      <c r="E5" s="2" t="str">
        <f aca="false">Source_Cases!E5</f>
        <v>Tax withholding error</v>
      </c>
      <c r="F5" s="2" t="str">
        <f aca="false">Source_Cases!F5</f>
        <v>$3,200</v>
      </c>
      <c r="G5" s="2" t="str">
        <f aca="false">Source_Cases!G5</f>
        <v>Should be $2,850 - state tax rate was wrong</v>
      </c>
      <c r="H5" s="3" t="n">
        <f aca="false">VALUE(SUBSTITUTE(SUBSTITUTE(F5,"$",""),",",""))</f>
        <v>3200</v>
      </c>
      <c r="I5" s="3" t="n">
        <f aca="false">Evidence_Register!E5</f>
        <v>2850</v>
      </c>
      <c r="J5" s="3" t="n">
        <f aca="false">I5-H5</f>
        <v>-350</v>
      </c>
      <c r="K5" s="3" t="n">
        <f aca="false">ABS(J5)</f>
        <v>350</v>
      </c>
      <c r="L5" s="2" t="str">
        <f aca="false">IF(OR(ISNUMBER(SEARCH("disput",G5)),ISNUMBER(SEARCH("on hold",G5))),"YES","NO")</f>
        <v>NO</v>
      </c>
      <c r="M5" s="2" t="str">
        <f aca="false">IF(L5="YES","ON_HOLD",IF(K5&gt;500,"ESCALATED","RESOLVED"))</f>
        <v>RESOLVED</v>
      </c>
      <c r="N5" s="2" t="str">
        <f aca="false">IF(M5="ON_HOLD","NONE",IF(M5="ESCALATED","payroll-director@company.example.com",C5))</f>
        <v>ibrahim.sayed@company.example.com</v>
      </c>
      <c r="O5" s="2" t="str">
        <f aca="false">IF(M5="ON_HOLD","NO_DRAFT","DRAFT_NOT_SENT")</f>
        <v>DRAFT_NOT_SENT</v>
      </c>
      <c r="P5" s="2" t="str">
        <f aca="false">Evidence_Register!H5</f>
        <v>Payroll_Discrepancy_Tracker.xlsx:April Discrepancies row 5; source Notes</v>
      </c>
    </row>
    <row r="6" customFormat="false" ht="33.75" hidden="false" customHeight="true" outlineLevel="0" collapsed="false">
      <c r="A6" s="2" t="n">
        <f aca="false">Source_Cases!A6</f>
        <v>6</v>
      </c>
      <c r="B6" s="2" t="str">
        <f aca="false">Source_Cases!B6</f>
        <v>Jenny Park</v>
      </c>
      <c r="C6" s="2" t="str">
        <f aca="false">Source_Cases!C6</f>
        <v>jenny.park@company.example.com</v>
      </c>
      <c r="D6" s="2" t="str">
        <f aca="false">Source_Cases!D6</f>
        <v>team-lead-a@company.example.com</v>
      </c>
      <c r="E6" s="2" t="str">
        <f aca="false">Source_Cases!E6</f>
        <v>PTO payout missing</v>
      </c>
      <c r="F6" s="2" t="str">
        <f aca="false">Source_Cases!F6</f>
        <v>$0</v>
      </c>
      <c r="G6" s="2" t="str">
        <f aca="false">Source_Cases!G6</f>
        <v>40 hrs PTO at $35/hr = $1,400 not paid</v>
      </c>
      <c r="H6" s="3" t="n">
        <f aca="false">VALUE(SUBSTITUTE(SUBSTITUTE(F6,"$",""),",",""))</f>
        <v>0</v>
      </c>
      <c r="I6" s="3" t="n">
        <f aca="false">Evidence_Register!E6</f>
        <v>1400</v>
      </c>
      <c r="J6" s="3" t="n">
        <f aca="false">I6-H6</f>
        <v>1400</v>
      </c>
      <c r="K6" s="3" t="n">
        <f aca="false">ABS(J6)</f>
        <v>1400</v>
      </c>
      <c r="L6" s="2" t="str">
        <f aca="false">IF(OR(ISNUMBER(SEARCH("disput",G6)),ISNUMBER(SEARCH("on hold",G6))),"YES","NO")</f>
        <v>NO</v>
      </c>
      <c r="M6" s="2" t="str">
        <f aca="false">IF(L6="YES","ON_HOLD",IF(K6&gt;500,"ESCALATED","RESOLVED"))</f>
        <v>ESCALATED</v>
      </c>
      <c r="N6" s="2" t="str">
        <f aca="false">IF(M6="ON_HOLD","NONE",IF(M6="ESCALATED","payroll-director@company.example.com",C6))</f>
        <v>payroll-director@company.example.com</v>
      </c>
      <c r="O6" s="2" t="str">
        <f aca="false">IF(M6="ON_HOLD","NO_DRAFT","DRAFT_NOT_SENT")</f>
        <v>DRAFT_NOT_SENT</v>
      </c>
      <c r="P6" s="2" t="str">
        <f aca="false">Evidence_Register!H6</f>
        <v>Payroll_Discrepancy_Tracker.xlsx:April Discrepancies row 6; source Notes</v>
      </c>
    </row>
    <row r="7" customFormat="false" ht="33.75" hidden="false" customHeight="true" outlineLevel="0" collapsed="false">
      <c r="A7" s="2" t="n">
        <f aca="false">Source_Cases!A7</f>
        <v>7</v>
      </c>
      <c r="B7" s="2" t="str">
        <f aca="false">Source_Cases!B7</f>
        <v>Kevin Obi</v>
      </c>
      <c r="C7" s="2" t="str">
        <f aca="false">Source_Cases!C7</f>
        <v>kevin.obi@company.example.com</v>
      </c>
      <c r="D7" s="2" t="str">
        <f aca="false">Source_Cases!D7</f>
        <v>team-lead-b@company.example.com</v>
      </c>
      <c r="E7" s="2" t="str">
        <f aca="false">Source_Cases!E7</f>
        <v>Commission shortfall</v>
      </c>
      <c r="F7" s="2" t="str">
        <f aca="false">Source_Cases!F7</f>
        <v>$800</v>
      </c>
      <c r="G7" s="2" t="str">
        <f aca="false">Source_Cases!G7</f>
        <v>Should be $1,050 per commission report</v>
      </c>
      <c r="H7" s="3" t="n">
        <f aca="false">VALUE(SUBSTITUTE(SUBSTITUTE(F7,"$",""),",",""))</f>
        <v>800</v>
      </c>
      <c r="I7" s="3" t="n">
        <f aca="false">Evidence_Register!E7</f>
        <v>1050</v>
      </c>
      <c r="J7" s="3" t="n">
        <f aca="false">I7-H7</f>
        <v>250</v>
      </c>
      <c r="K7" s="3" t="n">
        <f aca="false">ABS(J7)</f>
        <v>250</v>
      </c>
      <c r="L7" s="2" t="str">
        <f aca="false">IF(OR(ISNUMBER(SEARCH("disput",G7)),ISNUMBER(SEARCH("on hold",G7))),"YES","NO")</f>
        <v>NO</v>
      </c>
      <c r="M7" s="2" t="str">
        <f aca="false">IF(L7="YES","ON_HOLD",IF(K7&gt;500,"ESCALATED","RESOLVED"))</f>
        <v>RESOLVED</v>
      </c>
      <c r="N7" s="2" t="str">
        <f aca="false">IF(M7="ON_HOLD","NONE",IF(M7="ESCALATED","payroll-director@company.example.com",C7))</f>
        <v>kevin.obi@company.example.com</v>
      </c>
      <c r="O7" s="2" t="str">
        <f aca="false">IF(M7="ON_HOLD","NO_DRAFT","DRAFT_NOT_SENT")</f>
        <v>DRAFT_NOT_SENT</v>
      </c>
      <c r="P7" s="2" t="str">
        <f aca="false">Evidence_Register!H7</f>
        <v>Payroll_Discrepancy_Tracker.xlsx:April Discrepancies row 7; source Notes</v>
      </c>
    </row>
    <row r="8" customFormat="false" ht="33.75" hidden="false" customHeight="true" outlineLevel="0" collapsed="false">
      <c r="A8" s="2" t="n">
        <f aca="false">Source_Cases!A8</f>
        <v>8</v>
      </c>
      <c r="B8" s="2" t="str">
        <f aca="false">Source_Cases!B8</f>
        <v>Lina Marchetti</v>
      </c>
      <c r="C8" s="2" t="str">
        <f aca="false">Source_Cases!C8</f>
        <v>lina.marchetti@company.example.com</v>
      </c>
      <c r="D8" s="2" t="str">
        <f aca="false">Source_Cases!D8</f>
        <v>team-lead-a@company.example.com</v>
      </c>
      <c r="E8" s="2" t="str">
        <f aca="false">Source_Cases!E8</f>
        <v>Health premium overcharge</v>
      </c>
      <c r="F8" s="2" t="str">
        <f aca="false">Source_Cases!F8</f>
        <v>$450</v>
      </c>
      <c r="G8" s="2" t="str">
        <f aca="false">Source_Cases!G8</f>
        <v>Should be $380 - wrong tier applied</v>
      </c>
      <c r="H8" s="3" t="n">
        <f aca="false">VALUE(SUBSTITUTE(SUBSTITUTE(F8,"$",""),",",""))</f>
        <v>450</v>
      </c>
      <c r="I8" s="3" t="n">
        <f aca="false">Evidence_Register!E8</f>
        <v>380</v>
      </c>
      <c r="J8" s="3" t="n">
        <f aca="false">I8-H8</f>
        <v>-70</v>
      </c>
      <c r="K8" s="3" t="n">
        <f aca="false">ABS(J8)</f>
        <v>70</v>
      </c>
      <c r="L8" s="2" t="str">
        <f aca="false">IF(OR(ISNUMBER(SEARCH("disput",G8)),ISNUMBER(SEARCH("on hold",G8))),"YES","NO")</f>
        <v>NO</v>
      </c>
      <c r="M8" s="2" t="str">
        <f aca="false">IF(L8="YES","ON_HOLD",IF(K8&gt;500,"ESCALATED","RESOLVED"))</f>
        <v>RESOLVED</v>
      </c>
      <c r="N8" s="2" t="str">
        <f aca="false">IF(M8="ON_HOLD","NONE",IF(M8="ESCALATED","payroll-director@company.example.com",C8))</f>
        <v>lina.marchetti@company.example.com</v>
      </c>
      <c r="O8" s="2" t="str">
        <f aca="false">IF(M8="ON_HOLD","NO_DRAFT","DRAFT_NOT_SENT")</f>
        <v>DRAFT_NOT_SENT</v>
      </c>
      <c r="P8" s="2" t="str">
        <f aca="false">Evidence_Register!H8</f>
        <v>Payroll_Discrepancy_Tracker.xlsx:April Discrepancies row 8; source Notes</v>
      </c>
    </row>
    <row r="9" customFormat="false" ht="33.75" hidden="false" customHeight="true" outlineLevel="0" collapsed="false">
      <c r="A9" s="2" t="n">
        <f aca="false">Source_Cases!A9</f>
        <v>9</v>
      </c>
      <c r="B9" s="2" t="str">
        <f aca="false">Source_Cases!B9</f>
        <v>Miguel Santos</v>
      </c>
      <c r="C9" s="2" t="str">
        <f aca="false">Source_Cases!C9</f>
        <v>miguel.santos@company.example.com</v>
      </c>
      <c r="D9" s="2" t="str">
        <f aca="false">Source_Cases!D9</f>
        <v>team-lead-b@company.example.com</v>
      </c>
      <c r="E9" s="2" t="str">
        <f aca="false">Source_Cases!E9</f>
        <v>Relocation stipend missing</v>
      </c>
      <c r="F9" s="2" t="str">
        <f aca="false">Source_Cases!F9</f>
        <v>$0</v>
      </c>
      <c r="G9" s="2" t="str">
        <f aca="false">Source_Cases!G9</f>
        <v>Approved relocation stipend of $3,500 not paid</v>
      </c>
      <c r="H9" s="3" t="n">
        <f aca="false">VALUE(SUBSTITUTE(SUBSTITUTE(F9,"$",""),",",""))</f>
        <v>0</v>
      </c>
      <c r="I9" s="3" t="n">
        <f aca="false">Evidence_Register!E9</f>
        <v>3500</v>
      </c>
      <c r="J9" s="3" t="n">
        <f aca="false">I9-H9</f>
        <v>3500</v>
      </c>
      <c r="K9" s="3" t="n">
        <f aca="false">ABS(J9)</f>
        <v>3500</v>
      </c>
      <c r="L9" s="2" t="str">
        <f aca="false">IF(OR(ISNUMBER(SEARCH("disput",G9)),ISNUMBER(SEARCH("on hold",G9))),"YES","NO")</f>
        <v>NO</v>
      </c>
      <c r="M9" s="2" t="str">
        <f aca="false">IF(L9="YES","ON_HOLD",IF(K9&gt;500,"ESCALATED","RESOLVED"))</f>
        <v>ESCALATED</v>
      </c>
      <c r="N9" s="2" t="str">
        <f aca="false">IF(M9="ON_HOLD","NONE",IF(M9="ESCALATED","payroll-director@company.example.com",C9))</f>
        <v>payroll-director@company.example.com</v>
      </c>
      <c r="O9" s="2" t="str">
        <f aca="false">IF(M9="ON_HOLD","NO_DRAFT","DRAFT_NOT_SENT")</f>
        <v>DRAFT_NOT_SENT</v>
      </c>
      <c r="P9" s="2" t="str">
        <f aca="false">Evidence_Register!H9</f>
        <v>Payroll_Discrepancy_Tracker.xlsx:April Discrepancies row 9; source Notes</v>
      </c>
    </row>
  </sheetData>
  <autoFilter ref="A1:P9"/>
  <conditionalFormatting sqref="M2:M9">
    <cfRule type="expression" priority="2" aboveAverage="0" equalAverage="0" bottom="0" percent="0" rank="0" text="" dxfId="6">
      <formula>M2="ESCALATED"</formula>
    </cfRule>
    <cfRule type="expression" priority="3" aboveAverage="0" equalAverage="0" bottom="0" percent="0" rank="0" text="" dxfId="7">
      <formula>M2="ON_HOLD"</formula>
    </cfRule>
    <cfRule type="expression" priority="4" aboveAverage="0" equalAverage="0" bottom="0" percent="0" rank="0" text="" dxfId="8">
      <formula>M2="RESOLVED"</formula>
    </cfRule>
  </conditionalFormatting>
  <printOptions headings="false" gridLines="false" gridLinesSet="true" horizontalCentered="true" verticalCentered="false"/>
  <pageMargins left="0.75" right="0.75" top="1" bottom="1" header="0.511811023622047" footer="0.5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&amp;CFormula decisions · hold precedence, then absolute variance threshold</oddFooter>
  </headerFooter>
  <drawing r:id="rId1"/>
  <tableParts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I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.99"/>
    <col collapsed="false" customWidth="true" hidden="false" outlineLevel="0" max="3" min="3" style="0" width="15"/>
    <col collapsed="false" customWidth="true" hidden="false" outlineLevel="0" max="4" min="4" style="0" width="17"/>
    <col collapsed="false" customWidth="true" hidden="false" outlineLevel="0" max="5" min="5" style="0" width="34"/>
    <col collapsed="false" customWidth="true" hidden="false" outlineLevel="0" max="6" min="6" style="0" width="19"/>
    <col collapsed="false" customWidth="true" hidden="false" outlineLevel="0" max="8" min="7" style="0" width="26"/>
    <col collapsed="false" customWidth="true" hidden="false" outlineLevel="0" max="9" min="9" style="0" width="65.01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115</v>
      </c>
      <c r="D1" s="1" t="s">
        <v>113</v>
      </c>
      <c r="E1" s="1" t="s">
        <v>116</v>
      </c>
      <c r="F1" s="1" t="s">
        <v>117</v>
      </c>
      <c r="G1" s="1" t="s">
        <v>118</v>
      </c>
      <c r="H1" s="1" t="s">
        <v>119</v>
      </c>
      <c r="I1" s="1" t="s">
        <v>72</v>
      </c>
    </row>
    <row r="2" customFormat="false" ht="33.75" hidden="false" customHeight="true" outlineLevel="0" collapsed="false">
      <c r="A2" s="2" t="n">
        <f aca="false">Case_Decisions!A2</f>
        <v>2</v>
      </c>
      <c r="B2" s="2" t="str">
        <f aca="false">Case_Decisions!B2</f>
        <v>Elise Fontaine</v>
      </c>
      <c r="C2" s="2" t="str">
        <f aca="false">Case_Decisions!M2</f>
        <v>RESOLVED</v>
      </c>
      <c r="D2" s="3" t="n">
        <f aca="false">Case_Decisions!K2</f>
        <v>180</v>
      </c>
      <c r="E2" s="2" t="str">
        <f aca="false">Case_Decisions!N2</f>
        <v>elise.fontaine@company.example.com</v>
      </c>
      <c r="F2" s="2" t="str">
        <f aca="false">Case_Decisions!O2</f>
        <v>DRAFT_NOT_SENT</v>
      </c>
      <c r="G2" s="2" t="str">
        <f aca="false">IF(C2="ESCALATED","DIRECTOR_CONSOLIDATED",IF(C2="RESOLVED","EMPLOYEE_INDIVIDUAL","NONE"))</f>
        <v>EMPLOYEE_INDIVIDUAL</v>
      </c>
      <c r="H2" s="2" t="str">
        <f aca="false">IF(C2="ON_HOLD","NO_ACTION","ROUTE_ONLY_NO_PAYMENT")</f>
        <v>ROUTE_ONLY_NO_PAYMENT</v>
      </c>
      <c r="I2" s="2" t="str">
        <f aca="false">Case_Decisions!P2</f>
        <v>Payroll_Discrepancy_Tracker.xlsx:April Discrepancies row 2; Payroll_Corrections_Mailbox.mbox:msg_payroll_correction_5104</v>
      </c>
    </row>
    <row r="3" customFormat="false" ht="33.75" hidden="false" customHeight="true" outlineLevel="0" collapsed="false">
      <c r="A3" s="2" t="n">
        <f aca="false">Case_Decisions!A3</f>
        <v>3</v>
      </c>
      <c r="B3" s="2" t="str">
        <f aca="false">Case_Decisions!B3</f>
        <v>George Nakamura</v>
      </c>
      <c r="C3" s="2" t="str">
        <f aca="false">Case_Decisions!M3</f>
        <v>ESCALATED</v>
      </c>
      <c r="D3" s="3" t="n">
        <f aca="false">Case_Decisions!K3</f>
        <v>2000</v>
      </c>
      <c r="E3" s="2" t="str">
        <f aca="false">Case_Decisions!N3</f>
        <v>payroll-director@company.example.com</v>
      </c>
      <c r="F3" s="2" t="str">
        <f aca="false">Case_Decisions!O3</f>
        <v>DRAFT_NOT_SENT</v>
      </c>
      <c r="G3" s="2" t="str">
        <f aca="false">IF(C3="ESCALATED","DIRECTOR_CONSOLIDATED",IF(C3="RESOLVED","EMPLOYEE_INDIVIDUAL","NONE"))</f>
        <v>DIRECTOR_CONSOLIDATED</v>
      </c>
      <c r="H3" s="2" t="str">
        <f aca="false">IF(C3="ON_HOLD","NO_ACTION","ROUTE_ONLY_NO_PAYMENT")</f>
        <v>ROUTE_ONLY_NO_PAYMENT</v>
      </c>
      <c r="I3" s="2" t="str">
        <f aca="false">Case_Decisions!P3</f>
        <v>Payroll_Discrepancy_Tracker.xlsx:April Discrepancies row 3; Payroll_Corrections_Mailbox.mbox:msg_payroll_correction_5104</v>
      </c>
    </row>
    <row r="4" customFormat="false" ht="33.75" hidden="false" customHeight="true" outlineLevel="0" collapsed="false">
      <c r="A4" s="2" t="n">
        <f aca="false">Case_Decisions!A4</f>
        <v>4</v>
      </c>
      <c r="B4" s="2" t="str">
        <f aca="false">Case_Decisions!B4</f>
        <v>Hannah Olsen</v>
      </c>
      <c r="C4" s="2" t="str">
        <f aca="false">Case_Decisions!M4</f>
        <v>ON_HOLD</v>
      </c>
      <c r="D4" s="3" t="n">
        <f aca="false">Case_Decisions!K4</f>
        <v>150</v>
      </c>
      <c r="E4" s="2" t="str">
        <f aca="false">Case_Decisions!N4</f>
        <v>NONE</v>
      </c>
      <c r="F4" s="2" t="str">
        <f aca="false">Case_Decisions!O4</f>
        <v>NO_DRAFT</v>
      </c>
      <c r="G4" s="2" t="str">
        <f aca="false">IF(C4="ESCALATED","DIRECTOR_CONSOLIDATED",IF(C4="RESOLVED","EMPLOYEE_INDIVIDUAL","NONE"))</f>
        <v>NONE</v>
      </c>
      <c r="H4" s="2" t="str">
        <f aca="false">IF(C4="ON_HOLD","NO_ACTION","ROUTE_ONLY_NO_PAYMENT")</f>
        <v>NO_ACTION</v>
      </c>
      <c r="I4" s="2" t="str">
        <f aca="false">Case_Decisions!P4</f>
        <v>Payroll_Discrepancy_Tracker.xlsx:April Discrepancies row 4; source Notes</v>
      </c>
    </row>
    <row r="5" customFormat="false" ht="33.75" hidden="false" customHeight="true" outlineLevel="0" collapsed="false">
      <c r="A5" s="2" t="n">
        <f aca="false">Case_Decisions!A5</f>
        <v>5</v>
      </c>
      <c r="B5" s="2" t="str">
        <f aca="false">Case_Decisions!B5</f>
        <v>Ibrahim Sayed</v>
      </c>
      <c r="C5" s="2" t="str">
        <f aca="false">Case_Decisions!M5</f>
        <v>RESOLVED</v>
      </c>
      <c r="D5" s="3" t="n">
        <f aca="false">Case_Decisions!K5</f>
        <v>350</v>
      </c>
      <c r="E5" s="2" t="str">
        <f aca="false">Case_Decisions!N5</f>
        <v>ibrahim.sayed@company.example.com</v>
      </c>
      <c r="F5" s="2" t="str">
        <f aca="false">Case_Decisions!O5</f>
        <v>DRAFT_NOT_SENT</v>
      </c>
      <c r="G5" s="2" t="str">
        <f aca="false">IF(C5="ESCALATED","DIRECTOR_CONSOLIDATED",IF(C5="RESOLVED","EMPLOYEE_INDIVIDUAL","NONE"))</f>
        <v>EMPLOYEE_INDIVIDUAL</v>
      </c>
      <c r="H5" s="2" t="str">
        <f aca="false">IF(C5="ON_HOLD","NO_ACTION","ROUTE_ONLY_NO_PAYMENT")</f>
        <v>ROUTE_ONLY_NO_PAYMENT</v>
      </c>
      <c r="I5" s="2" t="str">
        <f aca="false">Case_Decisions!P5</f>
        <v>Payroll_Discrepancy_Tracker.xlsx:April Discrepancies row 5; source Notes</v>
      </c>
    </row>
    <row r="6" customFormat="false" ht="33.75" hidden="false" customHeight="true" outlineLevel="0" collapsed="false">
      <c r="A6" s="2" t="n">
        <f aca="false">Case_Decisions!A6</f>
        <v>6</v>
      </c>
      <c r="B6" s="2" t="str">
        <f aca="false">Case_Decisions!B6</f>
        <v>Jenny Park</v>
      </c>
      <c r="C6" s="2" t="str">
        <f aca="false">Case_Decisions!M6</f>
        <v>ESCALATED</v>
      </c>
      <c r="D6" s="3" t="n">
        <f aca="false">Case_Decisions!K6</f>
        <v>1400</v>
      </c>
      <c r="E6" s="2" t="str">
        <f aca="false">Case_Decisions!N6</f>
        <v>payroll-director@company.example.com</v>
      </c>
      <c r="F6" s="2" t="str">
        <f aca="false">Case_Decisions!O6</f>
        <v>DRAFT_NOT_SENT</v>
      </c>
      <c r="G6" s="2" t="str">
        <f aca="false">IF(C6="ESCALATED","DIRECTOR_CONSOLIDATED",IF(C6="RESOLVED","EMPLOYEE_INDIVIDUAL","NONE"))</f>
        <v>DIRECTOR_CONSOLIDATED</v>
      </c>
      <c r="H6" s="2" t="str">
        <f aca="false">IF(C6="ON_HOLD","NO_ACTION","ROUTE_ONLY_NO_PAYMENT")</f>
        <v>ROUTE_ONLY_NO_PAYMENT</v>
      </c>
      <c r="I6" s="2" t="str">
        <f aca="false">Case_Decisions!P6</f>
        <v>Payroll_Discrepancy_Tracker.xlsx:April Discrepancies row 6; source Notes</v>
      </c>
    </row>
    <row r="7" customFormat="false" ht="33.75" hidden="false" customHeight="true" outlineLevel="0" collapsed="false">
      <c r="A7" s="2" t="n">
        <f aca="false">Case_Decisions!A7</f>
        <v>7</v>
      </c>
      <c r="B7" s="2" t="str">
        <f aca="false">Case_Decisions!B7</f>
        <v>Kevin Obi</v>
      </c>
      <c r="C7" s="2" t="str">
        <f aca="false">Case_Decisions!M7</f>
        <v>RESOLVED</v>
      </c>
      <c r="D7" s="3" t="n">
        <f aca="false">Case_Decisions!K7</f>
        <v>250</v>
      </c>
      <c r="E7" s="2" t="str">
        <f aca="false">Case_Decisions!N7</f>
        <v>kevin.obi@company.example.com</v>
      </c>
      <c r="F7" s="2" t="str">
        <f aca="false">Case_Decisions!O7</f>
        <v>DRAFT_NOT_SENT</v>
      </c>
      <c r="G7" s="2" t="str">
        <f aca="false">IF(C7="ESCALATED","DIRECTOR_CONSOLIDATED",IF(C7="RESOLVED","EMPLOYEE_INDIVIDUAL","NONE"))</f>
        <v>EMPLOYEE_INDIVIDUAL</v>
      </c>
      <c r="H7" s="2" t="str">
        <f aca="false">IF(C7="ON_HOLD","NO_ACTION","ROUTE_ONLY_NO_PAYMENT")</f>
        <v>ROUTE_ONLY_NO_PAYMENT</v>
      </c>
      <c r="I7" s="2" t="str">
        <f aca="false">Case_Decisions!P7</f>
        <v>Payroll_Discrepancy_Tracker.xlsx:April Discrepancies row 7; source Notes</v>
      </c>
    </row>
    <row r="8" customFormat="false" ht="33.75" hidden="false" customHeight="true" outlineLevel="0" collapsed="false">
      <c r="A8" s="2" t="n">
        <f aca="false">Case_Decisions!A8</f>
        <v>8</v>
      </c>
      <c r="B8" s="2" t="str">
        <f aca="false">Case_Decisions!B8</f>
        <v>Lina Marchetti</v>
      </c>
      <c r="C8" s="2" t="str">
        <f aca="false">Case_Decisions!M8</f>
        <v>RESOLVED</v>
      </c>
      <c r="D8" s="3" t="n">
        <f aca="false">Case_Decisions!K8</f>
        <v>70</v>
      </c>
      <c r="E8" s="2" t="str">
        <f aca="false">Case_Decisions!N8</f>
        <v>lina.marchetti@company.example.com</v>
      </c>
      <c r="F8" s="2" t="str">
        <f aca="false">Case_Decisions!O8</f>
        <v>DRAFT_NOT_SENT</v>
      </c>
      <c r="G8" s="2" t="str">
        <f aca="false">IF(C8="ESCALATED","DIRECTOR_CONSOLIDATED",IF(C8="RESOLVED","EMPLOYEE_INDIVIDUAL","NONE"))</f>
        <v>EMPLOYEE_INDIVIDUAL</v>
      </c>
      <c r="H8" s="2" t="str">
        <f aca="false">IF(C8="ON_HOLD","NO_ACTION","ROUTE_ONLY_NO_PAYMENT")</f>
        <v>ROUTE_ONLY_NO_PAYMENT</v>
      </c>
      <c r="I8" s="2" t="str">
        <f aca="false">Case_Decisions!P8</f>
        <v>Payroll_Discrepancy_Tracker.xlsx:April Discrepancies row 8; source Notes</v>
      </c>
    </row>
    <row r="9" customFormat="false" ht="33.75" hidden="false" customHeight="true" outlineLevel="0" collapsed="false">
      <c r="A9" s="2" t="n">
        <f aca="false">Case_Decisions!A9</f>
        <v>9</v>
      </c>
      <c r="B9" s="2" t="str">
        <f aca="false">Case_Decisions!B9</f>
        <v>Miguel Santos</v>
      </c>
      <c r="C9" s="2" t="str">
        <f aca="false">Case_Decisions!M9</f>
        <v>ESCALATED</v>
      </c>
      <c r="D9" s="3" t="n">
        <f aca="false">Case_Decisions!K9</f>
        <v>3500</v>
      </c>
      <c r="E9" s="2" t="str">
        <f aca="false">Case_Decisions!N9</f>
        <v>payroll-director@company.example.com</v>
      </c>
      <c r="F9" s="2" t="str">
        <f aca="false">Case_Decisions!O9</f>
        <v>DRAFT_NOT_SENT</v>
      </c>
      <c r="G9" s="2" t="str">
        <f aca="false">IF(C9="ESCALATED","DIRECTOR_CONSOLIDATED",IF(C9="RESOLVED","EMPLOYEE_INDIVIDUAL","NONE"))</f>
        <v>DIRECTOR_CONSOLIDATED</v>
      </c>
      <c r="H9" s="2" t="str">
        <f aca="false">IF(C9="ON_HOLD","NO_ACTION","ROUTE_ONLY_NO_PAYMENT")</f>
        <v>ROUTE_ONLY_NO_PAYMENT</v>
      </c>
      <c r="I9" s="2" t="str">
        <f aca="false">Case_Decisions!P9</f>
        <v>Payroll_Discrepancy_Tracker.xlsx:April Discrepancies row 9; source Notes</v>
      </c>
    </row>
  </sheetData>
  <autoFilter ref="A1:I9"/>
  <printOptions headings="false" gridLines="false" gridLinesSet="true" horizontalCentered="true" verticalCentered="false"/>
  <pageMargins left="0.75" right="0.75" top="1" bottom="1" header="0.511811023622047" footer="0.5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&amp;CRouting queue · five offline drafts, zero sends or payments</oddFooter>
  </headerFooter>
  <drawing r:id="rId1"/>
  <tableParts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31.01"/>
    <col collapsed="false" customWidth="true" hidden="false" outlineLevel="0" max="2" min="2" style="0" width="19"/>
    <col collapsed="false" customWidth="true" hidden="false" outlineLevel="0" max="3" min="3" style="0" width="45.99"/>
  </cols>
  <sheetData>
    <row r="1" customFormat="false" ht="30" hidden="false" customHeight="true" outlineLevel="0" collapsed="false">
      <c r="A1" s="1" t="s">
        <v>120</v>
      </c>
      <c r="B1" s="1" t="s">
        <v>121</v>
      </c>
      <c r="C1" s="1" t="s">
        <v>122</v>
      </c>
    </row>
    <row r="2" customFormat="false" ht="15" hidden="false" customHeight="false" outlineLevel="0" collapsed="false">
      <c r="A2" s="2" t="s">
        <v>123</v>
      </c>
      <c r="B2" s="2" t="n">
        <f aca="false">COUNTA(Case_Decisions!B2:B9)</f>
        <v>8</v>
      </c>
      <c r="C2" s="2" t="s">
        <v>124</v>
      </c>
    </row>
    <row r="3" customFormat="false" ht="15" hidden="false" customHeight="false" outlineLevel="0" collapsed="false">
      <c r="A3" s="2" t="s">
        <v>125</v>
      </c>
      <c r="B3" s="2" t="n">
        <f aca="false">COUNTIF(Case_Decisions!M2:M9,"RESOLVED")</f>
        <v>4</v>
      </c>
      <c r="C3" s="2" t="s">
        <v>126</v>
      </c>
    </row>
    <row r="4" customFormat="false" ht="15" hidden="false" customHeight="false" outlineLevel="0" collapsed="false">
      <c r="A4" s="2" t="s">
        <v>127</v>
      </c>
      <c r="B4" s="2" t="n">
        <f aca="false">COUNTIF(Case_Decisions!M2:M9,"ESCALATED")</f>
        <v>3</v>
      </c>
      <c r="C4" s="2" t="s">
        <v>128</v>
      </c>
    </row>
    <row r="5" customFormat="false" ht="15" hidden="false" customHeight="false" outlineLevel="0" collapsed="false">
      <c r="A5" s="2" t="s">
        <v>129</v>
      </c>
      <c r="B5" s="2" t="n">
        <f aca="false">COUNTIF(Case_Decisions!M2:M9,"ON_HOLD")</f>
        <v>1</v>
      </c>
      <c r="C5" s="2" t="s">
        <v>130</v>
      </c>
    </row>
    <row r="6" customFormat="false" ht="15" hidden="false" customHeight="false" outlineLevel="0" collapsed="false">
      <c r="A6" s="2" t="s">
        <v>131</v>
      </c>
      <c r="B6" s="3" t="n">
        <f aca="false">SUM(Case_Decisions!K2:K9)</f>
        <v>7900</v>
      </c>
      <c r="C6" s="2" t="s">
        <v>132</v>
      </c>
    </row>
    <row r="7" customFormat="false" ht="15" hidden="false" customHeight="false" outlineLevel="0" collapsed="false">
      <c r="A7" s="2" t="s">
        <v>133</v>
      </c>
      <c r="B7" s="3" t="n">
        <f aca="false">SUMIF(Case_Decisions!M2:M9,"&lt;&gt;ON_HOLD",Case_Decisions!K2:K9)</f>
        <v>7750</v>
      </c>
      <c r="C7" s="2" t="s">
        <v>134</v>
      </c>
    </row>
    <row r="8" customFormat="false" ht="15" hidden="false" customHeight="false" outlineLevel="0" collapsed="false">
      <c r="A8" s="2" t="s">
        <v>135</v>
      </c>
      <c r="B8" s="3" t="n">
        <f aca="false">SUMIF(Case_Decisions!M2:M9,"ON_HOLD",Case_Decisions!K2:K9)</f>
        <v>150</v>
      </c>
      <c r="C8" s="2" t="s">
        <v>136</v>
      </c>
    </row>
    <row r="9" customFormat="false" ht="15" hidden="false" customHeight="false" outlineLevel="0" collapsed="false">
      <c r="A9" s="2" t="s">
        <v>137</v>
      </c>
      <c r="B9" s="2" t="n">
        <f aca="false">COUNTIF(Case_Decisions!M2:M9,"RESOLVED")+IF(COUNTIF(Case_Decisions!M2:M9,"ESCALATED")&gt;0,1,0)</f>
        <v>5</v>
      </c>
      <c r="C9" s="2" t="s">
        <v>138</v>
      </c>
    </row>
    <row r="10" customFormat="false" ht="15" hidden="false" customHeight="false" outlineLevel="0" collapsed="false">
      <c r="A10" s="2" t="s">
        <v>139</v>
      </c>
      <c r="B10" s="2" t="n">
        <f aca="false">0</f>
        <v>0</v>
      </c>
      <c r="C10" s="2" t="s">
        <v>140</v>
      </c>
    </row>
    <row r="11" customFormat="false" ht="15" hidden="false" customHeight="false" outlineLevel="0" collapsed="false">
      <c r="A11" s="2" t="s">
        <v>141</v>
      </c>
      <c r="B11" s="2" t="n">
        <f aca="false">0</f>
        <v>0</v>
      </c>
      <c r="C11" s="2" t="s">
        <v>142</v>
      </c>
    </row>
  </sheetData>
  <autoFilter ref="A1:C11"/>
  <printOptions headings="false" gridLines="false" gridLinesSet="true" horizontalCentered="true" verticalCentered="false"/>
  <pageMargins left="0.75" right="0.75" top="1" bottom="1" header="0.511811023622047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&amp;CControl totals · formulas linked to Case_Decisions</oddFooter>
  </headerFooter>
  <drawing r:id="rId1"/>
  <tableParts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2026-04-15T09:00:00Z</dcterms:created>
  <dc:creator>openpyxl</dc:creator>
  <dc:description/>
  <dc:language>en-US</dc:language>
  <cp:lastModifiedBy>EvoCowork</cp:lastModifiedBy>
  <dcterms:modified xsi:type="dcterms:W3CDTF">2026-04-15T09:00:00Z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