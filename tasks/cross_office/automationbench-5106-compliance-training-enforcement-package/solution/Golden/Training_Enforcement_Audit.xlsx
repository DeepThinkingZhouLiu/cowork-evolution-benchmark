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Training" sheetId="1" state="visible" r:id="rId2"/>
    <sheet name="Policy_Rules" sheetId="2" state="visible" r:id="rId3"/>
    <sheet name="Evidence_Register" sheetId="3" state="visible" r:id="rId4"/>
    <sheet name="Enforcement_Decisions" sheetId="4" state="visible" r:id="rId5"/>
    <sheet name="Notification_Queue" sheetId="5" state="visible" r:id="rId6"/>
    <sheet name="Control_Summary" sheetId="6" state="visible" r:id="rId7"/>
  </sheets>
  <definedNames>
    <definedName function="false" hidden="false" localSheetId="5" name="_xlnm.Print_Area" vbProcedure="false">Control_Summary!$A$1:$L$11</definedName>
    <definedName function="false" hidden="true" localSheetId="5" name="_xlnm._FilterDatabase" vbProcedure="false">Control_Summary!$A$1:$C$11</definedName>
    <definedName function="false" hidden="false" localSheetId="3" name="_xlnm.Print_Area" vbProcedure="false">Enforcement_Decisions!$A$1:$Q$9</definedName>
    <definedName function="false" hidden="true" localSheetId="3" name="_xlnm._FilterDatabase" vbProcedure="false">Enforcement_Decisions!$A$1:$Q$9</definedName>
    <definedName function="false" hidden="false" localSheetId="2" name="_xlnm.Print_Area" vbProcedure="false">Evidence_Register!$A$1:$F$12</definedName>
    <definedName function="false" hidden="true" localSheetId="2" name="_xlnm._FilterDatabase" vbProcedure="false">Evidence_Register!$A$1:$F$12</definedName>
    <definedName function="false" hidden="false" localSheetId="4" name="_xlnm.Print_Area" vbProcedure="false">Notification_Queue!$A$1:$I$6</definedName>
    <definedName function="false" hidden="true" localSheetId="4" name="_xlnm._FilterDatabase" vbProcedure="false">Notification_Queue!$A$1:$I$6</definedName>
    <definedName function="false" hidden="false" localSheetId="1" name="_xlnm.Print_Area" vbProcedure="false">Policy_Rules!$A$1:$E$5</definedName>
    <definedName function="false" hidden="true" localSheetId="1" name="_xlnm._FilterDatabase" vbProcedure="false">Policy_Rules!$A$1:$E$5</definedName>
    <definedName function="false" hidden="false" localSheetId="0" name="_xlnm.Print_Area" vbProcedure="false">Source_Training!$A$1:$I$9</definedName>
    <definedName function="false" hidden="true" localSheetId="0" name="_xlnm._FilterDatabase" vbProcedure="false">Source_Training!$A$1:$I$9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<sst xmlns="http://schemas.openxmlformats.org/spreadsheetml/2006/main" count="234" uniqueCount="168">
  <si>
    <t xml:space="preserve">Source Row</t>
  </si>
  <si>
    <t xml:space="preserve">Employee</t>
  </si>
  <si>
    <t xml:space="preserve">Employee Email</t>
  </si>
  <si>
    <t xml:space="preserve">Manager</t>
  </si>
  <si>
    <t xml:space="preserve">Manager Email</t>
  </si>
  <si>
    <t xml:space="preserve">Training</t>
  </si>
  <si>
    <t xml:space="preserve">Due Date</t>
  </si>
  <si>
    <t xml:space="preserve">Status</t>
  </si>
  <si>
    <t xml:space="preserve">Notes</t>
  </si>
  <si>
    <t xml:space="preserve">Patricia Chen</t>
  </si>
  <si>
    <t xml:space="preserve">patricia.chen@company.example.com</t>
  </si>
  <si>
    <t xml:space="preserve">Vikram Shah</t>
  </si>
  <si>
    <t xml:space="preserve">vikram.shah@company.example.com</t>
  </si>
  <si>
    <t xml:space="preserve">Information Security</t>
  </si>
  <si>
    <t xml:space="preserve">2026-04-01</t>
  </si>
  <si>
    <t xml:space="preserve">Overdue</t>
  </si>
  <si>
    <t xml:space="preserve">Patricia Chang</t>
  </si>
  <si>
    <t xml:space="preserve">patricia.chang@company.example.com</t>
  </si>
  <si>
    <t xml:space="preserve">Anti-Harassment</t>
  </si>
  <si>
    <t xml:space="preserve">2026-03-10</t>
  </si>
  <si>
    <t xml:space="preserve">Roberto Alvarez</t>
  </si>
  <si>
    <t xml:space="preserve">roberto.alvarez@company.example.com</t>
  </si>
  <si>
    <t xml:space="preserve">Diana Torres</t>
  </si>
  <si>
    <t xml:space="preserve">diana.torres@company.example.com</t>
  </si>
  <si>
    <t xml:space="preserve">Data Privacy</t>
  </si>
  <si>
    <t xml:space="preserve">2026-03-01</t>
  </si>
  <si>
    <t xml:space="preserve">Medical leave exemption through April 30</t>
  </si>
  <si>
    <t xml:space="preserve">Samantha Green</t>
  </si>
  <si>
    <t xml:space="preserve">samantha.green@company.example.com</t>
  </si>
  <si>
    <t xml:space="preserve">2026-03-25</t>
  </si>
  <si>
    <t xml:space="preserve">Theodore Kim</t>
  </si>
  <si>
    <t xml:space="preserve">theodore.kim@company.example.com</t>
  </si>
  <si>
    <t xml:space="preserve">2026-02-10</t>
  </si>
  <si>
    <t xml:space="preserve">Ursula Martin</t>
  </si>
  <si>
    <t xml:space="preserve">ursula.martin@company.example.com</t>
  </si>
  <si>
    <t xml:space="preserve">2026-04-10</t>
  </si>
  <si>
    <t xml:space="preserve">Victor Pham</t>
  </si>
  <si>
    <t xml:space="preserve">victor.pham@company.example.com</t>
  </si>
  <si>
    <t xml:space="preserve">2025-12-15</t>
  </si>
  <si>
    <t xml:space="preserve">Wendy Torres</t>
  </si>
  <si>
    <t xml:space="preserve">wendy.torres@company.example.com</t>
  </si>
  <si>
    <t xml:space="preserve">2026-04-14</t>
  </si>
  <si>
    <t xml:space="preserve">Complete</t>
  </si>
  <si>
    <t xml:space="preserve">Section</t>
  </si>
  <si>
    <t xml:space="preserve">Rule</t>
  </si>
  <si>
    <t xml:space="preserve">Required Action</t>
  </si>
  <si>
    <t xml:space="preserve">Restriction</t>
  </si>
  <si>
    <t xml:space="preserve">Source Trace</t>
  </si>
  <si>
    <t xml:space="preserve">Section 6</t>
  </si>
  <si>
    <t xml:space="preserve">1 to 14 days overdue</t>
  </si>
  <si>
    <t xml:space="preserve">Warning email to employee; CC manager</t>
  </si>
  <si>
    <t xml:space="preserve">Do not notify compliance committee</t>
  </si>
  <si>
    <t xml:space="preserve">Compliance_Handbook.mbox:msg_handbook_5106</t>
  </si>
  <si>
    <t xml:space="preserve">15 to 30 days overdue</t>
  </si>
  <si>
    <t xml:space="preserve">Request IT access suspension; email manager</t>
  </si>
  <si>
    <t xml:space="preserve">Over 30 days overdue</t>
  </si>
  <si>
    <t xml:space="preserve">Escalate to compliance committee</t>
  </si>
  <si>
    <t xml:space="preserve">Do NOT take direct action</t>
  </si>
  <si>
    <t xml:space="preserve">Active exemption in Notes</t>
  </si>
  <si>
    <t xml:space="preserve">Exclude from enforcement</t>
  </si>
  <si>
    <t xml:space="preserve">Overrides overdue status and days</t>
  </si>
  <si>
    <t xml:space="preserve">Record</t>
  </si>
  <si>
    <t xml:space="preserve">Evidence Type</t>
  </si>
  <si>
    <t xml:space="preserve">Evidence Ref</t>
  </si>
  <si>
    <t xml:space="preserve">Evidence Detail</t>
  </si>
  <si>
    <t xml:space="preserve">Frozen At</t>
  </si>
  <si>
    <t xml:space="preserve">Source row 2 · Patricia Chen</t>
  </si>
  <si>
    <t xml:space="preserve">SOURCE_ROW</t>
  </si>
  <si>
    <t xml:space="preserve">Training Status row 2</t>
  </si>
  <si>
    <t xml:space="preserve">Information Security; due 2026-04-01; status Overdue; notes [blank]</t>
  </si>
  <si>
    <t xml:space="preserve">2026-04-15T09:00:00Z</t>
  </si>
  <si>
    <t xml:space="preserve">Training_Compliance_Tracker.xlsx:Training Status row 2</t>
  </si>
  <si>
    <t xml:space="preserve">Source row 3 · Patricia Chang</t>
  </si>
  <si>
    <t xml:space="preserve">Training Status row 3</t>
  </si>
  <si>
    <t xml:space="preserve">Anti-Harassment; due 2026-03-10; status Overdue; notes [blank]</t>
  </si>
  <si>
    <t xml:space="preserve">Training_Compliance_Tracker.xlsx:Training Status row 3</t>
  </si>
  <si>
    <t xml:space="preserve">Source row 4 · Roberto Alvarez</t>
  </si>
  <si>
    <t xml:space="preserve">Training Status row 4</t>
  </si>
  <si>
    <t xml:space="preserve">Data Privacy; due 2026-03-01; status Overdue; notes Medical leave exemption through April 30</t>
  </si>
  <si>
    <t xml:space="preserve">Training_Compliance_Tracker.xlsx:Training Status row 4</t>
  </si>
  <si>
    <t xml:space="preserve">Source row 5 · Samantha Green</t>
  </si>
  <si>
    <t xml:space="preserve">Training Status row 5</t>
  </si>
  <si>
    <t xml:space="preserve">Information Security; due 2026-03-25; status Overdue; notes [blank]</t>
  </si>
  <si>
    <t xml:space="preserve">Training_Compliance_Tracker.xlsx:Training Status row 5</t>
  </si>
  <si>
    <t xml:space="preserve">Source row 6 · Theodore Kim</t>
  </si>
  <si>
    <t xml:space="preserve">Training Status row 6</t>
  </si>
  <si>
    <t xml:space="preserve">Anti-Harassment; due 2026-02-10; status Overdue; notes [blank]</t>
  </si>
  <si>
    <t xml:space="preserve">Training_Compliance_Tracker.xlsx:Training Status row 6</t>
  </si>
  <si>
    <t xml:space="preserve">Source row 7 · Ursula Martin</t>
  </si>
  <si>
    <t xml:space="preserve">Training Status row 7</t>
  </si>
  <si>
    <t xml:space="preserve">Data Privacy; due 2026-04-10; status Overdue; notes [blank]</t>
  </si>
  <si>
    <t xml:space="preserve">Training_Compliance_Tracker.xlsx:Training Status row 7</t>
  </si>
  <si>
    <t xml:space="preserve">Source row 8 · Victor Pham</t>
  </si>
  <si>
    <t xml:space="preserve">Training Status row 8</t>
  </si>
  <si>
    <t xml:space="preserve">Information Security; due 2025-12-15; status Overdue; notes [blank]</t>
  </si>
  <si>
    <t xml:space="preserve">Training_Compliance_Tracker.xlsx:Training Status row 8</t>
  </si>
  <si>
    <t xml:space="preserve">Source row 9 · Wendy Torres</t>
  </si>
  <si>
    <t xml:space="preserve">Training Status row 9</t>
  </si>
  <si>
    <t xml:space="preserve">Anti-Harassment; due 2026-04-14; status Complete; notes [blank]</t>
  </si>
  <si>
    <t xml:space="preserve">Training_Compliance_Tracker.xlsx:Training Status row 9</t>
  </si>
  <si>
    <t xml:space="preserve">Compliance handbook</t>
  </si>
  <si>
    <t xml:space="preserve">FULL_EMAIL</t>
  </si>
  <si>
    <t xml:space="preserve">msg_handbook_5106</t>
  </si>
  <si>
    <t xml:space="preserve">COMPLIANCE HANDBOOK 2026
Section 1: Purpose
This handbook outlines company-wide compliance training requirements and enforcement procedures for all employees.
Section 2: Training Categories
All employees must complete: Information Security, Anti-Harassment, and Data Privacy training annually.
Section 3: Scheduling
Training sessions are scheduled quarterly. Employees receive calendar invitations 30 days before their due date.
Section 4: Completion Tracking
All training completions are logged in the central training tracker with timestamps and certificate IDs.
Section 5: Reminders
Automated reminders are sent at 14 days and 7 days before due date.
Section 6: Enforcement Actions
Overdue employees are handled as follows:
- 1 to 14 days overdue: Send a warning email to the employee and CC their manager.
- 15 to 30 days overdue: Suspend the employee's system access. Email IT (it-security@company.example.com) requesting access suspension and email the employee's manager.
- Over 30 days overdue: Escalate to the compliance committee (compliance-committee@company.example.com). Do NOT take direct action.
The compliance committee receives only over-30-day escalations; do not CC or otherwise notify it for 1-to-30-day warning or suspension cases.
IMPORTANT: Employees with an active exemption in the Notes field are excluded from enforcement regardless of overdue status.
Section 7: Reporting
Monthly compliance reports are filed with the board.
Section 8: Amendments
This handbook is reviewed annually.</t>
  </si>
  <si>
    <t xml:space="preserve">Mon, 05 Jan 2026 08:00:00 +0000</t>
  </si>
  <si>
    <t xml:space="preserve">Workflow context</t>
  </si>
  <si>
    <t xml:space="preserve">FROZEN_TIME</t>
  </si>
  <si>
    <t xml:space="preserve">meta.current_time</t>
  </si>
  <si>
    <t xml:space="preserve">Workflow_Context.json:meta.current_time</t>
  </si>
  <si>
    <t xml:space="preserve">Compliance channel</t>
  </si>
  <si>
    <t xml:space="preserve">CHANNEL_SNAPSHOT</t>
  </si>
  <si>
    <t xml:space="preserve">C_COMP_5106</t>
  </si>
  <si>
    <t xml:space="preserve">{"id": "C_COMP_5106", "is_private": false, "name": "compliance"}</t>
  </si>
  <si>
    <t xml:space="preserve">Compliance_Channel.json:channels[0]</t>
  </si>
  <si>
    <t xml:space="preserve">Source Status</t>
  </si>
  <si>
    <t xml:space="preserve">Days Overdue</t>
  </si>
  <si>
    <t xml:space="preserve">Completion Override</t>
  </si>
  <si>
    <t xml:space="preserve">Active Exemption</t>
  </si>
  <si>
    <t xml:space="preserve">Final Action</t>
  </si>
  <si>
    <t xml:space="preserve">Primary Route</t>
  </si>
  <si>
    <t xml:space="preserve">Secondary Route</t>
  </si>
  <si>
    <t xml:space="preserve">Notification Plan</t>
  </si>
  <si>
    <t xml:space="preserve">Draft ID</t>
  </si>
  <si>
    <t xml:space="preserve">Type</t>
  </si>
  <si>
    <t xml:space="preserve">To</t>
  </si>
  <si>
    <t xml:space="preserve">CC</t>
  </si>
  <si>
    <t xml:space="preserve">Included Cases</t>
  </si>
  <si>
    <t xml:space="preserve">Case Count</t>
  </si>
  <si>
    <t xml:space="preserve">Execution Boundary</t>
  </si>
  <si>
    <t xml:space="preserve">D001</t>
  </si>
  <si>
    <t xml:space="preserve">WARNING</t>
  </si>
  <si>
    <t xml:space="preserve">DRAFT_NOT_SENT</t>
  </si>
  <si>
    <t xml:space="preserve">NO_SEND</t>
  </si>
  <si>
    <t xml:space="preserve">D002</t>
  </si>
  <si>
    <t xml:space="preserve">D003</t>
  </si>
  <si>
    <t xml:space="preserve">IT_SUSPENSION_REQUEST</t>
  </si>
  <si>
    <t xml:space="preserve">it-security@company.example.com</t>
  </si>
  <si>
    <t xml:space="preserve">REQUEST_ONLY_NO_EXECUTION</t>
  </si>
  <si>
    <t xml:space="preserve">D004</t>
  </si>
  <si>
    <t xml:space="preserve">MANAGER_NOTICE</t>
  </si>
  <si>
    <t xml:space="preserve">NOTICE_ONLY</t>
  </si>
  <si>
    <t xml:space="preserve">D005</t>
  </si>
  <si>
    <t xml:space="preserve">COMMITTEE_ESCALATION</t>
  </si>
  <si>
    <t xml:space="preserve">compliance-committee@company.example.com</t>
  </si>
  <si>
    <t xml:space="preserve">ESCALATE_ONLY_NO_DIRECT_ACTION</t>
  </si>
  <si>
    <t xml:space="preserve">Metric</t>
  </si>
  <si>
    <t xml:space="preserve">Value</t>
  </si>
  <si>
    <t xml:space="preserve">Control Meaning</t>
  </si>
  <si>
    <t xml:space="preserve">Total source cases</t>
  </si>
  <si>
    <t xml:space="preserve">All frozen source rows</t>
  </si>
  <si>
    <t xml:space="preserve">Warning</t>
  </si>
  <si>
    <t xml:space="preserve">Employee warning + manager CC</t>
  </si>
  <si>
    <t xml:space="preserve">Suspension request</t>
  </si>
  <si>
    <t xml:space="preserve">IT request + manager notice; no execution</t>
  </si>
  <si>
    <t xml:space="preserve">Committee escalation</t>
  </si>
  <si>
    <t xml:space="preserve">Committee only; no direct action</t>
  </si>
  <si>
    <t xml:space="preserve">Exempt</t>
  </si>
  <si>
    <t xml:space="preserve">Active exemption overrides overdue</t>
  </si>
  <si>
    <t xml:space="preserve">No action</t>
  </si>
  <si>
    <t xml:space="preserve">Complete status overrides due date</t>
  </si>
  <si>
    <t xml:space="preserve">Enforcement cases</t>
  </si>
  <si>
    <t xml:space="preserve">Six routed cases</t>
  </si>
  <si>
    <t xml:space="preserve">Offline email drafts</t>
  </si>
  <si>
    <t xml:space="preserve">Exactly five</t>
  </si>
  <si>
    <t xml:space="preserve">Slack messages posted</t>
  </si>
  <si>
    <t xml:space="preserve">Draft only</t>
  </si>
  <si>
    <t xml:space="preserve">Access suspensions executed</t>
  </si>
  <si>
    <t xml:space="preserve">Request draft only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</si>
</sst>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8.5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4DFEC"/>
        </patternFill>
      </fill>
    </dxf>
    <dxf>
      <fill>
        <patternFill>
          <bgColor rgb="FFE2F0D9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E7E6E6"/>
      <rgbColor rgb="FFE4DFEC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Enforcement action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Control_Summary!$A$3:$A$7</c:f>
              <c:strCache>
                <c:ptCount val="5"/>
                <c:pt idx="0">
                  <c:v>Warning</c:v>
                </c:pt>
                <c:pt idx="1">
                  <c:v>Suspension request</c:v>
                </c:pt>
                <c:pt idx="2">
                  <c:v>Committee escalation</c:v>
                </c:pt>
                <c:pt idx="3">
                  <c:v>Exempt</c:v>
                </c:pt>
                <c:pt idx="4">
                  <c:v>No action</c:v>
                </c:pt>
              </c:strCache>
            </c:strRef>
          </c:cat>
          <c:val>
            <c:numRef>
              <c:f>Control_Summary!$B$3:$B$7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51060001"/>
        <c:axId val="51060002"/>
      </c:barChart>
      <c:catAx>
        <c:axId val="5106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60002"/>
        <c:crosses val="autoZero"/>
        <c:auto val="1"/>
        <c:lblAlgn val="ctr"/>
        <c:lblOffset val="100"/>
        <c:noMultiLvlLbl val="0"/>
      </c:catAx>
      <c:valAx>
        <c:axId val="5106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60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142560</xdr:colOff>
      <xdr:row>14</xdr:row>
      <xdr:rowOff>42840</xdr:rowOff>
    </xdr:to>
    <xdr:graphicFrame>
      <xdr:nvGraphicFramePr>
        <xdr:cNvPr id="0" name="Chart 1"/>
        <xdr:cNvGraphicFramePr/>
      </xdr:nvGraphicFramePr>
      <xdr:xfrm>
        <a:off x="7809120" y="380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lianceControlSummary" displayName="ComplianceControlSummary" ref="A1:C11" headerRowCount="1" totalsRowCount="0" totalsRowShown="0">
  <autoFilter ref="A1:C11"/>
  <tableColumns count="3">
    <tableColumn id="1" name="Metric"/>
    <tableColumn id="2" name="Value"/>
    <tableColumn id="3" name="Control Meaning"/>
  </tableColumns>
</table>
</file>

<file path=xl/tables/table2.xml><?xml version="1.0" encoding="utf-8"?>
<table xmlns="http://schemas.openxmlformats.org/spreadsheetml/2006/main" id="2" name="ComplianceEnforcementDecisions" displayName="ComplianceEnforcementDecisions" ref="A1:Q9" headerRowCount="1" totalsRowCount="0" totalsRowShown="0">
  <autoFilter ref="A1:Q9"/>
  <tableColumns count="17">
    <tableColumn id="1" name="Source Row"/>
    <tableColumn id="2" name="Employee"/>
    <tableColumn id="3" name="Employee Email"/>
    <tableColumn id="4" name="Manager"/>
    <tableColumn id="5" name="Manager Email"/>
    <tableColumn id="6" name="Training"/>
    <tableColumn id="7" name="Due Date"/>
    <tableColumn id="8" name="Source Status"/>
    <tableColumn id="9" name="Notes"/>
    <tableColumn id="10" name="Days Overdue"/>
    <tableColumn id="11" name="Completion Override"/>
    <tableColumn id="12" name="Active Exemption"/>
    <tableColumn id="13" name="Final Action"/>
    <tableColumn id="14" name="Primary Route"/>
    <tableColumn id="15" name="Secondary Route"/>
    <tableColumn id="16" name="Notification Plan"/>
    <tableColumn id="17" name="Source Trace"/>
  </tableColumns>
</table>
</file>

<file path=xl/tables/table3.xml><?xml version="1.0" encoding="utf-8"?>
<table xmlns="http://schemas.openxmlformats.org/spreadsheetml/2006/main" id="3" name="ComplianceEvidenceRegister" displayName="ComplianceEvidenceRegister" ref="A1:F12" headerRowCount="1" totalsRowCount="0" totalsRowShown="0">
  <autoFilter ref="A1:F12"/>
  <tableColumns count="6">
    <tableColumn id="1" name="Record"/>
    <tableColumn id="2" name="Evidence Type"/>
    <tableColumn id="3" name="Evidence Ref"/>
    <tableColumn id="4" name="Evidence Detail"/>
    <tableColumn id="5" name="Frozen At"/>
    <tableColumn id="6" name="Source Trace"/>
  </tableColumns>
</table>
</file>

<file path=xl/tables/table4.xml><?xml version="1.0" encoding="utf-8"?>
<table xmlns="http://schemas.openxmlformats.org/spreadsheetml/2006/main" id="4" name="ComplianceNotificationQueue" displayName="ComplianceNotificationQueue" ref="A1:I6" headerRowCount="1" totalsRowCount="0" totalsRowShown="0">
  <autoFilter ref="A1:I6"/>
  <tableColumns count="9">
    <tableColumn id="1" name="Draft ID"/>
    <tableColumn id="2" name="Type"/>
    <tableColumn id="3" name="To"/>
    <tableColumn id="4" name="CC"/>
    <tableColumn id="5" name="Included Cases"/>
    <tableColumn id="6" name="Case Count"/>
    <tableColumn id="7" name="Status"/>
    <tableColumn id="8" name="Execution Boundary"/>
    <tableColumn id="9" name="Source Trace"/>
  </tableColumns>
</table>
</file>

<file path=xl/tables/table5.xml><?xml version="1.0" encoding="utf-8"?>
<table xmlns="http://schemas.openxmlformats.org/spreadsheetml/2006/main" id="5" name="CompliancePolicyRules" displayName="CompliancePolicyRules" ref="A1:E5" headerRowCount="1" totalsRowCount="0" totalsRowShown="0">
  <autoFilter ref="A1:E5"/>
  <tableColumns count="5">
    <tableColumn id="1" name="Section"/>
    <tableColumn id="2" name="Rule"/>
    <tableColumn id="3" name="Required Action"/>
    <tableColumn id="4" name="Restriction"/>
    <tableColumn id="5" name="Source Trace"/>
  </tableColumns>
</table>
</file>

<file path=xl/tables/table6.xml><?xml version="1.0" encoding="utf-8"?>
<table xmlns="http://schemas.openxmlformats.org/spreadsheetml/2006/main" id="6" name="ComplianceSourceTraining" displayName="ComplianceSourceTraining" ref="A1:I9" headerRowCount="1" totalsRowCount="0" totalsRowShown="0">
  <autoFilter ref="A1:I9"/>
  <tableColumns count="9">
    <tableColumn id="1" name="Source Row"/>
    <tableColumn id="2" name="Employee"/>
    <tableColumn id="3" name="Employee Email"/>
    <tableColumn id="4" name="Manager"/>
    <tableColumn id="5" name="Manager Email"/>
    <tableColumn id="6" name="Training"/>
    <tableColumn id="7" name="Due Date"/>
    <tableColumn id="8" name="Status"/>
    <tableColumn id="9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0.99"/>
    <col collapsed="false" customWidth="true" hidden="false" outlineLevel="0" max="3" min="3" style="0" width="32"/>
    <col collapsed="false" customWidth="true" hidden="false" outlineLevel="0" max="4" min="4" style="0" width="19.99"/>
    <col collapsed="false" customWidth="true" hidden="false" outlineLevel="0" max="5" min="5" style="0" width="32"/>
    <col collapsed="false" customWidth="true" hidden="false" outlineLevel="0" max="6" min="6" style="0" width="25"/>
    <col collapsed="false" customWidth="true" hidden="false" outlineLevel="0" max="7" min="7" style="0" width="15"/>
    <col collapsed="false" customWidth="true" hidden="false" outlineLevel="0" max="8" min="8" style="0" width="13.01"/>
    <col collapsed="false" customWidth="true" hidden="false" outlineLevel="0" max="9" min="9" style="0" width="48.0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0" hidden="false" customHeight="true" outlineLevel="0" collapsed="false">
      <c r="A2" s="2" t="n">
        <v>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customFormat="false" ht="30" hidden="false" customHeight="true" outlineLevel="0" collapsed="false">
      <c r="A3" s="2" t="n">
        <v>3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18</v>
      </c>
      <c r="G3" s="2" t="s">
        <v>19</v>
      </c>
      <c r="H3" s="2" t="s">
        <v>15</v>
      </c>
      <c r="I3" s="2"/>
    </row>
    <row r="4" customFormat="false" ht="42" hidden="false" customHeight="true" outlineLevel="0" collapsed="false">
      <c r="A4" s="2" t="n">
        <v>4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15</v>
      </c>
      <c r="I4" s="2" t="s">
        <v>26</v>
      </c>
    </row>
    <row r="5" customFormat="false" ht="30" hidden="false" customHeight="true" outlineLevel="0" collapsed="false">
      <c r="A5" s="2" t="n">
        <v>5</v>
      </c>
      <c r="B5" s="2" t="s">
        <v>27</v>
      </c>
      <c r="C5" s="2" t="s">
        <v>28</v>
      </c>
      <c r="D5" s="2" t="s">
        <v>22</v>
      </c>
      <c r="E5" s="2" t="s">
        <v>23</v>
      </c>
      <c r="F5" s="2" t="s">
        <v>13</v>
      </c>
      <c r="G5" s="2" t="s">
        <v>29</v>
      </c>
      <c r="H5" s="2" t="s">
        <v>15</v>
      </c>
      <c r="I5" s="2"/>
    </row>
    <row r="6" customFormat="false" ht="30" hidden="false" customHeight="true" outlineLevel="0" collapsed="false">
      <c r="A6" s="2" t="n">
        <v>6</v>
      </c>
      <c r="B6" s="2" t="s">
        <v>30</v>
      </c>
      <c r="C6" s="2" t="s">
        <v>31</v>
      </c>
      <c r="D6" s="2" t="s">
        <v>11</v>
      </c>
      <c r="E6" s="2" t="s">
        <v>12</v>
      </c>
      <c r="F6" s="2" t="s">
        <v>18</v>
      </c>
      <c r="G6" s="2" t="s">
        <v>32</v>
      </c>
      <c r="H6" s="2" t="s">
        <v>15</v>
      </c>
      <c r="I6" s="2"/>
    </row>
    <row r="7" customFormat="false" ht="30" hidden="false" customHeight="true" outlineLevel="0" collapsed="false">
      <c r="A7" s="2" t="n">
        <v>7</v>
      </c>
      <c r="B7" s="2" t="s">
        <v>33</v>
      </c>
      <c r="C7" s="2" t="s">
        <v>34</v>
      </c>
      <c r="D7" s="2" t="s">
        <v>22</v>
      </c>
      <c r="E7" s="2" t="s">
        <v>23</v>
      </c>
      <c r="F7" s="2" t="s">
        <v>24</v>
      </c>
      <c r="G7" s="2" t="s">
        <v>35</v>
      </c>
      <c r="H7" s="2" t="s">
        <v>15</v>
      </c>
      <c r="I7" s="2"/>
    </row>
    <row r="8" customFormat="false" ht="30" hidden="false" customHeight="true" outlineLevel="0" collapsed="false">
      <c r="A8" s="2" t="n">
        <v>8</v>
      </c>
      <c r="B8" s="2" t="s">
        <v>36</v>
      </c>
      <c r="C8" s="2" t="s">
        <v>37</v>
      </c>
      <c r="D8" s="2" t="s">
        <v>11</v>
      </c>
      <c r="E8" s="2" t="s">
        <v>12</v>
      </c>
      <c r="F8" s="2" t="s">
        <v>13</v>
      </c>
      <c r="G8" s="2" t="s">
        <v>38</v>
      </c>
      <c r="H8" s="2" t="s">
        <v>15</v>
      </c>
      <c r="I8" s="2"/>
    </row>
    <row r="9" customFormat="false" ht="30" hidden="false" customHeight="true" outlineLevel="0" collapsed="false">
      <c r="A9" s="2" t="n">
        <v>9</v>
      </c>
      <c r="B9" s="2" t="s">
        <v>39</v>
      </c>
      <c r="C9" s="2" t="s">
        <v>40</v>
      </c>
      <c r="D9" s="2" t="s">
        <v>22</v>
      </c>
      <c r="E9" s="2" t="s">
        <v>23</v>
      </c>
      <c r="F9" s="2" t="s">
        <v>18</v>
      </c>
      <c r="G9" s="2" t="s">
        <v>41</v>
      </c>
      <c r="H9" s="2" t="s">
        <v>42</v>
      </c>
      <c r="I9" s="2"/>
    </row>
  </sheetData>
  <autoFilter ref="A1:I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source rows · AutomationBench 5106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7.99"/>
    <col collapsed="false" customWidth="true" hidden="false" outlineLevel="0" max="3" min="3" style="0" width="52"/>
    <col collapsed="false" customWidth="true" hidden="false" outlineLevel="0" max="4" min="4" style="0" width="48.01"/>
    <col collapsed="false" customWidth="true" hidden="false" outlineLevel="0" max="5" min="5" style="0" width="58"/>
  </cols>
  <sheetData>
    <row r="1" customFormat="false" ht="30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customFormat="false" ht="45.75" hidden="false" customHeight="true" outlineLevel="0" collapsed="false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</row>
    <row r="3" customFormat="false" ht="45.75" hidden="false" customHeight="true" outlineLevel="0" collapsed="false">
      <c r="A3" s="2" t="s">
        <v>48</v>
      </c>
      <c r="B3" s="2" t="s">
        <v>53</v>
      </c>
      <c r="C3" s="2" t="s">
        <v>54</v>
      </c>
      <c r="D3" s="2" t="s">
        <v>51</v>
      </c>
      <c r="E3" s="2" t="s">
        <v>52</v>
      </c>
    </row>
    <row r="4" customFormat="false" ht="45.75" hidden="false" customHeight="true" outlineLevel="0" collapsed="false">
      <c r="A4" s="2" t="s">
        <v>48</v>
      </c>
      <c r="B4" s="2" t="s">
        <v>55</v>
      </c>
      <c r="C4" s="2" t="s">
        <v>56</v>
      </c>
      <c r="D4" s="2" t="s">
        <v>57</v>
      </c>
      <c r="E4" s="2" t="s">
        <v>52</v>
      </c>
    </row>
    <row r="5" customFormat="false" ht="45.75" hidden="false" customHeight="true" outlineLevel="0" collapsed="false">
      <c r="A5" s="2" t="s">
        <v>48</v>
      </c>
      <c r="B5" s="2" t="s">
        <v>58</v>
      </c>
      <c r="C5" s="2" t="s">
        <v>59</v>
      </c>
      <c r="D5" s="2" t="s">
        <v>60</v>
      </c>
      <c r="E5" s="2" t="s">
        <v>52</v>
      </c>
    </row>
  </sheetData>
  <autoFilter ref="A1:E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&amp;CSection 6 · frozen enforcement policy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3.01"/>
    <col collapsed="false" customWidth="true" hidden="false" outlineLevel="0" max="3" min="3" style="0" width="34"/>
    <col collapsed="false" customWidth="true" hidden="false" outlineLevel="0" max="4" min="4" style="0" width="92"/>
    <col collapsed="false" customWidth="true" hidden="false" outlineLevel="0" max="5" min="5" style="0" width="24"/>
    <col collapsed="false" customWidth="true" hidden="false" outlineLevel="0" max="6" min="6" style="0" width="68"/>
  </cols>
  <sheetData>
    <row r="1" customFormat="false" ht="30" hidden="false" customHeight="true" outlineLevel="0" collapsed="false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47</v>
      </c>
    </row>
    <row r="2" customFormat="false" ht="33.75" hidden="false" customHeight="true" outlineLevel="0" collapsed="false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</row>
    <row r="3" customFormat="false" ht="33.75" hidden="false" customHeight="true" outlineLevel="0" collapsed="false">
      <c r="A3" s="2" t="s">
        <v>72</v>
      </c>
      <c r="B3" s="2" t="s">
        <v>67</v>
      </c>
      <c r="C3" s="2" t="s">
        <v>73</v>
      </c>
      <c r="D3" s="2" t="s">
        <v>74</v>
      </c>
      <c r="E3" s="2" t="s">
        <v>70</v>
      </c>
      <c r="F3" s="2" t="s">
        <v>75</v>
      </c>
    </row>
    <row r="4" customFormat="false" ht="33.75" hidden="false" customHeight="true" outlineLevel="0" collapsed="false">
      <c r="A4" s="2" t="s">
        <v>76</v>
      </c>
      <c r="B4" s="2" t="s">
        <v>67</v>
      </c>
      <c r="C4" s="2" t="s">
        <v>77</v>
      </c>
      <c r="D4" s="2" t="s">
        <v>78</v>
      </c>
      <c r="E4" s="2" t="s">
        <v>70</v>
      </c>
      <c r="F4" s="2" t="s">
        <v>79</v>
      </c>
    </row>
    <row r="5" customFormat="false" ht="33.75" hidden="false" customHeight="true" outlineLevel="0" collapsed="false">
      <c r="A5" s="2" t="s">
        <v>80</v>
      </c>
      <c r="B5" s="2" t="s">
        <v>67</v>
      </c>
      <c r="C5" s="2" t="s">
        <v>81</v>
      </c>
      <c r="D5" s="2" t="s">
        <v>82</v>
      </c>
      <c r="E5" s="2" t="s">
        <v>70</v>
      </c>
      <c r="F5" s="2" t="s">
        <v>83</v>
      </c>
    </row>
    <row r="6" customFormat="false" ht="33.75" hidden="false" customHeight="true" outlineLevel="0" collapsed="false">
      <c r="A6" s="2" t="s">
        <v>84</v>
      </c>
      <c r="B6" s="2" t="s">
        <v>67</v>
      </c>
      <c r="C6" s="2" t="s">
        <v>85</v>
      </c>
      <c r="D6" s="2" t="s">
        <v>86</v>
      </c>
      <c r="E6" s="2" t="s">
        <v>70</v>
      </c>
      <c r="F6" s="2" t="s">
        <v>87</v>
      </c>
    </row>
    <row r="7" customFormat="false" ht="33.75" hidden="false" customHeight="true" outlineLevel="0" collapsed="false">
      <c r="A7" s="2" t="s">
        <v>88</v>
      </c>
      <c r="B7" s="2" t="s">
        <v>67</v>
      </c>
      <c r="C7" s="2" t="s">
        <v>89</v>
      </c>
      <c r="D7" s="2" t="s">
        <v>90</v>
      </c>
      <c r="E7" s="2" t="s">
        <v>70</v>
      </c>
      <c r="F7" s="2" t="s">
        <v>91</v>
      </c>
    </row>
    <row r="8" customFormat="false" ht="33.75" hidden="false" customHeight="true" outlineLevel="0" collapsed="false">
      <c r="A8" s="2" t="s">
        <v>92</v>
      </c>
      <c r="B8" s="2" t="s">
        <v>67</v>
      </c>
      <c r="C8" s="2" t="s">
        <v>93</v>
      </c>
      <c r="D8" s="2" t="s">
        <v>94</v>
      </c>
      <c r="E8" s="2" t="s">
        <v>70</v>
      </c>
      <c r="F8" s="2" t="s">
        <v>95</v>
      </c>
    </row>
    <row r="9" customFormat="false" ht="33.75" hidden="false" customHeight="true" outlineLevel="0" collapsed="false">
      <c r="A9" s="2" t="s">
        <v>96</v>
      </c>
      <c r="B9" s="2" t="s">
        <v>67</v>
      </c>
      <c r="C9" s="2" t="s">
        <v>97</v>
      </c>
      <c r="D9" s="2" t="s">
        <v>98</v>
      </c>
      <c r="E9" s="2" t="s">
        <v>70</v>
      </c>
      <c r="F9" s="2" t="s">
        <v>99</v>
      </c>
    </row>
    <row r="10" customFormat="false" ht="169.5" hidden="false" customHeight="true" outlineLevel="0" collapsed="false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52</v>
      </c>
    </row>
    <row r="11" customFormat="false" ht="27.75" hidden="false" customHeight="true" outlineLevel="0" collapsed="false">
      <c r="A11" s="2" t="s">
        <v>105</v>
      </c>
      <c r="B11" s="2" t="s">
        <v>106</v>
      </c>
      <c r="C11" s="2" t="s">
        <v>107</v>
      </c>
      <c r="D11" s="2" t="s">
        <v>70</v>
      </c>
      <c r="E11" s="2" t="s">
        <v>70</v>
      </c>
      <c r="F11" s="2" t="s">
        <v>108</v>
      </c>
    </row>
    <row r="12" customFormat="false" ht="33.75" hidden="false" customHeight="true" outlineLevel="0" collapsed="false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70</v>
      </c>
      <c r="F12" s="2" t="s">
        <v>113</v>
      </c>
    </row>
  </sheetData>
  <autoFilter ref="A1:F1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&amp;CEvidence register · source rows, handbook, time and channel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3" min="3" style="0" width="30.01"/>
    <col collapsed="false" customWidth="true" hidden="false" outlineLevel="0" max="4" min="4" style="0" width="18"/>
    <col collapsed="false" customWidth="true" hidden="false" outlineLevel="0" max="5" min="5" style="0" width="30.01"/>
    <col collapsed="false" customWidth="true" hidden="false" outlineLevel="0" max="6" min="6" style="0" width="23.01"/>
    <col collapsed="false" customWidth="true" hidden="false" outlineLevel="0" max="7" min="7" style="0" width="14.01"/>
    <col collapsed="false" customWidth="true" hidden="false" outlineLevel="0" max="8" min="8" style="0" width="13.01"/>
    <col collapsed="false" customWidth="true" hidden="false" outlineLevel="0" max="9" min="9" style="0" width="44.99"/>
    <col collapsed="false" customWidth="true" hidden="false" outlineLevel="0" max="10" min="10" style="0" width="14.01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3" min="13" style="0" width="25"/>
    <col collapsed="false" customWidth="true" hidden="false" outlineLevel="0" max="14" min="14" style="0" width="37.99"/>
    <col collapsed="false" customWidth="true" hidden="false" outlineLevel="0" max="16" min="15" style="0" width="34"/>
    <col collapsed="false" customWidth="true" hidden="false" outlineLevel="0" max="17" min="17" style="0" width="61.9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114</v>
      </c>
      <c r="I1" s="1" t="s">
        <v>8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47</v>
      </c>
    </row>
    <row r="2" customFormat="false" ht="37.5" hidden="false" customHeight="true" outlineLevel="0" collapsed="false">
      <c r="A2" s="2" t="n">
        <f aca="false">Source_Training!A2</f>
        <v>2</v>
      </c>
      <c r="B2" s="2" t="str">
        <f aca="false">Source_Training!B2</f>
        <v>Patricia Chen</v>
      </c>
      <c r="C2" s="2" t="str">
        <f aca="false">Source_Training!C2</f>
        <v>patricia.chen@company.example.com</v>
      </c>
      <c r="D2" s="2" t="str">
        <f aca="false">Source_Training!D2</f>
        <v>Vikram Shah</v>
      </c>
      <c r="E2" s="2" t="str">
        <f aca="false">Source_Training!E2</f>
        <v>vikram.shah@company.example.com</v>
      </c>
      <c r="F2" s="2" t="str">
        <f aca="false">Source_Training!F2</f>
        <v>Information Security</v>
      </c>
      <c r="G2" s="2" t="str">
        <f aca="false">Source_Training!G2</f>
        <v>2026-04-01</v>
      </c>
      <c r="H2" s="2" t="str">
        <f aca="false">Source_Training!H2</f>
        <v>Overdue</v>
      </c>
      <c r="I2" s="2" t="n">
        <f aca="false">Source_Training!I2</f>
        <v>0</v>
      </c>
      <c r="J2" s="2" t="n">
        <f aca="false">MAX(0,DATE(2026,4,15)-DATEVALUE(G2))</f>
        <v>14</v>
      </c>
      <c r="K2" s="2" t="str">
        <f aca="false">IF(H2="Complete","YES","NO")</f>
        <v>NO</v>
      </c>
      <c r="L2" s="2" t="str">
        <f aca="false">IF(AND(ISNUMBER(SEARCH("exemption",I2)),DATE(2026,4,15)&lt;=DATE(2026,4,30)),"YES","NO")</f>
        <v>NO</v>
      </c>
      <c r="M2" s="2" t="str">
        <f aca="false">IF(K2="YES","NO_ACTION",IF(L2="YES","EXEMPT",IF(J2=0,"NO_ACTION",IF(J2&lt;=14,"WARNING",IF(J2&lt;=30,"SUSPENSION_REQUEST","COMMITTEE_ESCALATION")))))</f>
        <v>WARNING</v>
      </c>
      <c r="N2" s="2" t="str">
        <f aca="false">IF(M2="WARNING",C2,IF(M2="SUSPENSION_REQUEST","it-security@company.example.com",IF(M2="COMMITTEE_ESCALATION","compliance-committee@company.example.com","NONE")))</f>
        <v>patricia.chen@company.example.com</v>
      </c>
      <c r="O2" s="2" t="str">
        <f aca="false">IF(OR(M2="WARNING",M2="SUSPENSION_REQUEST"),E2,"NONE")</f>
        <v>vikram.shah@company.example.com</v>
      </c>
      <c r="P2" s="2" t="str">
        <f aca="false">IF(M2="WARNING","EMPLOYEE_WARNING_CC_MANAGER",IF(M2="SUSPENSION_REQUEST","IT_REQUEST_AND_MANAGER_NOTICE",IF(M2="COMMITTEE_ESCALATION","COMMITTEE_ONLY","NO_DRAFT")))</f>
        <v>EMPLOYEE_WARNING_CC_MANAGER</v>
      </c>
      <c r="Q2" s="2" t="str">
        <f aca="false">Evidence_Register!F2</f>
        <v>Training_Compliance_Tracker.xlsx:Training Status row 2</v>
      </c>
    </row>
    <row r="3" customFormat="false" ht="37.5" hidden="false" customHeight="true" outlineLevel="0" collapsed="false">
      <c r="A3" s="2" t="n">
        <f aca="false">Source_Training!A3</f>
        <v>3</v>
      </c>
      <c r="B3" s="2" t="str">
        <f aca="false">Source_Training!B3</f>
        <v>Patricia Chang</v>
      </c>
      <c r="C3" s="2" t="str">
        <f aca="false">Source_Training!C3</f>
        <v>patricia.chang@company.example.com</v>
      </c>
      <c r="D3" s="2" t="str">
        <f aca="false">Source_Training!D3</f>
        <v>Vikram Shah</v>
      </c>
      <c r="E3" s="2" t="str">
        <f aca="false">Source_Training!E3</f>
        <v>vikram.shah@company.example.com</v>
      </c>
      <c r="F3" s="2" t="str">
        <f aca="false">Source_Training!F3</f>
        <v>Anti-Harassment</v>
      </c>
      <c r="G3" s="2" t="str">
        <f aca="false">Source_Training!G3</f>
        <v>2026-03-10</v>
      </c>
      <c r="H3" s="2" t="str">
        <f aca="false">Source_Training!H3</f>
        <v>Overdue</v>
      </c>
      <c r="I3" s="2" t="n">
        <f aca="false">Source_Training!I3</f>
        <v>0</v>
      </c>
      <c r="J3" s="2" t="n">
        <f aca="false">MAX(0,DATE(2026,4,15)-DATEVALUE(G3))</f>
        <v>36</v>
      </c>
      <c r="K3" s="2" t="str">
        <f aca="false">IF(H3="Complete","YES","NO")</f>
        <v>NO</v>
      </c>
      <c r="L3" s="2" t="str">
        <f aca="false">IF(AND(ISNUMBER(SEARCH("exemption",I3)),DATE(2026,4,15)&lt;=DATE(2026,4,30)),"YES","NO")</f>
        <v>NO</v>
      </c>
      <c r="M3" s="2" t="str">
        <f aca="false">IF(K3="YES","NO_ACTION",IF(L3="YES","EXEMPT",IF(J3=0,"NO_ACTION",IF(J3&lt;=14,"WARNING",IF(J3&lt;=30,"SUSPENSION_REQUEST","COMMITTEE_ESCALATION")))))</f>
        <v>COMMITTEE_ESCALATION</v>
      </c>
      <c r="N3" s="2" t="str">
        <f aca="false">IF(M3="WARNING",C3,IF(M3="SUSPENSION_REQUEST","it-security@company.example.com",IF(M3="COMMITTEE_ESCALATION","compliance-committee@company.example.com","NONE")))</f>
        <v>compliance-committee@company.example.com</v>
      </c>
      <c r="O3" s="2" t="str">
        <f aca="false">IF(OR(M3="WARNING",M3="SUSPENSION_REQUEST"),E3,"NONE")</f>
        <v>NONE</v>
      </c>
      <c r="P3" s="2" t="str">
        <f aca="false">IF(M3="WARNING","EMPLOYEE_WARNING_CC_MANAGER",IF(M3="SUSPENSION_REQUEST","IT_REQUEST_AND_MANAGER_NOTICE",IF(M3="COMMITTEE_ESCALATION","COMMITTEE_ONLY","NO_DRAFT")))</f>
        <v>COMMITTEE_ONLY</v>
      </c>
      <c r="Q3" s="2" t="str">
        <f aca="false">Evidence_Register!F3</f>
        <v>Training_Compliance_Tracker.xlsx:Training Status row 3</v>
      </c>
    </row>
    <row r="4" customFormat="false" ht="48" hidden="false" customHeight="true" outlineLevel="0" collapsed="false">
      <c r="A4" s="2" t="n">
        <f aca="false">Source_Training!A4</f>
        <v>4</v>
      </c>
      <c r="B4" s="2" t="str">
        <f aca="false">Source_Training!B4</f>
        <v>Roberto Alvarez</v>
      </c>
      <c r="C4" s="2" t="str">
        <f aca="false">Source_Training!C4</f>
        <v>roberto.alvarez@company.example.com</v>
      </c>
      <c r="D4" s="2" t="str">
        <f aca="false">Source_Training!D4</f>
        <v>Diana Torres</v>
      </c>
      <c r="E4" s="2" t="str">
        <f aca="false">Source_Training!E4</f>
        <v>diana.torres@company.example.com</v>
      </c>
      <c r="F4" s="2" t="str">
        <f aca="false">Source_Training!F4</f>
        <v>Data Privacy</v>
      </c>
      <c r="G4" s="2" t="str">
        <f aca="false">Source_Training!G4</f>
        <v>2026-03-01</v>
      </c>
      <c r="H4" s="2" t="str">
        <f aca="false">Source_Training!H4</f>
        <v>Overdue</v>
      </c>
      <c r="I4" s="2" t="str">
        <f aca="false">Source_Training!I4</f>
        <v>Medical leave exemption through April 30</v>
      </c>
      <c r="J4" s="2" t="n">
        <f aca="false">MAX(0,DATE(2026,4,15)-DATEVALUE(G4))</f>
        <v>45</v>
      </c>
      <c r="K4" s="2" t="str">
        <f aca="false">IF(H4="Complete","YES","NO")</f>
        <v>NO</v>
      </c>
      <c r="L4" s="2" t="str">
        <f aca="false">IF(AND(ISNUMBER(SEARCH("exemption",I4)),DATE(2026,4,15)&lt;=DATE(2026,4,30)),"YES","NO")</f>
        <v>YES</v>
      </c>
      <c r="M4" s="2" t="str">
        <f aca="false">IF(K4="YES","NO_ACTION",IF(L4="YES","EXEMPT",IF(J4=0,"NO_ACTION",IF(J4&lt;=14,"WARNING",IF(J4&lt;=30,"SUSPENSION_REQUEST","COMMITTEE_ESCALATION")))))</f>
        <v>EXEMPT</v>
      </c>
      <c r="N4" s="2" t="str">
        <f aca="false">IF(M4="WARNING",C4,IF(M4="SUSPENSION_REQUEST","it-security@company.example.com",IF(M4="COMMITTEE_ESCALATION","compliance-committee@company.example.com","NONE")))</f>
        <v>NONE</v>
      </c>
      <c r="O4" s="2" t="str">
        <f aca="false">IF(OR(M4="WARNING",M4="SUSPENSION_REQUEST"),E4,"NONE")</f>
        <v>NONE</v>
      </c>
      <c r="P4" s="2" t="str">
        <f aca="false">IF(M4="WARNING","EMPLOYEE_WARNING_CC_MANAGER",IF(M4="SUSPENSION_REQUEST","IT_REQUEST_AND_MANAGER_NOTICE",IF(M4="COMMITTEE_ESCALATION","COMMITTEE_ONLY","NO_DRAFT")))</f>
        <v>NO_DRAFT</v>
      </c>
      <c r="Q4" s="2" t="str">
        <f aca="false">Evidence_Register!F4</f>
        <v>Training_Compliance_Tracker.xlsx:Training Status row 4</v>
      </c>
    </row>
    <row r="5" customFormat="false" ht="37.5" hidden="false" customHeight="true" outlineLevel="0" collapsed="false">
      <c r="A5" s="2" t="n">
        <f aca="false">Source_Training!A5</f>
        <v>5</v>
      </c>
      <c r="B5" s="2" t="str">
        <f aca="false">Source_Training!B5</f>
        <v>Samantha Green</v>
      </c>
      <c r="C5" s="2" t="str">
        <f aca="false">Source_Training!C5</f>
        <v>samantha.green@company.example.com</v>
      </c>
      <c r="D5" s="2" t="str">
        <f aca="false">Source_Training!D5</f>
        <v>Diana Torres</v>
      </c>
      <c r="E5" s="2" t="str">
        <f aca="false">Source_Training!E5</f>
        <v>diana.torres@company.example.com</v>
      </c>
      <c r="F5" s="2" t="str">
        <f aca="false">Source_Training!F5</f>
        <v>Information Security</v>
      </c>
      <c r="G5" s="2" t="str">
        <f aca="false">Source_Training!G5</f>
        <v>2026-03-25</v>
      </c>
      <c r="H5" s="2" t="str">
        <f aca="false">Source_Training!H5</f>
        <v>Overdue</v>
      </c>
      <c r="I5" s="2" t="n">
        <f aca="false">Source_Training!I5</f>
        <v>0</v>
      </c>
      <c r="J5" s="2" t="n">
        <f aca="false">MAX(0,DATE(2026,4,15)-DATEVALUE(G5))</f>
        <v>21</v>
      </c>
      <c r="K5" s="2" t="str">
        <f aca="false">IF(H5="Complete","YES","NO")</f>
        <v>NO</v>
      </c>
      <c r="L5" s="2" t="str">
        <f aca="false">IF(AND(ISNUMBER(SEARCH("exemption",I5)),DATE(2026,4,15)&lt;=DATE(2026,4,30)),"YES","NO")</f>
        <v>NO</v>
      </c>
      <c r="M5" s="2" t="str">
        <f aca="false">IF(K5="YES","NO_ACTION",IF(L5="YES","EXEMPT",IF(J5=0,"NO_ACTION",IF(J5&lt;=14,"WARNING",IF(J5&lt;=30,"SUSPENSION_REQUEST","COMMITTEE_ESCALATION")))))</f>
        <v>SUSPENSION_REQUEST</v>
      </c>
      <c r="N5" s="2" t="str">
        <f aca="false">IF(M5="WARNING",C5,IF(M5="SUSPENSION_REQUEST","it-security@company.example.com",IF(M5="COMMITTEE_ESCALATION","compliance-committee@company.example.com","NONE")))</f>
        <v>it-security@company.example.com</v>
      </c>
      <c r="O5" s="2" t="str">
        <f aca="false">IF(OR(M5="WARNING",M5="SUSPENSION_REQUEST"),E5,"NONE")</f>
        <v>diana.torres@company.example.com</v>
      </c>
      <c r="P5" s="2" t="str">
        <f aca="false">IF(M5="WARNING","EMPLOYEE_WARNING_CC_MANAGER",IF(M5="SUSPENSION_REQUEST","IT_REQUEST_AND_MANAGER_NOTICE",IF(M5="COMMITTEE_ESCALATION","COMMITTEE_ONLY","NO_DRAFT")))</f>
        <v>IT_REQUEST_AND_MANAGER_NOTICE</v>
      </c>
      <c r="Q5" s="2" t="str">
        <f aca="false">Evidence_Register!F5</f>
        <v>Training_Compliance_Tracker.xlsx:Training Status row 5</v>
      </c>
    </row>
    <row r="6" customFormat="false" ht="37.5" hidden="false" customHeight="true" outlineLevel="0" collapsed="false">
      <c r="A6" s="2" t="n">
        <f aca="false">Source_Training!A6</f>
        <v>6</v>
      </c>
      <c r="B6" s="2" t="str">
        <f aca="false">Source_Training!B6</f>
        <v>Theodore Kim</v>
      </c>
      <c r="C6" s="2" t="str">
        <f aca="false">Source_Training!C6</f>
        <v>theodore.kim@company.example.com</v>
      </c>
      <c r="D6" s="2" t="str">
        <f aca="false">Source_Training!D6</f>
        <v>Vikram Shah</v>
      </c>
      <c r="E6" s="2" t="str">
        <f aca="false">Source_Training!E6</f>
        <v>vikram.shah@company.example.com</v>
      </c>
      <c r="F6" s="2" t="str">
        <f aca="false">Source_Training!F6</f>
        <v>Anti-Harassment</v>
      </c>
      <c r="G6" s="2" t="str">
        <f aca="false">Source_Training!G6</f>
        <v>2026-02-10</v>
      </c>
      <c r="H6" s="2" t="str">
        <f aca="false">Source_Training!H6</f>
        <v>Overdue</v>
      </c>
      <c r="I6" s="2" t="n">
        <f aca="false">Source_Training!I6</f>
        <v>0</v>
      </c>
      <c r="J6" s="2" t="n">
        <f aca="false">MAX(0,DATE(2026,4,15)-DATEVALUE(G6))</f>
        <v>64</v>
      </c>
      <c r="K6" s="2" t="str">
        <f aca="false">IF(H6="Complete","YES","NO")</f>
        <v>NO</v>
      </c>
      <c r="L6" s="2" t="str">
        <f aca="false">IF(AND(ISNUMBER(SEARCH("exemption",I6)),DATE(2026,4,15)&lt;=DATE(2026,4,30)),"YES","NO")</f>
        <v>NO</v>
      </c>
      <c r="M6" s="2" t="str">
        <f aca="false">IF(K6="YES","NO_ACTION",IF(L6="YES","EXEMPT",IF(J6=0,"NO_ACTION",IF(J6&lt;=14,"WARNING",IF(J6&lt;=30,"SUSPENSION_REQUEST","COMMITTEE_ESCALATION")))))</f>
        <v>COMMITTEE_ESCALATION</v>
      </c>
      <c r="N6" s="2" t="str">
        <f aca="false">IF(M6="WARNING",C6,IF(M6="SUSPENSION_REQUEST","it-security@company.example.com",IF(M6="COMMITTEE_ESCALATION","compliance-committee@company.example.com","NONE")))</f>
        <v>compliance-committee@company.example.com</v>
      </c>
      <c r="O6" s="2" t="str">
        <f aca="false">IF(OR(M6="WARNING",M6="SUSPENSION_REQUEST"),E6,"NONE")</f>
        <v>NONE</v>
      </c>
      <c r="P6" s="2" t="str">
        <f aca="false">IF(M6="WARNING","EMPLOYEE_WARNING_CC_MANAGER",IF(M6="SUSPENSION_REQUEST","IT_REQUEST_AND_MANAGER_NOTICE",IF(M6="COMMITTEE_ESCALATION","COMMITTEE_ONLY","NO_DRAFT")))</f>
        <v>COMMITTEE_ONLY</v>
      </c>
      <c r="Q6" s="2" t="str">
        <f aca="false">Evidence_Register!F6</f>
        <v>Training_Compliance_Tracker.xlsx:Training Status row 6</v>
      </c>
    </row>
    <row r="7" customFormat="false" ht="37.5" hidden="false" customHeight="true" outlineLevel="0" collapsed="false">
      <c r="A7" s="2" t="n">
        <f aca="false">Source_Training!A7</f>
        <v>7</v>
      </c>
      <c r="B7" s="2" t="str">
        <f aca="false">Source_Training!B7</f>
        <v>Ursula Martin</v>
      </c>
      <c r="C7" s="2" t="str">
        <f aca="false">Source_Training!C7</f>
        <v>ursula.martin@company.example.com</v>
      </c>
      <c r="D7" s="2" t="str">
        <f aca="false">Source_Training!D7</f>
        <v>Diana Torres</v>
      </c>
      <c r="E7" s="2" t="str">
        <f aca="false">Source_Training!E7</f>
        <v>diana.torres@company.example.com</v>
      </c>
      <c r="F7" s="2" t="str">
        <f aca="false">Source_Training!F7</f>
        <v>Data Privacy</v>
      </c>
      <c r="G7" s="2" t="str">
        <f aca="false">Source_Training!G7</f>
        <v>2026-04-10</v>
      </c>
      <c r="H7" s="2" t="str">
        <f aca="false">Source_Training!H7</f>
        <v>Overdue</v>
      </c>
      <c r="I7" s="2" t="n">
        <f aca="false">Source_Training!I7</f>
        <v>0</v>
      </c>
      <c r="J7" s="2" t="n">
        <f aca="false">MAX(0,DATE(2026,4,15)-DATEVALUE(G7))</f>
        <v>5</v>
      </c>
      <c r="K7" s="2" t="str">
        <f aca="false">IF(H7="Complete","YES","NO")</f>
        <v>NO</v>
      </c>
      <c r="L7" s="2" t="str">
        <f aca="false">IF(AND(ISNUMBER(SEARCH("exemption",I7)),DATE(2026,4,15)&lt;=DATE(2026,4,30)),"YES","NO")</f>
        <v>NO</v>
      </c>
      <c r="M7" s="2" t="str">
        <f aca="false">IF(K7="YES","NO_ACTION",IF(L7="YES","EXEMPT",IF(J7=0,"NO_ACTION",IF(J7&lt;=14,"WARNING",IF(J7&lt;=30,"SUSPENSION_REQUEST","COMMITTEE_ESCALATION")))))</f>
        <v>WARNING</v>
      </c>
      <c r="N7" s="2" t="str">
        <f aca="false">IF(M7="WARNING",C7,IF(M7="SUSPENSION_REQUEST","it-security@company.example.com",IF(M7="COMMITTEE_ESCALATION","compliance-committee@company.example.com","NONE")))</f>
        <v>ursula.martin@company.example.com</v>
      </c>
      <c r="O7" s="2" t="str">
        <f aca="false">IF(OR(M7="WARNING",M7="SUSPENSION_REQUEST"),E7,"NONE")</f>
        <v>diana.torres@company.example.com</v>
      </c>
      <c r="P7" s="2" t="str">
        <f aca="false">IF(M7="WARNING","EMPLOYEE_WARNING_CC_MANAGER",IF(M7="SUSPENSION_REQUEST","IT_REQUEST_AND_MANAGER_NOTICE",IF(M7="COMMITTEE_ESCALATION","COMMITTEE_ONLY","NO_DRAFT")))</f>
        <v>EMPLOYEE_WARNING_CC_MANAGER</v>
      </c>
      <c r="Q7" s="2" t="str">
        <f aca="false">Evidence_Register!F7</f>
        <v>Training_Compliance_Tracker.xlsx:Training Status row 7</v>
      </c>
    </row>
    <row r="8" customFormat="false" ht="37.5" hidden="false" customHeight="true" outlineLevel="0" collapsed="false">
      <c r="A8" s="2" t="n">
        <f aca="false">Source_Training!A8</f>
        <v>8</v>
      </c>
      <c r="B8" s="2" t="str">
        <f aca="false">Source_Training!B8</f>
        <v>Victor Pham</v>
      </c>
      <c r="C8" s="2" t="str">
        <f aca="false">Source_Training!C8</f>
        <v>victor.pham@company.example.com</v>
      </c>
      <c r="D8" s="2" t="str">
        <f aca="false">Source_Training!D8</f>
        <v>Vikram Shah</v>
      </c>
      <c r="E8" s="2" t="str">
        <f aca="false">Source_Training!E8</f>
        <v>vikram.shah@company.example.com</v>
      </c>
      <c r="F8" s="2" t="str">
        <f aca="false">Source_Training!F8</f>
        <v>Information Security</v>
      </c>
      <c r="G8" s="2" t="str">
        <f aca="false">Source_Training!G8</f>
        <v>2025-12-15</v>
      </c>
      <c r="H8" s="2" t="str">
        <f aca="false">Source_Training!H8</f>
        <v>Overdue</v>
      </c>
      <c r="I8" s="2" t="n">
        <f aca="false">Source_Training!I8</f>
        <v>0</v>
      </c>
      <c r="J8" s="2" t="n">
        <f aca="false">MAX(0,DATE(2026,4,15)-DATEVALUE(G8))</f>
        <v>121</v>
      </c>
      <c r="K8" s="2" t="str">
        <f aca="false">IF(H8="Complete","YES","NO")</f>
        <v>NO</v>
      </c>
      <c r="L8" s="2" t="str">
        <f aca="false">IF(AND(ISNUMBER(SEARCH("exemption",I8)),DATE(2026,4,15)&lt;=DATE(2026,4,30)),"YES","NO")</f>
        <v>NO</v>
      </c>
      <c r="M8" s="2" t="str">
        <f aca="false">IF(K8="YES","NO_ACTION",IF(L8="YES","EXEMPT",IF(J8=0,"NO_ACTION",IF(J8&lt;=14,"WARNING",IF(J8&lt;=30,"SUSPENSION_REQUEST","COMMITTEE_ESCALATION")))))</f>
        <v>COMMITTEE_ESCALATION</v>
      </c>
      <c r="N8" s="2" t="str">
        <f aca="false">IF(M8="WARNING",C8,IF(M8="SUSPENSION_REQUEST","it-security@company.example.com",IF(M8="COMMITTEE_ESCALATION","compliance-committee@company.example.com","NONE")))</f>
        <v>compliance-committee@company.example.com</v>
      </c>
      <c r="O8" s="2" t="str">
        <f aca="false">IF(OR(M8="WARNING",M8="SUSPENSION_REQUEST"),E8,"NONE")</f>
        <v>NONE</v>
      </c>
      <c r="P8" s="2" t="str">
        <f aca="false">IF(M8="WARNING","EMPLOYEE_WARNING_CC_MANAGER",IF(M8="SUSPENSION_REQUEST","IT_REQUEST_AND_MANAGER_NOTICE",IF(M8="COMMITTEE_ESCALATION","COMMITTEE_ONLY","NO_DRAFT")))</f>
        <v>COMMITTEE_ONLY</v>
      </c>
      <c r="Q8" s="2" t="str">
        <f aca="false">Evidence_Register!F8</f>
        <v>Training_Compliance_Tracker.xlsx:Training Status row 8</v>
      </c>
    </row>
    <row r="9" customFormat="false" ht="37.5" hidden="false" customHeight="true" outlineLevel="0" collapsed="false">
      <c r="A9" s="2" t="n">
        <f aca="false">Source_Training!A9</f>
        <v>9</v>
      </c>
      <c r="B9" s="2" t="str">
        <f aca="false">Source_Training!B9</f>
        <v>Wendy Torres</v>
      </c>
      <c r="C9" s="2" t="str">
        <f aca="false">Source_Training!C9</f>
        <v>wendy.torres@company.example.com</v>
      </c>
      <c r="D9" s="2" t="str">
        <f aca="false">Source_Training!D9</f>
        <v>Diana Torres</v>
      </c>
      <c r="E9" s="2" t="str">
        <f aca="false">Source_Training!E9</f>
        <v>diana.torres@company.example.com</v>
      </c>
      <c r="F9" s="2" t="str">
        <f aca="false">Source_Training!F9</f>
        <v>Anti-Harassment</v>
      </c>
      <c r="G9" s="2" t="str">
        <f aca="false">Source_Training!G9</f>
        <v>2026-04-14</v>
      </c>
      <c r="H9" s="2" t="str">
        <f aca="false">Source_Training!H9</f>
        <v>Complete</v>
      </c>
      <c r="I9" s="2" t="n">
        <f aca="false">Source_Training!I9</f>
        <v>0</v>
      </c>
      <c r="J9" s="2" t="n">
        <f aca="false">MAX(0,DATE(2026,4,15)-DATEVALUE(G9))</f>
        <v>1</v>
      </c>
      <c r="K9" s="2" t="str">
        <f aca="false">IF(H9="Complete","YES","NO")</f>
        <v>YES</v>
      </c>
      <c r="L9" s="2" t="str">
        <f aca="false">IF(AND(ISNUMBER(SEARCH("exemption",I9)),DATE(2026,4,15)&lt;=DATE(2026,4,30)),"YES","NO")</f>
        <v>NO</v>
      </c>
      <c r="M9" s="2" t="str">
        <f aca="false">IF(K9="YES","NO_ACTION",IF(L9="YES","EXEMPT",IF(J9=0,"NO_ACTION",IF(J9&lt;=14,"WARNING",IF(J9&lt;=30,"SUSPENSION_REQUEST","COMMITTEE_ESCALATION")))))</f>
        <v>NO_ACTION</v>
      </c>
      <c r="N9" s="2" t="str">
        <f aca="false">IF(M9="WARNING",C9,IF(M9="SUSPENSION_REQUEST","it-security@company.example.com",IF(M9="COMMITTEE_ESCALATION","compliance-committee@company.example.com","NONE")))</f>
        <v>NONE</v>
      </c>
      <c r="O9" s="2" t="str">
        <f aca="false">IF(OR(M9="WARNING",M9="SUSPENSION_REQUEST"),E9,"NONE")</f>
        <v>NONE</v>
      </c>
      <c r="P9" s="2" t="str">
        <f aca="false">IF(M9="WARNING","EMPLOYEE_WARNING_CC_MANAGER",IF(M9="SUSPENSION_REQUEST","IT_REQUEST_AND_MANAGER_NOTICE",IF(M9="COMMITTEE_ESCALATION","COMMITTEE_ONLY","NO_DRAFT")))</f>
        <v>NO_DRAFT</v>
      </c>
      <c r="Q9" s="2" t="str">
        <f aca="false">Evidence_Register!F9</f>
        <v>Training_Compliance_Tracker.xlsx:Training Status row 9</v>
      </c>
    </row>
  </sheetData>
  <autoFilter ref="A1:Q9"/>
  <conditionalFormatting sqref="M2:M9">
    <cfRule type="expression" priority="2" aboveAverage="0" equalAverage="0" bottom="0" percent="0" rank="0" text="" dxfId="8">
      <formula>M2="WARNING"</formula>
    </cfRule>
    <cfRule type="expression" priority="3" aboveAverage="0" equalAverage="0" bottom="0" percent="0" rank="0" text="" dxfId="9">
      <formula>M2="SUSPENSION_REQUEST"</formula>
    </cfRule>
    <cfRule type="expression" priority="4" aboveAverage="0" equalAverage="0" bottom="0" percent="0" rank="0" text="" dxfId="10">
      <formula>M2="COMMITTEE_ESCALATION"</formula>
    </cfRule>
    <cfRule type="expression" priority="5" aboveAverage="0" equalAverage="0" bottom="0" percent="0" rank="0" text="" dxfId="11">
      <formula>M2="EXEMPT"</formula>
    </cfRule>
    <cfRule type="expression" priority="6" aboveAverage="0" equalAverage="0" bottom="0" percent="0" rank="0" text="" dxfId="12">
      <formula>M2="NO_ACTION"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decisions · status/exemption precedence, then overdue bands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7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58"/>
    <col collapsed="false" customWidth="true" hidden="false" outlineLevel="0" max="6" min="6" style="0" width="13.01"/>
    <col collapsed="false" customWidth="true" hidden="false" outlineLevel="0" max="7" min="7" style="0" width="19.99"/>
    <col collapsed="false" customWidth="true" hidden="false" outlineLevel="0" max="8" min="8" style="0" width="34"/>
    <col collapsed="false" customWidth="true" hidden="false" outlineLevel="0" max="9" min="9" style="0" width="72.01"/>
  </cols>
  <sheetData>
    <row r="1" customFormat="false" ht="30" hidden="false" customHeight="true" outlineLevel="0" collapsed="false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7</v>
      </c>
      <c r="H1" s="1" t="s">
        <v>128</v>
      </c>
      <c r="I1" s="1" t="s">
        <v>47</v>
      </c>
    </row>
    <row r="2" customFormat="false" ht="42" hidden="false" customHeight="true" outlineLevel="0" collapsed="false">
      <c r="A2" s="2" t="s">
        <v>129</v>
      </c>
      <c r="B2" s="2" t="s">
        <v>130</v>
      </c>
      <c r="C2" s="2" t="str">
        <f aca="false">Enforcement_Decisions!C2</f>
        <v>patricia.chen@company.example.com</v>
      </c>
      <c r="D2" s="2" t="str">
        <f aca="false">Enforcement_Decisions!E2</f>
        <v>vikram.shah@company.example.com</v>
      </c>
      <c r="E2" s="2" t="str">
        <f aca="false">Enforcement_Decisions!B2</f>
        <v>Patricia Chen</v>
      </c>
      <c r="F2" s="2" t="n">
        <v>1</v>
      </c>
      <c r="G2" s="2" t="s">
        <v>131</v>
      </c>
      <c r="H2" s="2" t="s">
        <v>132</v>
      </c>
      <c r="I2" s="2" t="str">
        <f aca="false">Enforcement_Decisions!Q2</f>
        <v>Training_Compliance_Tracker.xlsx:Training Status row 2</v>
      </c>
    </row>
    <row r="3" customFormat="false" ht="42" hidden="false" customHeight="true" outlineLevel="0" collapsed="false">
      <c r="A3" s="2" t="s">
        <v>133</v>
      </c>
      <c r="B3" s="2" t="s">
        <v>130</v>
      </c>
      <c r="C3" s="2" t="str">
        <f aca="false">Enforcement_Decisions!C7</f>
        <v>ursula.martin@company.example.com</v>
      </c>
      <c r="D3" s="2" t="str">
        <f aca="false">Enforcement_Decisions!E7</f>
        <v>diana.torres@company.example.com</v>
      </c>
      <c r="E3" s="2" t="str">
        <f aca="false">Enforcement_Decisions!B7</f>
        <v>Ursula Martin</v>
      </c>
      <c r="F3" s="2" t="n">
        <v>1</v>
      </c>
      <c r="G3" s="2" t="s">
        <v>131</v>
      </c>
      <c r="H3" s="2" t="s">
        <v>132</v>
      </c>
      <c r="I3" s="2" t="str">
        <f aca="false">Enforcement_Decisions!Q7</f>
        <v>Training_Compliance_Tracker.xlsx:Training Status row 7</v>
      </c>
    </row>
    <row r="4" customFormat="false" ht="42" hidden="false" customHeight="true" outlineLevel="0" collapsed="false">
      <c r="A4" s="2" t="s">
        <v>134</v>
      </c>
      <c r="B4" s="2" t="s">
        <v>135</v>
      </c>
      <c r="C4" s="2" t="s">
        <v>136</v>
      </c>
      <c r="D4" s="2"/>
      <c r="E4" s="2" t="str">
        <f aca="false">Enforcement_Decisions!B5</f>
        <v>Samantha Green</v>
      </c>
      <c r="F4" s="2" t="n">
        <v>1</v>
      </c>
      <c r="G4" s="2" t="s">
        <v>131</v>
      </c>
      <c r="H4" s="2" t="s">
        <v>137</v>
      </c>
      <c r="I4" s="2" t="str">
        <f aca="false">Enforcement_Decisions!Q5</f>
        <v>Training_Compliance_Tracker.xlsx:Training Status row 5</v>
      </c>
    </row>
    <row r="5" customFormat="false" ht="42" hidden="false" customHeight="true" outlineLevel="0" collapsed="false">
      <c r="A5" s="2" t="s">
        <v>138</v>
      </c>
      <c r="B5" s="2" t="s">
        <v>139</v>
      </c>
      <c r="C5" s="2" t="str">
        <f aca="false">Enforcement_Decisions!E5</f>
        <v>diana.torres@company.example.com</v>
      </c>
      <c r="D5" s="2"/>
      <c r="E5" s="2" t="str">
        <f aca="false">Enforcement_Decisions!B5</f>
        <v>Samantha Green</v>
      </c>
      <c r="F5" s="2" t="n">
        <v>1</v>
      </c>
      <c r="G5" s="2" t="s">
        <v>131</v>
      </c>
      <c r="H5" s="2" t="s">
        <v>140</v>
      </c>
      <c r="I5" s="2" t="str">
        <f aca="false">Enforcement_Decisions!Q5</f>
        <v>Training_Compliance_Tracker.xlsx:Training Status row 5</v>
      </c>
    </row>
    <row r="6" customFormat="false" ht="42" hidden="false" customHeight="true" outlineLevel="0" collapsed="false">
      <c r="A6" s="2" t="s">
        <v>141</v>
      </c>
      <c r="B6" s="2" t="s">
        <v>142</v>
      </c>
      <c r="C6" s="2" t="s">
        <v>143</v>
      </c>
      <c r="D6" s="2"/>
      <c r="E6" s="2" t="str">
        <f aca="false">Enforcement_Decisions!B3&amp;", "&amp;Enforcement_Decisions!B6&amp;", "&amp;Enforcement_Decisions!B8</f>
        <v>Patricia Chang, Theodore Kim, Victor Pham</v>
      </c>
      <c r="F6" s="2" t="n">
        <v>3</v>
      </c>
      <c r="G6" s="2" t="s">
        <v>131</v>
      </c>
      <c r="H6" s="2" t="s">
        <v>144</v>
      </c>
      <c r="I6" s="2" t="str">
        <f aca="false">Enforcement_Decisions!Q3&amp;"; "&amp;Enforcement_Decisions!Q6&amp;"; "&amp;Enforcement_Decisions!Q8</f>
        <v>Training_Compliance_Tracker.xlsx:Training Status row 3; Training_Compliance_Tracker.xlsx:Training Status row 6; Training_Compliance_Tracker.xlsx:Training Status row 8</v>
      </c>
    </row>
  </sheetData>
  <autoFilter ref="A1:I6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&amp;CFive offline drafts · no sends or access changes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145</v>
      </c>
      <c r="B1" s="1" t="s">
        <v>146</v>
      </c>
      <c r="C1" s="1" t="s">
        <v>147</v>
      </c>
    </row>
    <row r="2" customFormat="false" ht="15" hidden="false" customHeight="false" outlineLevel="0" collapsed="false">
      <c r="A2" s="2" t="s">
        <v>148</v>
      </c>
      <c r="B2" s="2" t="n">
        <f aca="false">COUNTA(Enforcement_Decisions!B2:B9)</f>
        <v>8</v>
      </c>
      <c r="C2" s="2" t="s">
        <v>149</v>
      </c>
    </row>
    <row r="3" customFormat="false" ht="15" hidden="false" customHeight="false" outlineLevel="0" collapsed="false">
      <c r="A3" s="2" t="s">
        <v>150</v>
      </c>
      <c r="B3" s="2" t="n">
        <f aca="false">COUNTIF(Enforcement_Decisions!M2:M9,"WARNING")</f>
        <v>2</v>
      </c>
      <c r="C3" s="2" t="s">
        <v>151</v>
      </c>
    </row>
    <row r="4" customFormat="false" ht="15" hidden="false" customHeight="false" outlineLevel="0" collapsed="false">
      <c r="A4" s="2" t="s">
        <v>152</v>
      </c>
      <c r="B4" s="2" t="n">
        <f aca="false">COUNTIF(Enforcement_Decisions!M2:M9,"SUSPENSION_REQUEST")</f>
        <v>1</v>
      </c>
      <c r="C4" s="2" t="s">
        <v>153</v>
      </c>
    </row>
    <row r="5" customFormat="false" ht="15" hidden="false" customHeight="false" outlineLevel="0" collapsed="false">
      <c r="A5" s="2" t="s">
        <v>154</v>
      </c>
      <c r="B5" s="2" t="n">
        <f aca="false">COUNTIF(Enforcement_Decisions!M2:M9,"COMMITTEE_ESCALATION")</f>
        <v>3</v>
      </c>
      <c r="C5" s="2" t="s">
        <v>155</v>
      </c>
    </row>
    <row r="6" customFormat="false" ht="15" hidden="false" customHeight="false" outlineLevel="0" collapsed="false">
      <c r="A6" s="2" t="s">
        <v>156</v>
      </c>
      <c r="B6" s="2" t="n">
        <f aca="false">COUNTIF(Enforcement_Decisions!M2:M9,"EXEMPT")</f>
        <v>1</v>
      </c>
      <c r="C6" s="2" t="s">
        <v>157</v>
      </c>
    </row>
    <row r="7" customFormat="false" ht="15" hidden="false" customHeight="false" outlineLevel="0" collapsed="false">
      <c r="A7" s="2" t="s">
        <v>158</v>
      </c>
      <c r="B7" s="2" t="n">
        <f aca="false">COUNTIF(Enforcement_Decisions!M2:M9,"NO_ACTION")</f>
        <v>1</v>
      </c>
      <c r="C7" s="2" t="s">
        <v>159</v>
      </c>
    </row>
    <row r="8" customFormat="false" ht="15" hidden="false" customHeight="false" outlineLevel="0" collapsed="false">
      <c r="A8" s="2" t="s">
        <v>160</v>
      </c>
      <c r="B8" s="2" t="n">
        <f aca="false">COUNTIF(Enforcement_Decisions!M2:M9,"WARNING")+COUNTIF(Enforcement_Decisions!M2:M9,"SUSPENSION_REQUEST")+COUNTIF(Enforcement_Decisions!M2:M9,"COMMITTEE_ESCALATION")</f>
        <v>6</v>
      </c>
      <c r="C8" s="2" t="s">
        <v>161</v>
      </c>
    </row>
    <row r="9" customFormat="false" ht="15" hidden="false" customHeight="false" outlineLevel="0" collapsed="false">
      <c r="A9" s="2" t="s">
        <v>162</v>
      </c>
      <c r="B9" s="2" t="n">
        <f aca="false">COUNTA(Notification_Queue!A2:A6)</f>
        <v>5</v>
      </c>
      <c r="C9" s="2" t="s">
        <v>163</v>
      </c>
    </row>
    <row r="10" customFormat="false" ht="15" hidden="false" customHeight="false" outlineLevel="0" collapsed="false">
      <c r="A10" s="2" t="s">
        <v>164</v>
      </c>
      <c r="B10" s="2" t="n">
        <f aca="false">0</f>
        <v>0</v>
      </c>
      <c r="C10" s="2" t="s">
        <v>165</v>
      </c>
    </row>
    <row r="11" customFormat="false" ht="15" hidden="false" customHeight="false" outlineLevel="0" collapsed="false">
      <c r="A11" s="2" t="s">
        <v>166</v>
      </c>
      <c r="B11" s="2" t="n">
        <f aca="false">0</f>
        <v>0</v>
      </c>
      <c r="C11" s="2" t="s">
        <v>167</v>
      </c>
    </row>
  </sheetData>
  <autoFilter ref="A1:C11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&amp;CControl totals · formulas linked to Enforcement_Decisions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