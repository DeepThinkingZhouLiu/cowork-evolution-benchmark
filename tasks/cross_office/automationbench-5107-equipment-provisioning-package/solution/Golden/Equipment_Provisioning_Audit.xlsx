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Starters" sheetId="1" state="visible" r:id="rId2"/>
    <sheet name="Policy_Rules" sheetId="2" state="visible" r:id="rId3"/>
    <sheet name="Evidence_Register" sheetId="3" state="visible" r:id="rId4"/>
    <sheet name="Provisioning_Decisions" sheetId="4" state="visible" r:id="rId5"/>
    <sheet name="Ticket_Queue" sheetId="5" state="visible" r:id="rId6"/>
    <sheet name="Control_Summary" sheetId="6" state="visible" r:id="rId7"/>
  </sheets>
  <definedNames>
    <definedName function="false" hidden="false" localSheetId="5" name="_xlnm.Print_Area" vbProcedure="false">Control_Summary!$A$1:$L$11</definedName>
    <definedName function="false" hidden="true" localSheetId="5" name="_xlnm._FilterDatabase" vbProcedure="false">Control_Summary!$A$1:$C$11</definedName>
    <definedName function="false" hidden="false" localSheetId="2" name="_xlnm.Print_Area" vbProcedure="false">Evidence_Register!$A$1:$F$12</definedName>
    <definedName function="false" hidden="true" localSheetId="2" name="_xlnm._FilterDatabase" vbProcedure="false">Evidence_Register!$A$1:$F$12</definedName>
    <definedName function="false" hidden="false" localSheetId="1" name="_xlnm.Print_Area" vbProcedure="false">Policy_Rules!$A$1:$D$6</definedName>
    <definedName function="false" hidden="true" localSheetId="1" name="_xlnm._FilterDatabase" vbProcedure="false">Policy_Rules!$A$1:$D$6</definedName>
    <definedName function="false" hidden="false" localSheetId="3" name="_xlnm.Print_Area" vbProcedure="false">Provisioning_Decisions!$A$1:$S$9</definedName>
    <definedName function="false" hidden="true" localSheetId="3" name="_xlnm._FilterDatabase" vbProcedure="false">Provisioning_Decisions!$A$1:$S$9</definedName>
    <definedName function="false" hidden="false" localSheetId="0" name="_xlnm.Print_Area" vbProcedure="false">Source_Starters!$A$1:$H$9</definedName>
    <definedName function="false" hidden="true" localSheetId="0" name="_xlnm._FilterDatabase" vbProcedure="false">Source_Starters!$A$1:$H$9</definedName>
    <definedName function="false" hidden="false" localSheetId="4" name="_xlnm.Print_Area" vbProcedure="false">Ticket_Queue!$A$1:$M$6</definedName>
    <definedName function="false" hidden="true" localSheetId="4" name="_xlnm._FilterDatabase" vbProcedure="false">Ticket_Queue!$A$1:$M$6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<sst xmlns="http://schemas.openxmlformats.org/spreadsheetml/2006/main" count="218" uniqueCount="154">
  <si>
    <t xml:space="preserve">Source Row</t>
  </si>
  <si>
    <t xml:space="preserve">Name</t>
  </si>
  <si>
    <t xml:space="preserve">Employee ID</t>
  </si>
  <si>
    <t xml:space="preserve">Department</t>
  </si>
  <si>
    <t xml:space="preserve">Start Date</t>
  </si>
  <si>
    <t xml:space="preserve">Location</t>
  </si>
  <si>
    <t xml:space="preserve">Employment Type</t>
  </si>
  <si>
    <t xml:space="preserve">Notes</t>
  </si>
  <si>
    <t xml:space="preserve">Ada Petrova</t>
  </si>
  <si>
    <t xml:space="preserve">EMP-7701</t>
  </si>
  <si>
    <t xml:space="preserve">Engineering</t>
  </si>
  <si>
    <t xml:space="preserve">2026-04-21</t>
  </si>
  <si>
    <t xml:space="preserve">Office - Austin</t>
  </si>
  <si>
    <t xml:space="preserve">Full-time</t>
  </si>
  <si>
    <t xml:space="preserve">Brian Osei</t>
  </si>
  <si>
    <t xml:space="preserve">EMP-7715</t>
  </si>
  <si>
    <t xml:space="preserve">Sales</t>
  </si>
  <si>
    <t xml:space="preserve">Remote - Chicago</t>
  </si>
  <si>
    <t xml:space="preserve">Carmen Delgado</t>
  </si>
  <si>
    <t xml:space="preserve">CON-2201</t>
  </si>
  <si>
    <t xml:space="preserve">Design</t>
  </si>
  <si>
    <t xml:space="preserve">Contractor</t>
  </si>
  <si>
    <t xml:space="preserve">David Nguyen</t>
  </si>
  <si>
    <t xml:space="preserve">EMP-7729</t>
  </si>
  <si>
    <t xml:space="preserve">Remote - Portland</t>
  </si>
  <si>
    <t xml:space="preserve">Elena Rossi</t>
  </si>
  <si>
    <t xml:space="preserve">EMP-7738</t>
  </si>
  <si>
    <t xml:space="preserve">Marketing</t>
  </si>
  <si>
    <t xml:space="preserve">Equipment already shipped from previous office transfer</t>
  </si>
  <si>
    <t xml:space="preserve">Femi Adeyemi</t>
  </si>
  <si>
    <t xml:space="preserve">CON-2215</t>
  </si>
  <si>
    <t xml:space="preserve">Remote - Lagos</t>
  </si>
  <si>
    <t xml:space="preserve">Independent Contractor</t>
  </si>
  <si>
    <t xml:space="preserve">Greta Holm</t>
  </si>
  <si>
    <t xml:space="preserve">EMP-7752</t>
  </si>
  <si>
    <t xml:space="preserve">Support</t>
  </si>
  <si>
    <t xml:space="preserve">Hugo Fernandez</t>
  </si>
  <si>
    <t xml:space="preserve">EMP-7766</t>
  </si>
  <si>
    <t xml:space="preserve">Remote - Madrid</t>
  </si>
  <si>
    <t xml:space="preserve">Policy ID</t>
  </si>
  <si>
    <t xml:space="preserve">Rule</t>
  </si>
  <si>
    <t xml:space="preserve">Required Action</t>
  </si>
  <si>
    <t xml:space="preserve">Source Trace</t>
  </si>
  <si>
    <t xml:space="preserve">P1</t>
  </si>
  <si>
    <t xml:space="preserve">Full-time employees</t>
  </si>
  <si>
    <t xml:space="preserve">Receive the standard equipment package</t>
  </si>
  <si>
    <t xml:space="preserve">Provisioning_Policy_Mailbox.mbox:msg_provision_policy_5107</t>
  </si>
  <si>
    <t xml:space="preserve">P2</t>
  </si>
  <si>
    <t xml:space="preserve">Contractors and consultants</t>
  </si>
  <si>
    <t xml:space="preserve">Provide their own equipment; no order or IT ticket</t>
  </si>
  <si>
    <t xml:space="preserve">P3</t>
  </si>
  <si>
    <t xml:space="preserve">Remote employees</t>
  </si>
  <si>
    <t xml:space="preserve">Add one monitor</t>
  </si>
  <si>
    <t xml:space="preserve">P4</t>
  </si>
  <si>
    <t xml:space="preserve">Standard package</t>
  </si>
  <si>
    <t xml:space="preserve">Laptop, wireless keyboard, mouse and headset</t>
  </si>
  <si>
    <t xml:space="preserve">P5</t>
  </si>
  <si>
    <t xml:space="preserve">Department laptop</t>
  </si>
  <si>
    <t xml:space="preserve">Engineering: MacBook Pro 16-inch M4; all others: MacBook Air 15-inch M4</t>
  </si>
  <si>
    <t xml:space="preserve">Record</t>
  </si>
  <si>
    <t xml:space="preserve">Evidence Type</t>
  </si>
  <si>
    <t xml:space="preserve">Evidence Ref</t>
  </si>
  <si>
    <t xml:space="preserve">Evidence Detail</t>
  </si>
  <si>
    <t xml:space="preserve">Frozen At</t>
  </si>
  <si>
    <t xml:space="preserve">Source row 2 · Ada Petrova</t>
  </si>
  <si>
    <t xml:space="preserve">SOURCE_ROW</t>
  </si>
  <si>
    <t xml:space="preserve">April Starters row 2</t>
  </si>
  <si>
    <t xml:space="preserve">EMP-7701; Engineering; 2026-04-21; Office - Austin; Full-time; notes [blank]</t>
  </si>
  <si>
    <t xml:space="preserve">2026-04-15T09:00:00Z</t>
  </si>
  <si>
    <t xml:space="preserve">New_Hire_Onboarding_Tracker.xlsx:April Starters row 2</t>
  </si>
  <si>
    <t xml:space="preserve">Source row 3 · Brian Osei</t>
  </si>
  <si>
    <t xml:space="preserve">April Starters row 3</t>
  </si>
  <si>
    <t xml:space="preserve">EMP-7715; Sales; 2026-04-21; Remote - Chicago; Full-time; notes [blank]</t>
  </si>
  <si>
    <t xml:space="preserve">New_Hire_Onboarding_Tracker.xlsx:April Starters row 3</t>
  </si>
  <si>
    <t xml:space="preserve">Source row 4 · Carmen Delgado</t>
  </si>
  <si>
    <t xml:space="preserve">April Starters row 4</t>
  </si>
  <si>
    <t xml:space="preserve">CON-2201; Design; 2026-04-21; Office - Austin; Contractor; notes [blank]</t>
  </si>
  <si>
    <t xml:space="preserve">New_Hire_Onboarding_Tracker.xlsx:April Starters row 4</t>
  </si>
  <si>
    <t xml:space="preserve">Source row 5 · David Nguyen</t>
  </si>
  <si>
    <t xml:space="preserve">April Starters row 5</t>
  </si>
  <si>
    <t xml:space="preserve">EMP-7729; Engineering; 2026-04-21; Remote - Portland; Full-time; notes [blank]</t>
  </si>
  <si>
    <t xml:space="preserve">New_Hire_Onboarding_Tracker.xlsx:April Starters row 5</t>
  </si>
  <si>
    <t xml:space="preserve">Source row 6 · Elena Rossi</t>
  </si>
  <si>
    <t xml:space="preserve">April Starters row 6</t>
  </si>
  <si>
    <t xml:space="preserve">EMP-7738; Marketing; 2026-04-21; Office - Austin; Full-time; notes Equipment already shipped from previous office transfer</t>
  </si>
  <si>
    <t xml:space="preserve">New_Hire_Onboarding_Tracker.xlsx:April Starters row 6</t>
  </si>
  <si>
    <t xml:space="preserve">Source row 7 · Femi Adeyemi</t>
  </si>
  <si>
    <t xml:space="preserve">April Starters row 7</t>
  </si>
  <si>
    <t xml:space="preserve">CON-2215; Engineering; 2026-04-21; Remote - Lagos; Independent Contractor; notes [blank]</t>
  </si>
  <si>
    <t xml:space="preserve">New_Hire_Onboarding_Tracker.xlsx:April Starters row 7</t>
  </si>
  <si>
    <t xml:space="preserve">Source row 8 · Greta Holm</t>
  </si>
  <si>
    <t xml:space="preserve">April Starters row 8</t>
  </si>
  <si>
    <t xml:space="preserve">EMP-7752; Support; 2026-04-21; Office - Austin; Full-time; notes [blank]</t>
  </si>
  <si>
    <t xml:space="preserve">New_Hire_Onboarding_Tracker.xlsx:April Starters row 8</t>
  </si>
  <si>
    <t xml:space="preserve">Source row 9 · Hugo Fernandez</t>
  </si>
  <si>
    <t xml:space="preserve">April Starters row 9</t>
  </si>
  <si>
    <t xml:space="preserve">EMP-7766; Engineering; 2026-04-21; Remote - Madrid; Full-time; notes [blank]</t>
  </si>
  <si>
    <t xml:space="preserve">New_Hire_Onboarding_Tracker.xlsx:April Starters row 9</t>
  </si>
  <si>
    <t xml:space="preserve">Provisioning policy</t>
  </si>
  <si>
    <t xml:space="preserve">FULL_EMAIL</t>
  </si>
  <si>
    <t xml:space="preserve">msg_provision_policy_5107</t>
  </si>
  <si>
    <t xml:space="preserve">Team,
Updated provisioning policy:
1. Full-time employees receive standard equipment package.
2. Contractors and consultants must provide their own equipment. Do NOT order equipment or create IT tickets for non-employees.
3. Remote employees get an additional monitor shipped to their home address.
4. Standard package: laptop (per department spec), wireless keyboard, mouse, headset.
5. Engineering: MacBook Pro 16-inch M4. All others: MacBook Air 15-inch M4.
- CFO</t>
  </si>
  <si>
    <t xml:space="preserve">Sun, 01 Mar 2026 08:00:00 +0000</t>
  </si>
  <si>
    <t xml:space="preserve">Workflow context</t>
  </si>
  <si>
    <t xml:space="preserve">FROZEN_TIME</t>
  </si>
  <si>
    <t xml:space="preserve">meta.current_time</t>
  </si>
  <si>
    <t xml:space="preserve">Workflow_Context.json:meta.current_time</t>
  </si>
  <si>
    <t xml:space="preserve">IT channel</t>
  </si>
  <si>
    <t xml:space="preserve">CHANNEL_SNAPSHOT</t>
  </si>
  <si>
    <t xml:space="preserve">C_IT_5107</t>
  </si>
  <si>
    <t xml:space="preserve">{"id": "C_IT_5107", "is_private": false, "name": "it-general"}</t>
  </si>
  <si>
    <t xml:space="preserve">IT_Channel.json:channels[0]</t>
  </si>
  <si>
    <t xml:space="preserve">Already Provisioned</t>
  </si>
  <si>
    <t xml:space="preserve">Final Status</t>
  </si>
  <si>
    <t xml:space="preserve">Laptop</t>
  </si>
  <si>
    <t xml:space="preserve">Additional Monitor</t>
  </si>
  <si>
    <t xml:space="preserve">Wireless Keyboard</t>
  </si>
  <si>
    <t xml:space="preserve">Mouse</t>
  </si>
  <si>
    <t xml:space="preserve">Headset</t>
  </si>
  <si>
    <t xml:space="preserve">Jira Plan</t>
  </si>
  <si>
    <t xml:space="preserve">IT Email List</t>
  </si>
  <si>
    <t xml:space="preserve">Draft ID</t>
  </si>
  <si>
    <t xml:space="preserve">Monitor</t>
  </si>
  <si>
    <t xml:space="preserve">Keyboard</t>
  </si>
  <si>
    <t xml:space="preserve">Status</t>
  </si>
  <si>
    <t xml:space="preserve">JIRA-001</t>
  </si>
  <si>
    <t xml:space="preserve">DRAFT_NOT_CREATED</t>
  </si>
  <si>
    <t xml:space="preserve">JIRA-002</t>
  </si>
  <si>
    <t xml:space="preserve">JIRA-003</t>
  </si>
  <si>
    <t xml:space="preserve">JIRA-004</t>
  </si>
  <si>
    <t xml:space="preserve">JIRA-005</t>
  </si>
  <si>
    <t xml:space="preserve">Metric</t>
  </si>
  <si>
    <t xml:space="preserve">Value</t>
  </si>
  <si>
    <t xml:space="preserve">Control Meaning</t>
  </si>
  <si>
    <t xml:space="preserve">Total starters</t>
  </si>
  <si>
    <t xml:space="preserve">All frozen source rows</t>
  </si>
  <si>
    <t xml:space="preserve">Provision</t>
  </si>
  <si>
    <t xml:space="preserve">Five Jira drafts</t>
  </si>
  <si>
    <t xml:space="preserve">Excluded contractors</t>
  </si>
  <si>
    <t xml:space="preserve">Carmen and Femi</t>
  </si>
  <si>
    <t xml:space="preserve">Already provisioned</t>
  </si>
  <si>
    <t xml:space="preserve">Elena; no duplicate</t>
  </si>
  <si>
    <t xml:space="preserve">MacBook Pro 16-inch M4</t>
  </si>
  <si>
    <t xml:space="preserve">Engineering provision cases</t>
  </si>
  <si>
    <t xml:space="preserve">MacBook Air 15-inch M4</t>
  </si>
  <si>
    <t xml:space="preserve">Non-engineering provision cases</t>
  </si>
  <si>
    <t xml:space="preserve">Additional monitors</t>
  </si>
  <si>
    <t xml:space="preserve">Remote provision cases</t>
  </si>
  <si>
    <t xml:space="preserve">Jira drafts</t>
  </si>
  <si>
    <t xml:space="preserve">Exactly five</t>
  </si>
  <si>
    <t xml:space="preserve">Emails sent</t>
  </si>
  <si>
    <t xml:space="preserve">One draft only</t>
  </si>
  <si>
    <t xml:space="preserve">Orders placed</t>
  </si>
  <si>
    <t xml:space="preserve">No procurement execution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</si>
</sst>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8.5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Provisioning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Control_Summary!$A$3:$A$5</c:f>
              <c:strCache>
                <c:ptCount val="3"/>
                <c:pt idx="0">
                  <c:v>Provision</c:v>
                </c:pt>
                <c:pt idx="1">
                  <c:v>Excluded contractors</c:v>
                </c:pt>
                <c:pt idx="2">
                  <c:v>Already provisioned</c:v>
                </c:pt>
              </c:strCache>
            </c:strRef>
          </c:cat>
          <c:val>
            <c:numRef>
              <c:f>Control_Summary!$B$3:$B$5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1070001"/>
        <c:axId val="51070002"/>
      </c:barChart>
      <c:catAx>
        <c:axId val="5107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70002"/>
        <c:crosses val="autoZero"/>
        <c:auto val="1"/>
        <c:lblAlgn val="ctr"/>
        <c:lblOffset val="100"/>
        <c:noMultiLvlLbl val="0"/>
      </c:catAx>
      <c:valAx>
        <c:axId val="5107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People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7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142560</xdr:colOff>
      <xdr:row>14</xdr:row>
      <xdr:rowOff>42840</xdr:rowOff>
    </xdr:to>
    <xdr:graphicFrame>
      <xdr:nvGraphicFramePr>
        <xdr:cNvPr id="0" name="Chart 1"/>
        <xdr:cNvGraphicFramePr/>
      </xdr:nvGraphicFramePr>
      <xdr:xfrm>
        <a:off x="795024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quipmentControlSummary" displayName="EquipmentControlSummary" ref="A1:C11" headerRowCount="1" totalsRowCount="0" totalsRowShown="0">
  <autoFilter ref="A1:C11"/>
  <tableColumns count="3">
    <tableColumn id="1" name="Metric"/>
    <tableColumn id="2" name="Value"/>
    <tableColumn id="3" name="Control Meaning"/>
  </tableColumns>
</table>
</file>

<file path=xl/tables/table2.xml><?xml version="1.0" encoding="utf-8"?>
<table xmlns="http://schemas.openxmlformats.org/spreadsheetml/2006/main" id="2" name="EquipmentEvidenceRegister" displayName="EquipmentEvidenceRegister" ref="A1:F12" headerRowCount="1" totalsRowCount="0" totalsRowShown="0">
  <autoFilter ref="A1:F12"/>
  <tableColumns count="6">
    <tableColumn id="1" name="Record"/>
    <tableColumn id="2" name="Evidence Type"/>
    <tableColumn id="3" name="Evidence Ref"/>
    <tableColumn id="4" name="Evidence Detail"/>
    <tableColumn id="5" name="Frozen At"/>
    <tableColumn id="6" name="Source Trace"/>
  </tableColumns>
</table>
</file>

<file path=xl/tables/table3.xml><?xml version="1.0" encoding="utf-8"?>
<table xmlns="http://schemas.openxmlformats.org/spreadsheetml/2006/main" id="3" name="EquipmentPolicyRules" displayName="EquipmentPolicyRules" ref="A1:D6" headerRowCount="1" totalsRowCount="0" totalsRowShown="0">
  <autoFilter ref="A1:D6"/>
  <tableColumns count="4">
    <tableColumn id="1" name="Policy ID"/>
    <tableColumn id="2" name="Rule"/>
    <tableColumn id="3" name="Required Action"/>
    <tableColumn id="4" name="Source Trace"/>
  </tableColumns>
</table>
</file>

<file path=xl/tables/table4.xml><?xml version="1.0" encoding="utf-8"?>
<table xmlns="http://schemas.openxmlformats.org/spreadsheetml/2006/main" id="4" name="EquipmentProvisioningDecisions" displayName="EquipmentProvisioningDecisions" ref="A1:S9" headerRowCount="1" totalsRowCount="0" totalsRowShown="0">
  <autoFilter ref="A1:S9"/>
  <tableColumns count="19">
    <tableColumn id="1" name="Source Row"/>
    <tableColumn id="2" name="Name"/>
    <tableColumn id="3" name="Employee ID"/>
    <tableColumn id="4" name="Department"/>
    <tableColumn id="5" name="Start Date"/>
    <tableColumn id="6" name="Location"/>
    <tableColumn id="7" name="Employment Type"/>
    <tableColumn id="8" name="Notes"/>
    <tableColumn id="9" name="Contractor"/>
    <tableColumn id="10" name="Already Provisioned"/>
    <tableColumn id="11" name="Final Status"/>
    <tableColumn id="12" name="Laptop"/>
    <tableColumn id="13" name="Additional Monitor"/>
    <tableColumn id="14" name="Wireless Keyboard"/>
    <tableColumn id="15" name="Mouse"/>
    <tableColumn id="16" name="Headset"/>
    <tableColumn id="17" name="Jira Plan"/>
    <tableColumn id="18" name="IT Email List"/>
    <tableColumn id="19" name="Source Trace"/>
  </tableColumns>
</table>
</file>

<file path=xl/tables/table5.xml><?xml version="1.0" encoding="utf-8"?>
<table xmlns="http://schemas.openxmlformats.org/spreadsheetml/2006/main" id="5" name="EquipmentSourceStarters" displayName="EquipmentSourceStarters" ref="A1:H9" headerRowCount="1" totalsRowCount="0" totalsRowShown="0">
  <autoFilter ref="A1:H9"/>
  <tableColumns count="8">
    <tableColumn id="1" name="Source Row"/>
    <tableColumn id="2" name="Name"/>
    <tableColumn id="3" name="Employee ID"/>
    <tableColumn id="4" name="Department"/>
    <tableColumn id="5" name="Start Date"/>
    <tableColumn id="6" name="Location"/>
    <tableColumn id="7" name="Employment Type"/>
    <tableColumn id="8" name="Notes"/>
  </tableColumns>
</table>
</file>

<file path=xl/tables/table6.xml><?xml version="1.0" encoding="utf-8"?>
<table xmlns="http://schemas.openxmlformats.org/spreadsheetml/2006/main" id="6" name="EquipmentTicketQueue" displayName="EquipmentTicketQueue" ref="A1:M6" headerRowCount="1" totalsRowCount="0" totalsRowShown="0">
  <autoFilter ref="A1:M6"/>
  <tableColumns count="13">
    <tableColumn id="1" name="Draft ID"/>
    <tableColumn id="2" name="Name"/>
    <tableColumn id="3" name="Employee ID"/>
    <tableColumn id="4" name="Department"/>
    <tableColumn id="5" name="Location"/>
    <tableColumn id="6" name="Start Date"/>
    <tableColumn id="7" name="Laptop"/>
    <tableColumn id="8" name="Monitor"/>
    <tableColumn id="9" name="Keyboard"/>
    <tableColumn id="10" name="Mouse"/>
    <tableColumn id="11" name="Headset"/>
    <tableColumn id="12" name="Status"/>
    <tableColumn id="13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0.99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7" min="6" style="0" width="24"/>
    <col collapsed="false" customWidth="true" hidden="false" outlineLevel="0" max="8" min="8" style="0" width="54.9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0" hidden="false" customHeight="true" outlineLevel="0" collapsed="false">
      <c r="A2" s="2" t="n">
        <v>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customFormat="false" ht="30" hidden="false" customHeight="true" outlineLevel="0" collapsed="false">
      <c r="A3" s="2" t="n">
        <v>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13</v>
      </c>
      <c r="H3" s="2"/>
    </row>
    <row r="4" customFormat="false" ht="30" hidden="false" customHeight="true" outlineLevel="0" collapsed="false">
      <c r="A4" s="2" t="n">
        <v>4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 t="s">
        <v>21</v>
      </c>
      <c r="H4" s="2"/>
    </row>
    <row r="5" customFormat="false" ht="30" hidden="false" customHeight="true" outlineLevel="0" collapsed="false">
      <c r="A5" s="2" t="n">
        <v>5</v>
      </c>
      <c r="B5" s="2" t="s">
        <v>22</v>
      </c>
      <c r="C5" s="2" t="s">
        <v>23</v>
      </c>
      <c r="D5" s="2" t="s">
        <v>10</v>
      </c>
      <c r="E5" s="2" t="s">
        <v>11</v>
      </c>
      <c r="F5" s="2" t="s">
        <v>24</v>
      </c>
      <c r="G5" s="2" t="s">
        <v>13</v>
      </c>
      <c r="H5" s="2"/>
    </row>
    <row r="6" customFormat="false" ht="43.5" hidden="false" customHeight="true" outlineLevel="0" collapsed="false">
      <c r="A6" s="2" t="n">
        <v>6</v>
      </c>
      <c r="B6" s="2" t="s">
        <v>25</v>
      </c>
      <c r="C6" s="2" t="s">
        <v>26</v>
      </c>
      <c r="D6" s="2" t="s">
        <v>27</v>
      </c>
      <c r="E6" s="2" t="s">
        <v>11</v>
      </c>
      <c r="F6" s="2" t="s">
        <v>12</v>
      </c>
      <c r="G6" s="2" t="s">
        <v>13</v>
      </c>
      <c r="H6" s="2" t="s">
        <v>28</v>
      </c>
    </row>
    <row r="7" customFormat="false" ht="30" hidden="false" customHeight="true" outlineLevel="0" collapsed="false">
      <c r="A7" s="2" t="n">
        <v>7</v>
      </c>
      <c r="B7" s="2" t="s">
        <v>29</v>
      </c>
      <c r="C7" s="2" t="s">
        <v>30</v>
      </c>
      <c r="D7" s="2" t="s">
        <v>10</v>
      </c>
      <c r="E7" s="2" t="s">
        <v>11</v>
      </c>
      <c r="F7" s="2" t="s">
        <v>31</v>
      </c>
      <c r="G7" s="2" t="s">
        <v>32</v>
      </c>
      <c r="H7" s="2"/>
    </row>
    <row r="8" customFormat="false" ht="30" hidden="false" customHeight="true" outlineLevel="0" collapsed="false">
      <c r="A8" s="2" t="n">
        <v>8</v>
      </c>
      <c r="B8" s="2" t="s">
        <v>33</v>
      </c>
      <c r="C8" s="2" t="s">
        <v>34</v>
      </c>
      <c r="D8" s="2" t="s">
        <v>35</v>
      </c>
      <c r="E8" s="2" t="s">
        <v>11</v>
      </c>
      <c r="F8" s="2" t="s">
        <v>12</v>
      </c>
      <c r="G8" s="2" t="s">
        <v>13</v>
      </c>
      <c r="H8" s="2"/>
    </row>
    <row r="9" customFormat="false" ht="30" hidden="false" customHeight="true" outlineLevel="0" collapsed="false">
      <c r="A9" s="2" t="n">
        <v>9</v>
      </c>
      <c r="B9" s="2" t="s">
        <v>36</v>
      </c>
      <c r="C9" s="2" t="s">
        <v>37</v>
      </c>
      <c r="D9" s="2" t="s">
        <v>10</v>
      </c>
      <c r="E9" s="2" t="s">
        <v>11</v>
      </c>
      <c r="F9" s="2" t="s">
        <v>38</v>
      </c>
      <c r="G9" s="2" t="s">
        <v>13</v>
      </c>
      <c r="H9" s="2"/>
    </row>
  </sheetData>
  <autoFilter ref="A1:H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source rows · AutomationBench 5107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34"/>
    <col collapsed="false" customWidth="true" hidden="false" outlineLevel="0" max="3" min="3" style="0" width="82.01"/>
    <col collapsed="false" customWidth="true" hidden="false" outlineLevel="0" max="4" min="4" style="0" width="65.01"/>
  </cols>
  <sheetData>
    <row r="1" customFormat="false" ht="30" hidden="false" customHeight="true" outlineLevel="0" collapsed="false">
      <c r="A1" s="1" t="s">
        <v>39</v>
      </c>
      <c r="B1" s="1" t="s">
        <v>40</v>
      </c>
      <c r="C1" s="1" t="s">
        <v>41</v>
      </c>
      <c r="D1" s="1" t="s">
        <v>42</v>
      </c>
    </row>
    <row r="2" customFormat="false" ht="43.5" hidden="false" customHeight="true" outlineLevel="0" collapsed="false">
      <c r="A2" s="2" t="s">
        <v>43</v>
      </c>
      <c r="B2" s="2" t="s">
        <v>44</v>
      </c>
      <c r="C2" s="2" t="s">
        <v>45</v>
      </c>
      <c r="D2" s="2" t="s">
        <v>46</v>
      </c>
    </row>
    <row r="3" customFormat="false" ht="43.5" hidden="false" customHeight="true" outlineLevel="0" collapsed="false">
      <c r="A3" s="2" t="s">
        <v>47</v>
      </c>
      <c r="B3" s="2" t="s">
        <v>48</v>
      </c>
      <c r="C3" s="2" t="s">
        <v>49</v>
      </c>
      <c r="D3" s="2" t="s">
        <v>46</v>
      </c>
    </row>
    <row r="4" customFormat="false" ht="43.5" hidden="false" customHeight="true" outlineLevel="0" collapsed="false">
      <c r="A4" s="2" t="s">
        <v>50</v>
      </c>
      <c r="B4" s="2" t="s">
        <v>51</v>
      </c>
      <c r="C4" s="2" t="s">
        <v>52</v>
      </c>
      <c r="D4" s="2" t="s">
        <v>46</v>
      </c>
    </row>
    <row r="5" customFormat="false" ht="43.5" hidden="false" customHeight="true" outlineLevel="0" collapsed="false">
      <c r="A5" s="2" t="s">
        <v>53</v>
      </c>
      <c r="B5" s="2" t="s">
        <v>54</v>
      </c>
      <c r="C5" s="2" t="s">
        <v>55</v>
      </c>
      <c r="D5" s="2" t="s">
        <v>46</v>
      </c>
    </row>
    <row r="6" customFormat="false" ht="43.5" hidden="false" customHeight="true" outlineLevel="0" collapsed="false">
      <c r="A6" s="2" t="s">
        <v>56</v>
      </c>
      <c r="B6" s="2" t="s">
        <v>57</v>
      </c>
      <c r="C6" s="2" t="s">
        <v>58</v>
      </c>
      <c r="D6" s="2" t="s">
        <v>46</v>
      </c>
    </row>
  </sheetData>
  <autoFilter ref="A1:D6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&amp;CFive frozen provisioning rules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22.01"/>
    <col collapsed="false" customWidth="true" hidden="false" outlineLevel="0" max="3" min="3" style="0" width="34"/>
    <col collapsed="false" customWidth="true" hidden="false" outlineLevel="0" max="4" min="4" style="0" width="95"/>
    <col collapsed="false" customWidth="true" hidden="false" outlineLevel="0" max="5" min="5" style="0" width="24"/>
    <col collapsed="false" customWidth="true" hidden="false" outlineLevel="0" max="6" min="6" style="0" width="70"/>
  </cols>
  <sheetData>
    <row r="1" customFormat="false" ht="30" hidden="false" customHeight="tru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42</v>
      </c>
    </row>
    <row r="2" customFormat="false" ht="33.75" hidden="false" customHeight="true" outlineLevel="0" collapsed="false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</row>
    <row r="3" customFormat="false" ht="33.75" hidden="false" customHeight="true" outlineLevel="0" collapsed="false">
      <c r="A3" s="2" t="s">
        <v>70</v>
      </c>
      <c r="B3" s="2" t="s">
        <v>65</v>
      </c>
      <c r="C3" s="2" t="s">
        <v>71</v>
      </c>
      <c r="D3" s="2" t="s">
        <v>72</v>
      </c>
      <c r="E3" s="2" t="s">
        <v>68</v>
      </c>
      <c r="F3" s="2" t="s">
        <v>73</v>
      </c>
    </row>
    <row r="4" customFormat="false" ht="33.75" hidden="false" customHeight="true" outlineLevel="0" collapsed="false">
      <c r="A4" s="2" t="s">
        <v>74</v>
      </c>
      <c r="B4" s="2" t="s">
        <v>65</v>
      </c>
      <c r="C4" s="2" t="s">
        <v>75</v>
      </c>
      <c r="D4" s="2" t="s">
        <v>76</v>
      </c>
      <c r="E4" s="2" t="s">
        <v>68</v>
      </c>
      <c r="F4" s="2" t="s">
        <v>77</v>
      </c>
    </row>
    <row r="5" customFormat="false" ht="33.75" hidden="false" customHeight="true" outlineLevel="0" collapsed="false">
      <c r="A5" s="2" t="s">
        <v>78</v>
      </c>
      <c r="B5" s="2" t="s">
        <v>65</v>
      </c>
      <c r="C5" s="2" t="s">
        <v>79</v>
      </c>
      <c r="D5" s="2" t="s">
        <v>80</v>
      </c>
      <c r="E5" s="2" t="s">
        <v>68</v>
      </c>
      <c r="F5" s="2" t="s">
        <v>81</v>
      </c>
    </row>
    <row r="6" customFormat="false" ht="33.75" hidden="false" customHeight="true" outlineLevel="0" collapsed="false">
      <c r="A6" s="2" t="s">
        <v>82</v>
      </c>
      <c r="B6" s="2" t="s">
        <v>65</v>
      </c>
      <c r="C6" s="2" t="s">
        <v>83</v>
      </c>
      <c r="D6" s="2" t="s">
        <v>84</v>
      </c>
      <c r="E6" s="2" t="s">
        <v>68</v>
      </c>
      <c r="F6" s="2" t="s">
        <v>85</v>
      </c>
    </row>
    <row r="7" customFormat="false" ht="33.75" hidden="false" customHeight="true" outlineLevel="0" collapsed="false">
      <c r="A7" s="2" t="s">
        <v>86</v>
      </c>
      <c r="B7" s="2" t="s">
        <v>65</v>
      </c>
      <c r="C7" s="2" t="s">
        <v>87</v>
      </c>
      <c r="D7" s="2" t="s">
        <v>88</v>
      </c>
      <c r="E7" s="2" t="s">
        <v>68</v>
      </c>
      <c r="F7" s="2" t="s">
        <v>89</v>
      </c>
    </row>
    <row r="8" customFormat="false" ht="33.75" hidden="false" customHeight="true" outlineLevel="0" collapsed="false">
      <c r="A8" s="2" t="s">
        <v>90</v>
      </c>
      <c r="B8" s="2" t="s">
        <v>65</v>
      </c>
      <c r="C8" s="2" t="s">
        <v>91</v>
      </c>
      <c r="D8" s="2" t="s">
        <v>92</v>
      </c>
      <c r="E8" s="2" t="s">
        <v>68</v>
      </c>
      <c r="F8" s="2" t="s">
        <v>93</v>
      </c>
    </row>
    <row r="9" customFormat="false" ht="33.75" hidden="false" customHeight="true" outlineLevel="0" collapsed="false">
      <c r="A9" s="2" t="s">
        <v>94</v>
      </c>
      <c r="B9" s="2" t="s">
        <v>65</v>
      </c>
      <c r="C9" s="2" t="s">
        <v>95</v>
      </c>
      <c r="D9" s="2" t="s">
        <v>96</v>
      </c>
      <c r="E9" s="2" t="s">
        <v>68</v>
      </c>
      <c r="F9" s="2" t="s">
        <v>97</v>
      </c>
    </row>
    <row r="10" customFormat="false" ht="99.75" hidden="false" customHeight="true" outlineLevel="0" collapsed="false">
      <c r="A10" s="2" t="s">
        <v>98</v>
      </c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46</v>
      </c>
    </row>
    <row r="11" customFormat="false" ht="27.75" hidden="false" customHeight="true" outlineLevel="0" collapsed="false">
      <c r="A11" s="2" t="s">
        <v>103</v>
      </c>
      <c r="B11" s="2" t="s">
        <v>104</v>
      </c>
      <c r="C11" s="2" t="s">
        <v>105</v>
      </c>
      <c r="D11" s="2" t="s">
        <v>68</v>
      </c>
      <c r="E11" s="2" t="s">
        <v>68</v>
      </c>
      <c r="F11" s="2" t="s">
        <v>106</v>
      </c>
    </row>
    <row r="12" customFormat="false" ht="33.75" hidden="false" customHeight="true" outlineLevel="0" collapsed="false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68</v>
      </c>
      <c r="F12" s="2" t="s">
        <v>111</v>
      </c>
    </row>
  </sheetData>
  <autoFilter ref="A1:F1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&amp;CEvidence register · rows, policy, time and channel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7" min="6" style="0" width="23.01"/>
    <col collapsed="false" customWidth="true" hidden="false" outlineLevel="0" max="8" min="8" style="0" width="44.99"/>
    <col collapsed="false" customWidth="true" hidden="false" outlineLevel="0" max="9" min="9" style="0" width="14.01"/>
    <col collapsed="false" customWidth="true" hidden="false" outlineLevel="0" max="10" min="10" style="0" width="19"/>
    <col collapsed="false" customWidth="true" hidden="false" outlineLevel="0" max="11" min="11" style="0" width="24"/>
    <col collapsed="false" customWidth="true" hidden="false" outlineLevel="0" max="12" min="12" style="0" width="27.99"/>
    <col collapsed="false" customWidth="true" hidden="false" outlineLevel="0" max="13" min="13" style="0" width="19"/>
    <col collapsed="false" customWidth="true" hidden="false" outlineLevel="0" max="14" min="14" style="0" width="18"/>
    <col collapsed="false" customWidth="true" hidden="false" outlineLevel="0" max="15" min="15" style="0" width="10.99"/>
    <col collapsed="false" customWidth="true" hidden="false" outlineLevel="0" max="16" min="16" style="0" width="11.99"/>
    <col collapsed="false" customWidth="true" hidden="false" outlineLevel="0" max="17" min="17" style="0" width="19.99"/>
    <col collapsed="false" customWidth="true" hidden="false" outlineLevel="0" max="18" min="18" style="0" width="16"/>
    <col collapsed="false" customWidth="true" hidden="false" outlineLevel="0" max="19" min="19" style="0" width="65.0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42</v>
      </c>
    </row>
    <row r="2" customFormat="false" ht="37.5" hidden="false" customHeight="true" outlineLevel="0" collapsed="false">
      <c r="A2" s="2" t="n">
        <f aca="false">Source_Starters!A2</f>
        <v>2</v>
      </c>
      <c r="B2" s="2" t="str">
        <f aca="false">Source_Starters!B2</f>
        <v>Ada Petrova</v>
      </c>
      <c r="C2" s="2" t="str">
        <f aca="false">Source_Starters!C2</f>
        <v>EMP-7701</v>
      </c>
      <c r="D2" s="2" t="str">
        <f aca="false">Source_Starters!D2</f>
        <v>Engineering</v>
      </c>
      <c r="E2" s="2" t="str">
        <f aca="false">Source_Starters!E2</f>
        <v>2026-04-21</v>
      </c>
      <c r="F2" s="2" t="str">
        <f aca="false">Source_Starters!F2</f>
        <v>Office - Austin</v>
      </c>
      <c r="G2" s="2" t="str">
        <f aca="false">Source_Starters!G2</f>
        <v>Full-time</v>
      </c>
      <c r="H2" s="2" t="str">
        <f aca="false">IF(Source_Starters!H2="","",Source_Starters!H2)</f>
        <v/>
      </c>
      <c r="I2" s="2" t="str">
        <f aca="false">IF(OR(ISNUMBER(SEARCH("Contractor",G2)),ISNUMBER(SEARCH("Consultant",G2))),"YES","NO")</f>
        <v>NO</v>
      </c>
      <c r="J2" s="2" t="str">
        <f aca="false">IF(ISNUMBER(SEARCH("already shipped",H2)),"YES","NO")</f>
        <v>NO</v>
      </c>
      <c r="K2" s="2" t="str">
        <f aca="false">IF(I2="YES","EXCLUDED_CONTRACTOR",IF(J2="YES","ALREADY_PROVISIONED","PROVISION"))</f>
        <v>PROVISION</v>
      </c>
      <c r="L2" s="2" t="str">
        <f aca="false">IF(K2&lt;&gt;"PROVISION","NONE",IF(D2="Engineering","MacBook Pro 16-inch M4","MacBook Air 15-inch M4"))</f>
        <v>MacBook Pro 16-inch M4</v>
      </c>
      <c r="M2" s="2" t="str">
        <f aca="false">IF(AND(K2="PROVISION",ISNUMBER(SEARCH("Remote -",F2))),"YES","NO")</f>
        <v>NO</v>
      </c>
      <c r="N2" s="2" t="str">
        <f aca="false">IF(K2="PROVISION","YES","NO")</f>
        <v>YES</v>
      </c>
      <c r="O2" s="2" t="str">
        <f aca="false">IF(K2="PROVISION","YES","NO")</f>
        <v>YES</v>
      </c>
      <c r="P2" s="2" t="str">
        <f aca="false">IF(K2="PROVISION","YES","NO")</f>
        <v>YES</v>
      </c>
      <c r="Q2" s="2" t="str">
        <f aca="false">IF(K2="PROVISION","DRAFT_NOT_CREATED","NO_DRAFT")</f>
        <v>DRAFT_NOT_CREATED</v>
      </c>
      <c r="R2" s="2" t="str">
        <f aca="false">IF(K2="PROVISION","INCLUDE","EXCLUDE")</f>
        <v>INCLUDE</v>
      </c>
      <c r="S2" s="2" t="str">
        <f aca="false">Evidence_Register!F2</f>
        <v>New_Hire_Onboarding_Tracker.xlsx:April Starters row 2</v>
      </c>
    </row>
    <row r="3" customFormat="false" ht="37.5" hidden="false" customHeight="true" outlineLevel="0" collapsed="false">
      <c r="A3" s="2" t="n">
        <f aca="false">Source_Starters!A3</f>
        <v>3</v>
      </c>
      <c r="B3" s="2" t="str">
        <f aca="false">Source_Starters!B3</f>
        <v>Brian Osei</v>
      </c>
      <c r="C3" s="2" t="str">
        <f aca="false">Source_Starters!C3</f>
        <v>EMP-7715</v>
      </c>
      <c r="D3" s="2" t="str">
        <f aca="false">Source_Starters!D3</f>
        <v>Sales</v>
      </c>
      <c r="E3" s="2" t="str">
        <f aca="false">Source_Starters!E3</f>
        <v>2026-04-21</v>
      </c>
      <c r="F3" s="2" t="str">
        <f aca="false">Source_Starters!F3</f>
        <v>Remote - Chicago</v>
      </c>
      <c r="G3" s="2" t="str">
        <f aca="false">Source_Starters!G3</f>
        <v>Full-time</v>
      </c>
      <c r="H3" s="2" t="str">
        <f aca="false">IF(Source_Starters!H3="","",Source_Starters!H3)</f>
        <v/>
      </c>
      <c r="I3" s="2" t="str">
        <f aca="false">IF(OR(ISNUMBER(SEARCH("Contractor",G3)),ISNUMBER(SEARCH("Consultant",G3))),"YES","NO")</f>
        <v>NO</v>
      </c>
      <c r="J3" s="2" t="str">
        <f aca="false">IF(ISNUMBER(SEARCH("already shipped",H3)),"YES","NO")</f>
        <v>NO</v>
      </c>
      <c r="K3" s="2" t="str">
        <f aca="false">IF(I3="YES","EXCLUDED_CONTRACTOR",IF(J3="YES","ALREADY_PROVISIONED","PROVISION"))</f>
        <v>PROVISION</v>
      </c>
      <c r="L3" s="2" t="str">
        <f aca="false">IF(K3&lt;&gt;"PROVISION","NONE",IF(D3="Engineering","MacBook Pro 16-inch M4","MacBook Air 15-inch M4"))</f>
        <v>MacBook Air 15-inch M4</v>
      </c>
      <c r="M3" s="2" t="str">
        <f aca="false">IF(AND(K3="PROVISION",ISNUMBER(SEARCH("Remote -",F3))),"YES","NO")</f>
        <v>YES</v>
      </c>
      <c r="N3" s="2" t="str">
        <f aca="false">IF(K3="PROVISION","YES","NO")</f>
        <v>YES</v>
      </c>
      <c r="O3" s="2" t="str">
        <f aca="false">IF(K3="PROVISION","YES","NO")</f>
        <v>YES</v>
      </c>
      <c r="P3" s="2" t="str">
        <f aca="false">IF(K3="PROVISION","YES","NO")</f>
        <v>YES</v>
      </c>
      <c r="Q3" s="2" t="str">
        <f aca="false">IF(K3="PROVISION","DRAFT_NOT_CREATED","NO_DRAFT")</f>
        <v>DRAFT_NOT_CREATED</v>
      </c>
      <c r="R3" s="2" t="str">
        <f aca="false">IF(K3="PROVISION","INCLUDE","EXCLUDE")</f>
        <v>INCLUDE</v>
      </c>
      <c r="S3" s="2" t="str">
        <f aca="false">Evidence_Register!F3</f>
        <v>New_Hire_Onboarding_Tracker.xlsx:April Starters row 3</v>
      </c>
    </row>
    <row r="4" customFormat="false" ht="37.5" hidden="false" customHeight="true" outlineLevel="0" collapsed="false">
      <c r="A4" s="2" t="n">
        <f aca="false">Source_Starters!A4</f>
        <v>4</v>
      </c>
      <c r="B4" s="2" t="str">
        <f aca="false">Source_Starters!B4</f>
        <v>Carmen Delgado</v>
      </c>
      <c r="C4" s="2" t="str">
        <f aca="false">Source_Starters!C4</f>
        <v>CON-2201</v>
      </c>
      <c r="D4" s="2" t="str">
        <f aca="false">Source_Starters!D4</f>
        <v>Design</v>
      </c>
      <c r="E4" s="2" t="str">
        <f aca="false">Source_Starters!E4</f>
        <v>2026-04-21</v>
      </c>
      <c r="F4" s="2" t="str">
        <f aca="false">Source_Starters!F4</f>
        <v>Office - Austin</v>
      </c>
      <c r="G4" s="2" t="str">
        <f aca="false">Source_Starters!G4</f>
        <v>Contractor</v>
      </c>
      <c r="H4" s="2" t="str">
        <f aca="false">IF(Source_Starters!H4="","",Source_Starters!H4)</f>
        <v/>
      </c>
      <c r="I4" s="2" t="str">
        <f aca="false">IF(OR(ISNUMBER(SEARCH("Contractor",G4)),ISNUMBER(SEARCH("Consultant",G4))),"YES","NO")</f>
        <v>YES</v>
      </c>
      <c r="J4" s="2" t="str">
        <f aca="false">IF(ISNUMBER(SEARCH("already shipped",H4)),"YES","NO")</f>
        <v>NO</v>
      </c>
      <c r="K4" s="2" t="str">
        <f aca="false">IF(I4="YES","EXCLUDED_CONTRACTOR",IF(J4="YES","ALREADY_PROVISIONED","PROVISION"))</f>
        <v>EXCLUDED_CONTRACTOR</v>
      </c>
      <c r="L4" s="2" t="str">
        <f aca="false">IF(K4&lt;&gt;"PROVISION","NONE",IF(D4="Engineering","MacBook Pro 16-inch M4","MacBook Air 15-inch M4"))</f>
        <v>NONE</v>
      </c>
      <c r="M4" s="2" t="str">
        <f aca="false">IF(AND(K4="PROVISION",ISNUMBER(SEARCH("Remote -",F4))),"YES","NO")</f>
        <v>NO</v>
      </c>
      <c r="N4" s="2" t="str">
        <f aca="false">IF(K4="PROVISION","YES","NO")</f>
        <v>NO</v>
      </c>
      <c r="O4" s="2" t="str">
        <f aca="false">IF(K4="PROVISION","YES","NO")</f>
        <v>NO</v>
      </c>
      <c r="P4" s="2" t="str">
        <f aca="false">IF(K4="PROVISION","YES","NO")</f>
        <v>NO</v>
      </c>
      <c r="Q4" s="2" t="str">
        <f aca="false">IF(K4="PROVISION","DRAFT_NOT_CREATED","NO_DRAFT")</f>
        <v>NO_DRAFT</v>
      </c>
      <c r="R4" s="2" t="str">
        <f aca="false">IF(K4="PROVISION","INCLUDE","EXCLUDE")</f>
        <v>EXCLUDE</v>
      </c>
      <c r="S4" s="2" t="str">
        <f aca="false">Evidence_Register!F4</f>
        <v>New_Hire_Onboarding_Tracker.xlsx:April Starters row 4</v>
      </c>
    </row>
    <row r="5" customFormat="false" ht="37.5" hidden="false" customHeight="true" outlineLevel="0" collapsed="false">
      <c r="A5" s="2" t="n">
        <f aca="false">Source_Starters!A5</f>
        <v>5</v>
      </c>
      <c r="B5" s="2" t="str">
        <f aca="false">Source_Starters!B5</f>
        <v>David Nguyen</v>
      </c>
      <c r="C5" s="2" t="str">
        <f aca="false">Source_Starters!C5</f>
        <v>EMP-7729</v>
      </c>
      <c r="D5" s="2" t="str">
        <f aca="false">Source_Starters!D5</f>
        <v>Engineering</v>
      </c>
      <c r="E5" s="2" t="str">
        <f aca="false">Source_Starters!E5</f>
        <v>2026-04-21</v>
      </c>
      <c r="F5" s="2" t="str">
        <f aca="false">Source_Starters!F5</f>
        <v>Remote - Portland</v>
      </c>
      <c r="G5" s="2" t="str">
        <f aca="false">Source_Starters!G5</f>
        <v>Full-time</v>
      </c>
      <c r="H5" s="2" t="str">
        <f aca="false">IF(Source_Starters!H5="","",Source_Starters!H5)</f>
        <v/>
      </c>
      <c r="I5" s="2" t="str">
        <f aca="false">IF(OR(ISNUMBER(SEARCH("Contractor",G5)),ISNUMBER(SEARCH("Consultant",G5))),"YES","NO")</f>
        <v>NO</v>
      </c>
      <c r="J5" s="2" t="str">
        <f aca="false">IF(ISNUMBER(SEARCH("already shipped",H5)),"YES","NO")</f>
        <v>NO</v>
      </c>
      <c r="K5" s="2" t="str">
        <f aca="false">IF(I5="YES","EXCLUDED_CONTRACTOR",IF(J5="YES","ALREADY_PROVISIONED","PROVISION"))</f>
        <v>PROVISION</v>
      </c>
      <c r="L5" s="2" t="str">
        <f aca="false">IF(K5&lt;&gt;"PROVISION","NONE",IF(D5="Engineering","MacBook Pro 16-inch M4","MacBook Air 15-inch M4"))</f>
        <v>MacBook Pro 16-inch M4</v>
      </c>
      <c r="M5" s="2" t="str">
        <f aca="false">IF(AND(K5="PROVISION",ISNUMBER(SEARCH("Remote -",F5))),"YES","NO")</f>
        <v>YES</v>
      </c>
      <c r="N5" s="2" t="str">
        <f aca="false">IF(K5="PROVISION","YES","NO")</f>
        <v>YES</v>
      </c>
      <c r="O5" s="2" t="str">
        <f aca="false">IF(K5="PROVISION","YES","NO")</f>
        <v>YES</v>
      </c>
      <c r="P5" s="2" t="str">
        <f aca="false">IF(K5="PROVISION","YES","NO")</f>
        <v>YES</v>
      </c>
      <c r="Q5" s="2" t="str">
        <f aca="false">IF(K5="PROVISION","DRAFT_NOT_CREATED","NO_DRAFT")</f>
        <v>DRAFT_NOT_CREATED</v>
      </c>
      <c r="R5" s="2" t="str">
        <f aca="false">IF(K5="PROVISION","INCLUDE","EXCLUDE")</f>
        <v>INCLUDE</v>
      </c>
      <c r="S5" s="2" t="str">
        <f aca="false">Evidence_Register!F5</f>
        <v>New_Hire_Onboarding_Tracker.xlsx:April Starters row 5</v>
      </c>
    </row>
    <row r="6" customFormat="false" ht="49.5" hidden="false" customHeight="true" outlineLevel="0" collapsed="false">
      <c r="A6" s="2" t="n">
        <f aca="false">Source_Starters!A6</f>
        <v>6</v>
      </c>
      <c r="B6" s="2" t="str">
        <f aca="false">Source_Starters!B6</f>
        <v>Elena Rossi</v>
      </c>
      <c r="C6" s="2" t="str">
        <f aca="false">Source_Starters!C6</f>
        <v>EMP-7738</v>
      </c>
      <c r="D6" s="2" t="str">
        <f aca="false">Source_Starters!D6</f>
        <v>Marketing</v>
      </c>
      <c r="E6" s="2" t="str">
        <f aca="false">Source_Starters!E6</f>
        <v>2026-04-21</v>
      </c>
      <c r="F6" s="2" t="str">
        <f aca="false">Source_Starters!F6</f>
        <v>Office - Austin</v>
      </c>
      <c r="G6" s="2" t="str">
        <f aca="false">Source_Starters!G6</f>
        <v>Full-time</v>
      </c>
      <c r="H6" s="2" t="str">
        <f aca="false">IF(Source_Starters!H6="","",Source_Starters!H6)</f>
        <v>Equipment already shipped from previous office transfer</v>
      </c>
      <c r="I6" s="2" t="str">
        <f aca="false">IF(OR(ISNUMBER(SEARCH("Contractor",G6)),ISNUMBER(SEARCH("Consultant",G6))),"YES","NO")</f>
        <v>NO</v>
      </c>
      <c r="J6" s="2" t="str">
        <f aca="false">IF(ISNUMBER(SEARCH("already shipped",H6)),"YES","NO")</f>
        <v>YES</v>
      </c>
      <c r="K6" s="2" t="str">
        <f aca="false">IF(I6="YES","EXCLUDED_CONTRACTOR",IF(J6="YES","ALREADY_PROVISIONED","PROVISION"))</f>
        <v>ALREADY_PROVISIONED</v>
      </c>
      <c r="L6" s="2" t="str">
        <f aca="false">IF(K6&lt;&gt;"PROVISION","NONE",IF(D6="Engineering","MacBook Pro 16-inch M4","MacBook Air 15-inch M4"))</f>
        <v>NONE</v>
      </c>
      <c r="M6" s="2" t="str">
        <f aca="false">IF(AND(K6="PROVISION",ISNUMBER(SEARCH("Remote -",F6))),"YES","NO")</f>
        <v>NO</v>
      </c>
      <c r="N6" s="2" t="str">
        <f aca="false">IF(K6="PROVISION","YES","NO")</f>
        <v>NO</v>
      </c>
      <c r="O6" s="2" t="str">
        <f aca="false">IF(K6="PROVISION","YES","NO")</f>
        <v>NO</v>
      </c>
      <c r="P6" s="2" t="str">
        <f aca="false">IF(K6="PROVISION","YES","NO")</f>
        <v>NO</v>
      </c>
      <c r="Q6" s="2" t="str">
        <f aca="false">IF(K6="PROVISION","DRAFT_NOT_CREATED","NO_DRAFT")</f>
        <v>NO_DRAFT</v>
      </c>
      <c r="R6" s="2" t="str">
        <f aca="false">IF(K6="PROVISION","INCLUDE","EXCLUDE")</f>
        <v>EXCLUDE</v>
      </c>
      <c r="S6" s="2" t="str">
        <f aca="false">Evidence_Register!F6</f>
        <v>New_Hire_Onboarding_Tracker.xlsx:April Starters row 6</v>
      </c>
    </row>
    <row r="7" customFormat="false" ht="37.5" hidden="false" customHeight="true" outlineLevel="0" collapsed="false">
      <c r="A7" s="2" t="n">
        <f aca="false">Source_Starters!A7</f>
        <v>7</v>
      </c>
      <c r="B7" s="2" t="str">
        <f aca="false">Source_Starters!B7</f>
        <v>Femi Adeyemi</v>
      </c>
      <c r="C7" s="2" t="str">
        <f aca="false">Source_Starters!C7</f>
        <v>CON-2215</v>
      </c>
      <c r="D7" s="2" t="str">
        <f aca="false">Source_Starters!D7</f>
        <v>Engineering</v>
      </c>
      <c r="E7" s="2" t="str">
        <f aca="false">Source_Starters!E7</f>
        <v>2026-04-21</v>
      </c>
      <c r="F7" s="2" t="str">
        <f aca="false">Source_Starters!F7</f>
        <v>Remote - Lagos</v>
      </c>
      <c r="G7" s="2" t="str">
        <f aca="false">Source_Starters!G7</f>
        <v>Independent Contractor</v>
      </c>
      <c r="H7" s="2" t="str">
        <f aca="false">IF(Source_Starters!H7="","",Source_Starters!H7)</f>
        <v/>
      </c>
      <c r="I7" s="2" t="str">
        <f aca="false">IF(OR(ISNUMBER(SEARCH("Contractor",G7)),ISNUMBER(SEARCH("Consultant",G7))),"YES","NO")</f>
        <v>YES</v>
      </c>
      <c r="J7" s="2" t="str">
        <f aca="false">IF(ISNUMBER(SEARCH("already shipped",H7)),"YES","NO")</f>
        <v>NO</v>
      </c>
      <c r="K7" s="2" t="str">
        <f aca="false">IF(I7="YES","EXCLUDED_CONTRACTOR",IF(J7="YES","ALREADY_PROVISIONED","PROVISION"))</f>
        <v>EXCLUDED_CONTRACTOR</v>
      </c>
      <c r="L7" s="2" t="str">
        <f aca="false">IF(K7&lt;&gt;"PROVISION","NONE",IF(D7="Engineering","MacBook Pro 16-inch M4","MacBook Air 15-inch M4"))</f>
        <v>NONE</v>
      </c>
      <c r="M7" s="2" t="str">
        <f aca="false">IF(AND(K7="PROVISION",ISNUMBER(SEARCH("Remote -",F7))),"YES","NO")</f>
        <v>NO</v>
      </c>
      <c r="N7" s="2" t="str">
        <f aca="false">IF(K7="PROVISION","YES","NO")</f>
        <v>NO</v>
      </c>
      <c r="O7" s="2" t="str">
        <f aca="false">IF(K7="PROVISION","YES","NO")</f>
        <v>NO</v>
      </c>
      <c r="P7" s="2" t="str">
        <f aca="false">IF(K7="PROVISION","YES","NO")</f>
        <v>NO</v>
      </c>
      <c r="Q7" s="2" t="str">
        <f aca="false">IF(K7="PROVISION","DRAFT_NOT_CREATED","NO_DRAFT")</f>
        <v>NO_DRAFT</v>
      </c>
      <c r="R7" s="2" t="str">
        <f aca="false">IF(K7="PROVISION","INCLUDE","EXCLUDE")</f>
        <v>EXCLUDE</v>
      </c>
      <c r="S7" s="2" t="str">
        <f aca="false">Evidence_Register!F7</f>
        <v>New_Hire_Onboarding_Tracker.xlsx:April Starters row 7</v>
      </c>
    </row>
    <row r="8" customFormat="false" ht="37.5" hidden="false" customHeight="true" outlineLevel="0" collapsed="false">
      <c r="A8" s="2" t="n">
        <f aca="false">Source_Starters!A8</f>
        <v>8</v>
      </c>
      <c r="B8" s="2" t="str">
        <f aca="false">Source_Starters!B8</f>
        <v>Greta Holm</v>
      </c>
      <c r="C8" s="2" t="str">
        <f aca="false">Source_Starters!C8</f>
        <v>EMP-7752</v>
      </c>
      <c r="D8" s="2" t="str">
        <f aca="false">Source_Starters!D8</f>
        <v>Support</v>
      </c>
      <c r="E8" s="2" t="str">
        <f aca="false">Source_Starters!E8</f>
        <v>2026-04-21</v>
      </c>
      <c r="F8" s="2" t="str">
        <f aca="false">Source_Starters!F8</f>
        <v>Office - Austin</v>
      </c>
      <c r="G8" s="2" t="str">
        <f aca="false">Source_Starters!G8</f>
        <v>Full-time</v>
      </c>
      <c r="H8" s="2" t="str">
        <f aca="false">IF(Source_Starters!H8="","",Source_Starters!H8)</f>
        <v/>
      </c>
      <c r="I8" s="2" t="str">
        <f aca="false">IF(OR(ISNUMBER(SEARCH("Contractor",G8)),ISNUMBER(SEARCH("Consultant",G8))),"YES","NO")</f>
        <v>NO</v>
      </c>
      <c r="J8" s="2" t="str">
        <f aca="false">IF(ISNUMBER(SEARCH("already shipped",H8)),"YES","NO")</f>
        <v>NO</v>
      </c>
      <c r="K8" s="2" t="str">
        <f aca="false">IF(I8="YES","EXCLUDED_CONTRACTOR",IF(J8="YES","ALREADY_PROVISIONED","PROVISION"))</f>
        <v>PROVISION</v>
      </c>
      <c r="L8" s="2" t="str">
        <f aca="false">IF(K8&lt;&gt;"PROVISION","NONE",IF(D8="Engineering","MacBook Pro 16-inch M4","MacBook Air 15-inch M4"))</f>
        <v>MacBook Air 15-inch M4</v>
      </c>
      <c r="M8" s="2" t="str">
        <f aca="false">IF(AND(K8="PROVISION",ISNUMBER(SEARCH("Remote -",F8))),"YES","NO")</f>
        <v>NO</v>
      </c>
      <c r="N8" s="2" t="str">
        <f aca="false">IF(K8="PROVISION","YES","NO")</f>
        <v>YES</v>
      </c>
      <c r="O8" s="2" t="str">
        <f aca="false">IF(K8="PROVISION","YES","NO")</f>
        <v>YES</v>
      </c>
      <c r="P8" s="2" t="str">
        <f aca="false">IF(K8="PROVISION","YES","NO")</f>
        <v>YES</v>
      </c>
      <c r="Q8" s="2" t="str">
        <f aca="false">IF(K8="PROVISION","DRAFT_NOT_CREATED","NO_DRAFT")</f>
        <v>DRAFT_NOT_CREATED</v>
      </c>
      <c r="R8" s="2" t="str">
        <f aca="false">IF(K8="PROVISION","INCLUDE","EXCLUDE")</f>
        <v>INCLUDE</v>
      </c>
      <c r="S8" s="2" t="str">
        <f aca="false">Evidence_Register!F8</f>
        <v>New_Hire_Onboarding_Tracker.xlsx:April Starters row 8</v>
      </c>
    </row>
    <row r="9" customFormat="false" ht="37.5" hidden="false" customHeight="true" outlineLevel="0" collapsed="false">
      <c r="A9" s="2" t="n">
        <f aca="false">Source_Starters!A9</f>
        <v>9</v>
      </c>
      <c r="B9" s="2" t="str">
        <f aca="false">Source_Starters!B9</f>
        <v>Hugo Fernandez</v>
      </c>
      <c r="C9" s="2" t="str">
        <f aca="false">Source_Starters!C9</f>
        <v>EMP-7766</v>
      </c>
      <c r="D9" s="2" t="str">
        <f aca="false">Source_Starters!D9</f>
        <v>Engineering</v>
      </c>
      <c r="E9" s="2" t="str">
        <f aca="false">Source_Starters!E9</f>
        <v>2026-04-21</v>
      </c>
      <c r="F9" s="2" t="str">
        <f aca="false">Source_Starters!F9</f>
        <v>Remote - Madrid</v>
      </c>
      <c r="G9" s="2" t="str">
        <f aca="false">Source_Starters!G9</f>
        <v>Full-time</v>
      </c>
      <c r="H9" s="2" t="str">
        <f aca="false">IF(Source_Starters!H9="","",Source_Starters!H9)</f>
        <v/>
      </c>
      <c r="I9" s="2" t="str">
        <f aca="false">IF(OR(ISNUMBER(SEARCH("Contractor",G9)),ISNUMBER(SEARCH("Consultant",G9))),"YES","NO")</f>
        <v>NO</v>
      </c>
      <c r="J9" s="2" t="str">
        <f aca="false">IF(ISNUMBER(SEARCH("already shipped",H9)),"YES","NO")</f>
        <v>NO</v>
      </c>
      <c r="K9" s="2" t="str">
        <f aca="false">IF(I9="YES","EXCLUDED_CONTRACTOR",IF(J9="YES","ALREADY_PROVISIONED","PROVISION"))</f>
        <v>PROVISION</v>
      </c>
      <c r="L9" s="2" t="str">
        <f aca="false">IF(K9&lt;&gt;"PROVISION","NONE",IF(D9="Engineering","MacBook Pro 16-inch M4","MacBook Air 15-inch M4"))</f>
        <v>MacBook Pro 16-inch M4</v>
      </c>
      <c r="M9" s="2" t="str">
        <f aca="false">IF(AND(K9="PROVISION",ISNUMBER(SEARCH("Remote -",F9))),"YES","NO")</f>
        <v>YES</v>
      </c>
      <c r="N9" s="2" t="str">
        <f aca="false">IF(K9="PROVISION","YES","NO")</f>
        <v>YES</v>
      </c>
      <c r="O9" s="2" t="str">
        <f aca="false">IF(K9="PROVISION","YES","NO")</f>
        <v>YES</v>
      </c>
      <c r="P9" s="2" t="str">
        <f aca="false">IF(K9="PROVISION","YES","NO")</f>
        <v>YES</v>
      </c>
      <c r="Q9" s="2" t="str">
        <f aca="false">IF(K9="PROVISION","DRAFT_NOT_CREATED","NO_DRAFT")</f>
        <v>DRAFT_NOT_CREATED</v>
      </c>
      <c r="R9" s="2" t="str">
        <f aca="false">IF(K9="PROVISION","INCLUDE","EXCLUDE")</f>
        <v>INCLUDE</v>
      </c>
      <c r="S9" s="2" t="str">
        <f aca="false">Evidence_Register!F9</f>
        <v>New_Hire_Onboarding_Tracker.xlsx:April Starters row 9</v>
      </c>
    </row>
  </sheetData>
  <autoFilter ref="A1:S9"/>
  <conditionalFormatting sqref="K2:K9">
    <cfRule type="expression" priority="2" aboveAverage="0" equalAverage="0" bottom="0" percent="0" rank="0" text="" dxfId="6">
      <formula>K2="PROVISION"</formula>
    </cfRule>
    <cfRule type="expression" priority="3" aboveAverage="0" equalAverage="0" bottom="0" percent="0" rank="0" text="" dxfId="7">
      <formula>K2="EXCLUDED_CONTRACTOR"</formula>
    </cfRule>
    <cfRule type="expression" priority="4" aboveAverage="0" equalAverage="0" bottom="0" percent="0" rank="0" text="" dxfId="8">
      <formula>K2="ALREADY_PROVISIONED"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decisions · exclusion precedence, then department/location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9.99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27.99"/>
    <col collapsed="false" customWidth="true" hidden="false" outlineLevel="0" max="8" min="8" style="0" width="11.99"/>
    <col collapsed="false" customWidth="true" hidden="false" outlineLevel="0" max="9" min="9" style="0" width="13.01"/>
    <col collapsed="false" customWidth="true" hidden="false" outlineLevel="0" max="10" min="10" style="0" width="10"/>
    <col collapsed="false" customWidth="true" hidden="false" outlineLevel="0" max="11" min="11" style="0" width="10.99"/>
    <col collapsed="false" customWidth="true" hidden="false" outlineLevel="0" max="12" min="12" style="0" width="20.99"/>
    <col collapsed="false" customWidth="true" hidden="false" outlineLevel="0" max="13" min="13" style="0" width="68"/>
  </cols>
  <sheetData>
    <row r="1" customFormat="false" ht="30" hidden="false" customHeight="true" outlineLevel="0" collapsed="false">
      <c r="A1" s="1" t="s">
        <v>121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114</v>
      </c>
      <c r="H1" s="1" t="s">
        <v>122</v>
      </c>
      <c r="I1" s="1" t="s">
        <v>123</v>
      </c>
      <c r="J1" s="1" t="s">
        <v>117</v>
      </c>
      <c r="K1" s="1" t="s">
        <v>118</v>
      </c>
      <c r="L1" s="1" t="s">
        <v>124</v>
      </c>
      <c r="M1" s="1" t="s">
        <v>42</v>
      </c>
    </row>
    <row r="2" customFormat="false" ht="37.5" hidden="false" customHeight="true" outlineLevel="0" collapsed="false">
      <c r="A2" s="2" t="s">
        <v>125</v>
      </c>
      <c r="B2" s="2" t="str">
        <f aca="false">Provisioning_Decisions!B2</f>
        <v>Ada Petrova</v>
      </c>
      <c r="C2" s="2" t="str">
        <f aca="false">Provisioning_Decisions!C2</f>
        <v>EMP-7701</v>
      </c>
      <c r="D2" s="2" t="str">
        <f aca="false">Provisioning_Decisions!D2</f>
        <v>Engineering</v>
      </c>
      <c r="E2" s="2" t="str">
        <f aca="false">Provisioning_Decisions!F2</f>
        <v>Office - Austin</v>
      </c>
      <c r="F2" s="2" t="str">
        <f aca="false">Provisioning_Decisions!E2</f>
        <v>2026-04-21</v>
      </c>
      <c r="G2" s="2" t="str">
        <f aca="false">Provisioning_Decisions!L2</f>
        <v>MacBook Pro 16-inch M4</v>
      </c>
      <c r="H2" s="2" t="str">
        <f aca="false">Provisioning_Decisions!M2</f>
        <v>NO</v>
      </c>
      <c r="I2" s="2" t="str">
        <f aca="false">Provisioning_Decisions!N2</f>
        <v>YES</v>
      </c>
      <c r="J2" s="2" t="str">
        <f aca="false">Provisioning_Decisions!O2</f>
        <v>YES</v>
      </c>
      <c r="K2" s="2" t="str">
        <f aca="false">Provisioning_Decisions!P2</f>
        <v>YES</v>
      </c>
      <c r="L2" s="2" t="s">
        <v>126</v>
      </c>
      <c r="M2" s="2" t="str">
        <f aca="false">Provisioning_Decisions!S2</f>
        <v>New_Hire_Onboarding_Tracker.xlsx:April Starters row 2</v>
      </c>
    </row>
    <row r="3" customFormat="false" ht="37.5" hidden="false" customHeight="true" outlineLevel="0" collapsed="false">
      <c r="A3" s="2" t="s">
        <v>127</v>
      </c>
      <c r="B3" s="2" t="str">
        <f aca="false">Provisioning_Decisions!B3</f>
        <v>Brian Osei</v>
      </c>
      <c r="C3" s="2" t="str">
        <f aca="false">Provisioning_Decisions!C3</f>
        <v>EMP-7715</v>
      </c>
      <c r="D3" s="2" t="str">
        <f aca="false">Provisioning_Decisions!D3</f>
        <v>Sales</v>
      </c>
      <c r="E3" s="2" t="str">
        <f aca="false">Provisioning_Decisions!F3</f>
        <v>Remote - Chicago</v>
      </c>
      <c r="F3" s="2" t="str">
        <f aca="false">Provisioning_Decisions!E3</f>
        <v>2026-04-21</v>
      </c>
      <c r="G3" s="2" t="str">
        <f aca="false">Provisioning_Decisions!L3</f>
        <v>MacBook Air 15-inch M4</v>
      </c>
      <c r="H3" s="2" t="str">
        <f aca="false">Provisioning_Decisions!M3</f>
        <v>YES</v>
      </c>
      <c r="I3" s="2" t="str">
        <f aca="false">Provisioning_Decisions!N3</f>
        <v>YES</v>
      </c>
      <c r="J3" s="2" t="str">
        <f aca="false">Provisioning_Decisions!O3</f>
        <v>YES</v>
      </c>
      <c r="K3" s="2" t="str">
        <f aca="false">Provisioning_Decisions!P3</f>
        <v>YES</v>
      </c>
      <c r="L3" s="2" t="s">
        <v>126</v>
      </c>
      <c r="M3" s="2" t="str">
        <f aca="false">Provisioning_Decisions!S3</f>
        <v>New_Hire_Onboarding_Tracker.xlsx:April Starters row 3</v>
      </c>
    </row>
    <row r="4" customFormat="false" ht="37.5" hidden="false" customHeight="true" outlineLevel="0" collapsed="false">
      <c r="A4" s="2" t="s">
        <v>128</v>
      </c>
      <c r="B4" s="2" t="str">
        <f aca="false">Provisioning_Decisions!B5</f>
        <v>David Nguyen</v>
      </c>
      <c r="C4" s="2" t="str">
        <f aca="false">Provisioning_Decisions!C5</f>
        <v>EMP-7729</v>
      </c>
      <c r="D4" s="2" t="str">
        <f aca="false">Provisioning_Decisions!D5</f>
        <v>Engineering</v>
      </c>
      <c r="E4" s="2" t="str">
        <f aca="false">Provisioning_Decisions!F5</f>
        <v>Remote - Portland</v>
      </c>
      <c r="F4" s="2" t="str">
        <f aca="false">Provisioning_Decisions!E5</f>
        <v>2026-04-21</v>
      </c>
      <c r="G4" s="2" t="str">
        <f aca="false">Provisioning_Decisions!L5</f>
        <v>MacBook Pro 16-inch M4</v>
      </c>
      <c r="H4" s="2" t="str">
        <f aca="false">Provisioning_Decisions!M5</f>
        <v>YES</v>
      </c>
      <c r="I4" s="2" t="str">
        <f aca="false">Provisioning_Decisions!N5</f>
        <v>YES</v>
      </c>
      <c r="J4" s="2" t="str">
        <f aca="false">Provisioning_Decisions!O5</f>
        <v>YES</v>
      </c>
      <c r="K4" s="2" t="str">
        <f aca="false">Provisioning_Decisions!P5</f>
        <v>YES</v>
      </c>
      <c r="L4" s="2" t="s">
        <v>126</v>
      </c>
      <c r="M4" s="2" t="str">
        <f aca="false">Provisioning_Decisions!S5</f>
        <v>New_Hire_Onboarding_Tracker.xlsx:April Starters row 5</v>
      </c>
    </row>
    <row r="5" customFormat="false" ht="37.5" hidden="false" customHeight="true" outlineLevel="0" collapsed="false">
      <c r="A5" s="2" t="s">
        <v>129</v>
      </c>
      <c r="B5" s="2" t="str">
        <f aca="false">Provisioning_Decisions!B8</f>
        <v>Greta Holm</v>
      </c>
      <c r="C5" s="2" t="str">
        <f aca="false">Provisioning_Decisions!C8</f>
        <v>EMP-7752</v>
      </c>
      <c r="D5" s="2" t="str">
        <f aca="false">Provisioning_Decisions!D8</f>
        <v>Support</v>
      </c>
      <c r="E5" s="2" t="str">
        <f aca="false">Provisioning_Decisions!F8</f>
        <v>Office - Austin</v>
      </c>
      <c r="F5" s="2" t="str">
        <f aca="false">Provisioning_Decisions!E8</f>
        <v>2026-04-21</v>
      </c>
      <c r="G5" s="2" t="str">
        <f aca="false">Provisioning_Decisions!L8</f>
        <v>MacBook Air 15-inch M4</v>
      </c>
      <c r="H5" s="2" t="str">
        <f aca="false">Provisioning_Decisions!M8</f>
        <v>NO</v>
      </c>
      <c r="I5" s="2" t="str">
        <f aca="false">Provisioning_Decisions!N8</f>
        <v>YES</v>
      </c>
      <c r="J5" s="2" t="str">
        <f aca="false">Provisioning_Decisions!O8</f>
        <v>YES</v>
      </c>
      <c r="K5" s="2" t="str">
        <f aca="false">Provisioning_Decisions!P8</f>
        <v>YES</v>
      </c>
      <c r="L5" s="2" t="s">
        <v>126</v>
      </c>
      <c r="M5" s="2" t="str">
        <f aca="false">Provisioning_Decisions!S8</f>
        <v>New_Hire_Onboarding_Tracker.xlsx:April Starters row 8</v>
      </c>
    </row>
    <row r="6" customFormat="false" ht="37.5" hidden="false" customHeight="true" outlineLevel="0" collapsed="false">
      <c r="A6" s="2" t="s">
        <v>130</v>
      </c>
      <c r="B6" s="2" t="str">
        <f aca="false">Provisioning_Decisions!B9</f>
        <v>Hugo Fernandez</v>
      </c>
      <c r="C6" s="2" t="str">
        <f aca="false">Provisioning_Decisions!C9</f>
        <v>EMP-7766</v>
      </c>
      <c r="D6" s="2" t="str">
        <f aca="false">Provisioning_Decisions!D9</f>
        <v>Engineering</v>
      </c>
      <c r="E6" s="2" t="str">
        <f aca="false">Provisioning_Decisions!F9</f>
        <v>Remote - Madrid</v>
      </c>
      <c r="F6" s="2" t="str">
        <f aca="false">Provisioning_Decisions!E9</f>
        <v>2026-04-21</v>
      </c>
      <c r="G6" s="2" t="str">
        <f aca="false">Provisioning_Decisions!L9</f>
        <v>MacBook Pro 16-inch M4</v>
      </c>
      <c r="H6" s="2" t="str">
        <f aca="false">Provisioning_Decisions!M9</f>
        <v>YES</v>
      </c>
      <c r="I6" s="2" t="str">
        <f aca="false">Provisioning_Decisions!N9</f>
        <v>YES</v>
      </c>
      <c r="J6" s="2" t="str">
        <f aca="false">Provisioning_Decisions!O9</f>
        <v>YES</v>
      </c>
      <c r="K6" s="2" t="str">
        <f aca="false">Provisioning_Decisions!P9</f>
        <v>YES</v>
      </c>
      <c r="L6" s="2" t="s">
        <v>126</v>
      </c>
      <c r="M6" s="2" t="str">
        <f aca="false">Provisioning_Decisions!S9</f>
        <v>New_Hire_Onboarding_Tracker.xlsx:April Starters row 9</v>
      </c>
    </row>
  </sheetData>
  <autoFilter ref="A1:M6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&amp;CFive Jira drafts · zero created tickets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30" hidden="false" customHeight="true" outlineLevel="0" collapsed="false">
      <c r="A1" s="1" t="s">
        <v>131</v>
      </c>
      <c r="B1" s="1" t="s">
        <v>132</v>
      </c>
      <c r="C1" s="1" t="s">
        <v>133</v>
      </c>
    </row>
    <row r="2" customFormat="false" ht="15" hidden="false" customHeight="false" outlineLevel="0" collapsed="false">
      <c r="A2" s="2" t="s">
        <v>134</v>
      </c>
      <c r="B2" s="2" t="n">
        <f aca="false">COUNTA(Provisioning_Decisions!B2:B9)</f>
        <v>8</v>
      </c>
      <c r="C2" s="2" t="s">
        <v>135</v>
      </c>
    </row>
    <row r="3" customFormat="false" ht="15" hidden="false" customHeight="false" outlineLevel="0" collapsed="false">
      <c r="A3" s="2" t="s">
        <v>136</v>
      </c>
      <c r="B3" s="2" t="n">
        <f aca="false">COUNTIF(Provisioning_Decisions!K2:K9,"PROVISION")</f>
        <v>5</v>
      </c>
      <c r="C3" s="2" t="s">
        <v>137</v>
      </c>
    </row>
    <row r="4" customFormat="false" ht="15" hidden="false" customHeight="false" outlineLevel="0" collapsed="false">
      <c r="A4" s="2" t="s">
        <v>138</v>
      </c>
      <c r="B4" s="2" t="n">
        <f aca="false">COUNTIF(Provisioning_Decisions!K2:K9,"EXCLUDED_CONTRACTOR")</f>
        <v>2</v>
      </c>
      <c r="C4" s="2" t="s">
        <v>139</v>
      </c>
    </row>
    <row r="5" customFormat="false" ht="15" hidden="false" customHeight="false" outlineLevel="0" collapsed="false">
      <c r="A5" s="2" t="s">
        <v>140</v>
      </c>
      <c r="B5" s="2" t="n">
        <f aca="false">COUNTIF(Provisioning_Decisions!K2:K9,"ALREADY_PROVISIONED")</f>
        <v>1</v>
      </c>
      <c r="C5" s="2" t="s">
        <v>141</v>
      </c>
    </row>
    <row r="6" customFormat="false" ht="15" hidden="false" customHeight="false" outlineLevel="0" collapsed="false">
      <c r="A6" s="2" t="s">
        <v>142</v>
      </c>
      <c r="B6" s="2" t="n">
        <f aca="false">COUNTIF(Provisioning_Decisions!L2:L9,"MacBook Pro 16-inch M4")</f>
        <v>3</v>
      </c>
      <c r="C6" s="2" t="s">
        <v>143</v>
      </c>
    </row>
    <row r="7" customFormat="false" ht="15" hidden="false" customHeight="false" outlineLevel="0" collapsed="false">
      <c r="A7" s="2" t="s">
        <v>144</v>
      </c>
      <c r="B7" s="2" t="n">
        <f aca="false">COUNTIF(Provisioning_Decisions!L2:L9,"MacBook Air 15-inch M4")</f>
        <v>2</v>
      </c>
      <c r="C7" s="2" t="s">
        <v>145</v>
      </c>
    </row>
    <row r="8" customFormat="false" ht="15" hidden="false" customHeight="false" outlineLevel="0" collapsed="false">
      <c r="A8" s="2" t="s">
        <v>146</v>
      </c>
      <c r="B8" s="2" t="n">
        <f aca="false">COUNTIF(Provisioning_Decisions!M2:M9,"YES")</f>
        <v>3</v>
      </c>
      <c r="C8" s="2" t="s">
        <v>147</v>
      </c>
    </row>
    <row r="9" customFormat="false" ht="15" hidden="false" customHeight="false" outlineLevel="0" collapsed="false">
      <c r="A9" s="2" t="s">
        <v>148</v>
      </c>
      <c r="B9" s="2" t="n">
        <f aca="false">COUNTIF(Provisioning_Decisions!Q2:Q9,"DRAFT_NOT_CREATED")</f>
        <v>5</v>
      </c>
      <c r="C9" s="2" t="s">
        <v>149</v>
      </c>
    </row>
    <row r="10" customFormat="false" ht="15" hidden="false" customHeight="false" outlineLevel="0" collapsed="false">
      <c r="A10" s="2" t="s">
        <v>150</v>
      </c>
      <c r="B10" s="2" t="n">
        <f aca="false">0</f>
        <v>0</v>
      </c>
      <c r="C10" s="2" t="s">
        <v>151</v>
      </c>
    </row>
    <row r="11" customFormat="false" ht="15" hidden="false" customHeight="false" outlineLevel="0" collapsed="false">
      <c r="A11" s="2" t="s">
        <v>152</v>
      </c>
      <c r="B11" s="2" t="n">
        <f aca="false">0</f>
        <v>0</v>
      </c>
      <c r="C11" s="2" t="s">
        <v>153</v>
      </c>
    </row>
  </sheetData>
  <autoFilter ref="A1:C11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&amp;CControl totals · formulas linked to Provisioning_Decisions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