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8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ables/table7.xml" ContentType="application/vnd.openxmlformats-officedocument.spreadsheetml.table+xml"/>
  <Override PartName="/xl/tables/table6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8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ource_Directory" sheetId="1" state="visible" r:id="rId2"/>
    <sheet name="Approved_Changes" sheetId="2" state="visible" r:id="rId3"/>
    <sheet name="Manager_Lookup" sheetId="3" state="visible" r:id="rId4"/>
    <sheet name="Evidence_Register" sheetId="4" state="visible" r:id="rId5"/>
    <sheet name="Reorg_Decisions" sheetId="5" state="visible" r:id="rId6"/>
    <sheet name="Directory_Update_Queue" sheetId="6" state="visible" r:id="rId7"/>
    <sheet name="Notification_Queue" sheetId="7" state="visible" r:id="rId8"/>
    <sheet name="Control_Summary" sheetId="8" state="visible" r:id="rId9"/>
  </sheets>
  <definedNames>
    <definedName function="false" hidden="false" localSheetId="1" name="_xlnm.Print_Area" vbProcedure="false">Approved_Changes!$A$1:$G$5</definedName>
    <definedName function="false" hidden="true" localSheetId="1" name="_xlnm._FilterDatabase" vbProcedure="false">Approved_Changes!$A$1:$G$5</definedName>
    <definedName function="false" hidden="false" localSheetId="7" name="_xlnm.Print_Area" vbProcedure="false">Control_Summary!$A$1:$N$12</definedName>
    <definedName function="false" hidden="true" localSheetId="7" name="_xlnm._FilterDatabase" vbProcedure="false">Control_Summary!$A$1:$E$12</definedName>
    <definedName function="false" hidden="false" localSheetId="5" name="_xlnm.Print_Area" vbProcedure="false">Directory_Update_Queue!$A$1:$M$5</definedName>
    <definedName function="false" hidden="true" localSheetId="5" name="_xlnm._FilterDatabase" vbProcedure="false">Directory_Update_Queue!$A$1:$M$5</definedName>
    <definedName function="false" hidden="false" localSheetId="3" name="_xlnm.Print_Area" vbProcedure="false">Evidence_Register!$A$1:$E$12</definedName>
    <definedName function="false" hidden="true" localSheetId="3" name="_xlnm._FilterDatabase" vbProcedure="false">Evidence_Register!$A$1:$E$12</definedName>
    <definedName function="false" hidden="false" localSheetId="2" name="_xlnm.Print_Area" vbProcedure="false">Manager_Lookup!$A$1:$F$5</definedName>
    <definedName function="false" hidden="true" localSheetId="2" name="_xlnm._FilterDatabase" vbProcedure="false">Manager_Lookup!$A$1:$F$5</definedName>
    <definedName function="false" hidden="false" localSheetId="6" name="_xlnm.Print_Area" vbProcedure="false">Notification_Queue!$A$1:$M$5</definedName>
    <definedName function="false" hidden="true" localSheetId="6" name="_xlnm._FilterDatabase" vbProcedure="false">Notification_Queue!$A$1:$M$5</definedName>
    <definedName function="false" hidden="false" localSheetId="4" name="_xlnm.Print_Area" vbProcedure="false">Reorg_Decisions!$A$1:$R$9</definedName>
    <definedName function="false" hidden="true" localSheetId="4" name="_xlnm._FilterDatabase" vbProcedure="false">Reorg_Decisions!$A$1:$R$9</definedName>
    <definedName function="false" hidden="false" localSheetId="0" name="_xlnm.Print_Area" vbProcedure="false">Source_Directory!$A$1:$F$9</definedName>
    <definedName function="false" hidden="true" localSheetId="0" name="_xlnm._FilterDatabase" vbProcedure="false">Source_Directory!$A$1:$F$9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<sst xmlns="http://schemas.openxmlformats.org/spreadsheetml/2006/main" count="249" uniqueCount="142">
  <si>
    <t xml:space="preserve">Source Row</t>
  </si>
  <si>
    <t xml:space="preserve">Employee</t>
  </si>
  <si>
    <t xml:space="preserve">Employee Email</t>
  </si>
  <si>
    <t xml:space="preserve">Department</t>
  </si>
  <si>
    <t xml:space="preserve">Manager</t>
  </si>
  <si>
    <t xml:space="preserve">Manager Email</t>
  </si>
  <si>
    <t xml:space="preserve">Aisha Jordan</t>
  </si>
  <si>
    <t xml:space="preserve">aisha.jordan@company.example.com</t>
  </si>
  <si>
    <t xml:space="preserve">Engineering</t>
  </si>
  <si>
    <t xml:space="preserve">Lisa Wang</t>
  </si>
  <si>
    <t xml:space="preserve">lisa.wang@company.example.com</t>
  </si>
  <si>
    <t xml:space="preserve">Bo Lindqvist</t>
  </si>
  <si>
    <t xml:space="preserve">bo.lindqvist@company.example.com</t>
  </si>
  <si>
    <t xml:space="preserve">Marcus Chen</t>
  </si>
  <si>
    <t xml:space="preserve">marcus.chen@company.example.com</t>
  </si>
  <si>
    <t xml:space="preserve">Chiara Russo</t>
  </si>
  <si>
    <t xml:space="preserve">chiara.russo@company.example.com</t>
  </si>
  <si>
    <t xml:space="preserve">Derek Huang</t>
  </si>
  <si>
    <t xml:space="preserve">derek.huang@company.example.com</t>
  </si>
  <si>
    <t xml:space="preserve">Dante Obi</t>
  </si>
  <si>
    <t xml:space="preserve">dante.obi@company.example.com</t>
  </si>
  <si>
    <t xml:space="preserve">Product</t>
  </si>
  <si>
    <t xml:space="preserve">Elena Vasquez</t>
  </si>
  <si>
    <t xml:space="preserve">elena.vasquez@company.example.com</t>
  </si>
  <si>
    <t xml:space="preserve">Felix Braun</t>
  </si>
  <si>
    <t xml:space="preserve">felix.braun@company.example.com</t>
  </si>
  <si>
    <t xml:space="preserve">Grace Kim</t>
  </si>
  <si>
    <t xml:space="preserve">grace.kim@company.example.com</t>
  </si>
  <si>
    <t xml:space="preserve">Marcus Chen-Williams</t>
  </si>
  <si>
    <t xml:space="preserve">marcus.chen-williams@company.example.com</t>
  </si>
  <si>
    <t xml:space="preserve">Hugo Fernandez</t>
  </si>
  <si>
    <t xml:space="preserve">hugo.fernandez@company.example.com</t>
  </si>
  <si>
    <t xml:space="preserve">Change Order</t>
  </si>
  <si>
    <t xml:space="preserve">Effective Date</t>
  </si>
  <si>
    <t xml:space="preserve">Approved Old Manager</t>
  </si>
  <si>
    <t xml:space="preserve">Approved New Manager</t>
  </si>
  <si>
    <t xml:space="preserve">New Manager Email</t>
  </si>
  <si>
    <t xml:space="preserve">Source Trace</t>
  </si>
  <si>
    <t xml:space="preserve">2026-04-14</t>
  </si>
  <si>
    <t xml:space="preserve">Approved_Org_Changes.mbox:msg_reorg_5110</t>
  </si>
  <si>
    <t xml:space="preserve">Directory Evidence Rows</t>
  </si>
  <si>
    <t xml:space="preserve">Department Evidence</t>
  </si>
  <si>
    <t xml:space="preserve">Identity Control</t>
  </si>
  <si>
    <t xml:space="preserve">2, 5, 9</t>
  </si>
  <si>
    <t xml:space="preserve">Engineering + Product</t>
  </si>
  <si>
    <t xml:space="preserve">EXACT_NAME_AND_EMAIL</t>
  </si>
  <si>
    <t xml:space="preserve">Employee_Directory.xlsx:Employees rows 2,5,9</t>
  </si>
  <si>
    <t xml:space="preserve">3, 7</t>
  </si>
  <si>
    <t xml:space="preserve">DISTINCT_FROM_MARCUS_CHEN_WILLIAMS</t>
  </si>
  <si>
    <t xml:space="preserve">Employee_Directory.xlsx:Employees rows 3,7</t>
  </si>
  <si>
    <t xml:space="preserve">4, 6</t>
  </si>
  <si>
    <t xml:space="preserve">Employee_Directory.xlsx:Employees rows 4,6</t>
  </si>
  <si>
    <t xml:space="preserve">8</t>
  </si>
  <si>
    <t xml:space="preserve">DISTINCT_FROM_MARCUS_CHEN</t>
  </si>
  <si>
    <t xml:space="preserve">Employee_Directory.xlsx:Employees row 8</t>
  </si>
  <si>
    <t xml:space="preserve">Evidence ID</t>
  </si>
  <si>
    <t xml:space="preserve">Type</t>
  </si>
  <si>
    <t xml:space="preserve">Authority / Subject</t>
  </si>
  <si>
    <t xml:space="preserve">Captured Value / Full Body</t>
  </si>
  <si>
    <t xml:space="preserve">E-ROW-2</t>
  </si>
  <si>
    <t xml:space="preserve">Source directory row</t>
  </si>
  <si>
    <t xml:space="preserve">Aisha Jordan | aisha.jordan@company.example.com | Engineering | Lisa Wang | lisa.wang@company.example.com</t>
  </si>
  <si>
    <t xml:space="preserve">Employee_Directory.xlsx:Employees row 2</t>
  </si>
  <si>
    <t xml:space="preserve">E-ROW-3</t>
  </si>
  <si>
    <t xml:space="preserve">Bo Lindqvist | bo.lindqvist@company.example.com | Engineering | Marcus Chen | marcus.chen@company.example.com</t>
  </si>
  <si>
    <t xml:space="preserve">Employee_Directory.xlsx:Employees row 3</t>
  </si>
  <si>
    <t xml:space="preserve">E-ROW-4</t>
  </si>
  <si>
    <t xml:space="preserve">Chiara Russo | chiara.russo@company.example.com | Engineering | Derek Huang | derek.huang@company.example.com</t>
  </si>
  <si>
    <t xml:space="preserve">Employee_Directory.xlsx:Employees row 4</t>
  </si>
  <si>
    <t xml:space="preserve">E-ROW-5</t>
  </si>
  <si>
    <t xml:space="preserve">Dante Obi | dante.obi@company.example.com | Product | Lisa Wang | lisa.wang@company.example.com</t>
  </si>
  <si>
    <t xml:space="preserve">Employee_Directory.xlsx:Employees row 5</t>
  </si>
  <si>
    <t xml:space="preserve">E-ROW-6</t>
  </si>
  <si>
    <t xml:space="preserve">Elena Vasquez | elena.vasquez@company.example.com | Engineering | Derek Huang | derek.huang@company.example.com</t>
  </si>
  <si>
    <t xml:space="preserve">Employee_Directory.xlsx:Employees row 6</t>
  </si>
  <si>
    <t xml:space="preserve">E-ROW-7</t>
  </si>
  <si>
    <t xml:space="preserve">Felix Braun | felix.braun@company.example.com | Engineering | Marcus Chen | marcus.chen@company.example.com</t>
  </si>
  <si>
    <t xml:space="preserve">Employee_Directory.xlsx:Employees row 7</t>
  </si>
  <si>
    <t xml:space="preserve">E-ROW-8</t>
  </si>
  <si>
    <t xml:space="preserve">Grace Kim | grace.kim@company.example.com | Product | Marcus Chen-Williams | marcus.chen-williams@company.example.com</t>
  </si>
  <si>
    <t xml:space="preserve">E-ROW-9</t>
  </si>
  <si>
    <t xml:space="preserve">Hugo Fernandez | hugo.fernandez@company.example.com | Engineering | Lisa Wang | lisa.wang@company.example.com</t>
  </si>
  <si>
    <t xml:space="preserve">Employee_Directory.xlsx:Employees row 9</t>
  </si>
  <si>
    <t xml:space="preserve">E-msg_reorg_5110</t>
  </si>
  <si>
    <t xml:space="preserve">Authoritative email</t>
  </si>
  <si>
    <t xml:space="preserve">vp-people@company.example.com | Approved Org Changes - Effective April 14</t>
  </si>
  <si>
    <t xml:space="preserve">Hi team,
The following reporting changes are approved and effective immediately:
1. Aisha Jordan -&gt; moves from Lisa Wang to Marcus Chen
2. Bo Lindqvist -&gt; moves from Marcus Chen to Derek Huang
3. Chiara Russo -&gt; moves from Derek Huang to Lisa Wang
4. Dante Obi -&gt; moves from Lisa Wang to Marcus Chen-Williams
Note: Marcus Chen (Engineering) and Marcus Chen-Williams (Product) are different managers. Please ensure correct assignments.
- VP People</t>
  </si>
  <si>
    <t xml:space="preserve">E-TIME</t>
  </si>
  <si>
    <t xml:space="preserve">Frozen runtime</t>
  </si>
  <si>
    <t xml:space="preserve">Workflow context</t>
  </si>
  <si>
    <t xml:space="preserve">2026-04-15T09:00:00Z</t>
  </si>
  <si>
    <t xml:space="preserve">Workflow_Context.json:meta.current_time</t>
  </si>
  <si>
    <t xml:space="preserve">E-CHANNEL</t>
  </si>
  <si>
    <t xml:space="preserve">Channel snapshot</t>
  </si>
  <si>
    <t xml:space="preserve">C_HROPS_5110 / hr-ops</t>
  </si>
  <si>
    <t xml:space="preserve">{"channels":[{"id":"C_HROPS_5110","name":"hr-ops","is_private":false}],"messages":[]}</t>
  </si>
  <si>
    <t xml:space="preserve">HR_Ops_Channel.json:channels[0]</t>
  </si>
  <si>
    <t xml:space="preserve">Current Manager</t>
  </si>
  <si>
    <t xml:space="preserve">Current Manager Email</t>
  </si>
  <si>
    <t xml:space="preserve">Affected</t>
  </si>
  <si>
    <t xml:space="preserve">Old Manager Matches</t>
  </si>
  <si>
    <t xml:space="preserve">Updated Manager</t>
  </si>
  <si>
    <t xml:space="preserve">Updated Manager Email</t>
  </si>
  <si>
    <t xml:space="preserve">Decision Result</t>
  </si>
  <si>
    <t xml:space="preserve">Directory Update</t>
  </si>
  <si>
    <t xml:space="preserve">Notification</t>
  </si>
  <si>
    <t xml:space="preserve">Slack Summary</t>
  </si>
  <si>
    <t xml:space="preserve">Draft ID</t>
  </si>
  <si>
    <t xml:space="preserve">Old Manager</t>
  </si>
  <si>
    <t xml:space="preserve">Old Manager Email</t>
  </si>
  <si>
    <t xml:space="preserve">New Manager</t>
  </si>
  <si>
    <t xml:space="preserve">State</t>
  </si>
  <si>
    <t xml:space="preserve">Applied</t>
  </si>
  <si>
    <t xml:space="preserve">Recipient</t>
  </si>
  <si>
    <t xml:space="preserve">Sent</t>
  </si>
  <si>
    <t xml:space="preserve">Metric</t>
  </si>
  <si>
    <t xml:space="preserve">Formula Value</t>
  </si>
  <si>
    <t xml:space="preserve">Expected</t>
  </si>
  <si>
    <t xml:space="preserve">Control Interpretation</t>
  </si>
  <si>
    <t xml:space="preserve">Total employees</t>
  </si>
  <si>
    <t xml:space="preserve">All directory rows covered</t>
  </si>
  <si>
    <t xml:space="preserve">Reorg_Decisions + controlled queues</t>
  </si>
  <si>
    <t xml:space="preserve">Approved changes</t>
  </si>
  <si>
    <t xml:space="preserve">Aisha, Bo, Chiara, Dante</t>
  </si>
  <si>
    <t xml:space="preserve">Unchanged employees</t>
  </si>
  <si>
    <t xml:space="preserve">Elena, Felix, Grace, Hugo</t>
  </si>
  <si>
    <t xml:space="preserve">Source conflicts</t>
  </si>
  <si>
    <t xml:space="preserve">All old managers match</t>
  </si>
  <si>
    <t xml:space="preserve">Directory update drafts</t>
  </si>
  <si>
    <t xml:space="preserve">Draft only</t>
  </si>
  <si>
    <t xml:space="preserve">Notification drafts</t>
  </si>
  <si>
    <t xml:space="preserve">Affected employees only</t>
  </si>
  <si>
    <t xml:space="preserve">Slack change lines</t>
  </si>
  <si>
    <t xml:space="preserve">One draft summary</t>
  </si>
  <si>
    <t xml:space="preserve">Directory updates applied</t>
  </si>
  <si>
    <t xml:space="preserve">DRAFT_NOT_APPLIED</t>
  </si>
  <si>
    <t xml:space="preserve">Emails sent</t>
  </si>
  <si>
    <t xml:space="preserve">DRAFT_NOT_SENT</t>
  </si>
  <si>
    <t xml:space="preserve">Slack messages posted</t>
  </si>
  <si>
    <t xml:space="preserve">DRAFT_NOT_POSTED</t>
  </si>
  <si>
    <t xml:space="preserve">Out-of-scope actions</t>
  </si>
  <si>
    <t xml:space="preserve">Three distractors refused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</si>
</sst>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.3"/>
      <color rgb="FFFFFFFF"/>
      <name val="Aptos"/>
      <family val="0"/>
      <charset val="1"/>
    </font>
    <font>
      <sz val="8.1"/>
      <name val="Aptos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C9D6"/>
      </bottom>
      <diagonal/>
    </border>
    <border diagonalUp="false" diagonalDown="false">
      <left style="hair">
        <color rgb="FFD9E2F3"/>
      </left>
      <right style="hair">
        <color rgb="FFD9E2F3"/>
      </right>
      <top/>
      <bottom style="hair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7365D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E7E6E6"/>
        </patternFill>
      </fill>
    </dxf>
    <dxf>
      <fill>
        <patternFill>
          <bgColor rgb="FFE2F0D9"/>
        </patternFill>
      </fill>
    </dxf>
    <dxf>
      <fill>
        <patternFill>
          <bgColor rgb="FFE7E6E6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78787"/>
      <rgbColor rgb="FF9999FF"/>
      <rgbColor rgb="FF993366"/>
      <rgbColor rgb="FFE7E6E6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Reorg scope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Control_Summary!$A$3:$A$5</c:f>
              <c:strCache>
                <c:ptCount val="3"/>
                <c:pt idx="0">
                  <c:v>Approved changes</c:v>
                </c:pt>
                <c:pt idx="1">
                  <c:v>Unchanged employees</c:v>
                </c:pt>
                <c:pt idx="2">
                  <c:v>Source conflicts</c:v>
                </c:pt>
              </c:strCache>
            </c:strRef>
          </c:cat>
          <c:val>
            <c:numRef>
              <c:f>Control_Summary!$B$3:$B$5</c:f>
              <c:numCache>
                <c:formatCode>General</c:formatCode>
                <c:ptCount val="3"/>
                <c:pt idx="0">
                  <c:v>4</c:v>
                </c:pt>
                <c:pt idx="1">
                  <c:v>4</c:v>
                </c:pt>
                <c:pt idx="2">
                  <c:v>0</c:v>
                </c:pt>
              </c:numCache>
            </c:numRef>
          </c:val>
        </c:ser>
        <c:gapWidth val="150"/>
        <c:overlap val="0"/>
        <c:axId val="51100001"/>
        <c:axId val="51100002"/>
      </c:barChart>
      <c:catAx>
        <c:axId val="511000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Decision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100002"/>
        <c:crosses val="autoZero"/>
        <c:auto val="1"/>
        <c:lblAlgn val="ctr"/>
        <c:lblOffset val="100"/>
        <c:noMultiLvlLbl val="0"/>
      </c:catAx>
      <c:valAx>
        <c:axId val="511000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Employees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1000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14</xdr:col>
      <xdr:colOff>142560</xdr:colOff>
      <xdr:row>6</xdr:row>
      <xdr:rowOff>437040</xdr:rowOff>
    </xdr:to>
    <xdr:graphicFrame>
      <xdr:nvGraphicFramePr>
        <xdr:cNvPr id="0" name="Chart 1"/>
        <xdr:cNvGraphicFramePr/>
      </xdr:nvGraphicFramePr>
      <xdr:xfrm>
        <a:off x="12043440" y="390600"/>
        <a:ext cx="5039640" cy="262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pprovedReorgChanges" displayName="ApprovedReorgChanges" ref="A1:G5" headerRowCount="1" totalsRowCount="0" totalsRowShown="0">
  <autoFilter ref="A1:G5"/>
  <tableColumns count="7">
    <tableColumn id="1" name="Change Order"/>
    <tableColumn id="2" name="Employee"/>
    <tableColumn id="3" name="Effective Date"/>
    <tableColumn id="4" name="Approved Old Manager"/>
    <tableColumn id="5" name="Approved New Manager"/>
    <tableColumn id="6" name="New Manager Email"/>
    <tableColumn id="7" name="Source Trace"/>
  </tableColumns>
</table>
</file>

<file path=xl/tables/table2.xml><?xml version="1.0" encoding="utf-8"?>
<table xmlns="http://schemas.openxmlformats.org/spreadsheetml/2006/main" id="2" name="DirectoryUpdateDraftQueue" displayName="DirectoryUpdateDraftQueue" ref="A1:M5" headerRowCount="1" totalsRowCount="0" totalsRowShown="0">
  <autoFilter ref="A1:M5"/>
  <tableColumns count="13">
    <tableColumn id="1" name="Draft ID"/>
    <tableColumn id="2" name="Change Order"/>
    <tableColumn id="3" name="Source Row"/>
    <tableColumn id="4" name="Employee"/>
    <tableColumn id="5" name="Department"/>
    <tableColumn id="6" name="Old Manager"/>
    <tableColumn id="7" name="Old Manager Email"/>
    <tableColumn id="8" name="New Manager"/>
    <tableColumn id="9" name="New Manager Email"/>
    <tableColumn id="10" name="Effective Date"/>
    <tableColumn id="11" name="State"/>
    <tableColumn id="12" name="Applied"/>
    <tableColumn id="13" name="Source Trace"/>
  </tableColumns>
</table>
</file>

<file path=xl/tables/table3.xml><?xml version="1.0" encoding="utf-8"?>
<table xmlns="http://schemas.openxmlformats.org/spreadsheetml/2006/main" id="3" name="OrgReorgDecisions" displayName="OrgReorgDecisions" ref="A1:R9" headerRowCount="1" totalsRowCount="0" totalsRowShown="0">
  <autoFilter ref="A1:R9"/>
  <tableColumns count="18">
    <tableColumn id="1" name="Source Row"/>
    <tableColumn id="2" name="Employee"/>
    <tableColumn id="3" name="Employee Email"/>
    <tableColumn id="4" name="Department"/>
    <tableColumn id="5" name="Current Manager"/>
    <tableColumn id="6" name="Current Manager Email"/>
    <tableColumn id="7" name="Affected"/>
    <tableColumn id="8" name="Approved Old Manager"/>
    <tableColumn id="9" name="Old Manager Matches"/>
    <tableColumn id="10" name="Approved New Manager"/>
    <tableColumn id="11" name="New Manager Email"/>
    <tableColumn id="12" name="Updated Manager"/>
    <tableColumn id="13" name="Updated Manager Email"/>
    <tableColumn id="14" name="Decision Result"/>
    <tableColumn id="15" name="Directory Update"/>
    <tableColumn id="16" name="Notification"/>
    <tableColumn id="17" name="Slack Summary"/>
    <tableColumn id="18" name="Source Trace"/>
  </tableColumns>
</table>
</file>

<file path=xl/tables/table4.xml><?xml version="1.0" encoding="utf-8"?>
<table xmlns="http://schemas.openxmlformats.org/spreadsheetml/2006/main" id="4" name="OrgSourceDirectory" displayName="OrgSourceDirectory" ref="A1:F9" headerRowCount="1" totalsRowCount="0" totalsRowShown="0">
  <autoFilter ref="A1:F9"/>
  <tableColumns count="6">
    <tableColumn id="1" name="Source Row"/>
    <tableColumn id="2" name="Employee"/>
    <tableColumn id="3" name="Employee Email"/>
    <tableColumn id="4" name="Department"/>
    <tableColumn id="5" name="Manager"/>
    <tableColumn id="6" name="Manager Email"/>
  </tableColumns>
</table>
</file>

<file path=xl/tables/table5.xml><?xml version="1.0" encoding="utf-8"?>
<table xmlns="http://schemas.openxmlformats.org/spreadsheetml/2006/main" id="5" name="ReorgControlSummary" displayName="ReorgControlSummary" ref="A1:E12" headerRowCount="1" totalsRowCount="0" totalsRowShown="0">
  <autoFilter ref="A1:E12"/>
  <tableColumns count="5">
    <tableColumn id="1" name="Metric"/>
    <tableColumn id="2" name="Formula Value"/>
    <tableColumn id="3" name="Expected"/>
    <tableColumn id="4" name="Control Interpretation"/>
    <tableColumn id="5" name="Source Trace"/>
  </tableColumns>
</table>
</file>

<file path=xl/tables/table6.xml><?xml version="1.0" encoding="utf-8"?>
<table xmlns="http://schemas.openxmlformats.org/spreadsheetml/2006/main" id="6" name="ReorgEvidenceRegister" displayName="ReorgEvidenceRegister" ref="A1:E12" headerRowCount="1" totalsRowCount="0" totalsRowShown="0">
  <autoFilter ref="A1:E12"/>
  <tableColumns count="5">
    <tableColumn id="1" name="Evidence ID"/>
    <tableColumn id="2" name="Type"/>
    <tableColumn id="3" name="Authority / Subject"/>
    <tableColumn id="4" name="Captured Value / Full Body"/>
    <tableColumn id="5" name="Source Trace"/>
  </tableColumns>
</table>
</file>

<file path=xl/tables/table7.xml><?xml version="1.0" encoding="utf-8"?>
<table xmlns="http://schemas.openxmlformats.org/spreadsheetml/2006/main" id="7" name="ReorgManagerLookup" displayName="ReorgManagerLookup" ref="A1:F5" headerRowCount="1" totalsRowCount="0" totalsRowShown="0">
  <autoFilter ref="A1:F5"/>
  <tableColumns count="6">
    <tableColumn id="1" name="Manager"/>
    <tableColumn id="2" name="Manager Email"/>
    <tableColumn id="3" name="Directory Evidence Rows"/>
    <tableColumn id="4" name="Department Evidence"/>
    <tableColumn id="5" name="Identity Control"/>
    <tableColumn id="6" name="Source Trace"/>
  </tableColumns>
</table>
</file>

<file path=xl/tables/table8.xml><?xml version="1.0" encoding="utf-8"?>
<table xmlns="http://schemas.openxmlformats.org/spreadsheetml/2006/main" id="8" name="ReorgNotificationDraftQueue" displayName="ReorgNotificationDraftQueue" ref="A1:M5" headerRowCount="1" totalsRowCount="0" totalsRowShown="0">
  <autoFilter ref="A1:M5"/>
  <tableColumns count="13">
    <tableColumn id="1" name="Draft ID"/>
    <tableColumn id="2" name="Change Order"/>
    <tableColumn id="3" name="Source Row"/>
    <tableColumn id="4" name="Employee"/>
    <tableColumn id="5" name="Recipient"/>
    <tableColumn id="6" name="Department"/>
    <tableColumn id="7" name="Old Manager"/>
    <tableColumn id="8" name="New Manager"/>
    <tableColumn id="9" name="New Manager Email"/>
    <tableColumn id="10" name="Effective Date"/>
    <tableColumn id="11" name="State"/>
    <tableColumn id="12" name="Sent"/>
    <tableColumn id="13" name="Source Trace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4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6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table" Target="../tables/table8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1.99"/>
    <col collapsed="false" customWidth="true" hidden="false" outlineLevel="0" max="2" min="2" style="0" width="23.01"/>
    <col collapsed="false" customWidth="true" hidden="false" outlineLevel="0" max="3" min="3" style="0" width="39.01"/>
    <col collapsed="false" customWidth="true" hidden="false" outlineLevel="0" max="4" min="4" style="0" width="19.99"/>
    <col collapsed="false" customWidth="true" hidden="false" outlineLevel="0" max="5" min="5" style="0" width="28.99"/>
    <col collapsed="false" customWidth="true" hidden="false" outlineLevel="0" max="6" min="6" style="0" width="43"/>
  </cols>
  <sheetData>
    <row r="1" customFormat="false" ht="30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33.75" hidden="false" customHeight="true" outlineLevel="0" collapsed="false">
      <c r="A2" s="2" t="n">
        <v>2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customFormat="false" ht="33.75" hidden="false" customHeight="true" outlineLevel="0" collapsed="false">
      <c r="A3" s="2" t="n">
        <v>3</v>
      </c>
      <c r="B3" s="2" t="s">
        <v>11</v>
      </c>
      <c r="C3" s="2" t="s">
        <v>12</v>
      </c>
      <c r="D3" s="2" t="s">
        <v>8</v>
      </c>
      <c r="E3" s="2" t="s">
        <v>13</v>
      </c>
      <c r="F3" s="2" t="s">
        <v>14</v>
      </c>
    </row>
    <row r="4" customFormat="false" ht="33.75" hidden="false" customHeight="true" outlineLevel="0" collapsed="false">
      <c r="A4" s="2" t="n">
        <v>4</v>
      </c>
      <c r="B4" s="2" t="s">
        <v>15</v>
      </c>
      <c r="C4" s="2" t="s">
        <v>16</v>
      </c>
      <c r="D4" s="2" t="s">
        <v>8</v>
      </c>
      <c r="E4" s="2" t="s">
        <v>17</v>
      </c>
      <c r="F4" s="2" t="s">
        <v>18</v>
      </c>
    </row>
    <row r="5" customFormat="false" ht="33.75" hidden="false" customHeight="true" outlineLevel="0" collapsed="false">
      <c r="A5" s="2" t="n">
        <v>5</v>
      </c>
      <c r="B5" s="2" t="s">
        <v>19</v>
      </c>
      <c r="C5" s="2" t="s">
        <v>20</v>
      </c>
      <c r="D5" s="2" t="s">
        <v>21</v>
      </c>
      <c r="E5" s="2" t="s">
        <v>9</v>
      </c>
      <c r="F5" s="2" t="s">
        <v>10</v>
      </c>
    </row>
    <row r="6" customFormat="false" ht="33.75" hidden="false" customHeight="true" outlineLevel="0" collapsed="false">
      <c r="A6" s="2" t="n">
        <v>6</v>
      </c>
      <c r="B6" s="2" t="s">
        <v>22</v>
      </c>
      <c r="C6" s="2" t="s">
        <v>23</v>
      </c>
      <c r="D6" s="2" t="s">
        <v>8</v>
      </c>
      <c r="E6" s="2" t="s">
        <v>17</v>
      </c>
      <c r="F6" s="2" t="s">
        <v>18</v>
      </c>
    </row>
    <row r="7" customFormat="false" ht="33.75" hidden="false" customHeight="true" outlineLevel="0" collapsed="false">
      <c r="A7" s="2" t="n">
        <v>7</v>
      </c>
      <c r="B7" s="2" t="s">
        <v>24</v>
      </c>
      <c r="C7" s="2" t="s">
        <v>25</v>
      </c>
      <c r="D7" s="2" t="s">
        <v>8</v>
      </c>
      <c r="E7" s="2" t="s">
        <v>13</v>
      </c>
      <c r="F7" s="2" t="s">
        <v>14</v>
      </c>
    </row>
    <row r="8" customFormat="false" ht="33.75" hidden="false" customHeight="true" outlineLevel="0" collapsed="false">
      <c r="A8" s="2" t="n">
        <v>8</v>
      </c>
      <c r="B8" s="2" t="s">
        <v>26</v>
      </c>
      <c r="C8" s="2" t="s">
        <v>27</v>
      </c>
      <c r="D8" s="2" t="s">
        <v>21</v>
      </c>
      <c r="E8" s="2" t="s">
        <v>28</v>
      </c>
      <c r="F8" s="2" t="s">
        <v>29</v>
      </c>
    </row>
    <row r="9" customFormat="false" ht="33.75" hidden="false" customHeight="true" outlineLevel="0" collapsed="false">
      <c r="A9" s="2" t="n">
        <v>9</v>
      </c>
      <c r="B9" s="2" t="s">
        <v>30</v>
      </c>
      <c r="C9" s="2" t="s">
        <v>31</v>
      </c>
      <c r="D9" s="2" t="s">
        <v>8</v>
      </c>
      <c r="E9" s="2" t="s">
        <v>9</v>
      </c>
      <c r="F9" s="2" t="s">
        <v>10</v>
      </c>
    </row>
  </sheetData>
  <autoFilter ref="A1:F9"/>
  <printOptions headings="false" gridLines="false" gridLinesSet="true" horizontalCentered="true" verticalCentered="false"/>
  <pageMargins left="0.75" right="0.75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&amp;CFrozen employee directory · AutomationBench 5110</oddFooter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4.01"/>
    <col collapsed="false" customWidth="true" hidden="false" outlineLevel="0" max="2" min="2" style="0" width="23.01"/>
    <col collapsed="false" customWidth="true" hidden="false" outlineLevel="0" max="3" min="3" style="0" width="17"/>
    <col collapsed="false" customWidth="true" hidden="false" outlineLevel="0" max="4" min="4" style="0" width="28.99"/>
    <col collapsed="false" customWidth="true" hidden="false" outlineLevel="0" max="5" min="5" style="0" width="31.01"/>
    <col collapsed="false" customWidth="true" hidden="false" outlineLevel="0" max="6" min="6" style="0" width="44.99"/>
    <col collapsed="false" customWidth="true" hidden="false" outlineLevel="0" max="7" min="7" style="0" width="47.01"/>
  </cols>
  <sheetData>
    <row r="1" customFormat="false" ht="30.75" hidden="false" customHeight="true" outlineLevel="0" collapsed="false">
      <c r="A1" s="1" t="s">
        <v>32</v>
      </c>
      <c r="B1" s="1" t="s">
        <v>1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</row>
    <row r="2" customFormat="false" ht="39" hidden="false" customHeight="true" outlineLevel="0" collapsed="false">
      <c r="A2" s="2" t="n">
        <v>1</v>
      </c>
      <c r="B2" s="2" t="s">
        <v>6</v>
      </c>
      <c r="C2" s="2" t="s">
        <v>38</v>
      </c>
      <c r="D2" s="2" t="s">
        <v>9</v>
      </c>
      <c r="E2" s="2" t="s">
        <v>13</v>
      </c>
      <c r="F2" s="2" t="s">
        <v>14</v>
      </c>
      <c r="G2" s="2" t="s">
        <v>39</v>
      </c>
    </row>
    <row r="3" customFormat="false" ht="39" hidden="false" customHeight="true" outlineLevel="0" collapsed="false">
      <c r="A3" s="2" t="n">
        <v>2</v>
      </c>
      <c r="B3" s="2" t="s">
        <v>11</v>
      </c>
      <c r="C3" s="2" t="s">
        <v>38</v>
      </c>
      <c r="D3" s="2" t="s">
        <v>13</v>
      </c>
      <c r="E3" s="2" t="s">
        <v>17</v>
      </c>
      <c r="F3" s="2" t="s">
        <v>18</v>
      </c>
      <c r="G3" s="2" t="s">
        <v>39</v>
      </c>
    </row>
    <row r="4" customFormat="false" ht="39" hidden="false" customHeight="true" outlineLevel="0" collapsed="false">
      <c r="A4" s="2" t="n">
        <v>3</v>
      </c>
      <c r="B4" s="2" t="s">
        <v>15</v>
      </c>
      <c r="C4" s="2" t="s">
        <v>38</v>
      </c>
      <c r="D4" s="2" t="s">
        <v>17</v>
      </c>
      <c r="E4" s="2" t="s">
        <v>9</v>
      </c>
      <c r="F4" s="2" t="s">
        <v>10</v>
      </c>
      <c r="G4" s="2" t="s">
        <v>39</v>
      </c>
    </row>
    <row r="5" customFormat="false" ht="39" hidden="false" customHeight="true" outlineLevel="0" collapsed="false">
      <c r="A5" s="2" t="n">
        <v>4</v>
      </c>
      <c r="B5" s="2" t="s">
        <v>19</v>
      </c>
      <c r="C5" s="2" t="s">
        <v>38</v>
      </c>
      <c r="D5" s="2" t="s">
        <v>9</v>
      </c>
      <c r="E5" s="2" t="s">
        <v>28</v>
      </c>
      <c r="F5" s="2" t="s">
        <v>29</v>
      </c>
      <c r="G5" s="2" t="s">
        <v>39</v>
      </c>
    </row>
  </sheetData>
  <autoFilter ref="A1:G5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&amp;CFour approved reporting-line changes · effective 2026-04-14</oddFooter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1.01"/>
    <col collapsed="false" customWidth="true" hidden="false" outlineLevel="0" max="2" min="2" style="0" width="49"/>
    <col collapsed="false" customWidth="true" hidden="false" outlineLevel="0" max="3" min="3" style="0" width="25"/>
    <col collapsed="false" customWidth="true" hidden="false" outlineLevel="0" max="4" min="4" style="0" width="28.99"/>
    <col collapsed="false" customWidth="true" hidden="false" outlineLevel="0" max="5" min="5" style="0" width="48.01"/>
    <col collapsed="false" customWidth="true" hidden="false" outlineLevel="0" max="6" min="6" style="0" width="54.99"/>
  </cols>
  <sheetData>
    <row r="1" customFormat="false" ht="30.75" hidden="false" customHeight="true" outlineLevel="0" collapsed="false">
      <c r="A1" s="1" t="s">
        <v>4</v>
      </c>
      <c r="B1" s="1" t="s">
        <v>5</v>
      </c>
      <c r="C1" s="1" t="s">
        <v>40</v>
      </c>
      <c r="D1" s="1" t="s">
        <v>41</v>
      </c>
      <c r="E1" s="1" t="s">
        <v>42</v>
      </c>
      <c r="F1" s="1" t="s">
        <v>37</v>
      </c>
    </row>
    <row r="2" customFormat="false" ht="42" hidden="false" customHeight="true" outlineLevel="0" collapsed="false">
      <c r="A2" s="2" t="s">
        <v>9</v>
      </c>
      <c r="B2" s="2" t="s">
        <v>10</v>
      </c>
      <c r="C2" s="2" t="s">
        <v>43</v>
      </c>
      <c r="D2" s="2" t="s">
        <v>44</v>
      </c>
      <c r="E2" s="2" t="s">
        <v>45</v>
      </c>
      <c r="F2" s="2" t="s">
        <v>46</v>
      </c>
    </row>
    <row r="3" customFormat="false" ht="42" hidden="false" customHeight="true" outlineLevel="0" collapsed="false">
      <c r="A3" s="2" t="s">
        <v>13</v>
      </c>
      <c r="B3" s="2" t="s">
        <v>14</v>
      </c>
      <c r="C3" s="2" t="s">
        <v>47</v>
      </c>
      <c r="D3" s="2" t="s">
        <v>8</v>
      </c>
      <c r="E3" s="2" t="s">
        <v>48</v>
      </c>
      <c r="F3" s="2" t="s">
        <v>49</v>
      </c>
    </row>
    <row r="4" customFormat="false" ht="42" hidden="false" customHeight="true" outlineLevel="0" collapsed="false">
      <c r="A4" s="2" t="s">
        <v>17</v>
      </c>
      <c r="B4" s="2" t="s">
        <v>18</v>
      </c>
      <c r="C4" s="2" t="s">
        <v>50</v>
      </c>
      <c r="D4" s="2" t="s">
        <v>8</v>
      </c>
      <c r="E4" s="2" t="s">
        <v>45</v>
      </c>
      <c r="F4" s="2" t="s">
        <v>51</v>
      </c>
    </row>
    <row r="5" customFormat="false" ht="42" hidden="false" customHeight="true" outlineLevel="0" collapsed="false">
      <c r="A5" s="2" t="s">
        <v>28</v>
      </c>
      <c r="B5" s="2" t="s">
        <v>29</v>
      </c>
      <c r="C5" s="2" t="s">
        <v>52</v>
      </c>
      <c r="D5" s="2" t="s">
        <v>21</v>
      </c>
      <c r="E5" s="2" t="s">
        <v>53</v>
      </c>
      <c r="F5" s="2" t="s">
        <v>54</v>
      </c>
    </row>
  </sheetData>
  <autoFilter ref="A1:F5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&amp;CManager emails resolved only from existing directory evidence</oddFooter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7.99"/>
    <col collapsed="false" customWidth="true" hidden="false" outlineLevel="0" max="2" min="2" style="0" width="25"/>
    <col collapsed="false" customWidth="true" hidden="false" outlineLevel="0" max="3" min="3" style="0" width="50"/>
    <col collapsed="false" customWidth="true" hidden="false" outlineLevel="0" max="4" min="4" style="0" width="102"/>
    <col collapsed="false" customWidth="true" hidden="false" outlineLevel="0" max="5" min="5" style="0" width="61.99"/>
  </cols>
  <sheetData>
    <row r="1" customFormat="false" ht="30.75" hidden="false" customHeight="true" outlineLevel="0" collapsed="false">
      <c r="A1" s="1" t="s">
        <v>55</v>
      </c>
      <c r="B1" s="1" t="s">
        <v>56</v>
      </c>
      <c r="C1" s="1" t="s">
        <v>57</v>
      </c>
      <c r="D1" s="1" t="s">
        <v>58</v>
      </c>
      <c r="E1" s="1" t="s">
        <v>37</v>
      </c>
    </row>
    <row r="2" customFormat="false" ht="45" hidden="false" customHeight="true" outlineLevel="0" collapsed="false">
      <c r="A2" s="2" t="s">
        <v>59</v>
      </c>
      <c r="B2" s="2" t="s">
        <v>60</v>
      </c>
      <c r="C2" s="2" t="s">
        <v>6</v>
      </c>
      <c r="D2" s="2" t="s">
        <v>61</v>
      </c>
      <c r="E2" s="2" t="s">
        <v>62</v>
      </c>
    </row>
    <row r="3" customFormat="false" ht="45" hidden="false" customHeight="true" outlineLevel="0" collapsed="false">
      <c r="A3" s="2" t="s">
        <v>63</v>
      </c>
      <c r="B3" s="2" t="s">
        <v>60</v>
      </c>
      <c r="C3" s="2" t="s">
        <v>11</v>
      </c>
      <c r="D3" s="2" t="s">
        <v>64</v>
      </c>
      <c r="E3" s="2" t="s">
        <v>65</v>
      </c>
    </row>
    <row r="4" customFormat="false" ht="45" hidden="false" customHeight="true" outlineLevel="0" collapsed="false">
      <c r="A4" s="2" t="s">
        <v>66</v>
      </c>
      <c r="B4" s="2" t="s">
        <v>60</v>
      </c>
      <c r="C4" s="2" t="s">
        <v>15</v>
      </c>
      <c r="D4" s="2" t="s">
        <v>67</v>
      </c>
      <c r="E4" s="2" t="s">
        <v>68</v>
      </c>
    </row>
    <row r="5" customFormat="false" ht="45" hidden="false" customHeight="true" outlineLevel="0" collapsed="false">
      <c r="A5" s="2" t="s">
        <v>69</v>
      </c>
      <c r="B5" s="2" t="s">
        <v>60</v>
      </c>
      <c r="C5" s="2" t="s">
        <v>19</v>
      </c>
      <c r="D5" s="2" t="s">
        <v>70</v>
      </c>
      <c r="E5" s="2" t="s">
        <v>71</v>
      </c>
    </row>
    <row r="6" customFormat="false" ht="45" hidden="false" customHeight="true" outlineLevel="0" collapsed="false">
      <c r="A6" s="2" t="s">
        <v>72</v>
      </c>
      <c r="B6" s="2" t="s">
        <v>60</v>
      </c>
      <c r="C6" s="2" t="s">
        <v>22</v>
      </c>
      <c r="D6" s="2" t="s">
        <v>73</v>
      </c>
      <c r="E6" s="2" t="s">
        <v>74</v>
      </c>
    </row>
    <row r="7" customFormat="false" ht="45" hidden="false" customHeight="true" outlineLevel="0" collapsed="false">
      <c r="A7" s="2" t="s">
        <v>75</v>
      </c>
      <c r="B7" s="2" t="s">
        <v>60</v>
      </c>
      <c r="C7" s="2" t="s">
        <v>24</v>
      </c>
      <c r="D7" s="2" t="s">
        <v>76</v>
      </c>
      <c r="E7" s="2" t="s">
        <v>77</v>
      </c>
    </row>
    <row r="8" customFormat="false" ht="45" hidden="false" customHeight="true" outlineLevel="0" collapsed="false">
      <c r="A8" s="2" t="s">
        <v>78</v>
      </c>
      <c r="B8" s="2" t="s">
        <v>60</v>
      </c>
      <c r="C8" s="2" t="s">
        <v>26</v>
      </c>
      <c r="D8" s="2" t="s">
        <v>79</v>
      </c>
      <c r="E8" s="2" t="s">
        <v>54</v>
      </c>
    </row>
    <row r="9" customFormat="false" ht="45" hidden="false" customHeight="true" outlineLevel="0" collapsed="false">
      <c r="A9" s="2" t="s">
        <v>80</v>
      </c>
      <c r="B9" s="2" t="s">
        <v>60</v>
      </c>
      <c r="C9" s="2" t="s">
        <v>30</v>
      </c>
      <c r="D9" s="2" t="s">
        <v>81</v>
      </c>
      <c r="E9" s="2" t="s">
        <v>82</v>
      </c>
    </row>
    <row r="10" customFormat="false" ht="115.5" hidden="false" customHeight="true" outlineLevel="0" collapsed="false">
      <c r="A10" s="2" t="s">
        <v>83</v>
      </c>
      <c r="B10" s="2" t="s">
        <v>84</v>
      </c>
      <c r="C10" s="2" t="s">
        <v>85</v>
      </c>
      <c r="D10" s="2" t="s">
        <v>86</v>
      </c>
      <c r="E10" s="2" t="s">
        <v>39</v>
      </c>
    </row>
    <row r="11" customFormat="false" ht="45" hidden="false" customHeight="true" outlineLevel="0" collapsed="false">
      <c r="A11" s="2" t="s">
        <v>87</v>
      </c>
      <c r="B11" s="2" t="s">
        <v>88</v>
      </c>
      <c r="C11" s="2" t="s">
        <v>89</v>
      </c>
      <c r="D11" s="2" t="s">
        <v>90</v>
      </c>
      <c r="E11" s="2" t="s">
        <v>91</v>
      </c>
    </row>
    <row r="12" customFormat="false" ht="45" hidden="false" customHeight="true" outlineLevel="0" collapsed="false">
      <c r="A12" s="2" t="s">
        <v>92</v>
      </c>
      <c r="B12" s="2" t="s">
        <v>93</v>
      </c>
      <c r="C12" s="2" t="s">
        <v>94</v>
      </c>
      <c r="D12" s="2" t="s">
        <v>95</v>
      </c>
      <c r="E12" s="2" t="s">
        <v>96</v>
      </c>
    </row>
  </sheetData>
  <autoFilter ref="A1:E12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&amp;CEleven frozen evidence records · no hidden source</oddFooter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R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9"/>
    <col collapsed="false" customWidth="true" hidden="false" outlineLevel="0" max="3" min="3" style="0" width="32"/>
    <col collapsed="false" customWidth="true" hidden="false" outlineLevel="0" max="4" min="4" style="0" width="16"/>
    <col collapsed="false" customWidth="true" hidden="false" outlineLevel="0" max="5" min="5" style="0" width="22.01"/>
    <col collapsed="false" customWidth="true" hidden="false" outlineLevel="0" max="6" min="6" style="0" width="34"/>
    <col collapsed="false" customWidth="true" hidden="false" outlineLevel="0" max="7" min="7" style="0" width="10.99"/>
    <col collapsed="false" customWidth="true" hidden="false" outlineLevel="0" max="8" min="8" style="0" width="23.01"/>
    <col collapsed="false" customWidth="true" hidden="false" outlineLevel="0" max="9" min="9" style="0" width="17"/>
    <col collapsed="false" customWidth="true" hidden="false" outlineLevel="0" max="10" min="10" style="0" width="27"/>
    <col collapsed="false" customWidth="true" hidden="false" outlineLevel="0" max="11" min="11" style="0" width="39.01"/>
    <col collapsed="false" customWidth="true" hidden="false" outlineLevel="0" max="12" min="12" style="0" width="27"/>
    <col collapsed="false" customWidth="true" hidden="false" outlineLevel="0" max="13" min="13" style="0" width="39.01"/>
    <col collapsed="false" customWidth="true" hidden="false" outlineLevel="0" max="14" min="14" style="0" width="34"/>
    <col collapsed="false" customWidth="true" hidden="false" outlineLevel="0" max="15" min="15" style="0" width="17"/>
    <col collapsed="false" customWidth="true" hidden="false" outlineLevel="0" max="16" min="16" style="0" width="15"/>
    <col collapsed="false" customWidth="true" hidden="false" outlineLevel="0" max="17" min="17" style="0" width="16"/>
    <col collapsed="false" customWidth="true" hidden="false" outlineLevel="0" max="18" min="18" style="0" width="68"/>
  </cols>
  <sheetData>
    <row r="1" customFormat="false" ht="30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97</v>
      </c>
      <c r="F1" s="1" t="s">
        <v>98</v>
      </c>
      <c r="G1" s="1" t="s">
        <v>99</v>
      </c>
      <c r="H1" s="1" t="s">
        <v>34</v>
      </c>
      <c r="I1" s="1" t="s">
        <v>100</v>
      </c>
      <c r="J1" s="1" t="s">
        <v>35</v>
      </c>
      <c r="K1" s="1" t="s">
        <v>36</v>
      </c>
      <c r="L1" s="1" t="s">
        <v>101</v>
      </c>
      <c r="M1" s="1" t="s">
        <v>102</v>
      </c>
      <c r="N1" s="1" t="s">
        <v>103</v>
      </c>
      <c r="O1" s="1" t="s">
        <v>104</v>
      </c>
      <c r="P1" s="1" t="s">
        <v>105</v>
      </c>
      <c r="Q1" s="1" t="s">
        <v>106</v>
      </c>
      <c r="R1" s="1" t="s">
        <v>37</v>
      </c>
    </row>
    <row r="2" customFormat="false" ht="48.75" hidden="false" customHeight="true" outlineLevel="0" collapsed="false">
      <c r="A2" s="2" t="n">
        <f aca="false">Source_Directory!A2</f>
        <v>2</v>
      </c>
      <c r="B2" s="2" t="str">
        <f aca="false">Source_Directory!B2</f>
        <v>Aisha Jordan</v>
      </c>
      <c r="C2" s="2" t="str">
        <f aca="false">Source_Directory!C2</f>
        <v>aisha.jordan@company.example.com</v>
      </c>
      <c r="D2" s="2" t="str">
        <f aca="false">Source_Directory!D2</f>
        <v>Engineering</v>
      </c>
      <c r="E2" s="2" t="str">
        <f aca="false">Source_Directory!E2</f>
        <v>Lisa Wang</v>
      </c>
      <c r="F2" s="2" t="str">
        <f aca="false">Source_Directory!F2</f>
        <v>lisa.wang@company.example.com</v>
      </c>
      <c r="G2" s="2" t="str">
        <f aca="false">IF(COUNTIF(Approved_Changes!$B$2:$B$5,B2)=1,"YES","NO")</f>
        <v>YES</v>
      </c>
      <c r="H2" s="2" t="str">
        <f aca="false">IF(G2="YES",INDEX(Approved_Changes!$D$2:$D$5,MATCH(B2,Approved_Changes!$B$2:$B$5,0)),"")</f>
        <v>Lisa Wang</v>
      </c>
      <c r="I2" s="2" t="str">
        <f aca="false">IF(G2="YES",IF(E2=H2,"YES","NO"),"N/A")</f>
        <v>YES</v>
      </c>
      <c r="J2" s="2" t="str">
        <f aca="false">IF(G2="YES",INDEX(Approved_Changes!$E$2:$E$5,MATCH(B2,Approved_Changes!$B$2:$B$5,0)),"")</f>
        <v>Marcus Chen</v>
      </c>
      <c r="K2" s="2" t="str">
        <f aca="false">IF(G2="YES",INDEX(Manager_Lookup!$B$2:$B$5,MATCH(J2,Manager_Lookup!$A$2:$A$5,0)),"")</f>
        <v>marcus.chen@company.example.com</v>
      </c>
      <c r="L2" s="2" t="str">
        <f aca="false">IF(G2="YES",J2,E2)</f>
        <v>Marcus Chen</v>
      </c>
      <c r="M2" s="2" t="str">
        <f aca="false">IF(G2="YES",K2,F2)</f>
        <v>marcus.chen@company.example.com</v>
      </c>
      <c r="N2" s="2" t="str">
        <f aca="false">IF(G2="YES",IF(I2="YES","APPROVED_CHANGE","SOURCE_CONFLICT"),"UNCHANGED_NOT_IN_APPROVED_LIST")</f>
        <v>APPROVED_CHANGE</v>
      </c>
      <c r="O2" s="2" t="str">
        <f aca="false">IF(N2="APPROVED_CHANGE","YES","NO")</f>
        <v>YES</v>
      </c>
      <c r="P2" s="2" t="str">
        <f aca="false">IF(N2="APPROVED_CHANGE","YES","NO")</f>
        <v>YES</v>
      </c>
      <c r="Q2" s="2" t="str">
        <f aca="false">IF(N2="APPROVED_CHANGE","YES","NO")</f>
        <v>YES</v>
      </c>
      <c r="R2" s="2" t="str">
        <f aca="false">"Employee_Directory.xlsx:Employees row "&amp;A2&amp;" | "&amp;IF(G2="YES","Approved_Org_Changes.mbox:msg_reorg_5110","not in approved list")</f>
        <v>Employee_Directory.xlsx:Employees row 2 | Approved_Org_Changes.mbox:msg_reorg_5110</v>
      </c>
    </row>
    <row r="3" customFormat="false" ht="48.75" hidden="false" customHeight="true" outlineLevel="0" collapsed="false">
      <c r="A3" s="2" t="n">
        <f aca="false">Source_Directory!A3</f>
        <v>3</v>
      </c>
      <c r="B3" s="2" t="str">
        <f aca="false">Source_Directory!B3</f>
        <v>Bo Lindqvist</v>
      </c>
      <c r="C3" s="2" t="str">
        <f aca="false">Source_Directory!C3</f>
        <v>bo.lindqvist@company.example.com</v>
      </c>
      <c r="D3" s="2" t="str">
        <f aca="false">Source_Directory!D3</f>
        <v>Engineering</v>
      </c>
      <c r="E3" s="2" t="str">
        <f aca="false">Source_Directory!E3</f>
        <v>Marcus Chen</v>
      </c>
      <c r="F3" s="2" t="str">
        <f aca="false">Source_Directory!F3</f>
        <v>marcus.chen@company.example.com</v>
      </c>
      <c r="G3" s="2" t="str">
        <f aca="false">IF(COUNTIF(Approved_Changes!$B$2:$B$5,B3)=1,"YES","NO")</f>
        <v>YES</v>
      </c>
      <c r="H3" s="2" t="str">
        <f aca="false">IF(G3="YES",INDEX(Approved_Changes!$D$2:$D$5,MATCH(B3,Approved_Changes!$B$2:$B$5,0)),"")</f>
        <v>Marcus Chen</v>
      </c>
      <c r="I3" s="2" t="str">
        <f aca="false">IF(G3="YES",IF(E3=H3,"YES","NO"),"N/A")</f>
        <v>YES</v>
      </c>
      <c r="J3" s="2" t="str">
        <f aca="false">IF(G3="YES",INDEX(Approved_Changes!$E$2:$E$5,MATCH(B3,Approved_Changes!$B$2:$B$5,0)),"")</f>
        <v>Derek Huang</v>
      </c>
      <c r="K3" s="2" t="str">
        <f aca="false">IF(G3="YES",INDEX(Manager_Lookup!$B$2:$B$5,MATCH(J3,Manager_Lookup!$A$2:$A$5,0)),"")</f>
        <v>derek.huang@company.example.com</v>
      </c>
      <c r="L3" s="2" t="str">
        <f aca="false">IF(G3="YES",J3,E3)</f>
        <v>Derek Huang</v>
      </c>
      <c r="M3" s="2" t="str">
        <f aca="false">IF(G3="YES",K3,F3)</f>
        <v>derek.huang@company.example.com</v>
      </c>
      <c r="N3" s="2" t="str">
        <f aca="false">IF(G3="YES",IF(I3="YES","APPROVED_CHANGE","SOURCE_CONFLICT"),"UNCHANGED_NOT_IN_APPROVED_LIST")</f>
        <v>APPROVED_CHANGE</v>
      </c>
      <c r="O3" s="2" t="str">
        <f aca="false">IF(N3="APPROVED_CHANGE","YES","NO")</f>
        <v>YES</v>
      </c>
      <c r="P3" s="2" t="str">
        <f aca="false">IF(N3="APPROVED_CHANGE","YES","NO")</f>
        <v>YES</v>
      </c>
      <c r="Q3" s="2" t="str">
        <f aca="false">IF(N3="APPROVED_CHANGE","YES","NO")</f>
        <v>YES</v>
      </c>
      <c r="R3" s="2" t="str">
        <f aca="false">"Employee_Directory.xlsx:Employees row "&amp;A3&amp;" | "&amp;IF(G3="YES","Approved_Org_Changes.mbox:msg_reorg_5110","not in approved list")</f>
        <v>Employee_Directory.xlsx:Employees row 3 | Approved_Org_Changes.mbox:msg_reorg_5110</v>
      </c>
    </row>
    <row r="4" customFormat="false" ht="48.75" hidden="false" customHeight="true" outlineLevel="0" collapsed="false">
      <c r="A4" s="2" t="n">
        <f aca="false">Source_Directory!A4</f>
        <v>4</v>
      </c>
      <c r="B4" s="2" t="str">
        <f aca="false">Source_Directory!B4</f>
        <v>Chiara Russo</v>
      </c>
      <c r="C4" s="2" t="str">
        <f aca="false">Source_Directory!C4</f>
        <v>chiara.russo@company.example.com</v>
      </c>
      <c r="D4" s="2" t="str">
        <f aca="false">Source_Directory!D4</f>
        <v>Engineering</v>
      </c>
      <c r="E4" s="2" t="str">
        <f aca="false">Source_Directory!E4</f>
        <v>Derek Huang</v>
      </c>
      <c r="F4" s="2" t="str">
        <f aca="false">Source_Directory!F4</f>
        <v>derek.huang@company.example.com</v>
      </c>
      <c r="G4" s="2" t="str">
        <f aca="false">IF(COUNTIF(Approved_Changes!$B$2:$B$5,B4)=1,"YES","NO")</f>
        <v>YES</v>
      </c>
      <c r="H4" s="2" t="str">
        <f aca="false">IF(G4="YES",INDEX(Approved_Changes!$D$2:$D$5,MATCH(B4,Approved_Changes!$B$2:$B$5,0)),"")</f>
        <v>Derek Huang</v>
      </c>
      <c r="I4" s="2" t="str">
        <f aca="false">IF(G4="YES",IF(E4=H4,"YES","NO"),"N/A")</f>
        <v>YES</v>
      </c>
      <c r="J4" s="2" t="str">
        <f aca="false">IF(G4="YES",INDEX(Approved_Changes!$E$2:$E$5,MATCH(B4,Approved_Changes!$B$2:$B$5,0)),"")</f>
        <v>Lisa Wang</v>
      </c>
      <c r="K4" s="2" t="str">
        <f aca="false">IF(G4="YES",INDEX(Manager_Lookup!$B$2:$B$5,MATCH(J4,Manager_Lookup!$A$2:$A$5,0)),"")</f>
        <v>lisa.wang@company.example.com</v>
      </c>
      <c r="L4" s="2" t="str">
        <f aca="false">IF(G4="YES",J4,E4)</f>
        <v>Lisa Wang</v>
      </c>
      <c r="M4" s="2" t="str">
        <f aca="false">IF(G4="YES",K4,F4)</f>
        <v>lisa.wang@company.example.com</v>
      </c>
      <c r="N4" s="2" t="str">
        <f aca="false">IF(G4="YES",IF(I4="YES","APPROVED_CHANGE","SOURCE_CONFLICT"),"UNCHANGED_NOT_IN_APPROVED_LIST")</f>
        <v>APPROVED_CHANGE</v>
      </c>
      <c r="O4" s="2" t="str">
        <f aca="false">IF(N4="APPROVED_CHANGE","YES","NO")</f>
        <v>YES</v>
      </c>
      <c r="P4" s="2" t="str">
        <f aca="false">IF(N4="APPROVED_CHANGE","YES","NO")</f>
        <v>YES</v>
      </c>
      <c r="Q4" s="2" t="str">
        <f aca="false">IF(N4="APPROVED_CHANGE","YES","NO")</f>
        <v>YES</v>
      </c>
      <c r="R4" s="2" t="str">
        <f aca="false">"Employee_Directory.xlsx:Employees row "&amp;A4&amp;" | "&amp;IF(G4="YES","Approved_Org_Changes.mbox:msg_reorg_5110","not in approved list")</f>
        <v>Employee_Directory.xlsx:Employees row 4 | Approved_Org_Changes.mbox:msg_reorg_5110</v>
      </c>
    </row>
    <row r="5" customFormat="false" ht="48.75" hidden="false" customHeight="true" outlineLevel="0" collapsed="false">
      <c r="A5" s="2" t="n">
        <f aca="false">Source_Directory!A5</f>
        <v>5</v>
      </c>
      <c r="B5" s="2" t="str">
        <f aca="false">Source_Directory!B5</f>
        <v>Dante Obi</v>
      </c>
      <c r="C5" s="2" t="str">
        <f aca="false">Source_Directory!C5</f>
        <v>dante.obi@company.example.com</v>
      </c>
      <c r="D5" s="2" t="str">
        <f aca="false">Source_Directory!D5</f>
        <v>Product</v>
      </c>
      <c r="E5" s="2" t="str">
        <f aca="false">Source_Directory!E5</f>
        <v>Lisa Wang</v>
      </c>
      <c r="F5" s="2" t="str">
        <f aca="false">Source_Directory!F5</f>
        <v>lisa.wang@company.example.com</v>
      </c>
      <c r="G5" s="2" t="str">
        <f aca="false">IF(COUNTIF(Approved_Changes!$B$2:$B$5,B5)=1,"YES","NO")</f>
        <v>YES</v>
      </c>
      <c r="H5" s="2" t="str">
        <f aca="false">IF(G5="YES",INDEX(Approved_Changes!$D$2:$D$5,MATCH(B5,Approved_Changes!$B$2:$B$5,0)),"")</f>
        <v>Lisa Wang</v>
      </c>
      <c r="I5" s="2" t="str">
        <f aca="false">IF(G5="YES",IF(E5=H5,"YES","NO"),"N/A")</f>
        <v>YES</v>
      </c>
      <c r="J5" s="2" t="str">
        <f aca="false">IF(G5="YES",INDEX(Approved_Changes!$E$2:$E$5,MATCH(B5,Approved_Changes!$B$2:$B$5,0)),"")</f>
        <v>Marcus Chen-Williams</v>
      </c>
      <c r="K5" s="2" t="str">
        <f aca="false">IF(G5="YES",INDEX(Manager_Lookup!$B$2:$B$5,MATCH(J5,Manager_Lookup!$A$2:$A$5,0)),"")</f>
        <v>marcus.chen-williams@company.example.com</v>
      </c>
      <c r="L5" s="2" t="str">
        <f aca="false">IF(G5="YES",J5,E5)</f>
        <v>Marcus Chen-Williams</v>
      </c>
      <c r="M5" s="2" t="str">
        <f aca="false">IF(G5="YES",K5,F5)</f>
        <v>marcus.chen-williams@company.example.com</v>
      </c>
      <c r="N5" s="2" t="str">
        <f aca="false">IF(G5="YES",IF(I5="YES","APPROVED_CHANGE","SOURCE_CONFLICT"),"UNCHANGED_NOT_IN_APPROVED_LIST")</f>
        <v>APPROVED_CHANGE</v>
      </c>
      <c r="O5" s="2" t="str">
        <f aca="false">IF(N5="APPROVED_CHANGE","YES","NO")</f>
        <v>YES</v>
      </c>
      <c r="P5" s="2" t="str">
        <f aca="false">IF(N5="APPROVED_CHANGE","YES","NO")</f>
        <v>YES</v>
      </c>
      <c r="Q5" s="2" t="str">
        <f aca="false">IF(N5="APPROVED_CHANGE","YES","NO")</f>
        <v>YES</v>
      </c>
      <c r="R5" s="2" t="str">
        <f aca="false">"Employee_Directory.xlsx:Employees row "&amp;A5&amp;" | "&amp;IF(G5="YES","Approved_Org_Changes.mbox:msg_reorg_5110","not in approved list")</f>
        <v>Employee_Directory.xlsx:Employees row 5 | Approved_Org_Changes.mbox:msg_reorg_5110</v>
      </c>
    </row>
    <row r="6" customFormat="false" ht="48.75" hidden="false" customHeight="true" outlineLevel="0" collapsed="false">
      <c r="A6" s="2" t="n">
        <f aca="false">Source_Directory!A6</f>
        <v>6</v>
      </c>
      <c r="B6" s="2" t="str">
        <f aca="false">Source_Directory!B6</f>
        <v>Elena Vasquez</v>
      </c>
      <c r="C6" s="2" t="str">
        <f aca="false">Source_Directory!C6</f>
        <v>elena.vasquez@company.example.com</v>
      </c>
      <c r="D6" s="2" t="str">
        <f aca="false">Source_Directory!D6</f>
        <v>Engineering</v>
      </c>
      <c r="E6" s="2" t="str">
        <f aca="false">Source_Directory!E6</f>
        <v>Derek Huang</v>
      </c>
      <c r="F6" s="2" t="str">
        <f aca="false">Source_Directory!F6</f>
        <v>derek.huang@company.example.com</v>
      </c>
      <c r="G6" s="2" t="str">
        <f aca="false">IF(COUNTIF(Approved_Changes!$B$2:$B$5,B6)=1,"YES","NO")</f>
        <v>NO</v>
      </c>
      <c r="H6" s="2" t="str">
        <f aca="false">IF(G6="YES",INDEX(Approved_Changes!$D$2:$D$5,MATCH(B6,Approved_Changes!$B$2:$B$5,0)),"")</f>
        <v/>
      </c>
      <c r="I6" s="2" t="str">
        <f aca="false">IF(G6="YES",IF(E6=H6,"YES","NO"),"N/A")</f>
        <v>N/A</v>
      </c>
      <c r="J6" s="2" t="str">
        <f aca="false">IF(G6="YES",INDEX(Approved_Changes!$E$2:$E$5,MATCH(B6,Approved_Changes!$B$2:$B$5,0)),"")</f>
        <v/>
      </c>
      <c r="K6" s="2" t="str">
        <f aca="false">IF(G6="YES",INDEX(Manager_Lookup!$B$2:$B$5,MATCH(J6,Manager_Lookup!$A$2:$A$5,0)),"")</f>
        <v/>
      </c>
      <c r="L6" s="2" t="str">
        <f aca="false">IF(G6="YES",J6,E6)</f>
        <v>Derek Huang</v>
      </c>
      <c r="M6" s="2" t="str">
        <f aca="false">IF(G6="YES",K6,F6)</f>
        <v>derek.huang@company.example.com</v>
      </c>
      <c r="N6" s="2" t="str">
        <f aca="false">IF(G6="YES",IF(I6="YES","APPROVED_CHANGE","SOURCE_CONFLICT"),"UNCHANGED_NOT_IN_APPROVED_LIST")</f>
        <v>UNCHANGED_NOT_IN_APPROVED_LIST</v>
      </c>
      <c r="O6" s="2" t="str">
        <f aca="false">IF(N6="APPROVED_CHANGE","YES","NO")</f>
        <v>NO</v>
      </c>
      <c r="P6" s="2" t="str">
        <f aca="false">IF(N6="APPROVED_CHANGE","YES","NO")</f>
        <v>NO</v>
      </c>
      <c r="Q6" s="2" t="str">
        <f aca="false">IF(N6="APPROVED_CHANGE","YES","NO")</f>
        <v>NO</v>
      </c>
      <c r="R6" s="2" t="str">
        <f aca="false">"Employee_Directory.xlsx:Employees row "&amp;A6&amp;" | "&amp;IF(G6="YES","Approved_Org_Changes.mbox:msg_reorg_5110","not in approved list")</f>
        <v>Employee_Directory.xlsx:Employees row 6 | not in approved list</v>
      </c>
    </row>
    <row r="7" customFormat="false" ht="48.75" hidden="false" customHeight="true" outlineLevel="0" collapsed="false">
      <c r="A7" s="2" t="n">
        <f aca="false">Source_Directory!A7</f>
        <v>7</v>
      </c>
      <c r="B7" s="2" t="str">
        <f aca="false">Source_Directory!B7</f>
        <v>Felix Braun</v>
      </c>
      <c r="C7" s="2" t="str">
        <f aca="false">Source_Directory!C7</f>
        <v>felix.braun@company.example.com</v>
      </c>
      <c r="D7" s="2" t="str">
        <f aca="false">Source_Directory!D7</f>
        <v>Engineering</v>
      </c>
      <c r="E7" s="2" t="str">
        <f aca="false">Source_Directory!E7</f>
        <v>Marcus Chen</v>
      </c>
      <c r="F7" s="2" t="str">
        <f aca="false">Source_Directory!F7</f>
        <v>marcus.chen@company.example.com</v>
      </c>
      <c r="G7" s="2" t="str">
        <f aca="false">IF(COUNTIF(Approved_Changes!$B$2:$B$5,B7)=1,"YES","NO")</f>
        <v>NO</v>
      </c>
      <c r="H7" s="2" t="str">
        <f aca="false">IF(G7="YES",INDEX(Approved_Changes!$D$2:$D$5,MATCH(B7,Approved_Changes!$B$2:$B$5,0)),"")</f>
        <v/>
      </c>
      <c r="I7" s="2" t="str">
        <f aca="false">IF(G7="YES",IF(E7=H7,"YES","NO"),"N/A")</f>
        <v>N/A</v>
      </c>
      <c r="J7" s="2" t="str">
        <f aca="false">IF(G7="YES",INDEX(Approved_Changes!$E$2:$E$5,MATCH(B7,Approved_Changes!$B$2:$B$5,0)),"")</f>
        <v/>
      </c>
      <c r="K7" s="2" t="str">
        <f aca="false">IF(G7="YES",INDEX(Manager_Lookup!$B$2:$B$5,MATCH(J7,Manager_Lookup!$A$2:$A$5,0)),"")</f>
        <v/>
      </c>
      <c r="L7" s="2" t="str">
        <f aca="false">IF(G7="YES",J7,E7)</f>
        <v>Marcus Chen</v>
      </c>
      <c r="M7" s="2" t="str">
        <f aca="false">IF(G7="YES",K7,F7)</f>
        <v>marcus.chen@company.example.com</v>
      </c>
      <c r="N7" s="2" t="str">
        <f aca="false">IF(G7="YES",IF(I7="YES","APPROVED_CHANGE","SOURCE_CONFLICT"),"UNCHANGED_NOT_IN_APPROVED_LIST")</f>
        <v>UNCHANGED_NOT_IN_APPROVED_LIST</v>
      </c>
      <c r="O7" s="2" t="str">
        <f aca="false">IF(N7="APPROVED_CHANGE","YES","NO")</f>
        <v>NO</v>
      </c>
      <c r="P7" s="2" t="str">
        <f aca="false">IF(N7="APPROVED_CHANGE","YES","NO")</f>
        <v>NO</v>
      </c>
      <c r="Q7" s="2" t="str">
        <f aca="false">IF(N7="APPROVED_CHANGE","YES","NO")</f>
        <v>NO</v>
      </c>
      <c r="R7" s="2" t="str">
        <f aca="false">"Employee_Directory.xlsx:Employees row "&amp;A7&amp;" | "&amp;IF(G7="YES","Approved_Org_Changes.mbox:msg_reorg_5110","not in approved list")</f>
        <v>Employee_Directory.xlsx:Employees row 7 | not in approved list</v>
      </c>
    </row>
    <row r="8" customFormat="false" ht="48.75" hidden="false" customHeight="true" outlineLevel="0" collapsed="false">
      <c r="A8" s="2" t="n">
        <f aca="false">Source_Directory!A8</f>
        <v>8</v>
      </c>
      <c r="B8" s="2" t="str">
        <f aca="false">Source_Directory!B8</f>
        <v>Grace Kim</v>
      </c>
      <c r="C8" s="2" t="str">
        <f aca="false">Source_Directory!C8</f>
        <v>grace.kim@company.example.com</v>
      </c>
      <c r="D8" s="2" t="str">
        <f aca="false">Source_Directory!D8</f>
        <v>Product</v>
      </c>
      <c r="E8" s="2" t="str">
        <f aca="false">Source_Directory!E8</f>
        <v>Marcus Chen-Williams</v>
      </c>
      <c r="F8" s="2" t="str">
        <f aca="false">Source_Directory!F8</f>
        <v>marcus.chen-williams@company.example.com</v>
      </c>
      <c r="G8" s="2" t="str">
        <f aca="false">IF(COUNTIF(Approved_Changes!$B$2:$B$5,B8)=1,"YES","NO")</f>
        <v>NO</v>
      </c>
      <c r="H8" s="2" t="str">
        <f aca="false">IF(G8="YES",INDEX(Approved_Changes!$D$2:$D$5,MATCH(B8,Approved_Changes!$B$2:$B$5,0)),"")</f>
        <v/>
      </c>
      <c r="I8" s="2" t="str">
        <f aca="false">IF(G8="YES",IF(E8=H8,"YES","NO"),"N/A")</f>
        <v>N/A</v>
      </c>
      <c r="J8" s="2" t="str">
        <f aca="false">IF(G8="YES",INDEX(Approved_Changes!$E$2:$E$5,MATCH(B8,Approved_Changes!$B$2:$B$5,0)),"")</f>
        <v/>
      </c>
      <c r="K8" s="2" t="str">
        <f aca="false">IF(G8="YES",INDEX(Manager_Lookup!$B$2:$B$5,MATCH(J8,Manager_Lookup!$A$2:$A$5,0)),"")</f>
        <v/>
      </c>
      <c r="L8" s="2" t="str">
        <f aca="false">IF(G8="YES",J8,E8)</f>
        <v>Marcus Chen-Williams</v>
      </c>
      <c r="M8" s="2" t="str">
        <f aca="false">IF(G8="YES",K8,F8)</f>
        <v>marcus.chen-williams@company.example.com</v>
      </c>
      <c r="N8" s="2" t="str">
        <f aca="false">IF(G8="YES",IF(I8="YES","APPROVED_CHANGE","SOURCE_CONFLICT"),"UNCHANGED_NOT_IN_APPROVED_LIST")</f>
        <v>UNCHANGED_NOT_IN_APPROVED_LIST</v>
      </c>
      <c r="O8" s="2" t="str">
        <f aca="false">IF(N8="APPROVED_CHANGE","YES","NO")</f>
        <v>NO</v>
      </c>
      <c r="P8" s="2" t="str">
        <f aca="false">IF(N8="APPROVED_CHANGE","YES","NO")</f>
        <v>NO</v>
      </c>
      <c r="Q8" s="2" t="str">
        <f aca="false">IF(N8="APPROVED_CHANGE","YES","NO")</f>
        <v>NO</v>
      </c>
      <c r="R8" s="2" t="str">
        <f aca="false">"Employee_Directory.xlsx:Employees row "&amp;A8&amp;" | "&amp;IF(G8="YES","Approved_Org_Changes.mbox:msg_reorg_5110","not in approved list")</f>
        <v>Employee_Directory.xlsx:Employees row 8 | not in approved list</v>
      </c>
    </row>
    <row r="9" customFormat="false" ht="48.75" hidden="false" customHeight="true" outlineLevel="0" collapsed="false">
      <c r="A9" s="2" t="n">
        <f aca="false">Source_Directory!A9</f>
        <v>9</v>
      </c>
      <c r="B9" s="2" t="str">
        <f aca="false">Source_Directory!B9</f>
        <v>Hugo Fernandez</v>
      </c>
      <c r="C9" s="2" t="str">
        <f aca="false">Source_Directory!C9</f>
        <v>hugo.fernandez@company.example.com</v>
      </c>
      <c r="D9" s="2" t="str">
        <f aca="false">Source_Directory!D9</f>
        <v>Engineering</v>
      </c>
      <c r="E9" s="2" t="str">
        <f aca="false">Source_Directory!E9</f>
        <v>Lisa Wang</v>
      </c>
      <c r="F9" s="2" t="str">
        <f aca="false">Source_Directory!F9</f>
        <v>lisa.wang@company.example.com</v>
      </c>
      <c r="G9" s="2" t="str">
        <f aca="false">IF(COUNTIF(Approved_Changes!$B$2:$B$5,B9)=1,"YES","NO")</f>
        <v>NO</v>
      </c>
      <c r="H9" s="2" t="str">
        <f aca="false">IF(G9="YES",INDEX(Approved_Changes!$D$2:$D$5,MATCH(B9,Approved_Changes!$B$2:$B$5,0)),"")</f>
        <v/>
      </c>
      <c r="I9" s="2" t="str">
        <f aca="false">IF(G9="YES",IF(E9=H9,"YES","NO"),"N/A")</f>
        <v>N/A</v>
      </c>
      <c r="J9" s="2" t="str">
        <f aca="false">IF(G9="YES",INDEX(Approved_Changes!$E$2:$E$5,MATCH(B9,Approved_Changes!$B$2:$B$5,0)),"")</f>
        <v/>
      </c>
      <c r="K9" s="2" t="str">
        <f aca="false">IF(G9="YES",INDEX(Manager_Lookup!$B$2:$B$5,MATCH(J9,Manager_Lookup!$A$2:$A$5,0)),"")</f>
        <v/>
      </c>
      <c r="L9" s="2" t="str">
        <f aca="false">IF(G9="YES",J9,E9)</f>
        <v>Lisa Wang</v>
      </c>
      <c r="M9" s="2" t="str">
        <f aca="false">IF(G9="YES",K9,F9)</f>
        <v>lisa.wang@company.example.com</v>
      </c>
      <c r="N9" s="2" t="str">
        <f aca="false">IF(G9="YES",IF(I9="YES","APPROVED_CHANGE","SOURCE_CONFLICT"),"UNCHANGED_NOT_IN_APPROVED_LIST")</f>
        <v>UNCHANGED_NOT_IN_APPROVED_LIST</v>
      </c>
      <c r="O9" s="2" t="str">
        <f aca="false">IF(N9="APPROVED_CHANGE","YES","NO")</f>
        <v>NO</v>
      </c>
      <c r="P9" s="2" t="str">
        <f aca="false">IF(N9="APPROVED_CHANGE","YES","NO")</f>
        <v>NO</v>
      </c>
      <c r="Q9" s="2" t="str">
        <f aca="false">IF(N9="APPROVED_CHANGE","YES","NO")</f>
        <v>NO</v>
      </c>
      <c r="R9" s="2" t="str">
        <f aca="false">"Employee_Directory.xlsx:Employees row "&amp;A9&amp;" | "&amp;IF(G9="YES","Approved_Org_Changes.mbox:msg_reorg_5110","not in approved list")</f>
        <v>Employee_Directory.xlsx:Employees row 9 | not in approved list</v>
      </c>
    </row>
  </sheetData>
  <autoFilter ref="A1:R9"/>
  <conditionalFormatting sqref="N2:N9">
    <cfRule type="expression" priority="2" aboveAverage="0" equalAverage="0" bottom="0" percent="0" rank="0" text="" dxfId="5">
      <formula>N2="APPROVED_CHANGE"</formula>
    </cfRule>
    <cfRule type="expression" priority="3" aboveAverage="0" equalAverage="0" bottom="0" percent="0" rank="0" text="" dxfId="6">
      <formula>N2="UNCHANGED_NOT_IN_APPROVED_LIST"</formula>
    </cfRule>
    <cfRule type="expression" priority="4" aboveAverage="0" equalAverage="0" bottom="0" percent="0" rank="0" text="" dxfId="7">
      <formula>N2="SOURCE_CONFLICT"</formula>
    </cfRule>
  </conditionalFormatting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&amp;CFormula-derived reorg decisions · four changed / four unchanged</oddFooter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.01"/>
    <col collapsed="false" customWidth="true" hidden="false" outlineLevel="0" max="3" min="3" style="0" width="10.99"/>
    <col collapsed="false" customWidth="true" hidden="false" outlineLevel="0" max="4" min="4" style="0" width="19.99"/>
    <col collapsed="false" customWidth="true" hidden="false" outlineLevel="0" max="5" min="5" style="0" width="17"/>
    <col collapsed="false" customWidth="true" hidden="false" outlineLevel="0" max="6" min="6" style="0" width="24"/>
    <col collapsed="false" customWidth="true" hidden="false" outlineLevel="0" max="7" min="7" style="0" width="36"/>
    <col collapsed="false" customWidth="true" hidden="false" outlineLevel="0" max="8" min="8" style="0" width="28.99"/>
    <col collapsed="false" customWidth="true" hidden="false" outlineLevel="0" max="9" min="9" style="0" width="44.99"/>
    <col collapsed="false" customWidth="true" hidden="false" outlineLevel="0" max="10" min="10" style="0" width="17"/>
    <col collapsed="false" customWidth="true" hidden="false" outlineLevel="0" max="11" min="11" style="0" width="24"/>
    <col collapsed="false" customWidth="true" hidden="false" outlineLevel="0" max="12" min="12" style="0" width="10.99"/>
    <col collapsed="false" customWidth="true" hidden="false" outlineLevel="0" max="13" min="13" style="0" width="68"/>
  </cols>
  <sheetData>
    <row r="1" customFormat="false" ht="30.75" hidden="false" customHeight="true" outlineLevel="0" collapsed="false">
      <c r="A1" s="1" t="s">
        <v>107</v>
      </c>
      <c r="B1" s="1" t="s">
        <v>32</v>
      </c>
      <c r="C1" s="1" t="s">
        <v>0</v>
      </c>
      <c r="D1" s="1" t="s">
        <v>1</v>
      </c>
      <c r="E1" s="1" t="s">
        <v>3</v>
      </c>
      <c r="F1" s="1" t="s">
        <v>108</v>
      </c>
      <c r="G1" s="1" t="s">
        <v>109</v>
      </c>
      <c r="H1" s="1" t="s">
        <v>110</v>
      </c>
      <c r="I1" s="1" t="s">
        <v>36</v>
      </c>
      <c r="J1" s="1" t="s">
        <v>33</v>
      </c>
      <c r="K1" s="1" t="s">
        <v>111</v>
      </c>
      <c r="L1" s="1" t="s">
        <v>112</v>
      </c>
      <c r="M1" s="1" t="s">
        <v>37</v>
      </c>
    </row>
    <row r="2" customFormat="false" ht="43.5" hidden="false" customHeight="true" outlineLevel="0" collapsed="false">
      <c r="A2" s="2" t="str">
        <f aca="false">"DIR-ROW-"&amp;Reorg_Decisions!A2</f>
        <v>DIR-ROW-2</v>
      </c>
      <c r="B2" s="2" t="n">
        <f aca="false">Approved_Changes!A2</f>
        <v>1</v>
      </c>
      <c r="C2" s="2" t="n">
        <f aca="false">Reorg_Decisions!A2</f>
        <v>2</v>
      </c>
      <c r="D2" s="2" t="str">
        <f aca="false">Reorg_Decisions!B2</f>
        <v>Aisha Jordan</v>
      </c>
      <c r="E2" s="2" t="str">
        <f aca="false">Reorg_Decisions!D2</f>
        <v>Engineering</v>
      </c>
      <c r="F2" s="2" t="str">
        <f aca="false">Reorg_Decisions!E2</f>
        <v>Lisa Wang</v>
      </c>
      <c r="G2" s="2" t="str">
        <f aca="false">Reorg_Decisions!F2</f>
        <v>lisa.wang@company.example.com</v>
      </c>
      <c r="H2" s="2" t="str">
        <f aca="false">Reorg_Decisions!L2</f>
        <v>Marcus Chen</v>
      </c>
      <c r="I2" s="2" t="str">
        <f aca="false">Reorg_Decisions!M2</f>
        <v>marcus.chen@company.example.com</v>
      </c>
      <c r="J2" s="2" t="str">
        <f aca="false">Approved_Changes!C2</f>
        <v>2026-04-14</v>
      </c>
      <c r="K2" s="2" t="str">
        <f aca="false">"DRAFT_NOT_APPLIED"</f>
        <v>DRAFT_NOT_APPLIED</v>
      </c>
      <c r="L2" s="3" t="b">
        <f aca="false">FALSE()</f>
        <v>0</v>
      </c>
      <c r="M2" s="2" t="str">
        <f aca="false">"Employee_Directory.xlsx:Employees row "&amp;C2&amp;" | Approved_Org_Changes.mbox:msg_reorg_5110"</f>
        <v>Employee_Directory.xlsx:Employees row 2 | Approved_Org_Changes.mbox:msg_reorg_5110</v>
      </c>
    </row>
    <row r="3" customFormat="false" ht="43.5" hidden="false" customHeight="true" outlineLevel="0" collapsed="false">
      <c r="A3" s="2" t="str">
        <f aca="false">"DIR-ROW-"&amp;Reorg_Decisions!A3</f>
        <v>DIR-ROW-3</v>
      </c>
      <c r="B3" s="2" t="n">
        <f aca="false">Approved_Changes!A3</f>
        <v>2</v>
      </c>
      <c r="C3" s="2" t="n">
        <f aca="false">Reorg_Decisions!A3</f>
        <v>3</v>
      </c>
      <c r="D3" s="2" t="str">
        <f aca="false">Reorg_Decisions!B3</f>
        <v>Bo Lindqvist</v>
      </c>
      <c r="E3" s="2" t="str">
        <f aca="false">Reorg_Decisions!D3</f>
        <v>Engineering</v>
      </c>
      <c r="F3" s="2" t="str">
        <f aca="false">Reorg_Decisions!E3</f>
        <v>Marcus Chen</v>
      </c>
      <c r="G3" s="2" t="str">
        <f aca="false">Reorg_Decisions!F3</f>
        <v>marcus.chen@company.example.com</v>
      </c>
      <c r="H3" s="2" t="str">
        <f aca="false">Reorg_Decisions!L3</f>
        <v>Derek Huang</v>
      </c>
      <c r="I3" s="2" t="str">
        <f aca="false">Reorg_Decisions!M3</f>
        <v>derek.huang@company.example.com</v>
      </c>
      <c r="J3" s="2" t="str">
        <f aca="false">Approved_Changes!C3</f>
        <v>2026-04-14</v>
      </c>
      <c r="K3" s="2" t="str">
        <f aca="false">"DRAFT_NOT_APPLIED"</f>
        <v>DRAFT_NOT_APPLIED</v>
      </c>
      <c r="L3" s="3" t="b">
        <f aca="false">FALSE()</f>
        <v>0</v>
      </c>
      <c r="M3" s="2" t="str">
        <f aca="false">"Employee_Directory.xlsx:Employees row "&amp;C3&amp;" | Approved_Org_Changes.mbox:msg_reorg_5110"</f>
        <v>Employee_Directory.xlsx:Employees row 3 | Approved_Org_Changes.mbox:msg_reorg_5110</v>
      </c>
    </row>
    <row r="4" customFormat="false" ht="43.5" hidden="false" customHeight="true" outlineLevel="0" collapsed="false">
      <c r="A4" s="2" t="str">
        <f aca="false">"DIR-ROW-"&amp;Reorg_Decisions!A4</f>
        <v>DIR-ROW-4</v>
      </c>
      <c r="B4" s="2" t="n">
        <f aca="false">Approved_Changes!A4</f>
        <v>3</v>
      </c>
      <c r="C4" s="2" t="n">
        <f aca="false">Reorg_Decisions!A4</f>
        <v>4</v>
      </c>
      <c r="D4" s="2" t="str">
        <f aca="false">Reorg_Decisions!B4</f>
        <v>Chiara Russo</v>
      </c>
      <c r="E4" s="2" t="str">
        <f aca="false">Reorg_Decisions!D4</f>
        <v>Engineering</v>
      </c>
      <c r="F4" s="2" t="str">
        <f aca="false">Reorg_Decisions!E4</f>
        <v>Derek Huang</v>
      </c>
      <c r="G4" s="2" t="str">
        <f aca="false">Reorg_Decisions!F4</f>
        <v>derek.huang@company.example.com</v>
      </c>
      <c r="H4" s="2" t="str">
        <f aca="false">Reorg_Decisions!L4</f>
        <v>Lisa Wang</v>
      </c>
      <c r="I4" s="2" t="str">
        <f aca="false">Reorg_Decisions!M4</f>
        <v>lisa.wang@company.example.com</v>
      </c>
      <c r="J4" s="2" t="str">
        <f aca="false">Approved_Changes!C4</f>
        <v>2026-04-14</v>
      </c>
      <c r="K4" s="2" t="str">
        <f aca="false">"DRAFT_NOT_APPLIED"</f>
        <v>DRAFT_NOT_APPLIED</v>
      </c>
      <c r="L4" s="3" t="b">
        <f aca="false">FALSE()</f>
        <v>0</v>
      </c>
      <c r="M4" s="2" t="str">
        <f aca="false">"Employee_Directory.xlsx:Employees row "&amp;C4&amp;" | Approved_Org_Changes.mbox:msg_reorg_5110"</f>
        <v>Employee_Directory.xlsx:Employees row 4 | Approved_Org_Changes.mbox:msg_reorg_5110</v>
      </c>
    </row>
    <row r="5" customFormat="false" ht="43.5" hidden="false" customHeight="true" outlineLevel="0" collapsed="false">
      <c r="A5" s="2" t="str">
        <f aca="false">"DIR-ROW-"&amp;Reorg_Decisions!A5</f>
        <v>DIR-ROW-5</v>
      </c>
      <c r="B5" s="2" t="n">
        <f aca="false">Approved_Changes!A5</f>
        <v>4</v>
      </c>
      <c r="C5" s="2" t="n">
        <f aca="false">Reorg_Decisions!A5</f>
        <v>5</v>
      </c>
      <c r="D5" s="2" t="str">
        <f aca="false">Reorg_Decisions!B5</f>
        <v>Dante Obi</v>
      </c>
      <c r="E5" s="2" t="str">
        <f aca="false">Reorg_Decisions!D5</f>
        <v>Product</v>
      </c>
      <c r="F5" s="2" t="str">
        <f aca="false">Reorg_Decisions!E5</f>
        <v>Lisa Wang</v>
      </c>
      <c r="G5" s="2" t="str">
        <f aca="false">Reorg_Decisions!F5</f>
        <v>lisa.wang@company.example.com</v>
      </c>
      <c r="H5" s="2" t="str">
        <f aca="false">Reorg_Decisions!L5</f>
        <v>Marcus Chen-Williams</v>
      </c>
      <c r="I5" s="2" t="str">
        <f aca="false">Reorg_Decisions!M5</f>
        <v>marcus.chen-williams@company.example.com</v>
      </c>
      <c r="J5" s="2" t="str">
        <f aca="false">Approved_Changes!C5</f>
        <v>2026-04-14</v>
      </c>
      <c r="K5" s="2" t="str">
        <f aca="false">"DRAFT_NOT_APPLIED"</f>
        <v>DRAFT_NOT_APPLIED</v>
      </c>
      <c r="L5" s="3" t="b">
        <f aca="false">FALSE()</f>
        <v>0</v>
      </c>
      <c r="M5" s="2" t="str">
        <f aca="false">"Employee_Directory.xlsx:Employees row "&amp;C5&amp;" | Approved_Org_Changes.mbox:msg_reorg_5110"</f>
        <v>Employee_Directory.xlsx:Employees row 5 | Approved_Org_Changes.mbox:msg_reorg_5110</v>
      </c>
    </row>
  </sheetData>
  <autoFilter ref="A1:M5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&amp;CFour directory update drafts · zero applied</oddFooter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.01"/>
    <col collapsed="false" customWidth="true" hidden="false" outlineLevel="0" max="3" min="3" style="0" width="10.99"/>
    <col collapsed="false" customWidth="true" hidden="false" outlineLevel="0" max="4" min="4" style="0" width="19.99"/>
    <col collapsed="false" customWidth="true" hidden="false" outlineLevel="0" max="5" min="5" style="0" width="36.99"/>
    <col collapsed="false" customWidth="true" hidden="false" outlineLevel="0" max="6" min="6" style="0" width="17"/>
    <col collapsed="false" customWidth="true" hidden="false" outlineLevel="0" max="7" min="7" style="0" width="24"/>
    <col collapsed="false" customWidth="true" hidden="false" outlineLevel="0" max="8" min="8" style="0" width="28.99"/>
    <col collapsed="false" customWidth="true" hidden="false" outlineLevel="0" max="9" min="9" style="0" width="44.99"/>
    <col collapsed="false" customWidth="true" hidden="false" outlineLevel="0" max="10" min="10" style="0" width="17"/>
    <col collapsed="false" customWidth="true" hidden="false" outlineLevel="0" max="11" min="11" style="0" width="20.99"/>
    <col collapsed="false" customWidth="true" hidden="false" outlineLevel="0" max="12" min="12" style="0" width="10"/>
    <col collapsed="false" customWidth="true" hidden="false" outlineLevel="0" max="13" min="13" style="0" width="68"/>
  </cols>
  <sheetData>
    <row r="1" customFormat="false" ht="30.75" hidden="false" customHeight="true" outlineLevel="0" collapsed="false">
      <c r="A1" s="1" t="s">
        <v>107</v>
      </c>
      <c r="B1" s="1" t="s">
        <v>32</v>
      </c>
      <c r="C1" s="1" t="s">
        <v>0</v>
      </c>
      <c r="D1" s="1" t="s">
        <v>1</v>
      </c>
      <c r="E1" s="1" t="s">
        <v>113</v>
      </c>
      <c r="F1" s="1" t="s">
        <v>3</v>
      </c>
      <c r="G1" s="1" t="s">
        <v>108</v>
      </c>
      <c r="H1" s="1" t="s">
        <v>110</v>
      </c>
      <c r="I1" s="1" t="s">
        <v>36</v>
      </c>
      <c r="J1" s="1" t="s">
        <v>33</v>
      </c>
      <c r="K1" s="1" t="s">
        <v>111</v>
      </c>
      <c r="L1" s="1" t="s">
        <v>114</v>
      </c>
      <c r="M1" s="1" t="s">
        <v>37</v>
      </c>
    </row>
    <row r="2" customFormat="false" ht="43.5" hidden="false" customHeight="true" outlineLevel="0" collapsed="false">
      <c r="A2" s="2" t="str">
        <f aca="false">"MAIL-ROW-"&amp;Reorg_Decisions!A2</f>
        <v>MAIL-ROW-2</v>
      </c>
      <c r="B2" s="2" t="n">
        <f aca="false">Approved_Changes!A2</f>
        <v>1</v>
      </c>
      <c r="C2" s="2" t="n">
        <f aca="false">Reorg_Decisions!A2</f>
        <v>2</v>
      </c>
      <c r="D2" s="2" t="str">
        <f aca="false">Reorg_Decisions!B2</f>
        <v>Aisha Jordan</v>
      </c>
      <c r="E2" s="2" t="str">
        <f aca="false">Reorg_Decisions!C2</f>
        <v>aisha.jordan@company.example.com</v>
      </c>
      <c r="F2" s="2" t="str">
        <f aca="false">Reorg_Decisions!D2</f>
        <v>Engineering</v>
      </c>
      <c r="G2" s="2" t="str">
        <f aca="false">Reorg_Decisions!E2</f>
        <v>Lisa Wang</v>
      </c>
      <c r="H2" s="2" t="str">
        <f aca="false">Reorg_Decisions!L2</f>
        <v>Marcus Chen</v>
      </c>
      <c r="I2" s="2" t="str">
        <f aca="false">Reorg_Decisions!M2</f>
        <v>marcus.chen@company.example.com</v>
      </c>
      <c r="J2" s="2" t="str">
        <f aca="false">Approved_Changes!C2</f>
        <v>2026-04-14</v>
      </c>
      <c r="K2" s="2" t="str">
        <f aca="false">"DRAFT_NOT_SENT"</f>
        <v>DRAFT_NOT_SENT</v>
      </c>
      <c r="L2" s="3" t="b">
        <f aca="false">FALSE()</f>
        <v>0</v>
      </c>
      <c r="M2" s="2" t="str">
        <f aca="false">"Employee_Directory.xlsx:Employees row "&amp;C2&amp;" | Approved_Org_Changes.mbox:msg_reorg_5110"</f>
        <v>Employee_Directory.xlsx:Employees row 2 | Approved_Org_Changes.mbox:msg_reorg_5110</v>
      </c>
    </row>
    <row r="3" customFormat="false" ht="43.5" hidden="false" customHeight="true" outlineLevel="0" collapsed="false">
      <c r="A3" s="2" t="str">
        <f aca="false">"MAIL-ROW-"&amp;Reorg_Decisions!A3</f>
        <v>MAIL-ROW-3</v>
      </c>
      <c r="B3" s="2" t="n">
        <f aca="false">Approved_Changes!A3</f>
        <v>2</v>
      </c>
      <c r="C3" s="2" t="n">
        <f aca="false">Reorg_Decisions!A3</f>
        <v>3</v>
      </c>
      <c r="D3" s="2" t="str">
        <f aca="false">Reorg_Decisions!B3</f>
        <v>Bo Lindqvist</v>
      </c>
      <c r="E3" s="2" t="str">
        <f aca="false">Reorg_Decisions!C3</f>
        <v>bo.lindqvist@company.example.com</v>
      </c>
      <c r="F3" s="2" t="str">
        <f aca="false">Reorg_Decisions!D3</f>
        <v>Engineering</v>
      </c>
      <c r="G3" s="2" t="str">
        <f aca="false">Reorg_Decisions!E3</f>
        <v>Marcus Chen</v>
      </c>
      <c r="H3" s="2" t="str">
        <f aca="false">Reorg_Decisions!L3</f>
        <v>Derek Huang</v>
      </c>
      <c r="I3" s="2" t="str">
        <f aca="false">Reorg_Decisions!M3</f>
        <v>derek.huang@company.example.com</v>
      </c>
      <c r="J3" s="2" t="str">
        <f aca="false">Approved_Changes!C3</f>
        <v>2026-04-14</v>
      </c>
      <c r="K3" s="2" t="str">
        <f aca="false">"DRAFT_NOT_SENT"</f>
        <v>DRAFT_NOT_SENT</v>
      </c>
      <c r="L3" s="3" t="b">
        <f aca="false">FALSE()</f>
        <v>0</v>
      </c>
      <c r="M3" s="2" t="str">
        <f aca="false">"Employee_Directory.xlsx:Employees row "&amp;C3&amp;" | Approved_Org_Changes.mbox:msg_reorg_5110"</f>
        <v>Employee_Directory.xlsx:Employees row 3 | Approved_Org_Changes.mbox:msg_reorg_5110</v>
      </c>
    </row>
    <row r="4" customFormat="false" ht="43.5" hidden="false" customHeight="true" outlineLevel="0" collapsed="false">
      <c r="A4" s="2" t="str">
        <f aca="false">"MAIL-ROW-"&amp;Reorg_Decisions!A4</f>
        <v>MAIL-ROW-4</v>
      </c>
      <c r="B4" s="2" t="n">
        <f aca="false">Approved_Changes!A4</f>
        <v>3</v>
      </c>
      <c r="C4" s="2" t="n">
        <f aca="false">Reorg_Decisions!A4</f>
        <v>4</v>
      </c>
      <c r="D4" s="2" t="str">
        <f aca="false">Reorg_Decisions!B4</f>
        <v>Chiara Russo</v>
      </c>
      <c r="E4" s="2" t="str">
        <f aca="false">Reorg_Decisions!C4</f>
        <v>chiara.russo@company.example.com</v>
      </c>
      <c r="F4" s="2" t="str">
        <f aca="false">Reorg_Decisions!D4</f>
        <v>Engineering</v>
      </c>
      <c r="G4" s="2" t="str">
        <f aca="false">Reorg_Decisions!E4</f>
        <v>Derek Huang</v>
      </c>
      <c r="H4" s="2" t="str">
        <f aca="false">Reorg_Decisions!L4</f>
        <v>Lisa Wang</v>
      </c>
      <c r="I4" s="2" t="str">
        <f aca="false">Reorg_Decisions!M4</f>
        <v>lisa.wang@company.example.com</v>
      </c>
      <c r="J4" s="2" t="str">
        <f aca="false">Approved_Changes!C4</f>
        <v>2026-04-14</v>
      </c>
      <c r="K4" s="2" t="str">
        <f aca="false">"DRAFT_NOT_SENT"</f>
        <v>DRAFT_NOT_SENT</v>
      </c>
      <c r="L4" s="3" t="b">
        <f aca="false">FALSE()</f>
        <v>0</v>
      </c>
      <c r="M4" s="2" t="str">
        <f aca="false">"Employee_Directory.xlsx:Employees row "&amp;C4&amp;" | Approved_Org_Changes.mbox:msg_reorg_5110"</f>
        <v>Employee_Directory.xlsx:Employees row 4 | Approved_Org_Changes.mbox:msg_reorg_5110</v>
      </c>
    </row>
    <row r="5" customFormat="false" ht="43.5" hidden="false" customHeight="true" outlineLevel="0" collapsed="false">
      <c r="A5" s="2" t="str">
        <f aca="false">"MAIL-ROW-"&amp;Reorg_Decisions!A5</f>
        <v>MAIL-ROW-5</v>
      </c>
      <c r="B5" s="2" t="n">
        <f aca="false">Approved_Changes!A5</f>
        <v>4</v>
      </c>
      <c r="C5" s="2" t="n">
        <f aca="false">Reorg_Decisions!A5</f>
        <v>5</v>
      </c>
      <c r="D5" s="2" t="str">
        <f aca="false">Reorg_Decisions!B5</f>
        <v>Dante Obi</v>
      </c>
      <c r="E5" s="2" t="str">
        <f aca="false">Reorg_Decisions!C5</f>
        <v>dante.obi@company.example.com</v>
      </c>
      <c r="F5" s="2" t="str">
        <f aca="false">Reorg_Decisions!D5</f>
        <v>Product</v>
      </c>
      <c r="G5" s="2" t="str">
        <f aca="false">Reorg_Decisions!E5</f>
        <v>Lisa Wang</v>
      </c>
      <c r="H5" s="2" t="str">
        <f aca="false">Reorg_Decisions!L5</f>
        <v>Marcus Chen-Williams</v>
      </c>
      <c r="I5" s="2" t="str">
        <f aca="false">Reorg_Decisions!M5</f>
        <v>marcus.chen-williams@company.example.com</v>
      </c>
      <c r="J5" s="2" t="str">
        <f aca="false">Approved_Changes!C5</f>
        <v>2026-04-14</v>
      </c>
      <c r="K5" s="2" t="str">
        <f aca="false">"DRAFT_NOT_SENT"</f>
        <v>DRAFT_NOT_SENT</v>
      </c>
      <c r="L5" s="3" t="b">
        <f aca="false">FALSE()</f>
        <v>0</v>
      </c>
      <c r="M5" s="2" t="str">
        <f aca="false">"Employee_Directory.xlsx:Employees row "&amp;C5&amp;" | Approved_Org_Changes.mbox:msg_reorg_5110"</f>
        <v>Employee_Directory.xlsx:Employees row 5 | Approved_Org_Changes.mbox:msg_reorg_5110</v>
      </c>
    </row>
  </sheetData>
  <autoFilter ref="A1:M5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&amp;CFour individual notification drafts · zero sent</oddFooter>
  </headerFooter>
  <drawing r:id="rId1"/>
  <tableParts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1.01"/>
    <col collapsed="false" customWidth="true" hidden="false" outlineLevel="0" max="2" min="2" style="0" width="18"/>
    <col collapsed="false" customWidth="true" hidden="false" outlineLevel="0" max="3" min="3" style="0" width="13.01"/>
    <col collapsed="false" customWidth="true" hidden="false" outlineLevel="0" max="4" min="4" style="0" width="51"/>
    <col collapsed="false" customWidth="true" hidden="false" outlineLevel="0" max="5" min="5" style="0" width="49"/>
  </cols>
  <sheetData>
    <row r="1" customFormat="false" ht="30.75" hidden="false" customHeight="true" outlineLevel="0" collapsed="false">
      <c r="A1" s="1" t="s">
        <v>115</v>
      </c>
      <c r="B1" s="1" t="s">
        <v>116</v>
      </c>
      <c r="C1" s="1" t="s">
        <v>117</v>
      </c>
      <c r="D1" s="1" t="s">
        <v>118</v>
      </c>
      <c r="E1" s="1" t="s">
        <v>37</v>
      </c>
    </row>
    <row r="2" customFormat="false" ht="34.5" hidden="false" customHeight="true" outlineLevel="0" collapsed="false">
      <c r="A2" s="2" t="s">
        <v>119</v>
      </c>
      <c r="B2" s="2" t="n">
        <f aca="false">COUNTA(Reorg_Decisions!A2:A9)</f>
        <v>8</v>
      </c>
      <c r="C2" s="2" t="n">
        <v>8</v>
      </c>
      <c r="D2" s="2" t="s">
        <v>120</v>
      </c>
      <c r="E2" s="2" t="s">
        <v>121</v>
      </c>
    </row>
    <row r="3" customFormat="false" ht="34.5" hidden="false" customHeight="true" outlineLevel="0" collapsed="false">
      <c r="A3" s="2" t="s">
        <v>122</v>
      </c>
      <c r="B3" s="2" t="n">
        <f aca="false">COUNTIF(Reorg_Decisions!N2:N9,"APPROVED_CHANGE")</f>
        <v>4</v>
      </c>
      <c r="C3" s="2" t="n">
        <v>4</v>
      </c>
      <c r="D3" s="2" t="s">
        <v>123</v>
      </c>
      <c r="E3" s="2" t="s">
        <v>121</v>
      </c>
    </row>
    <row r="4" customFormat="false" ht="34.5" hidden="false" customHeight="true" outlineLevel="0" collapsed="false">
      <c r="A4" s="2" t="s">
        <v>124</v>
      </c>
      <c r="B4" s="2" t="n">
        <f aca="false">COUNTIF(Reorg_Decisions!N2:N9,"UNCHANGED_NOT_IN_APPROVED_LIST")</f>
        <v>4</v>
      </c>
      <c r="C4" s="2" t="n">
        <v>4</v>
      </c>
      <c r="D4" s="2" t="s">
        <v>125</v>
      </c>
      <c r="E4" s="2" t="s">
        <v>121</v>
      </c>
    </row>
    <row r="5" customFormat="false" ht="34.5" hidden="false" customHeight="true" outlineLevel="0" collapsed="false">
      <c r="A5" s="2" t="s">
        <v>126</v>
      </c>
      <c r="B5" s="2" t="n">
        <f aca="false">COUNTIF(Reorg_Decisions!N2:N9,"SOURCE_CONFLICT")</f>
        <v>0</v>
      </c>
      <c r="C5" s="2" t="n">
        <v>0</v>
      </c>
      <c r="D5" s="2" t="s">
        <v>127</v>
      </c>
      <c r="E5" s="2" t="s">
        <v>121</v>
      </c>
    </row>
    <row r="6" customFormat="false" ht="34.5" hidden="false" customHeight="true" outlineLevel="0" collapsed="false">
      <c r="A6" s="2" t="s">
        <v>128</v>
      </c>
      <c r="B6" s="2" t="n">
        <f aca="false">COUNTIF(Reorg_Decisions!O2:O9,"YES")</f>
        <v>4</v>
      </c>
      <c r="C6" s="2" t="n">
        <v>4</v>
      </c>
      <c r="D6" s="2" t="s">
        <v>129</v>
      </c>
      <c r="E6" s="2" t="s">
        <v>121</v>
      </c>
    </row>
    <row r="7" customFormat="false" ht="34.5" hidden="false" customHeight="true" outlineLevel="0" collapsed="false">
      <c r="A7" s="2" t="s">
        <v>130</v>
      </c>
      <c r="B7" s="2" t="n">
        <f aca="false">COUNTIF(Reorg_Decisions!P2:P9,"YES")</f>
        <v>4</v>
      </c>
      <c r="C7" s="2" t="n">
        <v>4</v>
      </c>
      <c r="D7" s="2" t="s">
        <v>131</v>
      </c>
      <c r="E7" s="2" t="s">
        <v>121</v>
      </c>
    </row>
    <row r="8" customFormat="false" ht="34.5" hidden="false" customHeight="true" outlineLevel="0" collapsed="false">
      <c r="A8" s="2" t="s">
        <v>132</v>
      </c>
      <c r="B8" s="2" t="n">
        <f aca="false">COUNTIF(Reorg_Decisions!Q2:Q9,"YES")</f>
        <v>4</v>
      </c>
      <c r="C8" s="2" t="n">
        <v>4</v>
      </c>
      <c r="D8" s="2" t="s">
        <v>133</v>
      </c>
      <c r="E8" s="2" t="s">
        <v>121</v>
      </c>
    </row>
    <row r="9" customFormat="false" ht="34.5" hidden="false" customHeight="true" outlineLevel="0" collapsed="false">
      <c r="A9" s="2" t="s">
        <v>134</v>
      </c>
      <c r="B9" s="2" t="n">
        <f aca="false">COUNTIF(Directory_Update_Queue!L2:L5,TRUE())</f>
        <v>0</v>
      </c>
      <c r="C9" s="2" t="n">
        <v>0</v>
      </c>
      <c r="D9" s="2" t="s">
        <v>135</v>
      </c>
      <c r="E9" s="2" t="s">
        <v>121</v>
      </c>
    </row>
    <row r="10" customFormat="false" ht="34.5" hidden="false" customHeight="true" outlineLevel="0" collapsed="false">
      <c r="A10" s="2" t="s">
        <v>136</v>
      </c>
      <c r="B10" s="2" t="n">
        <f aca="false">COUNTIF(Notification_Queue!L2:L5,TRUE())</f>
        <v>0</v>
      </c>
      <c r="C10" s="2" t="n">
        <v>0</v>
      </c>
      <c r="D10" s="2" t="s">
        <v>137</v>
      </c>
      <c r="E10" s="2" t="s">
        <v>121</v>
      </c>
    </row>
    <row r="11" customFormat="false" ht="34.5" hidden="false" customHeight="true" outlineLevel="0" collapsed="false">
      <c r="A11" s="2" t="s">
        <v>138</v>
      </c>
      <c r="B11" s="2" t="n">
        <f aca="false">0</f>
        <v>0</v>
      </c>
      <c r="C11" s="2" t="n">
        <v>0</v>
      </c>
      <c r="D11" s="2" t="s">
        <v>139</v>
      </c>
      <c r="E11" s="2" t="s">
        <v>121</v>
      </c>
    </row>
    <row r="12" customFormat="false" ht="34.5" hidden="false" customHeight="true" outlineLevel="0" collapsed="false">
      <c r="A12" s="2" t="s">
        <v>140</v>
      </c>
      <c r="B12" s="2" t="n">
        <f aca="false">0</f>
        <v>0</v>
      </c>
      <c r="C12" s="2" t="n">
        <v>0</v>
      </c>
      <c r="D12" s="2" t="s">
        <v>141</v>
      </c>
      <c r="E12" s="2" t="s">
        <v>121</v>
      </c>
    </row>
  </sheetData>
  <autoFilter ref="A1:E12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&amp;CFormula summary · four changed / four unchanged / zero side effects</oddFooter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2026-04-15T09:00:00Z</dcterms:created>
  <dc:creator>openpyxl</dc:creator>
  <dc:description/>
  <dc:language>en-US</dc:language>
  <cp:lastModifiedBy>EvoCowork</cp:lastModifiedBy>
  <dcterms:modified xsi:type="dcterms:W3CDTF">2026-04-15T09:00:00Z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