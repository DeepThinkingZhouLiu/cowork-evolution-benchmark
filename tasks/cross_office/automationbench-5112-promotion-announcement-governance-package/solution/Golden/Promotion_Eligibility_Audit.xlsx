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_rels/sheet7.xml.rels" ContentType="application/vnd.openxmlformats-package.relationships+xml"/>
  <Override PartName="/xl/worksheets/_rels/sheet1.xml.rels" ContentType="application/vnd.openxmlformats-package.relationships+xml"/>
  <Override PartName="/xl/worksheets/_rels/sheet6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drawings/_rels/drawing8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tables/table8.xml" ContentType="application/vnd.openxmlformats-officedocument.spreadsheetml.table+xml"/>
  <Override PartName="/xl/tables/table2.xml" ContentType="application/vnd.openxmlformats-officedocument.spreadsheetml.table+xml"/>
  <Override PartName="/xl/tables/table7.xml" ContentType="application/vnd.openxmlformats-officedocument.spreadsheetml.table+xml"/>
  <Override PartName="/xl/tables/table5.xml" ContentType="application/vnd.openxmlformats-officedocument.spreadsheetml.table+xml"/>
  <Override PartName="/xl/tables/table4.xml" ContentType="application/vnd.openxmlformats-officedocument.spreadsheetml.table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ource_Roster" sheetId="1" state="visible" r:id="rId2"/>
    <sheet name="Prior_Announcement_Format" sheetId="2" state="visible" r:id="rId3"/>
    <sheet name="Policy_Rules" sheetId="3" state="visible" r:id="rId4"/>
    <sheet name="Evidence_Register" sheetId="4" state="visible" r:id="rId5"/>
    <sheet name="Eligibility_Decisions" sheetId="5" state="visible" r:id="rId6"/>
    <sheet name="Company_Announcement_Queue" sheetId="6" state="visible" r:id="rId7"/>
    <sheet name="Exclusion_Queue" sheetId="7" state="visible" r:id="rId8"/>
    <sheet name="Control_Summary" sheetId="8" state="visible" r:id="rId9"/>
  </sheets>
  <definedNames>
    <definedName function="false" hidden="false" localSheetId="5" name="_xlnm.Print_Area" vbProcedure="false">Company_Announcement_Queue!$A$1:$K$6</definedName>
    <definedName function="false" hidden="true" localSheetId="5" name="_xlnm._FilterDatabase" vbProcedure="false">Company_Announcement_Queue!$A$1:$K$6</definedName>
    <definedName function="false" hidden="false" localSheetId="7" name="_xlnm.Print_Area" vbProcedure="false">Control_Summary!$A$1:$N$14</definedName>
    <definedName function="false" hidden="true" localSheetId="7" name="_xlnm._FilterDatabase" vbProcedure="false">Control_Summary!$A$1:$E$14</definedName>
    <definedName function="false" hidden="false" localSheetId="4" name="_xlnm.Print_Area" vbProcedure="false">Eligibility_Decisions!$A$1:$S$9</definedName>
    <definedName function="false" hidden="true" localSheetId="4" name="_xlnm._FilterDatabase" vbProcedure="false">Eligibility_Decisions!$A$1:$S$9</definedName>
    <definedName function="false" hidden="false" localSheetId="3" name="_xlnm.Print_Area" vbProcedure="false">Evidence_Register!$A$1:$E$13</definedName>
    <definedName function="false" hidden="true" localSheetId="3" name="_xlnm._FilterDatabase" vbProcedure="false">Evidence_Register!$A$1:$E$13</definedName>
    <definedName function="false" hidden="false" localSheetId="6" name="_xlnm.Print_Area" vbProcedure="false">Exclusion_Queue!$A$1:$M$4</definedName>
    <definedName function="false" hidden="true" localSheetId="6" name="_xlnm._FilterDatabase" vbProcedure="false">Exclusion_Queue!$A$1:$M$4</definedName>
    <definedName function="false" hidden="false" localSheetId="2" name="_xlnm.Print_Area" vbProcedure="false">Policy_Rules!$A$1:$D$5</definedName>
    <definedName function="false" hidden="true" localSheetId="2" name="_xlnm._FilterDatabase" vbProcedure="false">Policy_Rules!$A$1:$D$5</definedName>
    <definedName function="false" hidden="false" localSheetId="1" name="_xlnm.Print_Area" vbProcedure="false">Prior_Announcement_Format!$A$1:$G$2</definedName>
    <definedName function="false" hidden="true" localSheetId="1" name="_xlnm._FilterDatabase" vbProcedure="false">Prior_Announcement_Format!$A$1:$G$2</definedName>
    <definedName function="false" hidden="false" localSheetId="0" name="_xlnm.Print_Area" vbProcedure="false">Source_Roster!$A$1:$G$9</definedName>
    <definedName function="false" hidden="true" localSheetId="0" name="_xlnm._FilterDatabase" vbProcedure="false">Source_Roster!$A$1:$G$9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<sst xmlns="http://schemas.openxmlformats.org/spreadsheetml/2006/main" count="232" uniqueCount="156">
  <si>
    <t xml:space="preserve">Source Row</t>
  </si>
  <si>
    <t xml:space="preserve">Employee</t>
  </si>
  <si>
    <t xml:space="preserve">Department</t>
  </si>
  <si>
    <t xml:space="preserve">Previous Title</t>
  </si>
  <si>
    <t xml:space="preserve">New Title</t>
  </si>
  <si>
    <t xml:space="preserve">Type</t>
  </si>
  <si>
    <t xml:space="preserve">Notes</t>
  </si>
  <si>
    <t xml:space="preserve">Ava Chen</t>
  </si>
  <si>
    <t xml:space="preserve">Engineering</t>
  </si>
  <si>
    <t xml:space="preserve">Software Engineer</t>
  </si>
  <si>
    <t xml:space="preserve">Senior Software Engineer</t>
  </si>
  <si>
    <t xml:space="preserve">Vertical</t>
  </si>
  <si>
    <t xml:space="preserve">Brandon Osei</t>
  </si>
  <si>
    <t xml:space="preserve">Sales</t>
  </si>
  <si>
    <t xml:space="preserve">Account Executive</t>
  </si>
  <si>
    <t xml:space="preserve">Senior Account Executive</t>
  </si>
  <si>
    <t xml:space="preserve">Clara Dubois</t>
  </si>
  <si>
    <t xml:space="preserve">Product</t>
  </si>
  <si>
    <t xml:space="preserve">Product Manager</t>
  </si>
  <si>
    <t xml:space="preserve">Lateral</t>
  </si>
  <si>
    <t xml:space="preserve">Moving from Growth to Platform team</t>
  </si>
  <si>
    <t xml:space="preserve">Derek Holm</t>
  </si>
  <si>
    <t xml:space="preserve">Senior Engineer</t>
  </si>
  <si>
    <t xml:space="preserve">Staff Engineer</t>
  </si>
  <si>
    <t xml:space="preserve">Pending - awaiting final sign-off from CTO</t>
  </si>
  <si>
    <t xml:space="preserve">Elena Vasquez</t>
  </si>
  <si>
    <t xml:space="preserve">Tech Lead</t>
  </si>
  <si>
    <t xml:space="preserve">Engineering Manager</t>
  </si>
  <si>
    <t xml:space="preserve">Faisal Rahman</t>
  </si>
  <si>
    <t xml:space="preserve">Marketing</t>
  </si>
  <si>
    <t xml:space="preserve">Marketing Analyst</t>
  </si>
  <si>
    <t xml:space="preserve">Transfer to EMEA team</t>
  </si>
  <si>
    <t xml:space="preserve">Greta Nilsson</t>
  </si>
  <si>
    <t xml:space="preserve">Support</t>
  </si>
  <si>
    <t xml:space="preserve">Support Specialist</t>
  </si>
  <si>
    <t xml:space="preserve">Senior Support Specialist</t>
  </si>
  <si>
    <t xml:space="preserve">Hugo Fernandez</t>
  </si>
  <si>
    <t xml:space="preserve">Junior Engineer</t>
  </si>
  <si>
    <t xml:space="preserve">Message ID</t>
  </si>
  <si>
    <t xml:space="preserve">From</t>
  </si>
  <si>
    <t xml:space="preserve">To</t>
  </si>
  <si>
    <t xml:space="preserve">Subject</t>
  </si>
  <si>
    <t xml:space="preserve">Date</t>
  </si>
  <si>
    <t xml:space="preserve">Full Body</t>
  </si>
  <si>
    <t xml:space="preserve">Source Trace</t>
  </si>
  <si>
    <t xml:space="preserve">msg_last_promo_5112</t>
  </si>
  <si>
    <t xml:space="preserve">hr-ops@company.example.com</t>
  </si>
  <si>
    <t xml:space="preserve">all-company@company.example.com</t>
  </si>
  <si>
    <t xml:space="preserve">Q4 2025 Promotions - Congratulations!</t>
  </si>
  <si>
    <t xml:space="preserve">Sat, 10 Jan 2026 09:00:00 +0000</t>
  </si>
  <si>
    <t xml:space="preserve">Please join us in congratulating the following team members on their well-deserved promotions!
- Jennifer Park: Senior Engineer -&gt; Staff Engineer (Engineering)
- Michael Adebayo: Account Manager -&gt; Senior Account Manager (Sales)
Congratulations to all!
- HR Team</t>
  </si>
  <si>
    <t xml:space="preserve">Promotion_Announcement_Context.mbox:msg_last_promo_5112</t>
  </si>
  <si>
    <t xml:space="preserve">Rule Order</t>
  </si>
  <si>
    <t xml:space="preserve">Rule</t>
  </si>
  <si>
    <t xml:space="preserve">Exact Requirement</t>
  </si>
  <si>
    <t xml:space="preserve">Company-wide scope</t>
  </si>
  <si>
    <t xml:space="preserve">Only vertical promotions (title level increase) are announced company-wide.</t>
  </si>
  <si>
    <t xml:space="preserve">Promotion_Announcement_Context.mbox:msg_announce_policy_5112</t>
  </si>
  <si>
    <t xml:space="preserve">Lateral moves</t>
  </si>
  <si>
    <t xml:space="preserve">Lateral moves are NOT included; they are communicated separately by the receiving team's manager.</t>
  </si>
  <si>
    <t xml:space="preserve">Company email route</t>
  </si>
  <si>
    <t xml:space="preserve">Announcements go to all-company@company.example.com.</t>
  </si>
  <si>
    <t xml:space="preserve">Hold or pending</t>
  </si>
  <si>
    <t xml:space="preserve">Employees with a 'hold' or 'pending' note should not be announced until the note is cleared.</t>
  </si>
  <si>
    <t xml:space="preserve">Evidence ID</t>
  </si>
  <si>
    <t xml:space="preserve">Authority / Subject</t>
  </si>
  <si>
    <t xml:space="preserve">Captured Value / Full Body</t>
  </si>
  <si>
    <t xml:space="preserve">E-ROW-2</t>
  </si>
  <si>
    <t xml:space="preserve">Source roster row</t>
  </si>
  <si>
    <t xml:space="preserve">Ava Chen | Engineering | Software Engineer | Senior Software Engineer | Vertical | </t>
  </si>
  <si>
    <t xml:space="preserve">Q1_Promotion_Roster.xlsx:Approved Promotions row 2</t>
  </si>
  <si>
    <t xml:space="preserve">E-ROW-3</t>
  </si>
  <si>
    <t xml:space="preserve">Brandon Osei | Sales | Account Executive | Senior Account Executive | Vertical | </t>
  </si>
  <si>
    <t xml:space="preserve">Q1_Promotion_Roster.xlsx:Approved Promotions row 3</t>
  </si>
  <si>
    <t xml:space="preserve">E-ROW-4</t>
  </si>
  <si>
    <t xml:space="preserve">Clara Dubois | Product | Product Manager | Product Manager | Lateral | Moving from Growth to Platform team</t>
  </si>
  <si>
    <t xml:space="preserve">Q1_Promotion_Roster.xlsx:Approved Promotions row 4</t>
  </si>
  <si>
    <t xml:space="preserve">E-ROW-5</t>
  </si>
  <si>
    <t xml:space="preserve">Derek Holm | Engineering | Senior Engineer | Staff Engineer | Vertical | Pending - awaiting final sign-off from CTO</t>
  </si>
  <si>
    <t xml:space="preserve">Q1_Promotion_Roster.xlsx:Approved Promotions row 5</t>
  </si>
  <si>
    <t xml:space="preserve">E-ROW-6</t>
  </si>
  <si>
    <t xml:space="preserve">Elena Vasquez | Engineering | Tech Lead | Engineering Manager | Vertical | </t>
  </si>
  <si>
    <t xml:space="preserve">Q1_Promotion_Roster.xlsx:Approved Promotions row 6</t>
  </si>
  <si>
    <t xml:space="preserve">E-ROW-7</t>
  </si>
  <si>
    <t xml:space="preserve">Faisal Rahman | Marketing | Marketing Analyst | Marketing Analyst | Lateral | Transfer to EMEA team</t>
  </si>
  <si>
    <t xml:space="preserve">Q1_Promotion_Roster.xlsx:Approved Promotions row 7</t>
  </si>
  <si>
    <t xml:space="preserve">E-ROW-8</t>
  </si>
  <si>
    <t xml:space="preserve">Greta Nilsson | Support | Support Specialist | Senior Support Specialist | Vertical | </t>
  </si>
  <si>
    <t xml:space="preserve">Q1_Promotion_Roster.xlsx:Approved Promotions row 8</t>
  </si>
  <si>
    <t xml:space="preserve">E-ROW-9</t>
  </si>
  <si>
    <t xml:space="preserve">Hugo Fernandez | Engineering | Junior Engineer | Software Engineer | Vertical | </t>
  </si>
  <si>
    <t xml:space="preserve">Q1_Promotion_Roster.xlsx:Approved Promotions row 9</t>
  </si>
  <si>
    <t xml:space="preserve">E-msg_last_promo_5112</t>
  </si>
  <si>
    <t xml:space="preserve">Authoritative email</t>
  </si>
  <si>
    <t xml:space="preserve">hr-ops@company.example.com | Q4 2025 Promotions - Congratulations!</t>
  </si>
  <si>
    <t xml:space="preserve">E-msg_announce_policy_5112</t>
  </si>
  <si>
    <t xml:space="preserve">vp-people@company.example.com | Promotion Announcement Guidelines</t>
  </si>
  <si>
    <t xml:space="preserve">Team,
Guidelines for promotion announcements:
1. Only vertical promotions (title level increase) are announced company-wide.
2. Lateral moves (same level, different team) are NOT included in promotion announcements. They are communicated separately by the receiving team's manager.
3. Announcements go to all-company@company.example.com.
4. Employees with a 'hold' or 'pending' note should not be announced until the note is cleared.
- VP People</t>
  </si>
  <si>
    <t xml:space="preserve">E-TIME</t>
  </si>
  <si>
    <t xml:space="preserve">Frozen runtime</t>
  </si>
  <si>
    <t xml:space="preserve">Workflow context</t>
  </si>
  <si>
    <t xml:space="preserve">2026-04-15T09:00:00Z</t>
  </si>
  <si>
    <t xml:space="preserve">Workflow_Context.json:meta.current_time</t>
  </si>
  <si>
    <t xml:space="preserve">E-CHANNEL-C_GEN_5112</t>
  </si>
  <si>
    <t xml:space="preserve">Channel snapshot</t>
  </si>
  <si>
    <t xml:space="preserve">C_GEN_5112 / general</t>
  </si>
  <si>
    <t xml:space="preserve">{"id":"C_GEN_5112","name":"general","is_private":false}</t>
  </si>
  <si>
    <t xml:space="preserve">Slack_Channels.json:C_GEN_5112</t>
  </si>
  <si>
    <t xml:space="preserve">Hold/Pending</t>
  </si>
  <si>
    <t xml:space="preserve">Company Eligible</t>
  </si>
  <si>
    <t xml:space="preserve">Exclusion Reason</t>
  </si>
  <si>
    <t xml:space="preserve">Company Email Route</t>
  </si>
  <si>
    <t xml:space="preserve">Receiving Manager Route</t>
  </si>
  <si>
    <t xml:space="preserve">Manager Identity</t>
  </si>
  <si>
    <t xml:space="preserve">Manager Draft</t>
  </si>
  <si>
    <t xml:space="preserve">Slack Route</t>
  </si>
  <si>
    <t xml:space="preserve">Final Status</t>
  </si>
  <si>
    <t xml:space="preserve">Announcement Order</t>
  </si>
  <si>
    <t xml:space="preserve">Recipient</t>
  </si>
  <si>
    <t xml:space="preserve">State</t>
  </si>
  <si>
    <t xml:space="preserve">Sent</t>
  </si>
  <si>
    <t xml:space="preserve">Exclusion Order</t>
  </si>
  <si>
    <t xml:space="preserve">Reason</t>
  </si>
  <si>
    <t xml:space="preserve">Follow-up Owner</t>
  </si>
  <si>
    <t xml:space="preserve">Draft Created</t>
  </si>
  <si>
    <t xml:space="preserve">Metric</t>
  </si>
  <si>
    <t xml:space="preserve">Formula Value</t>
  </si>
  <si>
    <t xml:space="preserve">Expected</t>
  </si>
  <si>
    <t xml:space="preserve">Control Interpretation</t>
  </si>
  <si>
    <t xml:space="preserve">Total roster</t>
  </si>
  <si>
    <t xml:space="preserve">All source rows covered</t>
  </si>
  <si>
    <t xml:space="preserve">Eligibility_Decisions + controlled queues</t>
  </si>
  <si>
    <t xml:space="preserve">Vertical records</t>
  </si>
  <si>
    <t xml:space="preserve">Six vertical records</t>
  </si>
  <si>
    <t xml:space="preserve">Lateral records</t>
  </si>
  <si>
    <t xml:space="preserve">Clara and Faisal</t>
  </si>
  <si>
    <t xml:space="preserve">Hold/pending records</t>
  </si>
  <si>
    <t xml:space="preserve">Derek only</t>
  </si>
  <si>
    <t xml:space="preserve">Company eligible</t>
  </si>
  <si>
    <t xml:space="preserve">Ava, Brandon, Elena, Greta, Hugo</t>
  </si>
  <si>
    <t xml:space="preserve">Excluded</t>
  </si>
  <si>
    <t xml:space="preserve">Two lateral plus Derek</t>
  </si>
  <si>
    <t xml:space="preserve">Manager routes required</t>
  </si>
  <si>
    <t xml:space="preserve">Lateral moves only</t>
  </si>
  <si>
    <t xml:space="preserve">Manager identities available</t>
  </si>
  <si>
    <t xml:space="preserve">Do not invent identity</t>
  </si>
  <si>
    <t xml:space="preserve">Company email drafts</t>
  </si>
  <si>
    <t xml:space="preserve">One five-person draft</t>
  </si>
  <si>
    <t xml:space="preserve">Company emails sent</t>
  </si>
  <si>
    <t xml:space="preserve">DRAFT_NOT_SENT</t>
  </si>
  <si>
    <t xml:space="preserve">Manager notification drafts</t>
  </si>
  <si>
    <t xml:space="preserve">Blocked without identity</t>
  </si>
  <si>
    <t xml:space="preserve">Slack drafts</t>
  </si>
  <si>
    <t xml:space="preserve">Channel not authorized</t>
  </si>
  <si>
    <t xml:space="preserve">Slack posts</t>
  </si>
  <si>
    <t xml:space="preserve">No side effects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</si>
</sst>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.3"/>
      <color rgb="FFFFFFFF"/>
      <name val="Aptos"/>
      <family val="0"/>
      <charset val="1"/>
    </font>
    <font>
      <sz val="8.1"/>
      <name val="Aptos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C9D6"/>
      </bottom>
      <diagonal/>
    </border>
    <border diagonalUp="false" diagonalDown="false">
      <left style="hair">
        <color rgb="FFD9E2F3"/>
      </left>
      <right style="hair">
        <color rgb="FFD9E2F3"/>
      </right>
      <top/>
      <bottom style="hair">
        <color rgb="FFD9E2F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7365D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FF2CC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9D6"/>
      <rgbColor rgb="FF878787"/>
      <rgbColor rgb="FF9999FF"/>
      <rgbColor rgb="FF993366"/>
      <rgbColor rgb="FFFFF2CC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Promotion governance scope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Control_Summary!$A$6:$A$7</c:f>
              <c:strCache>
                <c:ptCount val="2"/>
                <c:pt idx="0">
                  <c:v>Company eligible</c:v>
                </c:pt>
                <c:pt idx="1">
                  <c:v>Excluded</c:v>
                </c:pt>
              </c:strCache>
            </c:strRef>
          </c:cat>
          <c:val>
            <c:numRef>
              <c:f>Control_Summary!$B$6:$B$7</c:f>
              <c:numCache>
                <c:formatCode>General</c:formatCode>
                <c:ptCount val="2"/>
                <c:pt idx="0">
                  <c:v>5</c:v>
                </c:pt>
                <c:pt idx="1">
                  <c:v>3</c:v>
                </c:pt>
              </c:numCache>
            </c:numRef>
          </c:val>
        </c:ser>
        <c:gapWidth val="150"/>
        <c:overlap val="0"/>
        <c:axId val="51120001"/>
        <c:axId val="51120002"/>
      </c:barChart>
      <c:catAx>
        <c:axId val="5112000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Decision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120002"/>
        <c:crosses val="autoZero"/>
        <c:auto val="1"/>
        <c:lblAlgn val="ctr"/>
        <c:lblOffset val="100"/>
        <c:noMultiLvlLbl val="0"/>
      </c:catAx>
      <c:valAx>
        <c:axId val="511200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Employees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12000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8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0</xdr:rowOff>
    </xdr:from>
    <xdr:to>
      <xdr:col>14</xdr:col>
      <xdr:colOff>142560</xdr:colOff>
      <xdr:row>6</xdr:row>
      <xdr:rowOff>437040</xdr:rowOff>
    </xdr:to>
    <xdr:graphicFrame>
      <xdr:nvGraphicFramePr>
        <xdr:cNvPr id="0" name="Chart 1"/>
        <xdr:cNvGraphicFramePr/>
      </xdr:nvGraphicFramePr>
      <xdr:xfrm>
        <a:off x="13453920" y="390600"/>
        <a:ext cx="5039640" cy="262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CompanyPromotionQueue" displayName="CompanyPromotionQueue" ref="A1:K6" headerRowCount="1" totalsRowCount="0" totalsRowShown="0">
  <autoFilter ref="A1:K6"/>
  <tableColumns count="11">
    <tableColumn id="1" name="Announcement Order"/>
    <tableColumn id="2" name="Source Row"/>
    <tableColumn id="3" name="Employee"/>
    <tableColumn id="4" name="Department"/>
    <tableColumn id="5" name="Previous Title"/>
    <tableColumn id="6" name="New Title"/>
    <tableColumn id="7" name="Recipient"/>
    <tableColumn id="8" name="Subject"/>
    <tableColumn id="9" name="State"/>
    <tableColumn id="10" name="Sent"/>
    <tableColumn id="11" name="Source Trace"/>
  </tableColumns>
</table>
</file>

<file path=xl/tables/table2.xml><?xml version="1.0" encoding="utf-8"?>
<table xmlns="http://schemas.openxmlformats.org/spreadsheetml/2006/main" id="2" name="PriorPromotionFormat" displayName="PriorPromotionFormat" ref="A1:G2" headerRowCount="1" totalsRowCount="0" totalsRowShown="0">
  <autoFilter ref="A1:G2"/>
  <tableColumns count="7">
    <tableColumn id="1" name="Message ID"/>
    <tableColumn id="2" name="From"/>
    <tableColumn id="3" name="To"/>
    <tableColumn id="4" name="Subject"/>
    <tableColumn id="5" name="Date"/>
    <tableColumn id="6" name="Full Body"/>
    <tableColumn id="7" name="Source Trace"/>
  </tableColumns>
</table>
</file>

<file path=xl/tables/table3.xml><?xml version="1.0" encoding="utf-8"?>
<table xmlns="http://schemas.openxmlformats.org/spreadsheetml/2006/main" id="3" name="PromotionControlSummary" displayName="PromotionControlSummary" ref="A1:E14" headerRowCount="1" totalsRowCount="0" totalsRowShown="0">
  <autoFilter ref="A1:E14"/>
  <tableColumns count="5">
    <tableColumn id="1" name="Metric"/>
    <tableColumn id="2" name="Formula Value"/>
    <tableColumn id="3" name="Expected"/>
    <tableColumn id="4" name="Control Interpretation"/>
    <tableColumn id="5" name="Source Trace"/>
  </tableColumns>
</table>
</file>

<file path=xl/tables/table4.xml><?xml version="1.0" encoding="utf-8"?>
<table xmlns="http://schemas.openxmlformats.org/spreadsheetml/2006/main" id="4" name="PromotionEligibilityDecisions" displayName="PromotionEligibilityDecisions" ref="A1:S9" headerRowCount="1" totalsRowCount="0" totalsRowShown="0">
  <autoFilter ref="A1:S9"/>
  <tableColumns count="19">
    <tableColumn id="1" name="Source Row"/>
    <tableColumn id="2" name="Employee"/>
    <tableColumn id="3" name="Department"/>
    <tableColumn id="4" name="Previous Title"/>
    <tableColumn id="5" name="New Title"/>
    <tableColumn id="6" name="Type"/>
    <tableColumn id="7" name="Notes"/>
    <tableColumn id="8" name="Vertical"/>
    <tableColumn id="9" name="Lateral"/>
    <tableColumn id="10" name="Hold/Pending"/>
    <tableColumn id="11" name="Company Eligible"/>
    <tableColumn id="12" name="Exclusion Reason"/>
    <tableColumn id="13" name="Company Email Route"/>
    <tableColumn id="14" name="Receiving Manager Route"/>
    <tableColumn id="15" name="Manager Identity"/>
    <tableColumn id="16" name="Manager Draft"/>
    <tableColumn id="17" name="Slack Route"/>
    <tableColumn id="18" name="Final Status"/>
    <tableColumn id="19" name="Source Trace"/>
  </tableColumns>
</table>
</file>

<file path=xl/tables/table5.xml><?xml version="1.0" encoding="utf-8"?>
<table xmlns="http://schemas.openxmlformats.org/spreadsheetml/2006/main" id="5" name="PromotionEvidenceRegister" displayName="PromotionEvidenceRegister" ref="A1:E13" headerRowCount="1" totalsRowCount="0" totalsRowShown="0">
  <autoFilter ref="A1:E13"/>
  <tableColumns count="5">
    <tableColumn id="1" name="Evidence ID"/>
    <tableColumn id="2" name="Type"/>
    <tableColumn id="3" name="Authority / Subject"/>
    <tableColumn id="4" name="Captured Value / Full Body"/>
    <tableColumn id="5" name="Source Trace"/>
  </tableColumns>
</table>
</file>

<file path=xl/tables/table6.xml><?xml version="1.0" encoding="utf-8"?>
<table xmlns="http://schemas.openxmlformats.org/spreadsheetml/2006/main" id="6" name="PromotionExclusionQueue" displayName="PromotionExclusionQueue" ref="A1:M4" headerRowCount="1" totalsRowCount="0" totalsRowShown="0">
  <autoFilter ref="A1:M4"/>
  <tableColumns count="13">
    <tableColumn id="1" name="Exclusion Order"/>
    <tableColumn id="2" name="Source Row"/>
    <tableColumn id="3" name="Employee"/>
    <tableColumn id="4" name="Type"/>
    <tableColumn id="5" name="Previous Title"/>
    <tableColumn id="6" name="New Title"/>
    <tableColumn id="7" name="Notes"/>
    <tableColumn id="8" name="Reason"/>
    <tableColumn id="9" name="Follow-up Owner"/>
    <tableColumn id="10" name="Manager Identity"/>
    <tableColumn id="11" name="Draft Created"/>
    <tableColumn id="12" name="Sent"/>
    <tableColumn id="13" name="Source Trace"/>
  </tableColumns>
</table>
</file>

<file path=xl/tables/table7.xml><?xml version="1.0" encoding="utf-8"?>
<table xmlns="http://schemas.openxmlformats.org/spreadsheetml/2006/main" id="7" name="PromotionPolicyRules" displayName="PromotionPolicyRules" ref="A1:D5" headerRowCount="1" totalsRowCount="0" totalsRowShown="0">
  <autoFilter ref="A1:D5"/>
  <tableColumns count="4">
    <tableColumn id="1" name="Rule Order"/>
    <tableColumn id="2" name="Rule"/>
    <tableColumn id="3" name="Exact Requirement"/>
    <tableColumn id="4" name="Source Trace"/>
  </tableColumns>
</table>
</file>

<file path=xl/tables/table8.xml><?xml version="1.0" encoding="utf-8"?>
<table xmlns="http://schemas.openxmlformats.org/spreadsheetml/2006/main" id="8" name="PromotionSourceRoster" displayName="PromotionSourceRoster" ref="A1:G9" headerRowCount="1" totalsRowCount="0" totalsRowShown="0">
  <autoFilter ref="A1:G9"/>
  <tableColumns count="7">
    <tableColumn id="1" name="Source Row"/>
    <tableColumn id="2" name="Employee"/>
    <tableColumn id="3" name="Department"/>
    <tableColumn id="4" name="Previous Title"/>
    <tableColumn id="5" name="New Title"/>
    <tableColumn id="6" name="Type"/>
    <tableColumn id="7" name="Notes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8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7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table" Target="../tables/table5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table" Target="../tables/table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table" Target="../tables/table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table" Target="../tables/table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G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1.99"/>
    <col collapsed="false" customWidth="true" hidden="false" outlineLevel="0" max="2" min="2" style="0" width="23.01"/>
    <col collapsed="false" customWidth="true" hidden="false" outlineLevel="0" max="3" min="3" style="0" width="19.99"/>
    <col collapsed="false" customWidth="true" hidden="false" outlineLevel="0" max="4" min="4" style="0" width="28.99"/>
    <col collapsed="false" customWidth="true" hidden="false" outlineLevel="0" max="5" min="5" style="0" width="31.01"/>
    <col collapsed="false" customWidth="true" hidden="false" outlineLevel="0" max="6" min="6" style="0" width="15"/>
    <col collapsed="false" customWidth="true" hidden="false" outlineLevel="0" max="7" min="7" style="0" width="50"/>
  </cols>
  <sheetData>
    <row r="1" customFormat="false" ht="30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39.75" hidden="false" customHeight="true" outlineLevel="0" collapsed="false">
      <c r="A2" s="2" t="n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/>
    </row>
    <row r="3" customFormat="false" ht="39.75" hidden="false" customHeight="true" outlineLevel="0" collapsed="false">
      <c r="A3" s="2" t="n">
        <v>3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11</v>
      </c>
      <c r="G3" s="2"/>
    </row>
    <row r="4" customFormat="false" ht="39.75" hidden="false" customHeight="true" outlineLevel="0" collapsed="false">
      <c r="A4" s="2" t="n">
        <v>4</v>
      </c>
      <c r="B4" s="2" t="s">
        <v>16</v>
      </c>
      <c r="C4" s="2" t="s">
        <v>17</v>
      </c>
      <c r="D4" s="2" t="s">
        <v>18</v>
      </c>
      <c r="E4" s="2" t="s">
        <v>18</v>
      </c>
      <c r="F4" s="2" t="s">
        <v>19</v>
      </c>
      <c r="G4" s="2" t="s">
        <v>20</v>
      </c>
    </row>
    <row r="5" customFormat="false" ht="39.75" hidden="false" customHeight="true" outlineLevel="0" collapsed="false">
      <c r="A5" s="2" t="n">
        <v>5</v>
      </c>
      <c r="B5" s="2" t="s">
        <v>21</v>
      </c>
      <c r="C5" s="2" t="s">
        <v>8</v>
      </c>
      <c r="D5" s="2" t="s">
        <v>22</v>
      </c>
      <c r="E5" s="2" t="s">
        <v>23</v>
      </c>
      <c r="F5" s="2" t="s">
        <v>11</v>
      </c>
      <c r="G5" s="2" t="s">
        <v>24</v>
      </c>
    </row>
    <row r="6" customFormat="false" ht="39.75" hidden="false" customHeight="true" outlineLevel="0" collapsed="false">
      <c r="A6" s="2" t="n">
        <v>6</v>
      </c>
      <c r="B6" s="2" t="s">
        <v>25</v>
      </c>
      <c r="C6" s="2" t="s">
        <v>8</v>
      </c>
      <c r="D6" s="2" t="s">
        <v>26</v>
      </c>
      <c r="E6" s="2" t="s">
        <v>27</v>
      </c>
      <c r="F6" s="2" t="s">
        <v>11</v>
      </c>
      <c r="G6" s="2"/>
    </row>
    <row r="7" customFormat="false" ht="39.75" hidden="false" customHeight="true" outlineLevel="0" collapsed="false">
      <c r="A7" s="2" t="n">
        <v>7</v>
      </c>
      <c r="B7" s="2" t="s">
        <v>28</v>
      </c>
      <c r="C7" s="2" t="s">
        <v>29</v>
      </c>
      <c r="D7" s="2" t="s">
        <v>30</v>
      </c>
      <c r="E7" s="2" t="s">
        <v>30</v>
      </c>
      <c r="F7" s="2" t="s">
        <v>19</v>
      </c>
      <c r="G7" s="2" t="s">
        <v>31</v>
      </c>
    </row>
    <row r="8" customFormat="false" ht="39.75" hidden="false" customHeight="true" outlineLevel="0" collapsed="false">
      <c r="A8" s="2" t="n">
        <v>8</v>
      </c>
      <c r="B8" s="2" t="s">
        <v>32</v>
      </c>
      <c r="C8" s="2" t="s">
        <v>33</v>
      </c>
      <c r="D8" s="2" t="s">
        <v>34</v>
      </c>
      <c r="E8" s="2" t="s">
        <v>35</v>
      </c>
      <c r="F8" s="2" t="s">
        <v>11</v>
      </c>
      <c r="G8" s="2"/>
    </row>
    <row r="9" customFormat="false" ht="39.75" hidden="false" customHeight="true" outlineLevel="0" collapsed="false">
      <c r="A9" s="2" t="n">
        <v>9</v>
      </c>
      <c r="B9" s="2" t="s">
        <v>36</v>
      </c>
      <c r="C9" s="2" t="s">
        <v>8</v>
      </c>
      <c r="D9" s="2" t="s">
        <v>37</v>
      </c>
      <c r="E9" s="2" t="s">
        <v>9</v>
      </c>
      <c r="F9" s="2" t="s">
        <v>11</v>
      </c>
      <c r="G9" s="2"/>
    </row>
  </sheetData>
  <autoFilter ref="A1:G9"/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&amp;CFrozen Q1 2026 promotion roster · AutomationBench 5112</oddFooter>
  </headerFooter>
  <drawing r:id="rId1"/>
  <tableParts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30.01"/>
    <col collapsed="false" customWidth="true" hidden="false" outlineLevel="0" max="2" min="2" style="0" width="35"/>
    <col collapsed="false" customWidth="true" hidden="false" outlineLevel="0" max="3" min="3" style="0" width="39.01"/>
    <col collapsed="false" customWidth="true" hidden="false" outlineLevel="0" max="4" min="4" style="0" width="45.99"/>
    <col collapsed="false" customWidth="true" hidden="false" outlineLevel="0" max="5" min="5" style="0" width="33"/>
    <col collapsed="false" customWidth="true" hidden="false" outlineLevel="0" max="6" min="6" style="0" width="104.99"/>
    <col collapsed="false" customWidth="true" hidden="false" outlineLevel="0" max="7" min="7" style="0" width="66"/>
  </cols>
  <sheetData>
    <row r="1" customFormat="false" ht="30.75" hidden="false" customHeight="true" outlineLevel="0" collapsed="false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</row>
    <row r="2" customFormat="false" ht="120" hidden="false" customHeight="true" outlineLevel="0" collapsed="false">
      <c r="A2" s="2" t="s">
        <v>45</v>
      </c>
      <c r="B2" s="2" t="s">
        <v>46</v>
      </c>
      <c r="C2" s="2" t="s">
        <v>47</v>
      </c>
      <c r="D2" s="2" t="s">
        <v>48</v>
      </c>
      <c r="E2" s="2" t="s">
        <v>49</v>
      </c>
      <c r="F2" s="2" t="s">
        <v>50</v>
      </c>
      <c r="G2" s="2" t="s">
        <v>51</v>
      </c>
    </row>
  </sheetData>
  <autoFilter ref="A1:G2"/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&amp;CExact prior-quarter announcement format</oddFooter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4.01"/>
    <col collapsed="false" customWidth="true" hidden="false" outlineLevel="0" max="2" min="2" style="0" width="30.01"/>
    <col collapsed="false" customWidth="true" hidden="false" outlineLevel="0" max="3" min="3" style="0" width="104.99"/>
    <col collapsed="false" customWidth="true" hidden="false" outlineLevel="0" max="4" min="4" style="0" width="66"/>
  </cols>
  <sheetData>
    <row r="1" customFormat="false" ht="30.75" hidden="false" customHeight="true" outlineLevel="0" collapsed="false">
      <c r="A1" s="1" t="s">
        <v>52</v>
      </c>
      <c r="B1" s="1" t="s">
        <v>53</v>
      </c>
      <c r="C1" s="1" t="s">
        <v>54</v>
      </c>
      <c r="D1" s="1" t="s">
        <v>44</v>
      </c>
    </row>
    <row r="2" customFormat="false" ht="52.5" hidden="false" customHeight="true" outlineLevel="0" collapsed="false">
      <c r="A2" s="2" t="n">
        <v>1</v>
      </c>
      <c r="B2" s="2" t="s">
        <v>55</v>
      </c>
      <c r="C2" s="2" t="s">
        <v>56</v>
      </c>
      <c r="D2" s="2" t="s">
        <v>57</v>
      </c>
    </row>
    <row r="3" customFormat="false" ht="52.5" hidden="false" customHeight="true" outlineLevel="0" collapsed="false">
      <c r="A3" s="2" t="n">
        <v>2</v>
      </c>
      <c r="B3" s="2" t="s">
        <v>58</v>
      </c>
      <c r="C3" s="2" t="s">
        <v>59</v>
      </c>
      <c r="D3" s="2" t="s">
        <v>57</v>
      </c>
    </row>
    <row r="4" customFormat="false" ht="52.5" hidden="false" customHeight="true" outlineLevel="0" collapsed="false">
      <c r="A4" s="2" t="n">
        <v>3</v>
      </c>
      <c r="B4" s="2" t="s">
        <v>60</v>
      </c>
      <c r="C4" s="2" t="s">
        <v>61</v>
      </c>
      <c r="D4" s="2" t="s">
        <v>57</v>
      </c>
    </row>
    <row r="5" customFormat="false" ht="52.5" hidden="false" customHeight="true" outlineLevel="0" collapsed="false">
      <c r="A5" s="2" t="n">
        <v>4</v>
      </c>
      <c r="B5" s="2" t="s">
        <v>62</v>
      </c>
      <c r="C5" s="2" t="s">
        <v>63</v>
      </c>
      <c r="D5" s="2" t="s">
        <v>57</v>
      </c>
    </row>
  </sheetData>
  <autoFilter ref="A1:D5"/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&amp;CFour VP People announcement rules · latest authority</oddFooter>
  </headerFooter>
  <drawing r:id="rId1"/>
  <tableParts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4"/>
    <col collapsed="false" customWidth="true" hidden="false" outlineLevel="0" max="3" min="3" style="0" width="58"/>
    <col collapsed="false" customWidth="true" hidden="false" outlineLevel="0" max="4" min="4" style="0" width="112"/>
    <col collapsed="false" customWidth="true" hidden="false" outlineLevel="0" max="5" min="5" style="0" width="68"/>
  </cols>
  <sheetData>
    <row r="1" customFormat="false" ht="30.75" hidden="false" customHeight="true" outlineLevel="0" collapsed="false">
      <c r="A1" s="1" t="s">
        <v>64</v>
      </c>
      <c r="B1" s="1" t="s">
        <v>5</v>
      </c>
      <c r="C1" s="1" t="s">
        <v>65</v>
      </c>
      <c r="D1" s="1" t="s">
        <v>66</v>
      </c>
      <c r="E1" s="1" t="s">
        <v>44</v>
      </c>
    </row>
    <row r="2" customFormat="false" ht="46.5" hidden="false" customHeight="true" outlineLevel="0" collapsed="false">
      <c r="A2" s="2" t="s">
        <v>67</v>
      </c>
      <c r="B2" s="2" t="s">
        <v>68</v>
      </c>
      <c r="C2" s="2" t="s">
        <v>7</v>
      </c>
      <c r="D2" s="2" t="s">
        <v>69</v>
      </c>
      <c r="E2" s="2" t="s">
        <v>70</v>
      </c>
    </row>
    <row r="3" customFormat="false" ht="46.5" hidden="false" customHeight="true" outlineLevel="0" collapsed="false">
      <c r="A3" s="2" t="s">
        <v>71</v>
      </c>
      <c r="B3" s="2" t="s">
        <v>68</v>
      </c>
      <c r="C3" s="2" t="s">
        <v>12</v>
      </c>
      <c r="D3" s="2" t="s">
        <v>72</v>
      </c>
      <c r="E3" s="2" t="s">
        <v>73</v>
      </c>
    </row>
    <row r="4" customFormat="false" ht="46.5" hidden="false" customHeight="true" outlineLevel="0" collapsed="false">
      <c r="A4" s="2" t="s">
        <v>74</v>
      </c>
      <c r="B4" s="2" t="s">
        <v>68</v>
      </c>
      <c r="C4" s="2" t="s">
        <v>16</v>
      </c>
      <c r="D4" s="2" t="s">
        <v>75</v>
      </c>
      <c r="E4" s="2" t="s">
        <v>76</v>
      </c>
    </row>
    <row r="5" customFormat="false" ht="46.5" hidden="false" customHeight="true" outlineLevel="0" collapsed="false">
      <c r="A5" s="2" t="s">
        <v>77</v>
      </c>
      <c r="B5" s="2" t="s">
        <v>68</v>
      </c>
      <c r="C5" s="2" t="s">
        <v>21</v>
      </c>
      <c r="D5" s="2" t="s">
        <v>78</v>
      </c>
      <c r="E5" s="2" t="s">
        <v>79</v>
      </c>
    </row>
    <row r="6" customFormat="false" ht="46.5" hidden="false" customHeight="true" outlineLevel="0" collapsed="false">
      <c r="A6" s="2" t="s">
        <v>80</v>
      </c>
      <c r="B6" s="2" t="s">
        <v>68</v>
      </c>
      <c r="C6" s="2" t="s">
        <v>25</v>
      </c>
      <c r="D6" s="2" t="s">
        <v>81</v>
      </c>
      <c r="E6" s="2" t="s">
        <v>82</v>
      </c>
    </row>
    <row r="7" customFormat="false" ht="46.5" hidden="false" customHeight="true" outlineLevel="0" collapsed="false">
      <c r="A7" s="2" t="s">
        <v>83</v>
      </c>
      <c r="B7" s="2" t="s">
        <v>68</v>
      </c>
      <c r="C7" s="2" t="s">
        <v>28</v>
      </c>
      <c r="D7" s="2" t="s">
        <v>84</v>
      </c>
      <c r="E7" s="2" t="s">
        <v>85</v>
      </c>
    </row>
    <row r="8" customFormat="false" ht="46.5" hidden="false" customHeight="true" outlineLevel="0" collapsed="false">
      <c r="A8" s="2" t="s">
        <v>86</v>
      </c>
      <c r="B8" s="2" t="s">
        <v>68</v>
      </c>
      <c r="C8" s="2" t="s">
        <v>32</v>
      </c>
      <c r="D8" s="2" t="s">
        <v>87</v>
      </c>
      <c r="E8" s="2" t="s">
        <v>88</v>
      </c>
    </row>
    <row r="9" customFormat="false" ht="46.5" hidden="false" customHeight="true" outlineLevel="0" collapsed="false">
      <c r="A9" s="2" t="s">
        <v>89</v>
      </c>
      <c r="B9" s="2" t="s">
        <v>68</v>
      </c>
      <c r="C9" s="2" t="s">
        <v>36</v>
      </c>
      <c r="D9" s="2" t="s">
        <v>90</v>
      </c>
      <c r="E9" s="2" t="s">
        <v>91</v>
      </c>
    </row>
    <row r="10" customFormat="false" ht="99.75" hidden="false" customHeight="true" outlineLevel="0" collapsed="false">
      <c r="A10" s="2" t="s">
        <v>92</v>
      </c>
      <c r="B10" s="2" t="s">
        <v>93</v>
      </c>
      <c r="C10" s="2" t="s">
        <v>94</v>
      </c>
      <c r="D10" s="2" t="s">
        <v>50</v>
      </c>
      <c r="E10" s="2" t="s">
        <v>51</v>
      </c>
    </row>
    <row r="11" customFormat="false" ht="129.75" hidden="false" customHeight="true" outlineLevel="0" collapsed="false">
      <c r="A11" s="2" t="s">
        <v>95</v>
      </c>
      <c r="B11" s="2" t="s">
        <v>93</v>
      </c>
      <c r="C11" s="2" t="s">
        <v>96</v>
      </c>
      <c r="D11" s="2" t="s">
        <v>97</v>
      </c>
      <c r="E11" s="2" t="s">
        <v>57</v>
      </c>
    </row>
    <row r="12" customFormat="false" ht="46.5" hidden="false" customHeight="true" outlineLevel="0" collapsed="false">
      <c r="A12" s="2" t="s">
        <v>98</v>
      </c>
      <c r="B12" s="2" t="s">
        <v>99</v>
      </c>
      <c r="C12" s="2" t="s">
        <v>100</v>
      </c>
      <c r="D12" s="2" t="s">
        <v>101</v>
      </c>
      <c r="E12" s="2" t="s">
        <v>102</v>
      </c>
    </row>
    <row r="13" customFormat="false" ht="46.5" hidden="false" customHeight="true" outlineLevel="0" collapsed="false">
      <c r="A13" s="2" t="s">
        <v>103</v>
      </c>
      <c r="B13" s="2" t="s">
        <v>104</v>
      </c>
      <c r="C13" s="2" t="s">
        <v>105</v>
      </c>
      <c r="D13" s="2" t="s">
        <v>106</v>
      </c>
      <c r="E13" s="2" t="s">
        <v>107</v>
      </c>
    </row>
  </sheetData>
  <autoFilter ref="A1:E13"/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&amp;CTwelve frozen evidence records · no hidden manager identity</oddFooter>
  </headerFooter>
  <drawing r:id="rId1"/>
  <tableParts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S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9.99"/>
    <col collapsed="false" customWidth="true" hidden="false" outlineLevel="0" max="3" min="3" style="0" width="18"/>
    <col collapsed="false" customWidth="true" hidden="false" outlineLevel="0" max="4" min="4" style="0" width="27"/>
    <col collapsed="false" customWidth="true" hidden="false" outlineLevel="0" max="5" min="5" style="0" width="28.99"/>
    <col collapsed="false" customWidth="true" hidden="false" outlineLevel="0" max="6" min="6" style="0" width="13.01"/>
    <col collapsed="false" customWidth="true" hidden="false" outlineLevel="0" max="7" min="7" style="0" width="42"/>
    <col collapsed="false" customWidth="true" hidden="false" outlineLevel="0" max="9" min="8" style="0" width="11.99"/>
    <col collapsed="false" customWidth="true" hidden="false" outlineLevel="0" max="10" min="10" style="0" width="15"/>
    <col collapsed="false" customWidth="true" hidden="false" outlineLevel="0" max="11" min="11" style="0" width="16"/>
    <col collapsed="false" customWidth="true" hidden="false" outlineLevel="0" max="12" min="12" style="0" width="48.01"/>
    <col collapsed="false" customWidth="true" hidden="false" outlineLevel="0" max="13" min="13" style="0" width="18"/>
    <col collapsed="false" customWidth="true" hidden="false" outlineLevel="0" max="14" min="14" style="0" width="22.01"/>
    <col collapsed="false" customWidth="true" hidden="false" outlineLevel="0" max="15" min="15" style="0" width="25"/>
    <col collapsed="false" customWidth="true" hidden="false" outlineLevel="0" max="16" min="16" style="0" width="16"/>
    <col collapsed="false" customWidth="true" hidden="false" outlineLevel="0" max="17" min="17" style="0" width="14.01"/>
    <col collapsed="false" customWidth="true" hidden="false" outlineLevel="0" max="18" min="18" style="0" width="44"/>
    <col collapsed="false" customWidth="true" hidden="false" outlineLevel="0" max="19" min="19" style="0" width="92"/>
  </cols>
  <sheetData>
    <row r="1" customFormat="false" ht="30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  <c r="I1" s="1" t="s">
        <v>19</v>
      </c>
      <c r="J1" s="1" t="s">
        <v>108</v>
      </c>
      <c r="K1" s="1" t="s">
        <v>109</v>
      </c>
      <c r="L1" s="1" t="s">
        <v>110</v>
      </c>
      <c r="M1" s="1" t="s">
        <v>111</v>
      </c>
      <c r="N1" s="1" t="s">
        <v>112</v>
      </c>
      <c r="O1" s="1" t="s">
        <v>113</v>
      </c>
      <c r="P1" s="1" t="s">
        <v>114</v>
      </c>
      <c r="Q1" s="1" t="s">
        <v>115</v>
      </c>
      <c r="R1" s="1" t="s">
        <v>116</v>
      </c>
      <c r="S1" s="1" t="s">
        <v>44</v>
      </c>
    </row>
    <row r="2" customFormat="false" ht="57.75" hidden="false" customHeight="true" outlineLevel="0" collapsed="false">
      <c r="A2" s="2" t="n">
        <f aca="false">Source_Roster!A2</f>
        <v>2</v>
      </c>
      <c r="B2" s="2" t="str">
        <f aca="false">Source_Roster!B2</f>
        <v>Ava Chen</v>
      </c>
      <c r="C2" s="2" t="str">
        <f aca="false">Source_Roster!C2</f>
        <v>Engineering</v>
      </c>
      <c r="D2" s="2" t="str">
        <f aca="false">Source_Roster!D2</f>
        <v>Software Engineer</v>
      </c>
      <c r="E2" s="2" t="str">
        <f aca="false">Source_Roster!E2</f>
        <v>Senior Software Engineer</v>
      </c>
      <c r="F2" s="2" t="str">
        <f aca="false">Source_Roster!F2</f>
        <v>Vertical</v>
      </c>
      <c r="G2" s="2" t="n">
        <f aca="false">Source_Roster!G2</f>
        <v>0</v>
      </c>
      <c r="H2" s="2" t="str">
        <f aca="false">IF(F2="Vertical","YES","NO")</f>
        <v>YES</v>
      </c>
      <c r="I2" s="2" t="str">
        <f aca="false">IF(F2="Lateral","YES","NO")</f>
        <v>NO</v>
      </c>
      <c r="J2" s="2" t="str">
        <f aca="false">IF(OR(ISNUMBER(SEARCH("hold",G2)),ISNUMBER(SEARCH("pending",G2))),"YES","NO")</f>
        <v>NO</v>
      </c>
      <c r="K2" s="2" t="str">
        <f aca="false">IF(AND(H2="YES",J2="NO"),"YES","NO")</f>
        <v>YES</v>
      </c>
      <c r="L2" s="2" t="str">
        <f aca="false">IF(K2="YES","NONE_ELIGIBLE",IF(I2="YES","LATERAL_COMPANY_ANNOUNCEMENT_PROHIBITED","PENDING_HOLD_NOT_CLEARED"))</f>
        <v>NONE_ELIGIBLE</v>
      </c>
      <c r="M2" s="2" t="str">
        <f aca="false">IF(K2="YES","YES","NO")</f>
        <v>YES</v>
      </c>
      <c r="N2" s="2" t="str">
        <f aca="false">IF(I2="YES","YES","NO")</f>
        <v>NO</v>
      </c>
      <c r="O2" s="2" t="str">
        <f aca="false">IF(N2="YES","UNAVAILABLE_IN_INPUT","N/A")</f>
        <v>N/A</v>
      </c>
      <c r="P2" s="2" t="str">
        <f aca="false">"NO"</f>
        <v>NO</v>
      </c>
      <c r="Q2" s="2" t="str">
        <f aca="false">"NO"</f>
        <v>NO</v>
      </c>
      <c r="R2" s="2" t="str">
        <f aca="false">IF(K2="YES","ELIGIBLE_COMPANY_ANNOUNCEMENT",IF(I2="YES","RECEIVING_MANAGER_COMMUNICATION_REQUIRED","PENDING_HOLD_NOT_CLEARED"))</f>
        <v>ELIGIBLE_COMPANY_ANNOUNCEMENT</v>
      </c>
      <c r="S2" s="2" t="str">
        <f aca="false">"Q1_Promotion_Roster.xlsx:Approved Promotions row "&amp;A2&amp;" | Promotion_Announcement_Context.mbox:msg_announce_policy_5112 | Promotion_Announcement_Context.mbox:msg_last_promo_5112"</f>
        <v>Q1_Promotion_Roster.xlsx:Approved Promotions row 2 | Promotion_Announcement_Context.mbox:msg_announce_policy_5112 | Promotion_Announcement_Context.mbox:msg_last_promo_5112</v>
      </c>
    </row>
    <row r="3" customFormat="false" ht="57.75" hidden="false" customHeight="true" outlineLevel="0" collapsed="false">
      <c r="A3" s="2" t="n">
        <f aca="false">Source_Roster!A3</f>
        <v>3</v>
      </c>
      <c r="B3" s="2" t="str">
        <f aca="false">Source_Roster!B3</f>
        <v>Brandon Osei</v>
      </c>
      <c r="C3" s="2" t="str">
        <f aca="false">Source_Roster!C3</f>
        <v>Sales</v>
      </c>
      <c r="D3" s="2" t="str">
        <f aca="false">Source_Roster!D3</f>
        <v>Account Executive</v>
      </c>
      <c r="E3" s="2" t="str">
        <f aca="false">Source_Roster!E3</f>
        <v>Senior Account Executive</v>
      </c>
      <c r="F3" s="2" t="str">
        <f aca="false">Source_Roster!F3</f>
        <v>Vertical</v>
      </c>
      <c r="G3" s="2" t="n">
        <f aca="false">Source_Roster!G3</f>
        <v>0</v>
      </c>
      <c r="H3" s="2" t="str">
        <f aca="false">IF(F3="Vertical","YES","NO")</f>
        <v>YES</v>
      </c>
      <c r="I3" s="2" t="str">
        <f aca="false">IF(F3="Lateral","YES","NO")</f>
        <v>NO</v>
      </c>
      <c r="J3" s="2" t="str">
        <f aca="false">IF(OR(ISNUMBER(SEARCH("hold",G3)),ISNUMBER(SEARCH("pending",G3))),"YES","NO")</f>
        <v>NO</v>
      </c>
      <c r="K3" s="2" t="str">
        <f aca="false">IF(AND(H3="YES",J3="NO"),"YES","NO")</f>
        <v>YES</v>
      </c>
      <c r="L3" s="2" t="str">
        <f aca="false">IF(K3="YES","NONE_ELIGIBLE",IF(I3="YES","LATERAL_COMPANY_ANNOUNCEMENT_PROHIBITED","PENDING_HOLD_NOT_CLEARED"))</f>
        <v>NONE_ELIGIBLE</v>
      </c>
      <c r="M3" s="2" t="str">
        <f aca="false">IF(K3="YES","YES","NO")</f>
        <v>YES</v>
      </c>
      <c r="N3" s="2" t="str">
        <f aca="false">IF(I3="YES","YES","NO")</f>
        <v>NO</v>
      </c>
      <c r="O3" s="2" t="str">
        <f aca="false">IF(N3="YES","UNAVAILABLE_IN_INPUT","N/A")</f>
        <v>N/A</v>
      </c>
      <c r="P3" s="2" t="str">
        <f aca="false">"NO"</f>
        <v>NO</v>
      </c>
      <c r="Q3" s="2" t="str">
        <f aca="false">"NO"</f>
        <v>NO</v>
      </c>
      <c r="R3" s="2" t="str">
        <f aca="false">IF(K3="YES","ELIGIBLE_COMPANY_ANNOUNCEMENT",IF(I3="YES","RECEIVING_MANAGER_COMMUNICATION_REQUIRED","PENDING_HOLD_NOT_CLEARED"))</f>
        <v>ELIGIBLE_COMPANY_ANNOUNCEMENT</v>
      </c>
      <c r="S3" s="2" t="str">
        <f aca="false">"Q1_Promotion_Roster.xlsx:Approved Promotions row "&amp;A3&amp;" | Promotion_Announcement_Context.mbox:msg_announce_policy_5112 | Promotion_Announcement_Context.mbox:msg_last_promo_5112"</f>
        <v>Q1_Promotion_Roster.xlsx:Approved Promotions row 3 | Promotion_Announcement_Context.mbox:msg_announce_policy_5112 | Promotion_Announcement_Context.mbox:msg_last_promo_5112</v>
      </c>
    </row>
    <row r="4" customFormat="false" ht="57.75" hidden="false" customHeight="true" outlineLevel="0" collapsed="false">
      <c r="A4" s="2" t="n">
        <f aca="false">Source_Roster!A4</f>
        <v>4</v>
      </c>
      <c r="B4" s="2" t="str">
        <f aca="false">Source_Roster!B4</f>
        <v>Clara Dubois</v>
      </c>
      <c r="C4" s="2" t="str">
        <f aca="false">Source_Roster!C4</f>
        <v>Product</v>
      </c>
      <c r="D4" s="2" t="str">
        <f aca="false">Source_Roster!D4</f>
        <v>Product Manager</v>
      </c>
      <c r="E4" s="2" t="str">
        <f aca="false">Source_Roster!E4</f>
        <v>Product Manager</v>
      </c>
      <c r="F4" s="2" t="str">
        <f aca="false">Source_Roster!F4</f>
        <v>Lateral</v>
      </c>
      <c r="G4" s="2" t="str">
        <f aca="false">Source_Roster!G4</f>
        <v>Moving from Growth to Platform team</v>
      </c>
      <c r="H4" s="2" t="str">
        <f aca="false">IF(F4="Vertical","YES","NO")</f>
        <v>NO</v>
      </c>
      <c r="I4" s="2" t="str">
        <f aca="false">IF(F4="Lateral","YES","NO")</f>
        <v>YES</v>
      </c>
      <c r="J4" s="2" t="str">
        <f aca="false">IF(OR(ISNUMBER(SEARCH("hold",G4)),ISNUMBER(SEARCH("pending",G4))),"YES","NO")</f>
        <v>NO</v>
      </c>
      <c r="K4" s="2" t="str">
        <f aca="false">IF(AND(H4="YES",J4="NO"),"YES","NO")</f>
        <v>NO</v>
      </c>
      <c r="L4" s="2" t="str">
        <f aca="false">IF(K4="YES","NONE_ELIGIBLE",IF(I4="YES","LATERAL_COMPANY_ANNOUNCEMENT_PROHIBITED","PENDING_HOLD_NOT_CLEARED"))</f>
        <v>LATERAL_COMPANY_ANNOUNCEMENT_PROHIBITED</v>
      </c>
      <c r="M4" s="2" t="str">
        <f aca="false">IF(K4="YES","YES","NO")</f>
        <v>NO</v>
      </c>
      <c r="N4" s="2" t="str">
        <f aca="false">IF(I4="YES","YES","NO")</f>
        <v>YES</v>
      </c>
      <c r="O4" s="2" t="str">
        <f aca="false">IF(N4="YES","UNAVAILABLE_IN_INPUT","N/A")</f>
        <v>UNAVAILABLE_IN_INPUT</v>
      </c>
      <c r="P4" s="2" t="str">
        <f aca="false">"NO"</f>
        <v>NO</v>
      </c>
      <c r="Q4" s="2" t="str">
        <f aca="false">"NO"</f>
        <v>NO</v>
      </c>
      <c r="R4" s="2" t="str">
        <f aca="false">IF(K4="YES","ELIGIBLE_COMPANY_ANNOUNCEMENT",IF(I4="YES","RECEIVING_MANAGER_COMMUNICATION_REQUIRED","PENDING_HOLD_NOT_CLEARED"))</f>
        <v>RECEIVING_MANAGER_COMMUNICATION_REQUIRED</v>
      </c>
      <c r="S4" s="2" t="str">
        <f aca="false">"Q1_Promotion_Roster.xlsx:Approved Promotions row "&amp;A4&amp;" | Promotion_Announcement_Context.mbox:msg_announce_policy_5112 | Promotion_Announcement_Context.mbox:msg_last_promo_5112"</f>
        <v>Q1_Promotion_Roster.xlsx:Approved Promotions row 4 | Promotion_Announcement_Context.mbox:msg_announce_policy_5112 | Promotion_Announcement_Context.mbox:msg_last_promo_5112</v>
      </c>
    </row>
    <row r="5" customFormat="false" ht="57.75" hidden="false" customHeight="true" outlineLevel="0" collapsed="false">
      <c r="A5" s="2" t="n">
        <f aca="false">Source_Roster!A5</f>
        <v>5</v>
      </c>
      <c r="B5" s="2" t="str">
        <f aca="false">Source_Roster!B5</f>
        <v>Derek Holm</v>
      </c>
      <c r="C5" s="2" t="str">
        <f aca="false">Source_Roster!C5</f>
        <v>Engineering</v>
      </c>
      <c r="D5" s="2" t="str">
        <f aca="false">Source_Roster!D5</f>
        <v>Senior Engineer</v>
      </c>
      <c r="E5" s="2" t="str">
        <f aca="false">Source_Roster!E5</f>
        <v>Staff Engineer</v>
      </c>
      <c r="F5" s="2" t="str">
        <f aca="false">Source_Roster!F5</f>
        <v>Vertical</v>
      </c>
      <c r="G5" s="2" t="str">
        <f aca="false">Source_Roster!G5</f>
        <v>Pending - awaiting final sign-off from CTO</v>
      </c>
      <c r="H5" s="2" t="str">
        <f aca="false">IF(F5="Vertical","YES","NO")</f>
        <v>YES</v>
      </c>
      <c r="I5" s="2" t="str">
        <f aca="false">IF(F5="Lateral","YES","NO")</f>
        <v>NO</v>
      </c>
      <c r="J5" s="2" t="str">
        <f aca="false">IF(OR(ISNUMBER(SEARCH("hold",G5)),ISNUMBER(SEARCH("pending",G5))),"YES","NO")</f>
        <v>YES</v>
      </c>
      <c r="K5" s="2" t="str">
        <f aca="false">IF(AND(H5="YES",J5="NO"),"YES","NO")</f>
        <v>NO</v>
      </c>
      <c r="L5" s="2" t="str">
        <f aca="false">IF(K5="YES","NONE_ELIGIBLE",IF(I5="YES","LATERAL_COMPANY_ANNOUNCEMENT_PROHIBITED","PENDING_HOLD_NOT_CLEARED"))</f>
        <v>PENDING_HOLD_NOT_CLEARED</v>
      </c>
      <c r="M5" s="2" t="str">
        <f aca="false">IF(K5="YES","YES","NO")</f>
        <v>NO</v>
      </c>
      <c r="N5" s="2" t="str">
        <f aca="false">IF(I5="YES","YES","NO")</f>
        <v>NO</v>
      </c>
      <c r="O5" s="2" t="str">
        <f aca="false">IF(N5="YES","UNAVAILABLE_IN_INPUT","N/A")</f>
        <v>N/A</v>
      </c>
      <c r="P5" s="2" t="str">
        <f aca="false">"NO"</f>
        <v>NO</v>
      </c>
      <c r="Q5" s="2" t="str">
        <f aca="false">"NO"</f>
        <v>NO</v>
      </c>
      <c r="R5" s="2" t="str">
        <f aca="false">IF(K5="YES","ELIGIBLE_COMPANY_ANNOUNCEMENT",IF(I5="YES","RECEIVING_MANAGER_COMMUNICATION_REQUIRED","PENDING_HOLD_NOT_CLEARED"))</f>
        <v>PENDING_HOLD_NOT_CLEARED</v>
      </c>
      <c r="S5" s="2" t="str">
        <f aca="false">"Q1_Promotion_Roster.xlsx:Approved Promotions row "&amp;A5&amp;" | Promotion_Announcement_Context.mbox:msg_announce_policy_5112 | Promotion_Announcement_Context.mbox:msg_last_promo_5112"</f>
        <v>Q1_Promotion_Roster.xlsx:Approved Promotions row 5 | Promotion_Announcement_Context.mbox:msg_announce_policy_5112 | Promotion_Announcement_Context.mbox:msg_last_promo_5112</v>
      </c>
    </row>
    <row r="6" customFormat="false" ht="57.75" hidden="false" customHeight="true" outlineLevel="0" collapsed="false">
      <c r="A6" s="2" t="n">
        <f aca="false">Source_Roster!A6</f>
        <v>6</v>
      </c>
      <c r="B6" s="2" t="str">
        <f aca="false">Source_Roster!B6</f>
        <v>Elena Vasquez</v>
      </c>
      <c r="C6" s="2" t="str">
        <f aca="false">Source_Roster!C6</f>
        <v>Engineering</v>
      </c>
      <c r="D6" s="2" t="str">
        <f aca="false">Source_Roster!D6</f>
        <v>Tech Lead</v>
      </c>
      <c r="E6" s="2" t="str">
        <f aca="false">Source_Roster!E6</f>
        <v>Engineering Manager</v>
      </c>
      <c r="F6" s="2" t="str">
        <f aca="false">Source_Roster!F6</f>
        <v>Vertical</v>
      </c>
      <c r="G6" s="2" t="n">
        <f aca="false">Source_Roster!G6</f>
        <v>0</v>
      </c>
      <c r="H6" s="2" t="str">
        <f aca="false">IF(F6="Vertical","YES","NO")</f>
        <v>YES</v>
      </c>
      <c r="I6" s="2" t="str">
        <f aca="false">IF(F6="Lateral","YES","NO")</f>
        <v>NO</v>
      </c>
      <c r="J6" s="2" t="str">
        <f aca="false">IF(OR(ISNUMBER(SEARCH("hold",G6)),ISNUMBER(SEARCH("pending",G6))),"YES","NO")</f>
        <v>NO</v>
      </c>
      <c r="K6" s="2" t="str">
        <f aca="false">IF(AND(H6="YES",J6="NO"),"YES","NO")</f>
        <v>YES</v>
      </c>
      <c r="L6" s="2" t="str">
        <f aca="false">IF(K6="YES","NONE_ELIGIBLE",IF(I6="YES","LATERAL_COMPANY_ANNOUNCEMENT_PROHIBITED","PENDING_HOLD_NOT_CLEARED"))</f>
        <v>NONE_ELIGIBLE</v>
      </c>
      <c r="M6" s="2" t="str">
        <f aca="false">IF(K6="YES","YES","NO")</f>
        <v>YES</v>
      </c>
      <c r="N6" s="2" t="str">
        <f aca="false">IF(I6="YES","YES","NO")</f>
        <v>NO</v>
      </c>
      <c r="O6" s="2" t="str">
        <f aca="false">IF(N6="YES","UNAVAILABLE_IN_INPUT","N/A")</f>
        <v>N/A</v>
      </c>
      <c r="P6" s="2" t="str">
        <f aca="false">"NO"</f>
        <v>NO</v>
      </c>
      <c r="Q6" s="2" t="str">
        <f aca="false">"NO"</f>
        <v>NO</v>
      </c>
      <c r="R6" s="2" t="str">
        <f aca="false">IF(K6="YES","ELIGIBLE_COMPANY_ANNOUNCEMENT",IF(I6="YES","RECEIVING_MANAGER_COMMUNICATION_REQUIRED","PENDING_HOLD_NOT_CLEARED"))</f>
        <v>ELIGIBLE_COMPANY_ANNOUNCEMENT</v>
      </c>
      <c r="S6" s="2" t="str">
        <f aca="false">"Q1_Promotion_Roster.xlsx:Approved Promotions row "&amp;A6&amp;" | Promotion_Announcement_Context.mbox:msg_announce_policy_5112 | Promotion_Announcement_Context.mbox:msg_last_promo_5112"</f>
        <v>Q1_Promotion_Roster.xlsx:Approved Promotions row 6 | Promotion_Announcement_Context.mbox:msg_announce_policy_5112 | Promotion_Announcement_Context.mbox:msg_last_promo_5112</v>
      </c>
    </row>
    <row r="7" customFormat="false" ht="57.75" hidden="false" customHeight="true" outlineLevel="0" collapsed="false">
      <c r="A7" s="2" t="n">
        <f aca="false">Source_Roster!A7</f>
        <v>7</v>
      </c>
      <c r="B7" s="2" t="str">
        <f aca="false">Source_Roster!B7</f>
        <v>Faisal Rahman</v>
      </c>
      <c r="C7" s="2" t="str">
        <f aca="false">Source_Roster!C7</f>
        <v>Marketing</v>
      </c>
      <c r="D7" s="2" t="str">
        <f aca="false">Source_Roster!D7</f>
        <v>Marketing Analyst</v>
      </c>
      <c r="E7" s="2" t="str">
        <f aca="false">Source_Roster!E7</f>
        <v>Marketing Analyst</v>
      </c>
      <c r="F7" s="2" t="str">
        <f aca="false">Source_Roster!F7</f>
        <v>Lateral</v>
      </c>
      <c r="G7" s="2" t="str">
        <f aca="false">Source_Roster!G7</f>
        <v>Transfer to EMEA team</v>
      </c>
      <c r="H7" s="2" t="str">
        <f aca="false">IF(F7="Vertical","YES","NO")</f>
        <v>NO</v>
      </c>
      <c r="I7" s="2" t="str">
        <f aca="false">IF(F7="Lateral","YES","NO")</f>
        <v>YES</v>
      </c>
      <c r="J7" s="2" t="str">
        <f aca="false">IF(OR(ISNUMBER(SEARCH("hold",G7)),ISNUMBER(SEARCH("pending",G7))),"YES","NO")</f>
        <v>NO</v>
      </c>
      <c r="K7" s="2" t="str">
        <f aca="false">IF(AND(H7="YES",J7="NO"),"YES","NO")</f>
        <v>NO</v>
      </c>
      <c r="L7" s="2" t="str">
        <f aca="false">IF(K7="YES","NONE_ELIGIBLE",IF(I7="YES","LATERAL_COMPANY_ANNOUNCEMENT_PROHIBITED","PENDING_HOLD_NOT_CLEARED"))</f>
        <v>LATERAL_COMPANY_ANNOUNCEMENT_PROHIBITED</v>
      </c>
      <c r="M7" s="2" t="str">
        <f aca="false">IF(K7="YES","YES","NO")</f>
        <v>NO</v>
      </c>
      <c r="N7" s="2" t="str">
        <f aca="false">IF(I7="YES","YES","NO")</f>
        <v>YES</v>
      </c>
      <c r="O7" s="2" t="str">
        <f aca="false">IF(N7="YES","UNAVAILABLE_IN_INPUT","N/A")</f>
        <v>UNAVAILABLE_IN_INPUT</v>
      </c>
      <c r="P7" s="2" t="str">
        <f aca="false">"NO"</f>
        <v>NO</v>
      </c>
      <c r="Q7" s="2" t="str">
        <f aca="false">"NO"</f>
        <v>NO</v>
      </c>
      <c r="R7" s="2" t="str">
        <f aca="false">IF(K7="YES","ELIGIBLE_COMPANY_ANNOUNCEMENT",IF(I7="YES","RECEIVING_MANAGER_COMMUNICATION_REQUIRED","PENDING_HOLD_NOT_CLEARED"))</f>
        <v>RECEIVING_MANAGER_COMMUNICATION_REQUIRED</v>
      </c>
      <c r="S7" s="2" t="str">
        <f aca="false">"Q1_Promotion_Roster.xlsx:Approved Promotions row "&amp;A7&amp;" | Promotion_Announcement_Context.mbox:msg_announce_policy_5112 | Promotion_Announcement_Context.mbox:msg_last_promo_5112"</f>
        <v>Q1_Promotion_Roster.xlsx:Approved Promotions row 7 | Promotion_Announcement_Context.mbox:msg_announce_policy_5112 | Promotion_Announcement_Context.mbox:msg_last_promo_5112</v>
      </c>
    </row>
    <row r="8" customFormat="false" ht="57.75" hidden="false" customHeight="true" outlineLevel="0" collapsed="false">
      <c r="A8" s="2" t="n">
        <f aca="false">Source_Roster!A8</f>
        <v>8</v>
      </c>
      <c r="B8" s="2" t="str">
        <f aca="false">Source_Roster!B8</f>
        <v>Greta Nilsson</v>
      </c>
      <c r="C8" s="2" t="str">
        <f aca="false">Source_Roster!C8</f>
        <v>Support</v>
      </c>
      <c r="D8" s="2" t="str">
        <f aca="false">Source_Roster!D8</f>
        <v>Support Specialist</v>
      </c>
      <c r="E8" s="2" t="str">
        <f aca="false">Source_Roster!E8</f>
        <v>Senior Support Specialist</v>
      </c>
      <c r="F8" s="2" t="str">
        <f aca="false">Source_Roster!F8</f>
        <v>Vertical</v>
      </c>
      <c r="G8" s="2" t="n">
        <f aca="false">Source_Roster!G8</f>
        <v>0</v>
      </c>
      <c r="H8" s="2" t="str">
        <f aca="false">IF(F8="Vertical","YES","NO")</f>
        <v>YES</v>
      </c>
      <c r="I8" s="2" t="str">
        <f aca="false">IF(F8="Lateral","YES","NO")</f>
        <v>NO</v>
      </c>
      <c r="J8" s="2" t="str">
        <f aca="false">IF(OR(ISNUMBER(SEARCH("hold",G8)),ISNUMBER(SEARCH("pending",G8))),"YES","NO")</f>
        <v>NO</v>
      </c>
      <c r="K8" s="2" t="str">
        <f aca="false">IF(AND(H8="YES",J8="NO"),"YES","NO")</f>
        <v>YES</v>
      </c>
      <c r="L8" s="2" t="str">
        <f aca="false">IF(K8="YES","NONE_ELIGIBLE",IF(I8="YES","LATERAL_COMPANY_ANNOUNCEMENT_PROHIBITED","PENDING_HOLD_NOT_CLEARED"))</f>
        <v>NONE_ELIGIBLE</v>
      </c>
      <c r="M8" s="2" t="str">
        <f aca="false">IF(K8="YES","YES","NO")</f>
        <v>YES</v>
      </c>
      <c r="N8" s="2" t="str">
        <f aca="false">IF(I8="YES","YES","NO")</f>
        <v>NO</v>
      </c>
      <c r="O8" s="2" t="str">
        <f aca="false">IF(N8="YES","UNAVAILABLE_IN_INPUT","N/A")</f>
        <v>N/A</v>
      </c>
      <c r="P8" s="2" t="str">
        <f aca="false">"NO"</f>
        <v>NO</v>
      </c>
      <c r="Q8" s="2" t="str">
        <f aca="false">"NO"</f>
        <v>NO</v>
      </c>
      <c r="R8" s="2" t="str">
        <f aca="false">IF(K8="YES","ELIGIBLE_COMPANY_ANNOUNCEMENT",IF(I8="YES","RECEIVING_MANAGER_COMMUNICATION_REQUIRED","PENDING_HOLD_NOT_CLEARED"))</f>
        <v>ELIGIBLE_COMPANY_ANNOUNCEMENT</v>
      </c>
      <c r="S8" s="2" t="str">
        <f aca="false">"Q1_Promotion_Roster.xlsx:Approved Promotions row "&amp;A8&amp;" | Promotion_Announcement_Context.mbox:msg_announce_policy_5112 | Promotion_Announcement_Context.mbox:msg_last_promo_5112"</f>
        <v>Q1_Promotion_Roster.xlsx:Approved Promotions row 8 | Promotion_Announcement_Context.mbox:msg_announce_policy_5112 | Promotion_Announcement_Context.mbox:msg_last_promo_5112</v>
      </c>
    </row>
    <row r="9" customFormat="false" ht="57.75" hidden="false" customHeight="true" outlineLevel="0" collapsed="false">
      <c r="A9" s="2" t="n">
        <f aca="false">Source_Roster!A9</f>
        <v>9</v>
      </c>
      <c r="B9" s="2" t="str">
        <f aca="false">Source_Roster!B9</f>
        <v>Hugo Fernandez</v>
      </c>
      <c r="C9" s="2" t="str">
        <f aca="false">Source_Roster!C9</f>
        <v>Engineering</v>
      </c>
      <c r="D9" s="2" t="str">
        <f aca="false">Source_Roster!D9</f>
        <v>Junior Engineer</v>
      </c>
      <c r="E9" s="2" t="str">
        <f aca="false">Source_Roster!E9</f>
        <v>Software Engineer</v>
      </c>
      <c r="F9" s="2" t="str">
        <f aca="false">Source_Roster!F9</f>
        <v>Vertical</v>
      </c>
      <c r="G9" s="2" t="n">
        <f aca="false">Source_Roster!G9</f>
        <v>0</v>
      </c>
      <c r="H9" s="2" t="str">
        <f aca="false">IF(F9="Vertical","YES","NO")</f>
        <v>YES</v>
      </c>
      <c r="I9" s="2" t="str">
        <f aca="false">IF(F9="Lateral","YES","NO")</f>
        <v>NO</v>
      </c>
      <c r="J9" s="2" t="str">
        <f aca="false">IF(OR(ISNUMBER(SEARCH("hold",G9)),ISNUMBER(SEARCH("pending",G9))),"YES","NO")</f>
        <v>NO</v>
      </c>
      <c r="K9" s="2" t="str">
        <f aca="false">IF(AND(H9="YES",J9="NO"),"YES","NO")</f>
        <v>YES</v>
      </c>
      <c r="L9" s="2" t="str">
        <f aca="false">IF(K9="YES","NONE_ELIGIBLE",IF(I9="YES","LATERAL_COMPANY_ANNOUNCEMENT_PROHIBITED","PENDING_HOLD_NOT_CLEARED"))</f>
        <v>NONE_ELIGIBLE</v>
      </c>
      <c r="M9" s="2" t="str">
        <f aca="false">IF(K9="YES","YES","NO")</f>
        <v>YES</v>
      </c>
      <c r="N9" s="2" t="str">
        <f aca="false">IF(I9="YES","YES","NO")</f>
        <v>NO</v>
      </c>
      <c r="O9" s="2" t="str">
        <f aca="false">IF(N9="YES","UNAVAILABLE_IN_INPUT","N/A")</f>
        <v>N/A</v>
      </c>
      <c r="P9" s="2" t="str">
        <f aca="false">"NO"</f>
        <v>NO</v>
      </c>
      <c r="Q9" s="2" t="str">
        <f aca="false">"NO"</f>
        <v>NO</v>
      </c>
      <c r="R9" s="2" t="str">
        <f aca="false">IF(K9="YES","ELIGIBLE_COMPANY_ANNOUNCEMENT",IF(I9="YES","RECEIVING_MANAGER_COMMUNICATION_REQUIRED","PENDING_HOLD_NOT_CLEARED"))</f>
        <v>ELIGIBLE_COMPANY_ANNOUNCEMENT</v>
      </c>
      <c r="S9" s="2" t="str">
        <f aca="false">"Q1_Promotion_Roster.xlsx:Approved Promotions row "&amp;A9&amp;" | Promotion_Announcement_Context.mbox:msg_announce_policy_5112 | Promotion_Announcement_Context.mbox:msg_last_promo_5112"</f>
        <v>Q1_Promotion_Roster.xlsx:Approved Promotions row 9 | Promotion_Announcement_Context.mbox:msg_announce_policy_5112 | Promotion_Announcement_Context.mbox:msg_last_promo_5112</v>
      </c>
    </row>
  </sheetData>
  <autoFilter ref="A1:S9"/>
  <conditionalFormatting sqref="R2:R9">
    <cfRule type="expression" priority="2" aboveAverage="0" equalAverage="0" bottom="0" percent="0" rank="0" text="" dxfId="6">
      <formula>R2="ELIGIBLE_COMPANY_ANNOUNCEMENT"</formula>
    </cfRule>
    <cfRule type="expression" priority="3" aboveAverage="0" equalAverage="0" bottom="0" percent="0" rank="0" text="" dxfId="7">
      <formula>R2="RECEIVING_MANAGER_COMMUNICATION_REQUIRED"</formula>
    </cfRule>
    <cfRule type="expression" priority="4" aboveAverage="0" equalAverage="0" bottom="0" percent="0" rank="0" text="" dxfId="8">
      <formula>R2="PENDING_HOLD_NOT_CLEARED"</formula>
    </cfRule>
  </conditionalFormatting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&amp;CFormula-derived eligibility · five announced / three excluded</oddFooter>
  </headerFooter>
  <drawing r:id="rId1"/>
  <tableParts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K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1.99"/>
    <col collapsed="false" customWidth="true" hidden="false" outlineLevel="0" max="3" min="3" style="0" width="22.01"/>
    <col collapsed="false" customWidth="true" hidden="false" outlineLevel="0" max="4" min="4" style="0" width="19.99"/>
    <col collapsed="false" customWidth="true" hidden="false" outlineLevel="0" max="5" min="5" style="0" width="27.99"/>
    <col collapsed="false" customWidth="true" hidden="false" outlineLevel="0" max="6" min="6" style="0" width="31.01"/>
    <col collapsed="false" customWidth="true" hidden="false" outlineLevel="0" max="7" min="7" style="0" width="40"/>
    <col collapsed="false" customWidth="true" hidden="false" outlineLevel="0" max="8" min="8" style="0" width="44"/>
    <col collapsed="false" customWidth="true" hidden="false" outlineLevel="0" max="9" min="9" style="0" width="19.99"/>
    <col collapsed="false" customWidth="true" hidden="false" outlineLevel="0" max="10" min="10" style="0" width="10"/>
    <col collapsed="false" customWidth="true" hidden="false" outlineLevel="0" max="11" min="11" style="0" width="86"/>
  </cols>
  <sheetData>
    <row r="1" customFormat="false" ht="30.75" hidden="false" customHeight="true" outlineLevel="0" collapsed="false">
      <c r="A1" s="1" t="s">
        <v>117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118</v>
      </c>
      <c r="H1" s="1" t="s">
        <v>41</v>
      </c>
      <c r="I1" s="1" t="s">
        <v>119</v>
      </c>
      <c r="J1" s="1" t="s">
        <v>120</v>
      </c>
      <c r="K1" s="1" t="s">
        <v>44</v>
      </c>
    </row>
    <row r="2" customFormat="false" ht="48" hidden="false" customHeight="true" outlineLevel="0" collapsed="false">
      <c r="A2" s="2" t="n">
        <v>1</v>
      </c>
      <c r="B2" s="2" t="n">
        <f aca="false">Eligibility_Decisions!A2</f>
        <v>2</v>
      </c>
      <c r="C2" s="2" t="str">
        <f aca="false">Eligibility_Decisions!B2</f>
        <v>Ava Chen</v>
      </c>
      <c r="D2" s="2" t="str">
        <f aca="false">Eligibility_Decisions!C2</f>
        <v>Engineering</v>
      </c>
      <c r="E2" s="2" t="str">
        <f aca="false">Eligibility_Decisions!D2</f>
        <v>Software Engineer</v>
      </c>
      <c r="F2" s="2" t="str">
        <f aca="false">Eligibility_Decisions!E2</f>
        <v>Senior Software Engineer</v>
      </c>
      <c r="G2" s="2" t="str">
        <f aca="false">"all-company@company.example.com"</f>
        <v>all-company@company.example.com</v>
      </c>
      <c r="H2" s="2" t="str">
        <f aca="false">"Q1 2026 Promotions - Congratulations!"</f>
        <v>Q1 2026 Promotions - Congratulations!</v>
      </c>
      <c r="I2" s="2" t="str">
        <f aca="false">"DRAFT_NOT_SENT"</f>
        <v>DRAFT_NOT_SENT</v>
      </c>
      <c r="J2" s="3" t="b">
        <f aca="false">FALSE()</f>
        <v>0</v>
      </c>
      <c r="K2" s="2" t="str">
        <f aca="false">"Q1_Promotion_Roster.xlsx:Approved Promotions row "&amp;B2&amp;" | Promotion_Announcement_Context.mbox:msg_announce_policy_5112"</f>
        <v>Q1_Promotion_Roster.xlsx:Approved Promotions row 2 | Promotion_Announcement_Context.mbox:msg_announce_policy_5112</v>
      </c>
    </row>
    <row r="3" customFormat="false" ht="48" hidden="false" customHeight="true" outlineLevel="0" collapsed="false">
      <c r="A3" s="2" t="n">
        <v>2</v>
      </c>
      <c r="B3" s="2" t="n">
        <f aca="false">Eligibility_Decisions!A3</f>
        <v>3</v>
      </c>
      <c r="C3" s="2" t="str">
        <f aca="false">Eligibility_Decisions!B3</f>
        <v>Brandon Osei</v>
      </c>
      <c r="D3" s="2" t="str">
        <f aca="false">Eligibility_Decisions!C3</f>
        <v>Sales</v>
      </c>
      <c r="E3" s="2" t="str">
        <f aca="false">Eligibility_Decisions!D3</f>
        <v>Account Executive</v>
      </c>
      <c r="F3" s="2" t="str">
        <f aca="false">Eligibility_Decisions!E3</f>
        <v>Senior Account Executive</v>
      </c>
      <c r="G3" s="2" t="str">
        <f aca="false">"all-company@company.example.com"</f>
        <v>all-company@company.example.com</v>
      </c>
      <c r="H3" s="2" t="str">
        <f aca="false">"Q1 2026 Promotions - Congratulations!"</f>
        <v>Q1 2026 Promotions - Congratulations!</v>
      </c>
      <c r="I3" s="2" t="str">
        <f aca="false">"DRAFT_NOT_SENT"</f>
        <v>DRAFT_NOT_SENT</v>
      </c>
      <c r="J3" s="3" t="b">
        <f aca="false">FALSE()</f>
        <v>0</v>
      </c>
      <c r="K3" s="2" t="str">
        <f aca="false">"Q1_Promotion_Roster.xlsx:Approved Promotions row "&amp;B3&amp;" | Promotion_Announcement_Context.mbox:msg_announce_policy_5112"</f>
        <v>Q1_Promotion_Roster.xlsx:Approved Promotions row 3 | Promotion_Announcement_Context.mbox:msg_announce_policy_5112</v>
      </c>
    </row>
    <row r="4" customFormat="false" ht="48" hidden="false" customHeight="true" outlineLevel="0" collapsed="false">
      <c r="A4" s="2" t="n">
        <v>3</v>
      </c>
      <c r="B4" s="2" t="n">
        <f aca="false">Eligibility_Decisions!A6</f>
        <v>6</v>
      </c>
      <c r="C4" s="2" t="str">
        <f aca="false">Eligibility_Decisions!B6</f>
        <v>Elena Vasquez</v>
      </c>
      <c r="D4" s="2" t="str">
        <f aca="false">Eligibility_Decisions!C6</f>
        <v>Engineering</v>
      </c>
      <c r="E4" s="2" t="str">
        <f aca="false">Eligibility_Decisions!D6</f>
        <v>Tech Lead</v>
      </c>
      <c r="F4" s="2" t="str">
        <f aca="false">Eligibility_Decisions!E6</f>
        <v>Engineering Manager</v>
      </c>
      <c r="G4" s="2" t="str">
        <f aca="false">"all-company@company.example.com"</f>
        <v>all-company@company.example.com</v>
      </c>
      <c r="H4" s="2" t="str">
        <f aca="false">"Q1 2026 Promotions - Congratulations!"</f>
        <v>Q1 2026 Promotions - Congratulations!</v>
      </c>
      <c r="I4" s="2" t="str">
        <f aca="false">"DRAFT_NOT_SENT"</f>
        <v>DRAFT_NOT_SENT</v>
      </c>
      <c r="J4" s="3" t="b">
        <f aca="false">FALSE()</f>
        <v>0</v>
      </c>
      <c r="K4" s="2" t="str">
        <f aca="false">"Q1_Promotion_Roster.xlsx:Approved Promotions row "&amp;B4&amp;" | Promotion_Announcement_Context.mbox:msg_announce_policy_5112"</f>
        <v>Q1_Promotion_Roster.xlsx:Approved Promotions row 6 | Promotion_Announcement_Context.mbox:msg_announce_policy_5112</v>
      </c>
    </row>
    <row r="5" customFormat="false" ht="48" hidden="false" customHeight="true" outlineLevel="0" collapsed="false">
      <c r="A5" s="2" t="n">
        <v>4</v>
      </c>
      <c r="B5" s="2" t="n">
        <f aca="false">Eligibility_Decisions!A8</f>
        <v>8</v>
      </c>
      <c r="C5" s="2" t="str">
        <f aca="false">Eligibility_Decisions!B8</f>
        <v>Greta Nilsson</v>
      </c>
      <c r="D5" s="2" t="str">
        <f aca="false">Eligibility_Decisions!C8</f>
        <v>Support</v>
      </c>
      <c r="E5" s="2" t="str">
        <f aca="false">Eligibility_Decisions!D8</f>
        <v>Support Specialist</v>
      </c>
      <c r="F5" s="2" t="str">
        <f aca="false">Eligibility_Decisions!E8</f>
        <v>Senior Support Specialist</v>
      </c>
      <c r="G5" s="2" t="str">
        <f aca="false">"all-company@company.example.com"</f>
        <v>all-company@company.example.com</v>
      </c>
      <c r="H5" s="2" t="str">
        <f aca="false">"Q1 2026 Promotions - Congratulations!"</f>
        <v>Q1 2026 Promotions - Congratulations!</v>
      </c>
      <c r="I5" s="2" t="str">
        <f aca="false">"DRAFT_NOT_SENT"</f>
        <v>DRAFT_NOT_SENT</v>
      </c>
      <c r="J5" s="3" t="b">
        <f aca="false">FALSE()</f>
        <v>0</v>
      </c>
      <c r="K5" s="2" t="str">
        <f aca="false">"Q1_Promotion_Roster.xlsx:Approved Promotions row "&amp;B5&amp;" | Promotion_Announcement_Context.mbox:msg_announce_policy_5112"</f>
        <v>Q1_Promotion_Roster.xlsx:Approved Promotions row 8 | Promotion_Announcement_Context.mbox:msg_announce_policy_5112</v>
      </c>
    </row>
    <row r="6" customFormat="false" ht="48" hidden="false" customHeight="true" outlineLevel="0" collapsed="false">
      <c r="A6" s="2" t="n">
        <v>5</v>
      </c>
      <c r="B6" s="2" t="n">
        <f aca="false">Eligibility_Decisions!A9</f>
        <v>9</v>
      </c>
      <c r="C6" s="2" t="str">
        <f aca="false">Eligibility_Decisions!B9</f>
        <v>Hugo Fernandez</v>
      </c>
      <c r="D6" s="2" t="str">
        <f aca="false">Eligibility_Decisions!C9</f>
        <v>Engineering</v>
      </c>
      <c r="E6" s="2" t="str">
        <f aca="false">Eligibility_Decisions!D9</f>
        <v>Junior Engineer</v>
      </c>
      <c r="F6" s="2" t="str">
        <f aca="false">Eligibility_Decisions!E9</f>
        <v>Software Engineer</v>
      </c>
      <c r="G6" s="2" t="str">
        <f aca="false">"all-company@company.example.com"</f>
        <v>all-company@company.example.com</v>
      </c>
      <c r="H6" s="2" t="str">
        <f aca="false">"Q1 2026 Promotions - Congratulations!"</f>
        <v>Q1 2026 Promotions - Congratulations!</v>
      </c>
      <c r="I6" s="2" t="str">
        <f aca="false">"DRAFT_NOT_SENT"</f>
        <v>DRAFT_NOT_SENT</v>
      </c>
      <c r="J6" s="3" t="b">
        <f aca="false">FALSE()</f>
        <v>0</v>
      </c>
      <c r="K6" s="2" t="str">
        <f aca="false">"Q1_Promotion_Roster.xlsx:Approved Promotions row "&amp;B6&amp;" | Promotion_Announcement_Context.mbox:msg_announce_policy_5112"</f>
        <v>Q1_Promotion_Roster.xlsx:Approved Promotions row 9 | Promotion_Announcement_Context.mbox:msg_announce_policy_5112</v>
      </c>
    </row>
  </sheetData>
  <autoFilter ref="A1:K6"/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&amp;CFive-person company email queue · zero sent</oddFooter>
  </headerFooter>
  <drawing r:id="rId1"/>
  <tableParts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1.99"/>
    <col collapsed="false" customWidth="true" hidden="false" outlineLevel="0" max="3" min="3" style="0" width="22.01"/>
    <col collapsed="false" customWidth="true" hidden="false" outlineLevel="0" max="4" min="4" style="0" width="13.01"/>
    <col collapsed="false" customWidth="true" hidden="false" outlineLevel="0" max="5" min="5" style="0" width="27.99"/>
    <col collapsed="false" customWidth="true" hidden="false" outlineLevel="0" max="6" min="6" style="0" width="28.99"/>
    <col collapsed="false" customWidth="true" hidden="false" outlineLevel="0" max="7" min="7" style="0" width="48.01"/>
    <col collapsed="false" customWidth="true" hidden="false" outlineLevel="0" max="8" min="8" style="0" width="49"/>
    <col collapsed="false" customWidth="true" hidden="false" outlineLevel="0" max="9" min="9" style="0" width="31.01"/>
    <col collapsed="false" customWidth="true" hidden="false" outlineLevel="0" max="10" min="10" style="0" width="25"/>
    <col collapsed="false" customWidth="true" hidden="false" outlineLevel="0" max="11" min="11" style="0" width="16"/>
    <col collapsed="false" customWidth="true" hidden="false" outlineLevel="0" max="12" min="12" style="0" width="10"/>
    <col collapsed="false" customWidth="true" hidden="false" outlineLevel="0" max="13" min="13" style="0" width="87"/>
  </cols>
  <sheetData>
    <row r="1" customFormat="false" ht="30.75" hidden="false" customHeight="true" outlineLevel="0" collapsed="false">
      <c r="A1" s="1" t="s">
        <v>121</v>
      </c>
      <c r="B1" s="1" t="s">
        <v>0</v>
      </c>
      <c r="C1" s="1" t="s">
        <v>1</v>
      </c>
      <c r="D1" s="1" t="s">
        <v>5</v>
      </c>
      <c r="E1" s="1" t="s">
        <v>3</v>
      </c>
      <c r="F1" s="1" t="s">
        <v>4</v>
      </c>
      <c r="G1" s="1" t="s">
        <v>6</v>
      </c>
      <c r="H1" s="1" t="s">
        <v>122</v>
      </c>
      <c r="I1" s="1" t="s">
        <v>123</v>
      </c>
      <c r="J1" s="1" t="s">
        <v>113</v>
      </c>
      <c r="K1" s="1" t="s">
        <v>124</v>
      </c>
      <c r="L1" s="1" t="s">
        <v>120</v>
      </c>
      <c r="M1" s="1" t="s">
        <v>44</v>
      </c>
    </row>
    <row r="2" customFormat="false" ht="57.75" hidden="false" customHeight="true" outlineLevel="0" collapsed="false">
      <c r="A2" s="2" t="n">
        <v>1</v>
      </c>
      <c r="B2" s="2" t="n">
        <f aca="false">Eligibility_Decisions!A4</f>
        <v>4</v>
      </c>
      <c r="C2" s="2" t="str">
        <f aca="false">Eligibility_Decisions!B4</f>
        <v>Clara Dubois</v>
      </c>
      <c r="D2" s="2" t="str">
        <f aca="false">Eligibility_Decisions!F4</f>
        <v>Lateral</v>
      </c>
      <c r="E2" s="2" t="str">
        <f aca="false">Eligibility_Decisions!D4</f>
        <v>Product Manager</v>
      </c>
      <c r="F2" s="2" t="str">
        <f aca="false">Eligibility_Decisions!E4</f>
        <v>Product Manager</v>
      </c>
      <c r="G2" s="2" t="str">
        <f aca="false">Eligibility_Decisions!G4</f>
        <v>Moving from Growth to Platform team</v>
      </c>
      <c r="H2" s="2" t="str">
        <f aca="false">Eligibility_Decisions!L4</f>
        <v>LATERAL_COMPANY_ANNOUNCEMENT_PROHIBITED</v>
      </c>
      <c r="I2" s="2" t="str">
        <f aca="false">IF(Eligibility_Decisions!I4="YES","receiving_team_manager","HR_APPROVAL_CLEARANCE")</f>
        <v>receiving_team_manager</v>
      </c>
      <c r="J2" s="2" t="str">
        <f aca="false">Eligibility_Decisions!O4</f>
        <v>UNAVAILABLE_IN_INPUT</v>
      </c>
      <c r="K2" s="3" t="b">
        <f aca="false">FALSE()</f>
        <v>0</v>
      </c>
      <c r="L2" s="3" t="b">
        <f aca="false">FALSE()</f>
        <v>0</v>
      </c>
      <c r="M2" s="2" t="str">
        <f aca="false">"Q1_Promotion_Roster.xlsx:Approved Promotions row "&amp;B2&amp;" | Promotion_Announcement_Context.mbox:msg_announce_policy_5112"</f>
        <v>Q1_Promotion_Roster.xlsx:Approved Promotions row 4 | Promotion_Announcement_Context.mbox:msg_announce_policy_5112</v>
      </c>
    </row>
    <row r="3" customFormat="false" ht="57.75" hidden="false" customHeight="true" outlineLevel="0" collapsed="false">
      <c r="A3" s="2" t="n">
        <v>2</v>
      </c>
      <c r="B3" s="2" t="n">
        <f aca="false">Eligibility_Decisions!A5</f>
        <v>5</v>
      </c>
      <c r="C3" s="2" t="str">
        <f aca="false">Eligibility_Decisions!B5</f>
        <v>Derek Holm</v>
      </c>
      <c r="D3" s="2" t="str">
        <f aca="false">Eligibility_Decisions!F5</f>
        <v>Vertical</v>
      </c>
      <c r="E3" s="2" t="str">
        <f aca="false">Eligibility_Decisions!D5</f>
        <v>Senior Engineer</v>
      </c>
      <c r="F3" s="2" t="str">
        <f aca="false">Eligibility_Decisions!E5</f>
        <v>Staff Engineer</v>
      </c>
      <c r="G3" s="2" t="str">
        <f aca="false">Eligibility_Decisions!G5</f>
        <v>Pending - awaiting final sign-off from CTO</v>
      </c>
      <c r="H3" s="2" t="str">
        <f aca="false">Eligibility_Decisions!L5</f>
        <v>PENDING_HOLD_NOT_CLEARED</v>
      </c>
      <c r="I3" s="2" t="str">
        <f aca="false">IF(Eligibility_Decisions!I5="YES","receiving_team_manager","HR_APPROVAL_CLEARANCE")</f>
        <v>HR_APPROVAL_CLEARANCE</v>
      </c>
      <c r="J3" s="2" t="str">
        <f aca="false">Eligibility_Decisions!O5</f>
        <v>N/A</v>
      </c>
      <c r="K3" s="3" t="b">
        <f aca="false">FALSE()</f>
        <v>0</v>
      </c>
      <c r="L3" s="3" t="b">
        <f aca="false">FALSE()</f>
        <v>0</v>
      </c>
      <c r="M3" s="2" t="str">
        <f aca="false">"Q1_Promotion_Roster.xlsx:Approved Promotions row "&amp;B3&amp;" | Promotion_Announcement_Context.mbox:msg_announce_policy_5112"</f>
        <v>Q1_Promotion_Roster.xlsx:Approved Promotions row 5 | Promotion_Announcement_Context.mbox:msg_announce_policy_5112</v>
      </c>
    </row>
    <row r="4" customFormat="false" ht="57.75" hidden="false" customHeight="true" outlineLevel="0" collapsed="false">
      <c r="A4" s="2" t="n">
        <v>3</v>
      </c>
      <c r="B4" s="2" t="n">
        <f aca="false">Eligibility_Decisions!A7</f>
        <v>7</v>
      </c>
      <c r="C4" s="2" t="str">
        <f aca="false">Eligibility_Decisions!B7</f>
        <v>Faisal Rahman</v>
      </c>
      <c r="D4" s="2" t="str">
        <f aca="false">Eligibility_Decisions!F7</f>
        <v>Lateral</v>
      </c>
      <c r="E4" s="2" t="str">
        <f aca="false">Eligibility_Decisions!D7</f>
        <v>Marketing Analyst</v>
      </c>
      <c r="F4" s="2" t="str">
        <f aca="false">Eligibility_Decisions!E7</f>
        <v>Marketing Analyst</v>
      </c>
      <c r="G4" s="2" t="str">
        <f aca="false">Eligibility_Decisions!G7</f>
        <v>Transfer to EMEA team</v>
      </c>
      <c r="H4" s="2" t="str">
        <f aca="false">Eligibility_Decisions!L7</f>
        <v>LATERAL_COMPANY_ANNOUNCEMENT_PROHIBITED</v>
      </c>
      <c r="I4" s="2" t="str">
        <f aca="false">IF(Eligibility_Decisions!I7="YES","receiving_team_manager","HR_APPROVAL_CLEARANCE")</f>
        <v>receiving_team_manager</v>
      </c>
      <c r="J4" s="2" t="str">
        <f aca="false">Eligibility_Decisions!O7</f>
        <v>UNAVAILABLE_IN_INPUT</v>
      </c>
      <c r="K4" s="3" t="b">
        <f aca="false">FALSE()</f>
        <v>0</v>
      </c>
      <c r="L4" s="3" t="b">
        <f aca="false">FALSE()</f>
        <v>0</v>
      </c>
      <c r="M4" s="2" t="str">
        <f aca="false">"Q1_Promotion_Roster.xlsx:Approved Promotions row "&amp;B4&amp;" | Promotion_Announcement_Context.mbox:msg_announce_policy_5112"</f>
        <v>Q1_Promotion_Roster.xlsx:Approved Promotions row 7 | Promotion_Announcement_Context.mbox:msg_announce_policy_5112</v>
      </c>
    </row>
  </sheetData>
  <autoFilter ref="A1:M4"/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&amp;CThree policy exclusions · zero invented drafts</oddFooter>
  </headerFooter>
  <drawing r:id="rId1"/>
  <tableParts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36.99"/>
    <col collapsed="false" customWidth="true" hidden="false" outlineLevel="0" max="2" min="2" style="0" width="19"/>
    <col collapsed="false" customWidth="true" hidden="false" outlineLevel="0" max="3" min="3" style="0" width="14.01"/>
    <col collapsed="false" customWidth="true" hidden="false" outlineLevel="0" max="4" min="4" style="0" width="57"/>
    <col collapsed="false" customWidth="true" hidden="false" outlineLevel="0" max="5" min="5" style="0" width="54.99"/>
  </cols>
  <sheetData>
    <row r="1" customFormat="false" ht="30.75" hidden="false" customHeight="true" outlineLevel="0" collapsed="false">
      <c r="A1" s="1" t="s">
        <v>125</v>
      </c>
      <c r="B1" s="1" t="s">
        <v>126</v>
      </c>
      <c r="C1" s="1" t="s">
        <v>127</v>
      </c>
      <c r="D1" s="1" t="s">
        <v>128</v>
      </c>
      <c r="E1" s="1" t="s">
        <v>44</v>
      </c>
    </row>
    <row r="2" customFormat="false" ht="34.5" hidden="false" customHeight="true" outlineLevel="0" collapsed="false">
      <c r="A2" s="2" t="s">
        <v>129</v>
      </c>
      <c r="B2" s="2" t="n">
        <f aca="false">COUNTA(Eligibility_Decisions!A2:A9)</f>
        <v>8</v>
      </c>
      <c r="C2" s="2" t="n">
        <v>8</v>
      </c>
      <c r="D2" s="2" t="s">
        <v>130</v>
      </c>
      <c r="E2" s="2" t="s">
        <v>131</v>
      </c>
    </row>
    <row r="3" customFormat="false" ht="34.5" hidden="false" customHeight="true" outlineLevel="0" collapsed="false">
      <c r="A3" s="2" t="s">
        <v>132</v>
      </c>
      <c r="B3" s="2" t="n">
        <f aca="false">COUNTIF(Eligibility_Decisions!H2:H9,"YES")</f>
        <v>6</v>
      </c>
      <c r="C3" s="2" t="n">
        <v>6</v>
      </c>
      <c r="D3" s="2" t="s">
        <v>133</v>
      </c>
      <c r="E3" s="2" t="s">
        <v>131</v>
      </c>
    </row>
    <row r="4" customFormat="false" ht="34.5" hidden="false" customHeight="true" outlineLevel="0" collapsed="false">
      <c r="A4" s="2" t="s">
        <v>134</v>
      </c>
      <c r="B4" s="2" t="n">
        <f aca="false">COUNTIF(Eligibility_Decisions!I2:I9,"YES")</f>
        <v>2</v>
      </c>
      <c r="C4" s="2" t="n">
        <v>2</v>
      </c>
      <c r="D4" s="2" t="s">
        <v>135</v>
      </c>
      <c r="E4" s="2" t="s">
        <v>131</v>
      </c>
    </row>
    <row r="5" customFormat="false" ht="34.5" hidden="false" customHeight="true" outlineLevel="0" collapsed="false">
      <c r="A5" s="2" t="s">
        <v>136</v>
      </c>
      <c r="B5" s="2" t="n">
        <f aca="false">COUNTIF(Eligibility_Decisions!J2:J9,"YES")</f>
        <v>1</v>
      </c>
      <c r="C5" s="2" t="n">
        <v>1</v>
      </c>
      <c r="D5" s="2" t="s">
        <v>137</v>
      </c>
      <c r="E5" s="2" t="s">
        <v>131</v>
      </c>
    </row>
    <row r="6" customFormat="false" ht="34.5" hidden="false" customHeight="true" outlineLevel="0" collapsed="false">
      <c r="A6" s="2" t="s">
        <v>138</v>
      </c>
      <c r="B6" s="2" t="n">
        <f aca="false">COUNTIF(Eligibility_Decisions!K2:K9,"YES")</f>
        <v>5</v>
      </c>
      <c r="C6" s="2" t="n">
        <v>5</v>
      </c>
      <c r="D6" s="2" t="s">
        <v>139</v>
      </c>
      <c r="E6" s="2" t="s">
        <v>131</v>
      </c>
    </row>
    <row r="7" customFormat="false" ht="34.5" hidden="false" customHeight="true" outlineLevel="0" collapsed="false">
      <c r="A7" s="2" t="s">
        <v>140</v>
      </c>
      <c r="B7" s="2" t="n">
        <f aca="false">COUNTIF(Eligibility_Decisions!K2:K9,"NO")</f>
        <v>3</v>
      </c>
      <c r="C7" s="2" t="n">
        <v>3</v>
      </c>
      <c r="D7" s="2" t="s">
        <v>141</v>
      </c>
      <c r="E7" s="2" t="s">
        <v>131</v>
      </c>
    </row>
    <row r="8" customFormat="false" ht="34.5" hidden="false" customHeight="true" outlineLevel="0" collapsed="false">
      <c r="A8" s="2" t="s">
        <v>142</v>
      </c>
      <c r="B8" s="2" t="n">
        <f aca="false">COUNTIF(Eligibility_Decisions!N2:N9,"YES")</f>
        <v>2</v>
      </c>
      <c r="C8" s="2" t="n">
        <v>2</v>
      </c>
      <c r="D8" s="2" t="s">
        <v>143</v>
      </c>
      <c r="E8" s="2" t="s">
        <v>131</v>
      </c>
    </row>
    <row r="9" customFormat="false" ht="34.5" hidden="false" customHeight="true" outlineLevel="0" collapsed="false">
      <c r="A9" s="2" t="s">
        <v>144</v>
      </c>
      <c r="B9" s="2" t="n">
        <f aca="false">COUNTIF(Eligibility_Decisions!O2:O9,"&lt;&gt;UNAVAILABLE_IN_INPUT")-COUNTIF(Eligibility_Decisions!O2:O9,"N/A")</f>
        <v>0</v>
      </c>
      <c r="C9" s="2" t="n">
        <v>0</v>
      </c>
      <c r="D9" s="2" t="s">
        <v>145</v>
      </c>
      <c r="E9" s="2" t="s">
        <v>131</v>
      </c>
    </row>
    <row r="10" customFormat="false" ht="34.5" hidden="false" customHeight="true" outlineLevel="0" collapsed="false">
      <c r="A10" s="2" t="s">
        <v>146</v>
      </c>
      <c r="B10" s="2" t="n">
        <f aca="false">1</f>
        <v>1</v>
      </c>
      <c r="C10" s="2" t="n">
        <v>1</v>
      </c>
      <c r="D10" s="2" t="s">
        <v>147</v>
      </c>
      <c r="E10" s="2" t="s">
        <v>131</v>
      </c>
    </row>
    <row r="11" customFormat="false" ht="34.5" hidden="false" customHeight="true" outlineLevel="0" collapsed="false">
      <c r="A11" s="2" t="s">
        <v>148</v>
      </c>
      <c r="B11" s="2" t="n">
        <f aca="false">COUNTIF(Company_Announcement_Queue!J2:J6,TRUE())</f>
        <v>0</v>
      </c>
      <c r="C11" s="2" t="n">
        <v>0</v>
      </c>
      <c r="D11" s="2" t="s">
        <v>149</v>
      </c>
      <c r="E11" s="2" t="s">
        <v>131</v>
      </c>
    </row>
    <row r="12" customFormat="false" ht="34.5" hidden="false" customHeight="true" outlineLevel="0" collapsed="false">
      <c r="A12" s="2" t="s">
        <v>150</v>
      </c>
      <c r="B12" s="2" t="n">
        <f aca="false">COUNTIF(Exclusion_Queue!K2:K4,TRUE())</f>
        <v>0</v>
      </c>
      <c r="C12" s="2" t="n">
        <v>0</v>
      </c>
      <c r="D12" s="2" t="s">
        <v>151</v>
      </c>
      <c r="E12" s="2" t="s">
        <v>131</v>
      </c>
    </row>
    <row r="13" customFormat="false" ht="34.5" hidden="false" customHeight="true" outlineLevel="0" collapsed="false">
      <c r="A13" s="2" t="s">
        <v>152</v>
      </c>
      <c r="B13" s="2" t="n">
        <f aca="false">0</f>
        <v>0</v>
      </c>
      <c r="C13" s="2" t="n">
        <v>0</v>
      </c>
      <c r="D13" s="2" t="s">
        <v>153</v>
      </c>
      <c r="E13" s="2" t="s">
        <v>131</v>
      </c>
    </row>
    <row r="14" customFormat="false" ht="34.5" hidden="false" customHeight="true" outlineLevel="0" collapsed="false">
      <c r="A14" s="2" t="s">
        <v>154</v>
      </c>
      <c r="B14" s="2" t="n">
        <f aca="false">0</f>
        <v>0</v>
      </c>
      <c r="C14" s="2" t="n">
        <v>0</v>
      </c>
      <c r="D14" s="2" t="s">
        <v>155</v>
      </c>
      <c r="E14" s="2" t="s">
        <v>131</v>
      </c>
    </row>
  </sheetData>
  <autoFilter ref="A1:E14"/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&amp;CFormula summary · five eligible / three excluded / zero side effects</oddFooter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2026-04-15T09:00:00Z</dcterms:created>
  <dc:creator>openpyxl</dc:creator>
  <dc:description/>
  <dc:language>en-US</dc:language>
  <cp:lastModifiedBy>EvoCowork</cp:lastModifiedBy>
  <dcterms:modified xsi:type="dcterms:W3CDTF">2026-04-15T09:00:00Z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