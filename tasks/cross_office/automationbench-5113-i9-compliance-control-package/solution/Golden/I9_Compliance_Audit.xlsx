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9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Hires" sheetId="1" state="visible" r:id="rId2"/>
    <sheet name="Policy_Source" sheetId="2" state="visible" r:id="rId3"/>
    <sheet name="Policy_Rules" sheetId="3" state="visible" r:id="rId4"/>
    <sheet name="Evidence_Register" sheetId="4" state="visible" r:id="rId5"/>
    <sheet name="Compliance_Decisions" sheetId="5" state="visible" r:id="rId6"/>
    <sheet name="Reminder_Queue" sheetId="6" state="visible" r:id="rId7"/>
    <sheet name="Legal_Violation_Queue" sheetId="7" state="visible" r:id="rId8"/>
    <sheet name="No_Action_Queue" sheetId="8" state="visible" r:id="rId9"/>
    <sheet name="Control_Summary" sheetId="9" state="visible" r:id="rId10"/>
  </sheets>
  <definedNames>
    <definedName function="false" hidden="false" localSheetId="4" name="_xlnm.Print_Area" vbProcedure="false">Compliance_Decisions!$A$1:$R$9</definedName>
    <definedName function="false" hidden="true" localSheetId="4" name="_xlnm._FilterDatabase" vbProcedure="false">Compliance_Decisions!$A$1:$R$9</definedName>
    <definedName function="false" hidden="false" localSheetId="8" name="_xlnm.Print_Area" vbProcedure="false">Control_Summary!$A$1:$E$14</definedName>
    <definedName function="false" hidden="true" localSheetId="8" name="_xlnm._FilterDatabase" vbProcedure="false">Control_Summary!$A$1:$E$14</definedName>
    <definedName function="false" hidden="false" localSheetId="3" name="_xlnm.Print_Area" vbProcedure="false">Evidence_Register!$A$1:$E$12</definedName>
    <definedName function="false" hidden="true" localSheetId="3" name="_xlnm._FilterDatabase" vbProcedure="false">Evidence_Register!$A$1:$E$12</definedName>
    <definedName function="false" hidden="false" localSheetId="6" name="_xlnm.Print_Area" vbProcedure="false">Legal_Violation_Queue!$A$1:$K$5</definedName>
    <definedName function="false" hidden="true" localSheetId="6" name="_xlnm._FilterDatabase" vbProcedure="false">Legal_Violation_Queue!$A$1:$K$5</definedName>
    <definedName function="false" hidden="false" localSheetId="7" name="_xlnm.Print_Area" vbProcedure="false">No_Action_Queue!$A$1:$H$2</definedName>
    <definedName function="false" hidden="true" localSheetId="7" name="_xlnm._FilterDatabase" vbProcedure="false">No_Action_Queue!$A$1:$H$2</definedName>
    <definedName function="false" hidden="false" localSheetId="2" name="_xlnm.Print_Area" vbProcedure="false">Policy_Rules!$A$1:$D$8</definedName>
    <definedName function="false" hidden="true" localSheetId="2" name="_xlnm._FilterDatabase" vbProcedure="false">Policy_Rules!$A$1:$D$8</definedName>
    <definedName function="false" hidden="false" localSheetId="1" name="_xlnm.Print_Area" vbProcedure="false">Policy_Source!$A$1:$G$2</definedName>
    <definedName function="false" hidden="true" localSheetId="1" name="_xlnm._FilterDatabase" vbProcedure="false">Policy_Source!$A$1:$G$2</definedName>
    <definedName function="false" hidden="false" localSheetId="5" name="_xlnm.Print_Area" vbProcedure="false">Reminder_Queue!$A$1:$L$4</definedName>
    <definedName function="false" hidden="true" localSheetId="5" name="_xlnm._FilterDatabase" vbProcedure="false">Reminder_Queue!$A$1:$L$4</definedName>
    <definedName function="false" hidden="false" localSheetId="0" name="_xlnm.Print_Area" vbProcedure="false">Source_Hires!$A$1:$G$9</definedName>
    <definedName function="false" hidden="true" localSheetId="0" name="_xlnm._FilterDatabase" vbProcedure="false">Source_Hires!$A$1:$G$9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<sst xmlns="http://schemas.openxmlformats.org/spreadsheetml/2006/main" count="239" uniqueCount="156">
  <si>
    <t xml:space="preserve">Source Row</t>
  </si>
  <si>
    <t xml:space="preserve">Employee</t>
  </si>
  <si>
    <t xml:space="preserve">Employee Email</t>
  </si>
  <si>
    <t xml:space="preserve">Manager Email</t>
  </si>
  <si>
    <t xml:space="preserve">Start Date</t>
  </si>
  <si>
    <t xml:space="preserve">I-9 Status</t>
  </si>
  <si>
    <t xml:space="preserve">Notes</t>
  </si>
  <si>
    <t xml:space="preserve">Amara Obi</t>
  </si>
  <si>
    <t xml:space="preserve">amara.obi@company.example.com</t>
  </si>
  <si>
    <t xml:space="preserve">mgr-eng@company.example.com</t>
  </si>
  <si>
    <t xml:space="preserve">2026-04-14</t>
  </si>
  <si>
    <t xml:space="preserve">Incomplete</t>
  </si>
  <si>
    <t xml:space="preserve">Boris Petrov</t>
  </si>
  <si>
    <t xml:space="preserve">boris.petrov@company.example.com</t>
  </si>
  <si>
    <t xml:space="preserve">mgr-sales@company.example.com</t>
  </si>
  <si>
    <t xml:space="preserve">2026-04-07</t>
  </si>
  <si>
    <t xml:space="preserve">Cassie Lin</t>
  </si>
  <si>
    <t xml:space="preserve">cassie.lin@company.example.com</t>
  </si>
  <si>
    <t xml:space="preserve">2026-04-10</t>
  </si>
  <si>
    <t xml:space="preserve">Complete</t>
  </si>
  <si>
    <t xml:space="preserve">Dmitri Volkov</t>
  </si>
  <si>
    <t xml:space="preserve">dmitri.volkov@company.example.com</t>
  </si>
  <si>
    <t xml:space="preserve">mgr-mkt@company.example.com</t>
  </si>
  <si>
    <t xml:space="preserve">2026-04-01</t>
  </si>
  <si>
    <t xml:space="preserve">Esme Nakamura</t>
  </si>
  <si>
    <t xml:space="preserve">esme.nakamura@company.example.com</t>
  </si>
  <si>
    <t xml:space="preserve">2026-04-11</t>
  </si>
  <si>
    <t xml:space="preserve">Frankie Reeves</t>
  </si>
  <si>
    <t xml:space="preserve">frankie.reeves@company.example.com</t>
  </si>
  <si>
    <t xml:space="preserve">2026-03-25</t>
  </si>
  <si>
    <t xml:space="preserve">Gina Torres</t>
  </si>
  <si>
    <t xml:space="preserve">gina.torres@company.example.com</t>
  </si>
  <si>
    <t xml:space="preserve">2026-04-15</t>
  </si>
  <si>
    <t xml:space="preserve">Hank Morrison</t>
  </si>
  <si>
    <t xml:space="preserve">hank.morrison@company.example.com</t>
  </si>
  <si>
    <t xml:space="preserve">2026-04-08</t>
  </si>
  <si>
    <t xml:space="preserve">Message ID</t>
  </si>
  <si>
    <t xml:space="preserve">From</t>
  </si>
  <si>
    <t xml:space="preserve">To</t>
  </si>
  <si>
    <t xml:space="preserve">Subject</t>
  </si>
  <si>
    <t xml:space="preserve">Date</t>
  </si>
  <si>
    <t xml:space="preserve">Full Body</t>
  </si>
  <si>
    <t xml:space="preserve">Source Trace</t>
  </si>
  <si>
    <t xml:space="preserve">msg_i9_policy_5113</t>
  </si>
  <si>
    <t xml:space="preserve">legal@company.example.com</t>
  </si>
  <si>
    <t xml:space="preserve">hr-ops@company.example.com</t>
  </si>
  <si>
    <t xml:space="preserve">Employment Verification Compliance Guide</t>
  </si>
  <si>
    <t xml:space="preserve">Mon, 05 Jan 2026 08:00:00 +0000</t>
  </si>
  <si>
    <t xml:space="preserve">EMPLOYMENT VERIFICATION COMPLIANCE GUIDE
Section 1: Overview
All new hires must complete Form I-9 verification. This guide outlines our internal compliance tracking procedures.
Section 2: Employee Responsibilities
Employees must present acceptable identity and work authorization documents. List A documents establish both identity and authorization. List B + List C documents establish identity and authorization separately.
Section 3: Employer Responsibilities
The employer must examine documents and complete Section 2 of Form I-9 within 3 business days of the employee's start date.
Section 4: Tracking
For employees whose verification is incomplete:
- If still within the 3-business-day window: Send a reminder email to the employee with subject 'I-9 Reminder' and CC their manager. Update Status to 'Reminder Sent'.
- If past the 3-business-day window: This is a compliance violation. Email the legal team (legal@company.example.com) immediately with the employee name and start date. Update Status to 'Violation - Legal Notified'.
Section 5: Record Retention
I-9 forms must be retained for 3 years after hire or 1 year after termination, whichever is later.
Section 6: Audits
Internal audits are conducted quarterly.</t>
  </si>
  <si>
    <t xml:space="preserve">Employment_Verification_Policy.mbox:msg_i9_policy_5113</t>
  </si>
  <si>
    <t xml:space="preserve">Rule Order</t>
  </si>
  <si>
    <t xml:space="preserve">Rule</t>
  </si>
  <si>
    <t xml:space="preserve">Exact Requirement</t>
  </si>
  <si>
    <t xml:space="preserve">Overview</t>
  </si>
  <si>
    <t xml:space="preserve">All new hires must complete Form I-9 verification.</t>
  </si>
  <si>
    <t xml:space="preserve">Employee documents</t>
  </si>
  <si>
    <t xml:space="preserve">List A establishes identity and authorization; List B + List C establish them separately.</t>
  </si>
  <si>
    <t xml:space="preserve">Employer deadline</t>
  </si>
  <si>
    <t xml:space="preserve">Complete Section 2 within 3 business days of the employee's start date.</t>
  </si>
  <si>
    <t xml:space="preserve">Incomplete within window</t>
  </si>
  <si>
    <t xml:space="preserve">Send employee an 'I-9 Reminder', CC the manager, and update Status to 'Reminder Sent'.</t>
  </si>
  <si>
    <t xml:space="preserve">Incomplete past window</t>
  </si>
  <si>
    <t xml:space="preserve">Email legal@company.example.com with employee name and start date; update Status to 'Violation - Legal Notified'.</t>
  </si>
  <si>
    <t xml:space="preserve">Record retention</t>
  </si>
  <si>
    <t xml:space="preserve">Retain I-9 forms for 3 years after hire or 1 year after termination, whichever is later.</t>
  </si>
  <si>
    <t xml:space="preserve">Audits</t>
  </si>
  <si>
    <t xml:space="preserve">Internal audits are conducted quarterly.</t>
  </si>
  <si>
    <t xml:space="preserve">Evidence ID</t>
  </si>
  <si>
    <t xml:space="preserve">Type</t>
  </si>
  <si>
    <t xml:space="preserve">Authority / Subject</t>
  </si>
  <si>
    <t xml:space="preserve">Captured Value / Full Body</t>
  </si>
  <si>
    <t xml:space="preserve">E-ROW-2</t>
  </si>
  <si>
    <t xml:space="preserve">Source tracker row</t>
  </si>
  <si>
    <t xml:space="preserve">Amara Obi | amara.obi@company.example.com | mgr-eng@company.example.com | 2026-04-14 | Incomplete | </t>
  </si>
  <si>
    <t xml:space="preserve">I9_Verification_Tracker.xlsx:Recent Hires row 2</t>
  </si>
  <si>
    <t xml:space="preserve">E-ROW-3</t>
  </si>
  <si>
    <t xml:space="preserve">Boris Petrov | boris.petrov@company.example.com | mgr-sales@company.example.com | 2026-04-07 | Incomplete | </t>
  </si>
  <si>
    <t xml:space="preserve">I9_Verification_Tracker.xlsx:Recent Hires row 3</t>
  </si>
  <si>
    <t xml:space="preserve">E-ROW-4</t>
  </si>
  <si>
    <t xml:space="preserve">Cassie Lin | cassie.lin@company.example.com | mgr-eng@company.example.com | 2026-04-10 | Complete | </t>
  </si>
  <si>
    <t xml:space="preserve">I9_Verification_Tracker.xlsx:Recent Hires row 4</t>
  </si>
  <si>
    <t xml:space="preserve">E-ROW-5</t>
  </si>
  <si>
    <t xml:space="preserve">Dmitri Volkov | dmitri.volkov@company.example.com | mgr-mkt@company.example.com | 2026-04-01 | Incomplete | </t>
  </si>
  <si>
    <t xml:space="preserve">I9_Verification_Tracker.xlsx:Recent Hires row 5</t>
  </si>
  <si>
    <t xml:space="preserve">E-ROW-6</t>
  </si>
  <si>
    <t xml:space="preserve">Esme Nakamura | esme.nakamura@company.example.com | mgr-sales@company.example.com | 2026-04-11 | Incomplete | </t>
  </si>
  <si>
    <t xml:space="preserve">I9_Verification_Tracker.xlsx:Recent Hires row 6</t>
  </si>
  <si>
    <t xml:space="preserve">E-ROW-7</t>
  </si>
  <si>
    <t xml:space="preserve">Frankie Reeves | frankie.reeves@company.example.com | mgr-eng@company.example.com | 2026-03-25 | Incomplete | </t>
  </si>
  <si>
    <t xml:space="preserve">I9_Verification_Tracker.xlsx:Recent Hires row 7</t>
  </si>
  <si>
    <t xml:space="preserve">E-ROW-8</t>
  </si>
  <si>
    <t xml:space="preserve">Gina Torres | gina.torres@company.example.com | mgr-mkt@company.example.com | 2026-04-15 | Incomplete | </t>
  </si>
  <si>
    <t xml:space="preserve">I9_Verification_Tracker.xlsx:Recent Hires row 8</t>
  </si>
  <si>
    <t xml:space="preserve">E-ROW-9</t>
  </si>
  <si>
    <t xml:space="preserve">Hank Morrison | hank.morrison@company.example.com | mgr-sales@company.example.com | 2026-04-08 | Incomplete | </t>
  </si>
  <si>
    <t xml:space="preserve">I9_Verification_Tracker.xlsx:Recent Hires row 9</t>
  </si>
  <si>
    <t xml:space="preserve">E-msg_i9_policy_5113</t>
  </si>
  <si>
    <t xml:space="preserve">Authoritative email</t>
  </si>
  <si>
    <t xml:space="preserve">legal@company.example.com | Employment Verification Compliance Guide</t>
  </si>
  <si>
    <t xml:space="preserve">E-TIME</t>
  </si>
  <si>
    <t xml:space="preserve">Frozen runtime</t>
  </si>
  <si>
    <t xml:space="preserve">Workflow context</t>
  </si>
  <si>
    <t xml:space="preserve">2026-04-15T09:00:00Z</t>
  </si>
  <si>
    <t xml:space="preserve">Workflow_Context.json:meta.current_time</t>
  </si>
  <si>
    <t xml:space="preserve">E-CHANNEL-C_HR_5113</t>
  </si>
  <si>
    <t xml:space="preserve">Channel snapshot</t>
  </si>
  <si>
    <t xml:space="preserve">C_HR_5113 / hr-general</t>
  </si>
  <si>
    <t xml:space="preserve">{"id":"C_HR_5113","name":"hr-general","is_private":false}</t>
  </si>
  <si>
    <t xml:space="preserve">Slack_Channels.json:C_HR_5113</t>
  </si>
  <si>
    <t xml:space="preserve">Source Status</t>
  </si>
  <si>
    <t xml:space="preserve">Third Business-Day Deadline</t>
  </si>
  <si>
    <t xml:space="preserve">Elapsed Business Days</t>
  </si>
  <si>
    <t xml:space="preserve">Within Window</t>
  </si>
  <si>
    <t xml:space="preserve">Reminder Route</t>
  </si>
  <si>
    <t xml:space="preserve">Legal Route</t>
  </si>
  <si>
    <t xml:space="preserve">No Action Route</t>
  </si>
  <si>
    <t xml:space="preserve">Proposed Status</t>
  </si>
  <si>
    <t xml:space="preserve">Email Draft</t>
  </si>
  <si>
    <t xml:space="preserve">Slack Route</t>
  </si>
  <si>
    <t xml:space="preserve">Order</t>
  </si>
  <si>
    <t xml:space="preserve">Manager Email (Cc)</t>
  </si>
  <si>
    <t xml:space="preserve">Deadline</t>
  </si>
  <si>
    <t xml:space="preserve">State</t>
  </si>
  <si>
    <t xml:space="preserve">Sent</t>
  </si>
  <si>
    <t xml:space="preserve">Recipient</t>
  </si>
  <si>
    <t xml:space="preserve">Reason</t>
  </si>
  <si>
    <t xml:space="preserve">Tracker Update</t>
  </si>
  <si>
    <t xml:space="preserve">Metric</t>
  </si>
  <si>
    <t xml:space="preserve">Formula Value</t>
  </si>
  <si>
    <t xml:space="preserve">Expected</t>
  </si>
  <si>
    <t xml:space="preserve">Control Interpretation</t>
  </si>
  <si>
    <t xml:space="preserve">Total hires</t>
  </si>
  <si>
    <t xml:space="preserve">All source rows covered</t>
  </si>
  <si>
    <t xml:space="preserve">Compliance_Decisions + controlled queues</t>
  </si>
  <si>
    <t xml:space="preserve">Seven incomplete records</t>
  </si>
  <si>
    <t xml:space="preserve">Cassie only</t>
  </si>
  <si>
    <t xml:space="preserve">Reminder routes</t>
  </si>
  <si>
    <t xml:space="preserve">Amara, Esme, Gina</t>
  </si>
  <si>
    <t xml:space="preserve">Legal violation routes</t>
  </si>
  <si>
    <t xml:space="preserve">Boris, Dmitri, Frankie, Hank</t>
  </si>
  <si>
    <t xml:space="preserve">No action routes</t>
  </si>
  <si>
    <t xml:space="preserve">Complete source status</t>
  </si>
  <si>
    <t xml:space="preserve">Email drafts</t>
  </si>
  <si>
    <t xml:space="preserve">Three reminder + four legal</t>
  </si>
  <si>
    <t xml:space="preserve">Emails sent</t>
  </si>
  <si>
    <t xml:space="preserve">DRAFT_NOT_SENT</t>
  </si>
  <si>
    <t xml:space="preserve">Tracker update drafts</t>
  </si>
  <si>
    <t xml:space="preserve">Proposed only</t>
  </si>
  <si>
    <t xml:space="preserve">Tracker updates applied</t>
  </si>
  <si>
    <t xml:space="preserve">No external mutation</t>
  </si>
  <si>
    <t xml:space="preserve">Slack drafts</t>
  </si>
  <si>
    <t xml:space="preserve">Channel not authorized</t>
  </si>
  <si>
    <t xml:space="preserve">Slack posts</t>
  </si>
  <si>
    <t xml:space="preserve">No side effects</t>
  </si>
  <si>
    <t xml:space="preserve">Real side effects</t>
  </si>
  <si>
    <t xml:space="preserve">Offline governance package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</si>
</sst>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.2"/>
      <color rgb="FFFFFFFF"/>
      <name val="Aptos"/>
      <family val="0"/>
      <charset val="1"/>
    </font>
    <font>
      <sz val="8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I-9 routing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Control_Summary!$A$5:$A$7</c:f>
              <c:strCache>
                <c:ptCount val="3"/>
                <c:pt idx="0">
                  <c:v>Reminder routes</c:v>
                </c:pt>
                <c:pt idx="1">
                  <c:v>Legal violation routes</c:v>
                </c:pt>
                <c:pt idx="2">
                  <c:v>No action routes</c:v>
                </c:pt>
              </c:strCache>
            </c:strRef>
          </c:cat>
          <c:val>
            <c:numRef>
              <c:f>Control_Summary!$B$5:$B$7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51130001"/>
        <c:axId val="51130002"/>
      </c:barChart>
      <c:catAx>
        <c:axId val="5113000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Records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30002"/>
        <c:crosses val="autoZero"/>
        <c:auto val="1"/>
        <c:lblAlgn val="ctr"/>
        <c:lblOffset val="100"/>
        <c:noMultiLvlLbl val="0"/>
      </c:catAx>
      <c:valAx>
        <c:axId val="5113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3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13</xdr:col>
      <xdr:colOff>214560</xdr:colOff>
      <xdr:row>12</xdr:row>
      <xdr:rowOff>172080</xdr:rowOff>
    </xdr:to>
    <xdr:graphicFrame>
      <xdr:nvGraphicFramePr>
        <xdr:cNvPr id="0" name="Chart 1"/>
        <xdr:cNvGraphicFramePr/>
      </xdr:nvGraphicFramePr>
      <xdr:xfrm>
        <a:off x="13877280" y="390600"/>
        <a:ext cx="4499640" cy="22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9ComplianceDecisions" displayName="I9ComplianceDecisions" ref="A1:R9" headerRowCount="1" totalsRowCount="0" totalsRowShown="0">
  <autoFilter ref="A1:R9"/>
  <tableColumns count="18">
    <tableColumn id="1" name="Source Row"/>
    <tableColumn id="2" name="Employee"/>
    <tableColumn id="3" name="Employee Email"/>
    <tableColumn id="4" name="Manager Email"/>
    <tableColumn id="5" name="Start Date"/>
    <tableColumn id="6" name="Source Status"/>
    <tableColumn id="7" name="Notes"/>
    <tableColumn id="8" name="Third Business-Day Deadline"/>
    <tableColumn id="9" name="Elapsed Business Days"/>
    <tableColumn id="10" name="Complete"/>
    <tableColumn id="11" name="Within Window"/>
    <tableColumn id="12" name="Reminder Route"/>
    <tableColumn id="13" name="Legal Route"/>
    <tableColumn id="14" name="No Action Route"/>
    <tableColumn id="15" name="Proposed Status"/>
    <tableColumn id="16" name="Email Draft"/>
    <tableColumn id="17" name="Slack Route"/>
    <tableColumn id="18" name="Source Trace"/>
  </tableColumns>
</table>
</file>

<file path=xl/tables/table2.xml><?xml version="1.0" encoding="utf-8"?>
<table xmlns="http://schemas.openxmlformats.org/spreadsheetml/2006/main" id="2" name="I9ControlSummary" displayName="I9ControlSummary" ref="A1:E14" headerRowCount="1" totalsRowCount="0" totalsRowShown="0">
  <autoFilter ref="A1:E14"/>
  <tableColumns count="5">
    <tableColumn id="1" name="Metric"/>
    <tableColumn id="2" name="Formula Value"/>
    <tableColumn id="3" name="Expected"/>
    <tableColumn id="4" name="Control Interpretation"/>
    <tableColumn id="5" name="Source Trace"/>
  </tableColumns>
</table>
</file>

<file path=xl/tables/table3.xml><?xml version="1.0" encoding="utf-8"?>
<table xmlns="http://schemas.openxmlformats.org/spreadsheetml/2006/main" id="3" name="I9EvidenceRegister" displayName="I9EvidenceRegister" ref="A1:E12" headerRowCount="1" totalsRowCount="0" totalsRowShown="0">
  <autoFilter ref="A1:E12"/>
  <tableColumns count="5">
    <tableColumn id="1" name="Evidence ID"/>
    <tableColumn id="2" name="Type"/>
    <tableColumn id="3" name="Authority / Subject"/>
    <tableColumn id="4" name="Captured Value / Full Body"/>
    <tableColumn id="5" name="Source Trace"/>
  </tableColumns>
</table>
</file>

<file path=xl/tables/table4.xml><?xml version="1.0" encoding="utf-8"?>
<table xmlns="http://schemas.openxmlformats.org/spreadsheetml/2006/main" id="4" name="I9LegalViolationQueue" displayName="I9LegalViolationQueue" ref="A1:K5" headerRowCount="1" totalsRowCount="0" totalsRowShown="0">
  <autoFilter ref="A1:K5"/>
  <tableColumns count="11">
    <tableColumn id="1" name="Order"/>
    <tableColumn id="2" name="Source Row"/>
    <tableColumn id="3" name="Employee"/>
    <tableColumn id="4" name="Start Date"/>
    <tableColumn id="5" name="Deadline"/>
    <tableColumn id="6" name="Elapsed Business Days"/>
    <tableColumn id="7" name="Recipient"/>
    <tableColumn id="8" name="Subject"/>
    <tableColumn id="9" name="State"/>
    <tableColumn id="10" name="Sent"/>
    <tableColumn id="11" name="Source Trace"/>
  </tableColumns>
</table>
</file>

<file path=xl/tables/table5.xml><?xml version="1.0" encoding="utf-8"?>
<table xmlns="http://schemas.openxmlformats.org/spreadsheetml/2006/main" id="5" name="I9NoActionQueue" displayName="I9NoActionQueue" ref="A1:H2" headerRowCount="1" totalsRowCount="0" totalsRowShown="0">
  <autoFilter ref="A1:H2"/>
  <tableColumns count="8">
    <tableColumn id="1" name="Order"/>
    <tableColumn id="2" name="Source Row"/>
    <tableColumn id="3" name="Employee"/>
    <tableColumn id="4" name="Source Status"/>
    <tableColumn id="5" name="Reason"/>
    <tableColumn id="6" name="Email Draft"/>
    <tableColumn id="7" name="Tracker Update"/>
    <tableColumn id="8" name="Source Trace"/>
  </tableColumns>
</table>
</file>

<file path=xl/tables/table6.xml><?xml version="1.0" encoding="utf-8"?>
<table xmlns="http://schemas.openxmlformats.org/spreadsheetml/2006/main" id="6" name="I9PolicyRules" displayName="I9PolicyRules" ref="A1:D8" headerRowCount="1" totalsRowCount="0" totalsRowShown="0">
  <autoFilter ref="A1:D8"/>
  <tableColumns count="4">
    <tableColumn id="1" name="Rule Order"/>
    <tableColumn id="2" name="Rule"/>
    <tableColumn id="3" name="Exact Requirement"/>
    <tableColumn id="4" name="Source Trace"/>
  </tableColumns>
</table>
</file>

<file path=xl/tables/table7.xml><?xml version="1.0" encoding="utf-8"?>
<table xmlns="http://schemas.openxmlformats.org/spreadsheetml/2006/main" id="7" name="I9PolicySource" displayName="I9PolicySource" ref="A1:G2" headerRowCount="1" totalsRowCount="0" totalsRowShown="0">
  <autoFilter ref="A1:G2"/>
  <tableColumns count="7">
    <tableColumn id="1" name="Message ID"/>
    <tableColumn id="2" name="From"/>
    <tableColumn id="3" name="To"/>
    <tableColumn id="4" name="Subject"/>
    <tableColumn id="5" name="Date"/>
    <tableColumn id="6" name="Full Body"/>
    <tableColumn id="7" name="Source Trace"/>
  </tableColumns>
</table>
</file>

<file path=xl/tables/table8.xml><?xml version="1.0" encoding="utf-8"?>
<table xmlns="http://schemas.openxmlformats.org/spreadsheetml/2006/main" id="8" name="I9ReminderQueue" displayName="I9ReminderQueue" ref="A1:L4" headerRowCount="1" totalsRowCount="0" totalsRowShown="0">
  <autoFilter ref="A1:L4"/>
  <tableColumns count="12">
    <tableColumn id="1" name="Order"/>
    <tableColumn id="2" name="Source Row"/>
    <tableColumn id="3" name="Employee"/>
    <tableColumn id="4" name="Employee Email"/>
    <tableColumn id="5" name="Manager Email (Cc)"/>
    <tableColumn id="6" name="Start Date"/>
    <tableColumn id="7" name="Deadline"/>
    <tableColumn id="8" name="Elapsed Business Days"/>
    <tableColumn id="9" name="Subject"/>
    <tableColumn id="10" name="State"/>
    <tableColumn id="11" name="Sent"/>
    <tableColumn id="12" name="Source Trace"/>
  </tableColumns>
</table>
</file>

<file path=xl/tables/table9.xml><?xml version="1.0" encoding="utf-8"?>
<table xmlns="http://schemas.openxmlformats.org/spreadsheetml/2006/main" id="9" name="I9SourceHires" displayName="I9SourceHires" ref="A1:G9" headerRowCount="1" totalsRowCount="0" totalsRowShown="0">
  <autoFilter ref="A1:G9"/>
  <tableColumns count="7">
    <tableColumn id="1" name="Source Row"/>
    <tableColumn id="2" name="Employee"/>
    <tableColumn id="3" name="Employee Email"/>
    <tableColumn id="4" name="Manager Email"/>
    <tableColumn id="5" name="Start Date"/>
    <tableColumn id="6" name="I-9 Status"/>
    <tableColumn id="7" name="Not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9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4"/>
    <col collapsed="false" customWidth="true" hidden="false" outlineLevel="0" max="4" min="3" style="0" width="36"/>
    <col collapsed="false" customWidth="true" hidden="false" outlineLevel="0" max="5" min="5" style="0" width="16"/>
    <col collapsed="false" customWidth="true" hidden="false" outlineLevel="0" max="6" min="6" style="0" width="19.99"/>
    <col collapsed="false" customWidth="true" hidden="false" outlineLevel="0" max="7" min="7" style="0" width="27.99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3.75" hidden="false" customHeight="true" outlineLevel="0" collapsed="false">
      <c r="A2" s="2" t="n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customFormat="false" ht="33.75" hidden="false" customHeight="true" outlineLevel="0" collapsed="false">
      <c r="A3" s="2" t="n">
        <v>3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  <c r="G3" s="2"/>
    </row>
    <row r="4" customFormat="false" ht="33.75" hidden="false" customHeight="true" outlineLevel="0" collapsed="false">
      <c r="A4" s="2" t="n">
        <v>4</v>
      </c>
      <c r="B4" s="2" t="s">
        <v>16</v>
      </c>
      <c r="C4" s="2" t="s">
        <v>17</v>
      </c>
      <c r="D4" s="2" t="s">
        <v>9</v>
      </c>
      <c r="E4" s="2" t="s">
        <v>18</v>
      </c>
      <c r="F4" s="2" t="s">
        <v>19</v>
      </c>
      <c r="G4" s="2"/>
    </row>
    <row r="5" customFormat="false" ht="33.75" hidden="false" customHeight="true" outlineLevel="0" collapsed="false">
      <c r="A5" s="2" t="n">
        <v>5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11</v>
      </c>
      <c r="G5" s="2"/>
    </row>
    <row r="6" customFormat="false" ht="33.75" hidden="false" customHeight="true" outlineLevel="0" collapsed="false">
      <c r="A6" s="2" t="n">
        <v>6</v>
      </c>
      <c r="B6" s="2" t="s">
        <v>24</v>
      </c>
      <c r="C6" s="2" t="s">
        <v>25</v>
      </c>
      <c r="D6" s="2" t="s">
        <v>14</v>
      </c>
      <c r="E6" s="2" t="s">
        <v>26</v>
      </c>
      <c r="F6" s="2" t="s">
        <v>11</v>
      </c>
      <c r="G6" s="2"/>
    </row>
    <row r="7" customFormat="false" ht="33.75" hidden="false" customHeight="true" outlineLevel="0" collapsed="false">
      <c r="A7" s="2" t="n">
        <v>7</v>
      </c>
      <c r="B7" s="2" t="s">
        <v>27</v>
      </c>
      <c r="C7" s="2" t="s">
        <v>28</v>
      </c>
      <c r="D7" s="2" t="s">
        <v>9</v>
      </c>
      <c r="E7" s="2" t="s">
        <v>29</v>
      </c>
      <c r="F7" s="2" t="s">
        <v>11</v>
      </c>
      <c r="G7" s="2"/>
    </row>
    <row r="8" customFormat="false" ht="33.75" hidden="false" customHeight="true" outlineLevel="0" collapsed="false">
      <c r="A8" s="2" t="n">
        <v>8</v>
      </c>
      <c r="B8" s="2" t="s">
        <v>30</v>
      </c>
      <c r="C8" s="2" t="s">
        <v>31</v>
      </c>
      <c r="D8" s="2" t="s">
        <v>22</v>
      </c>
      <c r="E8" s="2" t="s">
        <v>32</v>
      </c>
      <c r="F8" s="2" t="s">
        <v>11</v>
      </c>
      <c r="G8" s="2"/>
    </row>
    <row r="9" customFormat="false" ht="33.75" hidden="false" customHeight="true" outlineLevel="0" collapsed="false">
      <c r="A9" s="2" t="n">
        <v>9</v>
      </c>
      <c r="B9" s="2" t="s">
        <v>33</v>
      </c>
      <c r="C9" s="2" t="s">
        <v>34</v>
      </c>
      <c r="D9" s="2" t="s">
        <v>14</v>
      </c>
      <c r="E9" s="2" t="s">
        <v>35</v>
      </c>
      <c r="F9" s="2" t="s">
        <v>11</v>
      </c>
      <c r="G9" s="2"/>
    </row>
  </sheetData>
  <autoFilter ref="A1:G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recent-hire tracker · AutomationBench 5113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3" min="2" style="0" width="35"/>
    <col collapsed="false" customWidth="true" hidden="false" outlineLevel="0" max="4" min="4" style="0" width="52"/>
    <col collapsed="false" customWidth="true" hidden="false" outlineLevel="0" max="5" min="5" style="0" width="32"/>
    <col collapsed="false" customWidth="true" hidden="false" outlineLevel="0" max="6" min="6" style="0" width="120"/>
    <col collapsed="false" customWidth="true" hidden="false" outlineLevel="0" max="7" min="7" style="0" width="68"/>
  </cols>
  <sheetData>
    <row r="1" customFormat="false" ht="30.75" hidden="false" customHeight="tru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255" hidden="false" customHeight="true" outlineLevel="0" collapsed="false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</row>
  </sheetData>
  <autoFilter ref="A1:G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&amp;CExact Legal compliance guide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31.01"/>
    <col collapsed="false" customWidth="true" hidden="false" outlineLevel="0" max="3" min="3" style="0" width="112"/>
    <col collapsed="false" customWidth="true" hidden="false" outlineLevel="0" max="4" min="4" style="0" width="67"/>
  </cols>
  <sheetData>
    <row r="1" customFormat="false" ht="30.75" hidden="false" customHeight="true" outlineLevel="0" collapsed="false">
      <c r="A1" s="1" t="s">
        <v>50</v>
      </c>
      <c r="B1" s="1" t="s">
        <v>51</v>
      </c>
      <c r="C1" s="1" t="s">
        <v>52</v>
      </c>
      <c r="D1" s="1" t="s">
        <v>42</v>
      </c>
    </row>
    <row r="2" customFormat="false" ht="48" hidden="false" customHeight="true" outlineLevel="0" collapsed="false">
      <c r="A2" s="2" t="n">
        <v>1</v>
      </c>
      <c r="B2" s="2" t="s">
        <v>53</v>
      </c>
      <c r="C2" s="2" t="s">
        <v>54</v>
      </c>
      <c r="D2" s="2" t="s">
        <v>49</v>
      </c>
    </row>
    <row r="3" customFormat="false" ht="48" hidden="false" customHeight="true" outlineLevel="0" collapsed="false">
      <c r="A3" s="2" t="n">
        <v>2</v>
      </c>
      <c r="B3" s="2" t="s">
        <v>55</v>
      </c>
      <c r="C3" s="2" t="s">
        <v>56</v>
      </c>
      <c r="D3" s="2" t="s">
        <v>49</v>
      </c>
    </row>
    <row r="4" customFormat="false" ht="48" hidden="false" customHeight="true" outlineLevel="0" collapsed="false">
      <c r="A4" s="2" t="n">
        <v>3</v>
      </c>
      <c r="B4" s="2" t="s">
        <v>57</v>
      </c>
      <c r="C4" s="2" t="s">
        <v>58</v>
      </c>
      <c r="D4" s="2" t="s">
        <v>49</v>
      </c>
    </row>
    <row r="5" customFormat="false" ht="48" hidden="false" customHeight="true" outlineLevel="0" collapsed="false">
      <c r="A5" s="2" t="n">
        <v>4</v>
      </c>
      <c r="B5" s="2" t="s">
        <v>59</v>
      </c>
      <c r="C5" s="2" t="s">
        <v>60</v>
      </c>
      <c r="D5" s="2" t="s">
        <v>49</v>
      </c>
    </row>
    <row r="6" customFormat="false" ht="48" hidden="false" customHeight="true" outlineLevel="0" collapsed="false">
      <c r="A6" s="2" t="n">
        <v>5</v>
      </c>
      <c r="B6" s="2" t="s">
        <v>61</v>
      </c>
      <c r="C6" s="2" t="s">
        <v>62</v>
      </c>
      <c r="D6" s="2" t="s">
        <v>49</v>
      </c>
    </row>
    <row r="7" customFormat="false" ht="48" hidden="false" customHeight="true" outlineLevel="0" collapsed="false">
      <c r="A7" s="2" t="n">
        <v>6</v>
      </c>
      <c r="B7" s="2" t="s">
        <v>63</v>
      </c>
      <c r="C7" s="2" t="s">
        <v>64</v>
      </c>
      <c r="D7" s="2" t="s">
        <v>49</v>
      </c>
    </row>
    <row r="8" customFormat="false" ht="48" hidden="false" customHeight="true" outlineLevel="0" collapsed="false">
      <c r="A8" s="2" t="n">
        <v>7</v>
      </c>
      <c r="B8" s="2" t="s">
        <v>65</v>
      </c>
      <c r="C8" s="2" t="s">
        <v>66</v>
      </c>
      <c r="D8" s="2" t="s">
        <v>49</v>
      </c>
    </row>
  </sheetData>
  <autoFilter ref="A1:D8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&amp;CSeven policy controls derived from the full guide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4" min="4" style="0" width="126"/>
    <col collapsed="false" customWidth="true" hidden="false" outlineLevel="0" max="5" min="5" style="0" width="69"/>
  </cols>
  <sheetData>
    <row r="1" customFormat="false" ht="30.75" hidden="false" customHeight="true" outlineLevel="0" collapsed="false">
      <c r="A1" s="1" t="s">
        <v>67</v>
      </c>
      <c r="B1" s="1" t="s">
        <v>68</v>
      </c>
      <c r="C1" s="1" t="s">
        <v>69</v>
      </c>
      <c r="D1" s="1" t="s">
        <v>70</v>
      </c>
      <c r="E1" s="1" t="s">
        <v>42</v>
      </c>
    </row>
    <row r="2" customFormat="false" ht="45.75" hidden="false" customHeight="true" outlineLevel="0" collapsed="false">
      <c r="A2" s="2" t="s">
        <v>71</v>
      </c>
      <c r="B2" s="2" t="s">
        <v>72</v>
      </c>
      <c r="C2" s="2" t="s">
        <v>7</v>
      </c>
      <c r="D2" s="2" t="s">
        <v>73</v>
      </c>
      <c r="E2" s="2" t="s">
        <v>74</v>
      </c>
    </row>
    <row r="3" customFormat="false" ht="45.75" hidden="false" customHeight="true" outlineLevel="0" collapsed="false">
      <c r="A3" s="2" t="s">
        <v>75</v>
      </c>
      <c r="B3" s="2" t="s">
        <v>72</v>
      </c>
      <c r="C3" s="2" t="s">
        <v>12</v>
      </c>
      <c r="D3" s="2" t="s">
        <v>76</v>
      </c>
      <c r="E3" s="2" t="s">
        <v>77</v>
      </c>
    </row>
    <row r="4" customFormat="false" ht="45.75" hidden="false" customHeight="true" outlineLevel="0" collapsed="false">
      <c r="A4" s="2" t="s">
        <v>78</v>
      </c>
      <c r="B4" s="2" t="s">
        <v>72</v>
      </c>
      <c r="C4" s="2" t="s">
        <v>16</v>
      </c>
      <c r="D4" s="2" t="s">
        <v>79</v>
      </c>
      <c r="E4" s="2" t="s">
        <v>80</v>
      </c>
    </row>
    <row r="5" customFormat="false" ht="45.75" hidden="false" customHeight="true" outlineLevel="0" collapsed="false">
      <c r="A5" s="2" t="s">
        <v>81</v>
      </c>
      <c r="B5" s="2" t="s">
        <v>72</v>
      </c>
      <c r="C5" s="2" t="s">
        <v>20</v>
      </c>
      <c r="D5" s="2" t="s">
        <v>82</v>
      </c>
      <c r="E5" s="2" t="s">
        <v>83</v>
      </c>
    </row>
    <row r="6" customFormat="false" ht="45.75" hidden="false" customHeight="true" outlineLevel="0" collapsed="false">
      <c r="A6" s="2" t="s">
        <v>84</v>
      </c>
      <c r="B6" s="2" t="s">
        <v>72</v>
      </c>
      <c r="C6" s="2" t="s">
        <v>24</v>
      </c>
      <c r="D6" s="2" t="s">
        <v>85</v>
      </c>
      <c r="E6" s="2" t="s">
        <v>86</v>
      </c>
    </row>
    <row r="7" customFormat="false" ht="45.75" hidden="false" customHeight="true" outlineLevel="0" collapsed="false">
      <c r="A7" s="2" t="s">
        <v>87</v>
      </c>
      <c r="B7" s="2" t="s">
        <v>72</v>
      </c>
      <c r="C7" s="2" t="s">
        <v>27</v>
      </c>
      <c r="D7" s="2" t="s">
        <v>88</v>
      </c>
      <c r="E7" s="2" t="s">
        <v>89</v>
      </c>
    </row>
    <row r="8" customFormat="false" ht="45.75" hidden="false" customHeight="true" outlineLevel="0" collapsed="false">
      <c r="A8" s="2" t="s">
        <v>90</v>
      </c>
      <c r="B8" s="2" t="s">
        <v>72</v>
      </c>
      <c r="C8" s="2" t="s">
        <v>30</v>
      </c>
      <c r="D8" s="2" t="s">
        <v>91</v>
      </c>
      <c r="E8" s="2" t="s">
        <v>92</v>
      </c>
    </row>
    <row r="9" customFormat="false" ht="45.75" hidden="false" customHeight="true" outlineLevel="0" collapsed="false">
      <c r="A9" s="2" t="s">
        <v>93</v>
      </c>
      <c r="B9" s="2" t="s">
        <v>72</v>
      </c>
      <c r="C9" s="2" t="s">
        <v>33</v>
      </c>
      <c r="D9" s="2" t="s">
        <v>94</v>
      </c>
      <c r="E9" s="2" t="s">
        <v>95</v>
      </c>
    </row>
    <row r="10" customFormat="false" ht="210" hidden="false" customHeight="true" outlineLevel="0" collapsed="false">
      <c r="A10" s="2" t="s">
        <v>96</v>
      </c>
      <c r="B10" s="2" t="s">
        <v>97</v>
      </c>
      <c r="C10" s="2" t="s">
        <v>98</v>
      </c>
      <c r="D10" s="2" t="s">
        <v>48</v>
      </c>
      <c r="E10" s="2" t="s">
        <v>49</v>
      </c>
    </row>
    <row r="11" customFormat="false" ht="45.75" hidden="false" customHeight="true" outlineLevel="0" collapsed="false">
      <c r="A11" s="2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</row>
    <row r="12" customFormat="false" ht="45.75" hidden="false" customHeight="true" outlineLevel="0" collapsed="false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108</v>
      </c>
    </row>
  </sheetData>
  <autoFilter ref="A1:E1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&amp;CEleven frozen evidence records · no hidden holidays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2.01"/>
    <col collapsed="false" customWidth="true" hidden="false" outlineLevel="0" max="4" min="3" style="0" width="33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9.99"/>
    <col collapsed="false" customWidth="true" hidden="false" outlineLevel="0" max="9" min="9" style="0" width="15"/>
    <col collapsed="false" customWidth="true" hidden="false" outlineLevel="0" max="10" min="10" style="0" width="10.99"/>
    <col collapsed="false" customWidth="true" hidden="false" outlineLevel="0" max="12" min="11" style="0" width="13.01"/>
    <col collapsed="false" customWidth="true" hidden="false" outlineLevel="0" max="13" min="13" style="0" width="10.99"/>
    <col collapsed="false" customWidth="true" hidden="false" outlineLevel="0" max="14" min="14" style="0" width="13.01"/>
    <col collapsed="false" customWidth="true" hidden="false" outlineLevel="0" max="15" min="15" style="0" width="31.01"/>
    <col collapsed="false" customWidth="true" hidden="false" outlineLevel="0" max="17" min="16" style="0" width="11.99"/>
    <col collapsed="false" customWidth="true" hidden="false" outlineLevel="0" max="18" min="18" style="0" width="92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109</v>
      </c>
      <c r="G1" s="1" t="s">
        <v>6</v>
      </c>
      <c r="H1" s="1" t="s">
        <v>110</v>
      </c>
      <c r="I1" s="1" t="s">
        <v>111</v>
      </c>
      <c r="J1" s="1" t="s">
        <v>19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42</v>
      </c>
    </row>
    <row r="2" customFormat="false" ht="54.75" hidden="false" customHeight="true" outlineLevel="0" collapsed="false">
      <c r="A2" s="3" t="n">
        <f aca="false">Source_Hires!A2</f>
        <v>2</v>
      </c>
      <c r="B2" s="3" t="str">
        <f aca="false">Source_Hires!B2</f>
        <v>Amara Obi</v>
      </c>
      <c r="C2" s="3" t="str">
        <f aca="false">Source_Hires!C2</f>
        <v>amara.obi@company.example.com</v>
      </c>
      <c r="D2" s="3" t="str">
        <f aca="false">Source_Hires!D2</f>
        <v>mgr-eng@company.example.com</v>
      </c>
      <c r="E2" s="4" t="n">
        <f aca="false">DATEVALUE(Source_Hires!E2)</f>
        <v>46126</v>
      </c>
      <c r="F2" s="3" t="str">
        <f aca="false">Source_Hires!F2</f>
        <v>Incomplete</v>
      </c>
      <c r="G2" s="3" t="n">
        <f aca="false">Source_Hires!G2</f>
        <v>0</v>
      </c>
      <c r="H2" s="4" t="n">
        <f aca="false">WORKDAY(E2,3)</f>
        <v>46129</v>
      </c>
      <c r="I2" s="3" t="n">
        <f aca="false">MAX(0,NETWORKDAYS(E2+1,DATE(2026,4,15)))</f>
        <v>1</v>
      </c>
      <c r="J2" s="3" t="str">
        <f aca="false">IF(F2="Complete","YES","NO")</f>
        <v>NO</v>
      </c>
      <c r="K2" s="3" t="str">
        <f aca="false">IF(AND(J2="NO",I2&lt;=3),"YES","NO")</f>
        <v>YES</v>
      </c>
      <c r="L2" s="3" t="str">
        <f aca="false">IF(K2="YES","YES","NO")</f>
        <v>YES</v>
      </c>
      <c r="M2" s="3" t="str">
        <f aca="false">IF(AND(J2="NO",K2="NO"),"YES","NO")</f>
        <v>NO</v>
      </c>
      <c r="N2" s="3" t="str">
        <f aca="false">IF(J2="YES","YES","NO")</f>
        <v>NO</v>
      </c>
      <c r="O2" s="3" t="str">
        <f aca="false">IF(L2="YES","Reminder Sent",IF(M2="YES","Violation - Legal Notified","Complete"))</f>
        <v>Reminder Sent</v>
      </c>
      <c r="P2" s="3" t="str">
        <f aca="false">IF(OR(L2="YES",M2="YES"),"YES","NO")</f>
        <v>YES</v>
      </c>
      <c r="Q2" s="3" t="str">
        <f aca="false">"NO"</f>
        <v>NO</v>
      </c>
      <c r="R2" s="3" t="str">
        <f aca="false">"I9_Verification_Tracker.xlsx:Recent Hires row "&amp;A2&amp;" | Employment_Verification_Policy.mbox:msg_i9_policy_5113 | Workflow_Context.json:meta.current_time"</f>
        <v>I9_Verification_Tracker.xlsx:Recent Hires row 2 | Employment_Verification_Policy.mbox:msg_i9_policy_5113 | Workflow_Context.json:meta.current_time</v>
      </c>
    </row>
    <row r="3" customFormat="false" ht="54.75" hidden="false" customHeight="true" outlineLevel="0" collapsed="false">
      <c r="A3" s="3" t="n">
        <f aca="false">Source_Hires!A3</f>
        <v>3</v>
      </c>
      <c r="B3" s="3" t="str">
        <f aca="false">Source_Hires!B3</f>
        <v>Boris Petrov</v>
      </c>
      <c r="C3" s="3" t="str">
        <f aca="false">Source_Hires!C3</f>
        <v>boris.petrov@company.example.com</v>
      </c>
      <c r="D3" s="3" t="str">
        <f aca="false">Source_Hires!D3</f>
        <v>mgr-sales@company.example.com</v>
      </c>
      <c r="E3" s="4" t="n">
        <f aca="false">DATEVALUE(Source_Hires!E3)</f>
        <v>46119</v>
      </c>
      <c r="F3" s="3" t="str">
        <f aca="false">Source_Hires!F3</f>
        <v>Incomplete</v>
      </c>
      <c r="G3" s="3" t="n">
        <f aca="false">Source_Hires!G3</f>
        <v>0</v>
      </c>
      <c r="H3" s="4" t="n">
        <f aca="false">WORKDAY(E3,3)</f>
        <v>46122</v>
      </c>
      <c r="I3" s="3" t="n">
        <f aca="false">MAX(0,NETWORKDAYS(E3+1,DATE(2026,4,15)))</f>
        <v>6</v>
      </c>
      <c r="J3" s="3" t="str">
        <f aca="false">IF(F3="Complete","YES","NO")</f>
        <v>NO</v>
      </c>
      <c r="K3" s="3" t="str">
        <f aca="false">IF(AND(J3="NO",I3&lt;=3),"YES","NO")</f>
        <v>NO</v>
      </c>
      <c r="L3" s="3" t="str">
        <f aca="false">IF(K3="YES","YES","NO")</f>
        <v>NO</v>
      </c>
      <c r="M3" s="3" t="str">
        <f aca="false">IF(AND(J3="NO",K3="NO"),"YES","NO")</f>
        <v>YES</v>
      </c>
      <c r="N3" s="3" t="str">
        <f aca="false">IF(J3="YES","YES","NO")</f>
        <v>NO</v>
      </c>
      <c r="O3" s="3" t="str">
        <f aca="false">IF(L3="YES","Reminder Sent",IF(M3="YES","Violation - Legal Notified","Complete"))</f>
        <v>Violation - Legal Notified</v>
      </c>
      <c r="P3" s="3" t="str">
        <f aca="false">IF(OR(L3="YES",M3="YES"),"YES","NO")</f>
        <v>YES</v>
      </c>
      <c r="Q3" s="3" t="str">
        <f aca="false">"NO"</f>
        <v>NO</v>
      </c>
      <c r="R3" s="3" t="str">
        <f aca="false">"I9_Verification_Tracker.xlsx:Recent Hires row "&amp;A3&amp;" | Employment_Verification_Policy.mbox:msg_i9_policy_5113 | Workflow_Context.json:meta.current_time"</f>
        <v>I9_Verification_Tracker.xlsx:Recent Hires row 3 | Employment_Verification_Policy.mbox:msg_i9_policy_5113 | Workflow_Context.json:meta.current_time</v>
      </c>
    </row>
    <row r="4" customFormat="false" ht="54.75" hidden="false" customHeight="true" outlineLevel="0" collapsed="false">
      <c r="A4" s="3" t="n">
        <f aca="false">Source_Hires!A4</f>
        <v>4</v>
      </c>
      <c r="B4" s="3" t="str">
        <f aca="false">Source_Hires!B4</f>
        <v>Cassie Lin</v>
      </c>
      <c r="C4" s="3" t="str">
        <f aca="false">Source_Hires!C4</f>
        <v>cassie.lin@company.example.com</v>
      </c>
      <c r="D4" s="3" t="str">
        <f aca="false">Source_Hires!D4</f>
        <v>mgr-eng@company.example.com</v>
      </c>
      <c r="E4" s="4" t="n">
        <f aca="false">DATEVALUE(Source_Hires!E4)</f>
        <v>46122</v>
      </c>
      <c r="F4" s="3" t="str">
        <f aca="false">Source_Hires!F4</f>
        <v>Complete</v>
      </c>
      <c r="G4" s="3" t="n">
        <f aca="false">Source_Hires!G4</f>
        <v>0</v>
      </c>
      <c r="H4" s="4" t="n">
        <f aca="false">WORKDAY(E4,3)</f>
        <v>46127</v>
      </c>
      <c r="I4" s="3" t="n">
        <f aca="false">MAX(0,NETWORKDAYS(E4+1,DATE(2026,4,15)))</f>
        <v>3</v>
      </c>
      <c r="J4" s="3" t="str">
        <f aca="false">IF(F4="Complete","YES","NO")</f>
        <v>YES</v>
      </c>
      <c r="K4" s="3" t="str">
        <f aca="false">IF(AND(J4="NO",I4&lt;=3),"YES","NO")</f>
        <v>NO</v>
      </c>
      <c r="L4" s="3" t="str">
        <f aca="false">IF(K4="YES","YES","NO")</f>
        <v>NO</v>
      </c>
      <c r="M4" s="3" t="str">
        <f aca="false">IF(AND(J4="NO",K4="NO"),"YES","NO")</f>
        <v>NO</v>
      </c>
      <c r="N4" s="3" t="str">
        <f aca="false">IF(J4="YES","YES","NO")</f>
        <v>YES</v>
      </c>
      <c r="O4" s="3" t="str">
        <f aca="false">IF(L4="YES","Reminder Sent",IF(M4="YES","Violation - Legal Notified","Complete"))</f>
        <v>Complete</v>
      </c>
      <c r="P4" s="3" t="str">
        <f aca="false">IF(OR(L4="YES",M4="YES"),"YES","NO")</f>
        <v>NO</v>
      </c>
      <c r="Q4" s="3" t="str">
        <f aca="false">"NO"</f>
        <v>NO</v>
      </c>
      <c r="R4" s="3" t="str">
        <f aca="false">"I9_Verification_Tracker.xlsx:Recent Hires row "&amp;A4&amp;" | Employment_Verification_Policy.mbox:msg_i9_policy_5113 | Workflow_Context.json:meta.current_time"</f>
        <v>I9_Verification_Tracker.xlsx:Recent Hires row 4 | Employment_Verification_Policy.mbox:msg_i9_policy_5113 | Workflow_Context.json:meta.current_time</v>
      </c>
    </row>
    <row r="5" customFormat="false" ht="54.75" hidden="false" customHeight="true" outlineLevel="0" collapsed="false">
      <c r="A5" s="3" t="n">
        <f aca="false">Source_Hires!A5</f>
        <v>5</v>
      </c>
      <c r="B5" s="3" t="str">
        <f aca="false">Source_Hires!B5</f>
        <v>Dmitri Volkov</v>
      </c>
      <c r="C5" s="3" t="str">
        <f aca="false">Source_Hires!C5</f>
        <v>dmitri.volkov@company.example.com</v>
      </c>
      <c r="D5" s="3" t="str">
        <f aca="false">Source_Hires!D5</f>
        <v>mgr-mkt@company.example.com</v>
      </c>
      <c r="E5" s="4" t="n">
        <f aca="false">DATEVALUE(Source_Hires!E5)</f>
        <v>46113</v>
      </c>
      <c r="F5" s="3" t="str">
        <f aca="false">Source_Hires!F5</f>
        <v>Incomplete</v>
      </c>
      <c r="G5" s="3" t="n">
        <f aca="false">Source_Hires!G5</f>
        <v>0</v>
      </c>
      <c r="H5" s="4" t="n">
        <f aca="false">WORKDAY(E5,3)</f>
        <v>46118</v>
      </c>
      <c r="I5" s="3" t="n">
        <f aca="false">MAX(0,NETWORKDAYS(E5+1,DATE(2026,4,15)))</f>
        <v>10</v>
      </c>
      <c r="J5" s="3" t="str">
        <f aca="false">IF(F5="Complete","YES","NO")</f>
        <v>NO</v>
      </c>
      <c r="K5" s="3" t="str">
        <f aca="false">IF(AND(J5="NO",I5&lt;=3),"YES","NO")</f>
        <v>NO</v>
      </c>
      <c r="L5" s="3" t="str">
        <f aca="false">IF(K5="YES","YES","NO")</f>
        <v>NO</v>
      </c>
      <c r="M5" s="3" t="str">
        <f aca="false">IF(AND(J5="NO",K5="NO"),"YES","NO")</f>
        <v>YES</v>
      </c>
      <c r="N5" s="3" t="str">
        <f aca="false">IF(J5="YES","YES","NO")</f>
        <v>NO</v>
      </c>
      <c r="O5" s="3" t="str">
        <f aca="false">IF(L5="YES","Reminder Sent",IF(M5="YES","Violation - Legal Notified","Complete"))</f>
        <v>Violation - Legal Notified</v>
      </c>
      <c r="P5" s="3" t="str">
        <f aca="false">IF(OR(L5="YES",M5="YES"),"YES","NO")</f>
        <v>YES</v>
      </c>
      <c r="Q5" s="3" t="str">
        <f aca="false">"NO"</f>
        <v>NO</v>
      </c>
      <c r="R5" s="3" t="str">
        <f aca="false">"I9_Verification_Tracker.xlsx:Recent Hires row "&amp;A5&amp;" | Employment_Verification_Policy.mbox:msg_i9_policy_5113 | Workflow_Context.json:meta.current_time"</f>
        <v>I9_Verification_Tracker.xlsx:Recent Hires row 5 | Employment_Verification_Policy.mbox:msg_i9_policy_5113 | Workflow_Context.json:meta.current_time</v>
      </c>
    </row>
    <row r="6" customFormat="false" ht="54.75" hidden="false" customHeight="true" outlineLevel="0" collapsed="false">
      <c r="A6" s="3" t="n">
        <f aca="false">Source_Hires!A6</f>
        <v>6</v>
      </c>
      <c r="B6" s="3" t="str">
        <f aca="false">Source_Hires!B6</f>
        <v>Esme Nakamura</v>
      </c>
      <c r="C6" s="3" t="str">
        <f aca="false">Source_Hires!C6</f>
        <v>esme.nakamura@company.example.com</v>
      </c>
      <c r="D6" s="3" t="str">
        <f aca="false">Source_Hires!D6</f>
        <v>mgr-sales@company.example.com</v>
      </c>
      <c r="E6" s="4" t="n">
        <f aca="false">DATEVALUE(Source_Hires!E6)</f>
        <v>46123</v>
      </c>
      <c r="F6" s="3" t="str">
        <f aca="false">Source_Hires!F6</f>
        <v>Incomplete</v>
      </c>
      <c r="G6" s="3" t="n">
        <f aca="false">Source_Hires!G6</f>
        <v>0</v>
      </c>
      <c r="H6" s="4" t="n">
        <f aca="false">WORKDAY(E6,3)</f>
        <v>46127</v>
      </c>
      <c r="I6" s="3" t="n">
        <f aca="false">MAX(0,NETWORKDAYS(E6+1,DATE(2026,4,15)))</f>
        <v>3</v>
      </c>
      <c r="J6" s="3" t="str">
        <f aca="false">IF(F6="Complete","YES","NO")</f>
        <v>NO</v>
      </c>
      <c r="K6" s="3" t="str">
        <f aca="false">IF(AND(J6="NO",I6&lt;=3),"YES","NO")</f>
        <v>YES</v>
      </c>
      <c r="L6" s="3" t="str">
        <f aca="false">IF(K6="YES","YES","NO")</f>
        <v>YES</v>
      </c>
      <c r="M6" s="3" t="str">
        <f aca="false">IF(AND(J6="NO",K6="NO"),"YES","NO")</f>
        <v>NO</v>
      </c>
      <c r="N6" s="3" t="str">
        <f aca="false">IF(J6="YES","YES","NO")</f>
        <v>NO</v>
      </c>
      <c r="O6" s="3" t="str">
        <f aca="false">IF(L6="YES","Reminder Sent",IF(M6="YES","Violation - Legal Notified","Complete"))</f>
        <v>Reminder Sent</v>
      </c>
      <c r="P6" s="3" t="str">
        <f aca="false">IF(OR(L6="YES",M6="YES"),"YES","NO")</f>
        <v>YES</v>
      </c>
      <c r="Q6" s="3" t="str">
        <f aca="false">"NO"</f>
        <v>NO</v>
      </c>
      <c r="R6" s="3" t="str">
        <f aca="false">"I9_Verification_Tracker.xlsx:Recent Hires row "&amp;A6&amp;" | Employment_Verification_Policy.mbox:msg_i9_policy_5113 | Workflow_Context.json:meta.current_time"</f>
        <v>I9_Verification_Tracker.xlsx:Recent Hires row 6 | Employment_Verification_Policy.mbox:msg_i9_policy_5113 | Workflow_Context.json:meta.current_time</v>
      </c>
    </row>
    <row r="7" customFormat="false" ht="54.75" hidden="false" customHeight="true" outlineLevel="0" collapsed="false">
      <c r="A7" s="3" t="n">
        <f aca="false">Source_Hires!A7</f>
        <v>7</v>
      </c>
      <c r="B7" s="3" t="str">
        <f aca="false">Source_Hires!B7</f>
        <v>Frankie Reeves</v>
      </c>
      <c r="C7" s="3" t="str">
        <f aca="false">Source_Hires!C7</f>
        <v>frankie.reeves@company.example.com</v>
      </c>
      <c r="D7" s="3" t="str">
        <f aca="false">Source_Hires!D7</f>
        <v>mgr-eng@company.example.com</v>
      </c>
      <c r="E7" s="4" t="n">
        <f aca="false">DATEVALUE(Source_Hires!E7)</f>
        <v>46106</v>
      </c>
      <c r="F7" s="3" t="str">
        <f aca="false">Source_Hires!F7</f>
        <v>Incomplete</v>
      </c>
      <c r="G7" s="3" t="n">
        <f aca="false">Source_Hires!G7</f>
        <v>0</v>
      </c>
      <c r="H7" s="4" t="n">
        <f aca="false">WORKDAY(E7,3)</f>
        <v>46111</v>
      </c>
      <c r="I7" s="3" t="n">
        <f aca="false">MAX(0,NETWORKDAYS(E7+1,DATE(2026,4,15)))</f>
        <v>15</v>
      </c>
      <c r="J7" s="3" t="str">
        <f aca="false">IF(F7="Complete","YES","NO")</f>
        <v>NO</v>
      </c>
      <c r="K7" s="3" t="str">
        <f aca="false">IF(AND(J7="NO",I7&lt;=3),"YES","NO")</f>
        <v>NO</v>
      </c>
      <c r="L7" s="3" t="str">
        <f aca="false">IF(K7="YES","YES","NO")</f>
        <v>NO</v>
      </c>
      <c r="M7" s="3" t="str">
        <f aca="false">IF(AND(J7="NO",K7="NO"),"YES","NO")</f>
        <v>YES</v>
      </c>
      <c r="N7" s="3" t="str">
        <f aca="false">IF(J7="YES","YES","NO")</f>
        <v>NO</v>
      </c>
      <c r="O7" s="3" t="str">
        <f aca="false">IF(L7="YES","Reminder Sent",IF(M7="YES","Violation - Legal Notified","Complete"))</f>
        <v>Violation - Legal Notified</v>
      </c>
      <c r="P7" s="3" t="str">
        <f aca="false">IF(OR(L7="YES",M7="YES"),"YES","NO")</f>
        <v>YES</v>
      </c>
      <c r="Q7" s="3" t="str">
        <f aca="false">"NO"</f>
        <v>NO</v>
      </c>
      <c r="R7" s="3" t="str">
        <f aca="false">"I9_Verification_Tracker.xlsx:Recent Hires row "&amp;A7&amp;" | Employment_Verification_Policy.mbox:msg_i9_policy_5113 | Workflow_Context.json:meta.current_time"</f>
        <v>I9_Verification_Tracker.xlsx:Recent Hires row 7 | Employment_Verification_Policy.mbox:msg_i9_policy_5113 | Workflow_Context.json:meta.current_time</v>
      </c>
    </row>
    <row r="8" customFormat="false" ht="54.75" hidden="false" customHeight="true" outlineLevel="0" collapsed="false">
      <c r="A8" s="3" t="n">
        <f aca="false">Source_Hires!A8</f>
        <v>8</v>
      </c>
      <c r="B8" s="3" t="str">
        <f aca="false">Source_Hires!B8</f>
        <v>Gina Torres</v>
      </c>
      <c r="C8" s="3" t="str">
        <f aca="false">Source_Hires!C8</f>
        <v>gina.torres@company.example.com</v>
      </c>
      <c r="D8" s="3" t="str">
        <f aca="false">Source_Hires!D8</f>
        <v>mgr-mkt@company.example.com</v>
      </c>
      <c r="E8" s="4" t="n">
        <f aca="false">DATEVALUE(Source_Hires!E8)</f>
        <v>46127</v>
      </c>
      <c r="F8" s="3" t="str">
        <f aca="false">Source_Hires!F8</f>
        <v>Incomplete</v>
      </c>
      <c r="G8" s="3" t="n">
        <f aca="false">Source_Hires!G8</f>
        <v>0</v>
      </c>
      <c r="H8" s="4" t="n">
        <f aca="false">WORKDAY(E8,3)</f>
        <v>46132</v>
      </c>
      <c r="I8" s="3" t="n">
        <f aca="false">MAX(0,NETWORKDAYS(E8+1,DATE(2026,4,15)))</f>
        <v>0</v>
      </c>
      <c r="J8" s="3" t="str">
        <f aca="false">IF(F8="Complete","YES","NO")</f>
        <v>NO</v>
      </c>
      <c r="K8" s="3" t="str">
        <f aca="false">IF(AND(J8="NO",I8&lt;=3),"YES","NO")</f>
        <v>YES</v>
      </c>
      <c r="L8" s="3" t="str">
        <f aca="false">IF(K8="YES","YES","NO")</f>
        <v>YES</v>
      </c>
      <c r="M8" s="3" t="str">
        <f aca="false">IF(AND(J8="NO",K8="NO"),"YES","NO")</f>
        <v>NO</v>
      </c>
      <c r="N8" s="3" t="str">
        <f aca="false">IF(J8="YES","YES","NO")</f>
        <v>NO</v>
      </c>
      <c r="O8" s="3" t="str">
        <f aca="false">IF(L8="YES","Reminder Sent",IF(M8="YES","Violation - Legal Notified","Complete"))</f>
        <v>Reminder Sent</v>
      </c>
      <c r="P8" s="3" t="str">
        <f aca="false">IF(OR(L8="YES",M8="YES"),"YES","NO")</f>
        <v>YES</v>
      </c>
      <c r="Q8" s="3" t="str">
        <f aca="false">"NO"</f>
        <v>NO</v>
      </c>
      <c r="R8" s="3" t="str">
        <f aca="false">"I9_Verification_Tracker.xlsx:Recent Hires row "&amp;A8&amp;" | Employment_Verification_Policy.mbox:msg_i9_policy_5113 | Workflow_Context.json:meta.current_time"</f>
        <v>I9_Verification_Tracker.xlsx:Recent Hires row 8 | Employment_Verification_Policy.mbox:msg_i9_policy_5113 | Workflow_Context.json:meta.current_time</v>
      </c>
    </row>
    <row r="9" customFormat="false" ht="54.75" hidden="false" customHeight="true" outlineLevel="0" collapsed="false">
      <c r="A9" s="3" t="n">
        <f aca="false">Source_Hires!A9</f>
        <v>9</v>
      </c>
      <c r="B9" s="3" t="str">
        <f aca="false">Source_Hires!B9</f>
        <v>Hank Morrison</v>
      </c>
      <c r="C9" s="3" t="str">
        <f aca="false">Source_Hires!C9</f>
        <v>hank.morrison@company.example.com</v>
      </c>
      <c r="D9" s="3" t="str">
        <f aca="false">Source_Hires!D9</f>
        <v>mgr-sales@company.example.com</v>
      </c>
      <c r="E9" s="4" t="n">
        <f aca="false">DATEVALUE(Source_Hires!E9)</f>
        <v>46120</v>
      </c>
      <c r="F9" s="3" t="str">
        <f aca="false">Source_Hires!F9</f>
        <v>Incomplete</v>
      </c>
      <c r="G9" s="3" t="n">
        <f aca="false">Source_Hires!G9</f>
        <v>0</v>
      </c>
      <c r="H9" s="4" t="n">
        <f aca="false">WORKDAY(E9,3)</f>
        <v>46125</v>
      </c>
      <c r="I9" s="3" t="n">
        <f aca="false">MAX(0,NETWORKDAYS(E9+1,DATE(2026,4,15)))</f>
        <v>5</v>
      </c>
      <c r="J9" s="3" t="str">
        <f aca="false">IF(F9="Complete","YES","NO")</f>
        <v>NO</v>
      </c>
      <c r="K9" s="3" t="str">
        <f aca="false">IF(AND(J9="NO",I9&lt;=3),"YES","NO")</f>
        <v>NO</v>
      </c>
      <c r="L9" s="3" t="str">
        <f aca="false">IF(K9="YES","YES","NO")</f>
        <v>NO</v>
      </c>
      <c r="M9" s="3" t="str">
        <f aca="false">IF(AND(J9="NO",K9="NO"),"YES","NO")</f>
        <v>YES</v>
      </c>
      <c r="N9" s="3" t="str">
        <f aca="false">IF(J9="YES","YES","NO")</f>
        <v>NO</v>
      </c>
      <c r="O9" s="3" t="str">
        <f aca="false">IF(L9="YES","Reminder Sent",IF(M9="YES","Violation - Legal Notified","Complete"))</f>
        <v>Violation - Legal Notified</v>
      </c>
      <c r="P9" s="3" t="str">
        <f aca="false">IF(OR(L9="YES",M9="YES"),"YES","NO")</f>
        <v>YES</v>
      </c>
      <c r="Q9" s="3" t="str">
        <f aca="false">"NO"</f>
        <v>NO</v>
      </c>
      <c r="R9" s="3" t="str">
        <f aca="false">"I9_Verification_Tracker.xlsx:Recent Hires row "&amp;A9&amp;" | Employment_Verification_Policy.mbox:msg_i9_policy_5113 | Workflow_Context.json:meta.current_time"</f>
        <v>I9_Verification_Tracker.xlsx:Recent Hires row 9 | Employment_Verification_Policy.mbox:msg_i9_policy_5113 | Workflow_Context.json:meta.current_time</v>
      </c>
    </row>
  </sheetData>
  <autoFilter ref="A1:R9"/>
  <conditionalFormatting sqref="A2:R9">
    <cfRule type="expression" priority="2" aboveAverage="0" equalAverage="0" bottom="0" percent="0" rank="0" text="" dxfId="6">
      <formula>$L2="YES"</formula>
    </cfRule>
    <cfRule type="expression" priority="3" aboveAverage="0" equalAverage="0" bottom="0" percent="0" rank="0" text="" dxfId="7">
      <formula>$M2="YES"</formula>
    </cfRule>
    <cfRule type="expression" priority="4" aboveAverage="0" equalAverage="0" bottom="0" percent="0" rank="0" text="" dxfId="8">
      <formula>$N2="YES"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&amp;CFormula-derived business-day and compliance decisions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0.99"/>
    <col collapsed="false" customWidth="true" hidden="false" outlineLevel="0" max="3" min="3" style="0" width="22.01"/>
    <col collapsed="false" customWidth="true" hidden="false" outlineLevel="0" max="5" min="4" style="0" width="34"/>
    <col collapsed="false" customWidth="true" hidden="false" outlineLevel="0" max="7" min="6" style="0" width="15"/>
    <col collapsed="false" customWidth="true" hidden="false" outlineLevel="0" max="8" min="8" style="0" width="14.01"/>
    <col collapsed="false" customWidth="true" hidden="false" outlineLevel="0" max="9" min="9" style="0" width="20.99"/>
    <col collapsed="false" customWidth="true" hidden="false" outlineLevel="0" max="10" min="10" style="0" width="19.99"/>
    <col collapsed="false" customWidth="true" hidden="false" outlineLevel="0" max="11" min="11" style="0" width="10"/>
    <col collapsed="false" customWidth="true" hidden="false" outlineLevel="0" max="12" min="12" style="0" width="81.01"/>
  </cols>
  <sheetData>
    <row r="1" customFormat="false" ht="30.75" hidden="false" customHeight="true" outlineLevel="0" collapsed="false">
      <c r="A1" s="1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4</v>
      </c>
      <c r="G1" s="1" t="s">
        <v>121</v>
      </c>
      <c r="H1" s="1" t="s">
        <v>111</v>
      </c>
      <c r="I1" s="1" t="s">
        <v>39</v>
      </c>
      <c r="J1" s="1" t="s">
        <v>122</v>
      </c>
      <c r="K1" s="1" t="s">
        <v>123</v>
      </c>
      <c r="L1" s="1" t="s">
        <v>42</v>
      </c>
    </row>
    <row r="2" customFormat="false" ht="48.75" hidden="false" customHeight="true" outlineLevel="0" collapsed="false">
      <c r="A2" s="2" t="n">
        <v>1</v>
      </c>
      <c r="B2" s="2" t="n">
        <f aca="false">Compliance_Decisions!A2</f>
        <v>2</v>
      </c>
      <c r="C2" s="2" t="str">
        <f aca="false">Compliance_Decisions!B2</f>
        <v>Amara Obi</v>
      </c>
      <c r="D2" s="2" t="str">
        <f aca="false">Compliance_Decisions!C2</f>
        <v>amara.obi@company.example.com</v>
      </c>
      <c r="E2" s="2" t="str">
        <f aca="false">Compliance_Decisions!D2</f>
        <v>mgr-eng@company.example.com</v>
      </c>
      <c r="F2" s="4" t="n">
        <f aca="false">Compliance_Decisions!E2</f>
        <v>46126</v>
      </c>
      <c r="G2" s="4" t="n">
        <f aca="false">Compliance_Decisions!H2</f>
        <v>46129</v>
      </c>
      <c r="H2" s="2" t="n">
        <f aca="false">Compliance_Decisions!I2</f>
        <v>1</v>
      </c>
      <c r="I2" s="2" t="str">
        <f aca="false">"I-9 Reminder"</f>
        <v>I-9 Reminder</v>
      </c>
      <c r="J2" s="2" t="str">
        <f aca="false">"DRAFT_NOT_SENT"</f>
        <v>DRAFT_NOT_SENT</v>
      </c>
      <c r="K2" s="5" t="b">
        <f aca="false">FALSE()</f>
        <v>0</v>
      </c>
      <c r="L2" s="2" t="str">
        <f aca="false">"I9_Verification_Tracker.xlsx:Recent Hires row "&amp;B2&amp;" | Employment_Verification_Policy.mbox:msg_i9_policy_5113"</f>
        <v>I9_Verification_Tracker.xlsx:Recent Hires row 2 | Employment_Verification_Policy.mbox:msg_i9_policy_5113</v>
      </c>
    </row>
    <row r="3" customFormat="false" ht="48.75" hidden="false" customHeight="true" outlineLevel="0" collapsed="false">
      <c r="A3" s="2" t="n">
        <v>2</v>
      </c>
      <c r="B3" s="2" t="n">
        <f aca="false">Compliance_Decisions!A6</f>
        <v>6</v>
      </c>
      <c r="C3" s="2" t="str">
        <f aca="false">Compliance_Decisions!B6</f>
        <v>Esme Nakamura</v>
      </c>
      <c r="D3" s="2" t="str">
        <f aca="false">Compliance_Decisions!C6</f>
        <v>esme.nakamura@company.example.com</v>
      </c>
      <c r="E3" s="2" t="str">
        <f aca="false">Compliance_Decisions!D6</f>
        <v>mgr-sales@company.example.com</v>
      </c>
      <c r="F3" s="4" t="n">
        <f aca="false">Compliance_Decisions!E6</f>
        <v>46123</v>
      </c>
      <c r="G3" s="4" t="n">
        <f aca="false">Compliance_Decisions!H6</f>
        <v>46127</v>
      </c>
      <c r="H3" s="2" t="n">
        <f aca="false">Compliance_Decisions!I6</f>
        <v>3</v>
      </c>
      <c r="I3" s="2" t="str">
        <f aca="false">"I-9 Reminder"</f>
        <v>I-9 Reminder</v>
      </c>
      <c r="J3" s="2" t="str">
        <f aca="false">"DRAFT_NOT_SENT"</f>
        <v>DRAFT_NOT_SENT</v>
      </c>
      <c r="K3" s="5" t="b">
        <f aca="false">FALSE()</f>
        <v>0</v>
      </c>
      <c r="L3" s="2" t="str">
        <f aca="false">"I9_Verification_Tracker.xlsx:Recent Hires row "&amp;B3&amp;" | Employment_Verification_Policy.mbox:msg_i9_policy_5113"</f>
        <v>I9_Verification_Tracker.xlsx:Recent Hires row 6 | Employment_Verification_Policy.mbox:msg_i9_policy_5113</v>
      </c>
    </row>
    <row r="4" customFormat="false" ht="48.75" hidden="false" customHeight="true" outlineLevel="0" collapsed="false">
      <c r="A4" s="2" t="n">
        <v>3</v>
      </c>
      <c r="B4" s="2" t="n">
        <f aca="false">Compliance_Decisions!A8</f>
        <v>8</v>
      </c>
      <c r="C4" s="2" t="str">
        <f aca="false">Compliance_Decisions!B8</f>
        <v>Gina Torres</v>
      </c>
      <c r="D4" s="2" t="str">
        <f aca="false">Compliance_Decisions!C8</f>
        <v>gina.torres@company.example.com</v>
      </c>
      <c r="E4" s="2" t="str">
        <f aca="false">Compliance_Decisions!D8</f>
        <v>mgr-mkt@company.example.com</v>
      </c>
      <c r="F4" s="4" t="n">
        <f aca="false">Compliance_Decisions!E8</f>
        <v>46127</v>
      </c>
      <c r="G4" s="4" t="n">
        <f aca="false">Compliance_Decisions!H8</f>
        <v>46132</v>
      </c>
      <c r="H4" s="2" t="n">
        <f aca="false">Compliance_Decisions!I8</f>
        <v>0</v>
      </c>
      <c r="I4" s="2" t="str">
        <f aca="false">"I-9 Reminder"</f>
        <v>I-9 Reminder</v>
      </c>
      <c r="J4" s="2" t="str">
        <f aca="false">"DRAFT_NOT_SENT"</f>
        <v>DRAFT_NOT_SENT</v>
      </c>
      <c r="K4" s="5" t="b">
        <f aca="false">FALSE()</f>
        <v>0</v>
      </c>
      <c r="L4" s="2" t="str">
        <f aca="false">"I9_Verification_Tracker.xlsx:Recent Hires row "&amp;B4&amp;" | Employment_Verification_Policy.mbox:msg_i9_policy_5113"</f>
        <v>I9_Verification_Tracker.xlsx:Recent Hires row 8 | Employment_Verification_Policy.mbox:msg_i9_policy_5113</v>
      </c>
    </row>
  </sheetData>
  <autoFilter ref="A1:L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&amp;CThree policy-required reminder drafts · exact manager Cc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0.99"/>
    <col collapsed="false" customWidth="true" hidden="false" outlineLevel="0" max="3" min="3" style="0" width="23.01"/>
    <col collapsed="false" customWidth="true" hidden="false" outlineLevel="0" max="6" min="4" style="0" width="15"/>
    <col collapsed="false" customWidth="true" hidden="false" outlineLevel="0" max="7" min="7" style="0" width="35"/>
    <col collapsed="false" customWidth="true" hidden="false" outlineLevel="0" max="8" min="8" style="0" width="48.01"/>
    <col collapsed="false" customWidth="true" hidden="false" outlineLevel="0" max="9" min="9" style="0" width="19.99"/>
    <col collapsed="false" customWidth="true" hidden="false" outlineLevel="0" max="10" min="10" style="0" width="10"/>
    <col collapsed="false" customWidth="true" hidden="false" outlineLevel="0" max="11" min="11" style="0" width="82.01"/>
  </cols>
  <sheetData>
    <row r="1" customFormat="false" ht="30.75" hidden="false" customHeight="true" outlineLevel="0" collapsed="false">
      <c r="A1" s="1" t="s">
        <v>119</v>
      </c>
      <c r="B1" s="1" t="s">
        <v>0</v>
      </c>
      <c r="C1" s="1" t="s">
        <v>1</v>
      </c>
      <c r="D1" s="1" t="s">
        <v>4</v>
      </c>
      <c r="E1" s="1" t="s">
        <v>121</v>
      </c>
      <c r="F1" s="1" t="s">
        <v>111</v>
      </c>
      <c r="G1" s="1" t="s">
        <v>124</v>
      </c>
      <c r="H1" s="1" t="s">
        <v>39</v>
      </c>
      <c r="I1" s="1" t="s">
        <v>122</v>
      </c>
      <c r="J1" s="1" t="s">
        <v>123</v>
      </c>
      <c r="K1" s="1" t="s">
        <v>42</v>
      </c>
    </row>
    <row r="2" customFormat="false" ht="48.75" hidden="false" customHeight="true" outlineLevel="0" collapsed="false">
      <c r="A2" s="2" t="n">
        <v>1</v>
      </c>
      <c r="B2" s="2" t="n">
        <f aca="false">Compliance_Decisions!A3</f>
        <v>3</v>
      </c>
      <c r="C2" s="2" t="str">
        <f aca="false">Compliance_Decisions!B3</f>
        <v>Boris Petrov</v>
      </c>
      <c r="D2" s="4" t="n">
        <f aca="false">Compliance_Decisions!E3</f>
        <v>46119</v>
      </c>
      <c r="E2" s="4" t="n">
        <f aca="false">Compliance_Decisions!H3</f>
        <v>46122</v>
      </c>
      <c r="F2" s="2" t="n">
        <f aca="false">Compliance_Decisions!I3</f>
        <v>6</v>
      </c>
      <c r="G2" s="2" t="str">
        <f aca="false">"legal@company.example.com"</f>
        <v>legal@company.example.com</v>
      </c>
      <c r="H2" s="2" t="str">
        <f aca="false">"I-9 Compliance Violation - "&amp;C2</f>
        <v>I-9 Compliance Violation - Boris Petrov</v>
      </c>
      <c r="I2" s="2" t="str">
        <f aca="false">"DRAFT_NOT_SENT"</f>
        <v>DRAFT_NOT_SENT</v>
      </c>
      <c r="J2" s="5" t="b">
        <f aca="false">FALSE()</f>
        <v>0</v>
      </c>
      <c r="K2" s="2" t="str">
        <f aca="false">"I9_Verification_Tracker.xlsx:Recent Hires row "&amp;B2&amp;" | Employment_Verification_Policy.mbox:msg_i9_policy_5113"</f>
        <v>I9_Verification_Tracker.xlsx:Recent Hires row 3 | Employment_Verification_Policy.mbox:msg_i9_policy_5113</v>
      </c>
    </row>
    <row r="3" customFormat="false" ht="48.75" hidden="false" customHeight="true" outlineLevel="0" collapsed="false">
      <c r="A3" s="2" t="n">
        <v>2</v>
      </c>
      <c r="B3" s="2" t="n">
        <f aca="false">Compliance_Decisions!A5</f>
        <v>5</v>
      </c>
      <c r="C3" s="2" t="str">
        <f aca="false">Compliance_Decisions!B5</f>
        <v>Dmitri Volkov</v>
      </c>
      <c r="D3" s="4" t="n">
        <f aca="false">Compliance_Decisions!E5</f>
        <v>46113</v>
      </c>
      <c r="E3" s="4" t="n">
        <f aca="false">Compliance_Decisions!H5</f>
        <v>46118</v>
      </c>
      <c r="F3" s="2" t="n">
        <f aca="false">Compliance_Decisions!I5</f>
        <v>10</v>
      </c>
      <c r="G3" s="2" t="str">
        <f aca="false">"legal@company.example.com"</f>
        <v>legal@company.example.com</v>
      </c>
      <c r="H3" s="2" t="str">
        <f aca="false">"I-9 Compliance Violation - "&amp;C3</f>
        <v>I-9 Compliance Violation - Dmitri Volkov</v>
      </c>
      <c r="I3" s="2" t="str">
        <f aca="false">"DRAFT_NOT_SENT"</f>
        <v>DRAFT_NOT_SENT</v>
      </c>
      <c r="J3" s="5" t="b">
        <f aca="false">FALSE()</f>
        <v>0</v>
      </c>
      <c r="K3" s="2" t="str">
        <f aca="false">"I9_Verification_Tracker.xlsx:Recent Hires row "&amp;B3&amp;" | Employment_Verification_Policy.mbox:msg_i9_policy_5113"</f>
        <v>I9_Verification_Tracker.xlsx:Recent Hires row 5 | Employment_Verification_Policy.mbox:msg_i9_policy_5113</v>
      </c>
    </row>
    <row r="4" customFormat="false" ht="48.75" hidden="false" customHeight="true" outlineLevel="0" collapsed="false">
      <c r="A4" s="2" t="n">
        <v>3</v>
      </c>
      <c r="B4" s="2" t="n">
        <f aca="false">Compliance_Decisions!A7</f>
        <v>7</v>
      </c>
      <c r="C4" s="2" t="str">
        <f aca="false">Compliance_Decisions!B7</f>
        <v>Frankie Reeves</v>
      </c>
      <c r="D4" s="4" t="n">
        <f aca="false">Compliance_Decisions!E7</f>
        <v>46106</v>
      </c>
      <c r="E4" s="4" t="n">
        <f aca="false">Compliance_Decisions!H7</f>
        <v>46111</v>
      </c>
      <c r="F4" s="2" t="n">
        <f aca="false">Compliance_Decisions!I7</f>
        <v>15</v>
      </c>
      <c r="G4" s="2" t="str">
        <f aca="false">"legal@company.example.com"</f>
        <v>legal@company.example.com</v>
      </c>
      <c r="H4" s="2" t="str">
        <f aca="false">"I-9 Compliance Violation - "&amp;C4</f>
        <v>I-9 Compliance Violation - Frankie Reeves</v>
      </c>
      <c r="I4" s="2" t="str">
        <f aca="false">"DRAFT_NOT_SENT"</f>
        <v>DRAFT_NOT_SENT</v>
      </c>
      <c r="J4" s="5" t="b">
        <f aca="false">FALSE()</f>
        <v>0</v>
      </c>
      <c r="K4" s="2" t="str">
        <f aca="false">"I9_Verification_Tracker.xlsx:Recent Hires row "&amp;B4&amp;" | Employment_Verification_Policy.mbox:msg_i9_policy_5113"</f>
        <v>I9_Verification_Tracker.xlsx:Recent Hires row 7 | Employment_Verification_Policy.mbox:msg_i9_policy_5113</v>
      </c>
    </row>
    <row r="5" customFormat="false" ht="48.75" hidden="false" customHeight="true" outlineLevel="0" collapsed="false">
      <c r="A5" s="2" t="n">
        <v>4</v>
      </c>
      <c r="B5" s="2" t="n">
        <f aca="false">Compliance_Decisions!A9</f>
        <v>9</v>
      </c>
      <c r="C5" s="2" t="str">
        <f aca="false">Compliance_Decisions!B9</f>
        <v>Hank Morrison</v>
      </c>
      <c r="D5" s="4" t="n">
        <f aca="false">Compliance_Decisions!E9</f>
        <v>46120</v>
      </c>
      <c r="E5" s="4" t="n">
        <f aca="false">Compliance_Decisions!H9</f>
        <v>46125</v>
      </c>
      <c r="F5" s="2" t="n">
        <f aca="false">Compliance_Decisions!I9</f>
        <v>5</v>
      </c>
      <c r="G5" s="2" t="str">
        <f aca="false">"legal@company.example.com"</f>
        <v>legal@company.example.com</v>
      </c>
      <c r="H5" s="2" t="str">
        <f aca="false">"I-9 Compliance Violation - "&amp;C5</f>
        <v>I-9 Compliance Violation - Hank Morrison</v>
      </c>
      <c r="I5" s="2" t="str">
        <f aca="false">"DRAFT_NOT_SENT"</f>
        <v>DRAFT_NOT_SENT</v>
      </c>
      <c r="J5" s="5" t="b">
        <f aca="false">FALSE()</f>
        <v>0</v>
      </c>
      <c r="K5" s="2" t="str">
        <f aca="false">"I9_Verification_Tracker.xlsx:Recent Hires row "&amp;B5&amp;" | Employment_Verification_Policy.mbox:msg_i9_policy_5113"</f>
        <v>I9_Verification_Tracker.xlsx:Recent Hires row 9 | Employment_Verification_Policy.mbox:msg_i9_policy_5113</v>
      </c>
    </row>
  </sheetData>
  <autoFilter ref="A1:K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&amp;CFour legal violation drafts · Hank included by full-roster evaluation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.99"/>
    <col collapsed="false" customWidth="true" hidden="false" outlineLevel="0" max="3" min="3" style="0" width="25"/>
    <col collapsed="false" customWidth="true" hidden="false" outlineLevel="0" max="4" min="4" style="0" width="19"/>
    <col collapsed="false" customWidth="true" hidden="false" outlineLevel="0" max="5" min="5" style="0" width="32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87.99"/>
  </cols>
  <sheetData>
    <row r="1" customFormat="false" ht="30.75" hidden="false" customHeight="true" outlineLevel="0" collapsed="false">
      <c r="A1" s="1" t="s">
        <v>119</v>
      </c>
      <c r="B1" s="1" t="s">
        <v>0</v>
      </c>
      <c r="C1" s="1" t="s">
        <v>1</v>
      </c>
      <c r="D1" s="1" t="s">
        <v>109</v>
      </c>
      <c r="E1" s="1" t="s">
        <v>125</v>
      </c>
      <c r="F1" s="1" t="s">
        <v>117</v>
      </c>
      <c r="G1" s="1" t="s">
        <v>126</v>
      </c>
      <c r="H1" s="1" t="s">
        <v>42</v>
      </c>
    </row>
    <row r="2" customFormat="false" ht="49.5" hidden="false" customHeight="true" outlineLevel="0" collapsed="false">
      <c r="A2" s="2" t="n">
        <v>1</v>
      </c>
      <c r="B2" s="2" t="n">
        <f aca="false">Compliance_Decisions!A4</f>
        <v>4</v>
      </c>
      <c r="C2" s="2" t="str">
        <f aca="false">Compliance_Decisions!B4</f>
        <v>Cassie Lin</v>
      </c>
      <c r="D2" s="2" t="str">
        <f aca="false">Compliance_Decisions!F4</f>
        <v>Complete</v>
      </c>
      <c r="E2" s="2" t="str">
        <f aca="false">"SOURCE_STATUS_COMPLETE"</f>
        <v>SOURCE_STATUS_COMPLETE</v>
      </c>
      <c r="F2" s="5" t="b">
        <f aca="false">FALSE()</f>
        <v>0</v>
      </c>
      <c r="G2" s="5" t="b">
        <f aca="false">FALSE()</f>
        <v>0</v>
      </c>
      <c r="H2" s="2" t="str">
        <f aca="false">"I9_Verification_Tracker.xlsx:Recent Hires row "&amp;B2&amp;" | Employment_Verification_Policy.mbox:msg_i9_policy_5113"</f>
        <v>I9_Verification_Tracker.xlsx:Recent Hires row 4 | Employment_Verification_Policy.mbox:msg_i9_policy_5113</v>
      </c>
    </row>
  </sheetData>
  <autoFilter ref="A1:H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&amp;CCassie protected from unnecessary action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.01"/>
    <col collapsed="false" customWidth="true" hidden="false" outlineLevel="0" max="3" min="3" style="0" width="11.99"/>
    <col collapsed="false" customWidth="true" hidden="false" outlineLevel="0" max="4" min="4" style="0" width="61"/>
    <col collapsed="false" customWidth="true" hidden="false" outlineLevel="0" max="5" min="5" style="0" width="58"/>
  </cols>
  <sheetData>
    <row r="1" customFormat="false" ht="30.75" hidden="false" customHeight="true" outlineLevel="0" collapsed="false">
      <c r="A1" s="1" t="s">
        <v>127</v>
      </c>
      <c r="B1" s="1" t="s">
        <v>128</v>
      </c>
      <c r="C1" s="1" t="s">
        <v>129</v>
      </c>
      <c r="D1" s="1" t="s">
        <v>130</v>
      </c>
      <c r="E1" s="1" t="s">
        <v>42</v>
      </c>
    </row>
    <row r="2" customFormat="false" ht="15" hidden="false" customHeight="false" outlineLevel="0" collapsed="false">
      <c r="A2" s="2" t="s">
        <v>131</v>
      </c>
      <c r="B2" s="2" t="n">
        <f aca="false">COUNTA(Compliance_Decisions!A2:A9)</f>
        <v>8</v>
      </c>
      <c r="C2" s="2" t="n">
        <v>8</v>
      </c>
      <c r="D2" s="2" t="s">
        <v>132</v>
      </c>
      <c r="E2" s="2" t="s">
        <v>133</v>
      </c>
    </row>
    <row r="3" customFormat="false" ht="15" hidden="false" customHeight="false" outlineLevel="0" collapsed="false">
      <c r="A3" s="2" t="s">
        <v>11</v>
      </c>
      <c r="B3" s="2" t="n">
        <f aca="false">COUNTIF(Compliance_Decisions!J2:J9,"NO")</f>
        <v>7</v>
      </c>
      <c r="C3" s="2" t="n">
        <v>7</v>
      </c>
      <c r="D3" s="2" t="s">
        <v>134</v>
      </c>
      <c r="E3" s="2" t="s">
        <v>133</v>
      </c>
    </row>
    <row r="4" customFormat="false" ht="15" hidden="false" customHeight="false" outlineLevel="0" collapsed="false">
      <c r="A4" s="2" t="s">
        <v>19</v>
      </c>
      <c r="B4" s="2" t="n">
        <f aca="false">COUNTIF(Compliance_Decisions!J2:J9,"YES")</f>
        <v>1</v>
      </c>
      <c r="C4" s="2" t="n">
        <v>1</v>
      </c>
      <c r="D4" s="2" t="s">
        <v>135</v>
      </c>
      <c r="E4" s="2" t="s">
        <v>133</v>
      </c>
    </row>
    <row r="5" customFormat="false" ht="15" hidden="false" customHeight="false" outlineLevel="0" collapsed="false">
      <c r="A5" s="2" t="s">
        <v>136</v>
      </c>
      <c r="B5" s="2" t="n">
        <f aca="false">COUNTIF(Compliance_Decisions!L2:L9,"YES")</f>
        <v>3</v>
      </c>
      <c r="C5" s="2" t="n">
        <v>3</v>
      </c>
      <c r="D5" s="2" t="s">
        <v>137</v>
      </c>
      <c r="E5" s="2" t="s">
        <v>133</v>
      </c>
    </row>
    <row r="6" customFormat="false" ht="15" hidden="false" customHeight="false" outlineLevel="0" collapsed="false">
      <c r="A6" s="2" t="s">
        <v>138</v>
      </c>
      <c r="B6" s="2" t="n">
        <f aca="false">COUNTIF(Compliance_Decisions!M2:M9,"YES")</f>
        <v>4</v>
      </c>
      <c r="C6" s="2" t="n">
        <v>4</v>
      </c>
      <c r="D6" s="2" t="s">
        <v>139</v>
      </c>
      <c r="E6" s="2" t="s">
        <v>133</v>
      </c>
    </row>
    <row r="7" customFormat="false" ht="15" hidden="false" customHeight="false" outlineLevel="0" collapsed="false">
      <c r="A7" s="2" t="s">
        <v>140</v>
      </c>
      <c r="B7" s="2" t="n">
        <f aca="false">COUNTIF(Compliance_Decisions!N2:N9,"YES")</f>
        <v>1</v>
      </c>
      <c r="C7" s="2" t="n">
        <v>1</v>
      </c>
      <c r="D7" s="2" t="s">
        <v>141</v>
      </c>
      <c r="E7" s="2" t="s">
        <v>133</v>
      </c>
    </row>
    <row r="8" customFormat="false" ht="15" hidden="false" customHeight="false" outlineLevel="0" collapsed="false">
      <c r="A8" s="2" t="s">
        <v>142</v>
      </c>
      <c r="B8" s="2" t="n">
        <f aca="false">COUNTIF(Compliance_Decisions!P2:P9,"YES")</f>
        <v>7</v>
      </c>
      <c r="C8" s="2" t="n">
        <v>7</v>
      </c>
      <c r="D8" s="2" t="s">
        <v>143</v>
      </c>
      <c r="E8" s="2" t="s">
        <v>133</v>
      </c>
    </row>
    <row r="9" customFormat="false" ht="15" hidden="false" customHeight="false" outlineLevel="0" collapsed="false">
      <c r="A9" s="2" t="s">
        <v>144</v>
      </c>
      <c r="B9" s="2" t="n">
        <f aca="false">COUNTIF(Reminder_Queue!K2:K4,TRUE())+COUNTIF(Legal_Violation_Queue!J2:J5,TRUE())</f>
        <v>0</v>
      </c>
      <c r="C9" s="2" t="n">
        <v>0</v>
      </c>
      <c r="D9" s="2" t="s">
        <v>145</v>
      </c>
      <c r="E9" s="2" t="s">
        <v>133</v>
      </c>
    </row>
    <row r="10" customFormat="false" ht="15" hidden="false" customHeight="false" outlineLevel="0" collapsed="false">
      <c r="A10" s="2" t="s">
        <v>146</v>
      </c>
      <c r="B10" s="2" t="n">
        <f aca="false">COUNTIF(Compliance_Decisions!P2:P9,"YES")</f>
        <v>7</v>
      </c>
      <c r="C10" s="2" t="n">
        <v>7</v>
      </c>
      <c r="D10" s="2" t="s">
        <v>147</v>
      </c>
      <c r="E10" s="2" t="s">
        <v>133</v>
      </c>
    </row>
    <row r="11" customFormat="false" ht="15" hidden="false" customHeight="false" outlineLevel="0" collapsed="false">
      <c r="A11" s="2" t="s">
        <v>148</v>
      </c>
      <c r="B11" s="2" t="n">
        <f aca="false">0</f>
        <v>0</v>
      </c>
      <c r="C11" s="2" t="n">
        <v>0</v>
      </c>
      <c r="D11" s="2" t="s">
        <v>149</v>
      </c>
      <c r="E11" s="2" t="s">
        <v>133</v>
      </c>
    </row>
    <row r="12" customFormat="false" ht="15" hidden="false" customHeight="false" outlineLevel="0" collapsed="false">
      <c r="A12" s="2" t="s">
        <v>150</v>
      </c>
      <c r="B12" s="2" t="n">
        <f aca="false">0</f>
        <v>0</v>
      </c>
      <c r="C12" s="2" t="n">
        <v>0</v>
      </c>
      <c r="D12" s="2" t="s">
        <v>151</v>
      </c>
      <c r="E12" s="2" t="s">
        <v>133</v>
      </c>
    </row>
    <row r="13" customFormat="false" ht="15" hidden="false" customHeight="false" outlineLevel="0" collapsed="false">
      <c r="A13" s="2" t="s">
        <v>152</v>
      </c>
      <c r="B13" s="2" t="n">
        <f aca="false">0</f>
        <v>0</v>
      </c>
      <c r="C13" s="2" t="n">
        <v>0</v>
      </c>
      <c r="D13" s="2" t="s">
        <v>153</v>
      </c>
      <c r="E13" s="2" t="s">
        <v>133</v>
      </c>
    </row>
    <row r="14" customFormat="false" ht="15" hidden="false" customHeight="false" outlineLevel="0" collapsed="false">
      <c r="A14" s="2" t="s">
        <v>154</v>
      </c>
      <c r="B14" s="2" t="n">
        <f aca="false">0</f>
        <v>0</v>
      </c>
      <c r="C14" s="2" t="n">
        <v>0</v>
      </c>
      <c r="D14" s="2" t="s">
        <v>155</v>
      </c>
      <c r="E14" s="2" t="s">
        <v>133</v>
      </c>
    </row>
  </sheetData>
  <autoFilter ref="A1:E1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&amp;CThirteen controls reconcile all seven deliverables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