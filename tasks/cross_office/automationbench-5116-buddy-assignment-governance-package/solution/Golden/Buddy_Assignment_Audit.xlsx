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New_Hires" sheetId="1" state="visible" r:id="rId1"/>
    <sheet xmlns:r="http://schemas.openxmlformats.org/officeDocument/2006/relationships" name="Source_Buddy_Pool" sheetId="2" state="visible" r:id="rId2"/>
    <sheet xmlns:r="http://schemas.openxmlformats.org/officeDocument/2006/relationships" name="Source_Department_Heads" sheetId="3" state="visible" r:id="rId3"/>
    <sheet xmlns:r="http://schemas.openxmlformats.org/officeDocument/2006/relationships" name="Source_Policy" sheetId="4" state="visible" r:id="rId4"/>
    <sheet xmlns:r="http://schemas.openxmlformats.org/officeDocument/2006/relationships" name="Evidence_Register" sheetId="5" state="visible" r:id="rId5"/>
    <sheet xmlns:r="http://schemas.openxmlformats.org/officeDocument/2006/relationships" name="Buddy_Eligibility" sheetId="6" state="visible" r:id="rId6"/>
    <sheet xmlns:r="http://schemas.openxmlformats.org/officeDocument/2006/relationships" name="Assignment_Decisions" sheetId="7" state="visible" r:id="rId7"/>
    <sheet xmlns:r="http://schemas.openxmlformats.org/officeDocument/2006/relationships" name="Assigned_Pairs" sheetId="8" state="visible" r:id="rId8"/>
    <sheet xmlns:r="http://schemas.openxmlformats.org/officeDocument/2006/relationships" name="Unfilled_Assignments" sheetId="9" state="visible" r:id="rId9"/>
    <sheet xmlns:r="http://schemas.openxmlformats.org/officeDocument/2006/relationships" name="New_Hire_Email_Drafts" sheetId="10" state="visible" r:id="rId10"/>
    <sheet xmlns:r="http://schemas.openxmlformats.org/officeDocument/2006/relationships" name="Buddy_DM_Drafts" sheetId="11" state="visible" r:id="rId11"/>
    <sheet xmlns:r="http://schemas.openxmlformats.org/officeDocument/2006/relationships" name="Control_Summary" sheetId="12" state="visible" r:id="rId12"/>
  </sheets>
  <definedNames>
    <definedName name="_xlnm.Print_Area" localSheetId="0">'Source_New_Hires'!$A$1:$E$4</definedName>
    <definedName name="_xlnm.Print_Area" localSheetId="1">'Source_Buddy_Pool'!$A$1:$G$8</definedName>
    <definedName name="_xlnm.Print_Area" localSheetId="2">'Source_Department_Heads'!$A$1:$C$4</definedName>
    <definedName name="_xlnm.Print_Area" localSheetId="3">'Source_Policy'!$A$1:$B$2</definedName>
    <definedName name="_xlnm.Print_Area" localSheetId="4">'Evidence_Register'!$A$1:$C$5</definedName>
    <definedName name="_xlnm.Print_Area" localSheetId="5">'Buddy_Eligibility'!$A$1:$M$8</definedName>
    <definedName name="_xlnm.Print_Area" localSheetId="6">'Assignment_Decisions'!$A$1:$Q$4</definedName>
    <definedName name="_xlnm.Print_Area" localSheetId="7">'Assigned_Pairs'!$A$1:$G$3</definedName>
    <definedName name="_xlnm.Print_Area" localSheetId="8">'Unfilled_Assignments'!$A$1:$E$2</definedName>
    <definedName name="_xlnm.Print_Area" localSheetId="9">'New_Hire_Email_Drafts'!$A$1:$D$3</definedName>
    <definedName name="_xlnm.Print_Area" localSheetId="10">'Buddy_DM_Drafts'!$A$1:$D$3</definedName>
    <definedName name="_xlnm.Print_Area" localSheetId="11">'Control_Summary'!$A$1:$C$10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Buddy assignment disposition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'Control_Summary'!$A$2:$A$4</f>
            </numRef>
          </cat>
          <val>
            <numRef>
              <f>'Control_Summary'!$B$2:$B$4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NewHires" displayName="SourceNewHires" ref="A1:E4" headerRowCount="1">
  <autoFilter ref="A1:E4"/>
  <tableColumns count="5">
    <tableColumn id="1" name="Source Row"/>
    <tableColumn id="2" name="New Hire"/>
    <tableColumn id="3" name="New Hire Email"/>
    <tableColumn id="4" name="Department"/>
    <tableColumn id="5" name="Start Date"/>
  </tableColumns>
  <tableStyleInfo name="TableStyleMedium2" showRowStripes="1"/>
</table>
</file>

<file path=xl/tables/table2.xml><?xml version="1.0" encoding="utf-8"?>
<table xmlns="http://schemas.openxmlformats.org/spreadsheetml/2006/main" id="2" name="SourceBuddyPool" displayName="SourceBuddyPool" ref="A1:G8" headerRowCount="1">
  <autoFilter ref="A1:G8"/>
  <tableColumns count="7">
    <tableColumn id="1" name="Source Row"/>
    <tableColumn id="2" name="Name"/>
    <tableColumn id="3" name="Email"/>
    <tableColumn id="4" name="Department"/>
    <tableColumn id="5" name="Hire Date"/>
    <tableColumn id="6" name="Currently Assigned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SourceDepartmentHeads" displayName="SourceDepartmentHeads" ref="A1:C4" headerRowCount="1">
  <autoFilter ref="A1:C4"/>
  <tableColumns count="3">
    <tableColumn id="1" name="Source Row"/>
    <tableColumn id="2" name="Department"/>
    <tableColumn id="3" name="Head Email"/>
  </tableColumns>
  <tableStyleInfo name="TableStyleMedium2" showRowStripes="1"/>
</table>
</file>

<file path=xl/tables/table4.xml><?xml version="1.0" encoding="utf-8"?>
<table xmlns="http://schemas.openxmlformats.org/spreadsheetml/2006/main" id="4" name="SourcePolicy" displayName="SourcePolicy" ref="A1:B2" headerRowCount="1">
  <autoFilter ref="A1:B2"/>
  <tableColumns count="2">
    <tableColumn id="1" name="Message ID"/>
    <tableColumn id="2" name="Body"/>
  </tableColumns>
  <tableStyleInfo name="TableStyleMedium2" showRowStripes="1"/>
</table>
</file>

<file path=xl/tables/table5.xml><?xml version="1.0" encoding="utf-8"?>
<table xmlns="http://schemas.openxmlformats.org/spreadsheetml/2006/main" id="5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6.xml><?xml version="1.0" encoding="utf-8"?>
<table xmlns="http://schemas.openxmlformats.org/spreadsheetml/2006/main" id="6" name="BuddyEligibility" displayName="BuddyEligibility" ref="A1:M8" headerRowCount="1">
  <autoFilter ref="A1:M8"/>
  <tableColumns count="13">
    <tableColumn id="1" name="Row"/>
    <tableColumn id="2" name="Name"/>
    <tableColumn id="3" name="Email"/>
    <tableColumn id="4" name="Department"/>
    <tableColumn id="5" name="Hire Date"/>
    <tableColumn id="6" name="Currently Assigned"/>
    <tableColumn id="7" name="Notes"/>
    <tableColumn id="8" name="Tenure Eligible"/>
    <tableColumn id="9" name="Unassigned"/>
    <tableColumn id="10" name="On Leave"/>
    <tableColumn id="11" name="Eligible"/>
    <tableColumn id="12" name="Reason"/>
    <tableColumn id="13" name="Trace"/>
  </tableColumns>
  <tableStyleInfo name="TableStyleMedium2" showRowStripes="1"/>
</table>
</file>

<file path=xl/tables/table7.xml><?xml version="1.0" encoding="utf-8"?>
<table xmlns="http://schemas.openxmlformats.org/spreadsheetml/2006/main" id="7" name="AssignmentDecisions" displayName="AssignmentDecisions" ref="A1:Q4" headerRowCount="1">
  <autoFilter ref="A1:Q4"/>
  <tableColumns count="17">
    <tableColumn id="1" name="Row"/>
    <tableColumn id="2" name="New Hire"/>
    <tableColumn id="3" name="Email"/>
    <tableColumn id="4" name="Department"/>
    <tableColumn id="5" name="Start Date"/>
    <tableColumn id="6" name="Selected Buddy"/>
    <tableColumn id="7" name="Buddy Email"/>
    <tableColumn id="8" name="Slack ID"/>
    <tableColumn id="9" name="Head Email"/>
    <tableColumn id="10" name="Decision"/>
    <tableColumn id="11" name="New Hire Draft"/>
    <tableColumn id="12" name="Buddy DM Draft"/>
    <tableColumn id="13" name="Head Escalation"/>
    <tableColumn id="14" name="Assignment Applied"/>
    <tableColumn id="15" name="Email Sent"/>
    <tableColumn id="16" name="DM Delivered"/>
    <tableColumn id="17" name="Trace"/>
  </tableColumns>
  <tableStyleInfo name="TableStyleMedium2" showRowStripes="1"/>
</table>
</file>

<file path=xl/tables/table8.xml><?xml version="1.0" encoding="utf-8"?>
<table xmlns="http://schemas.openxmlformats.org/spreadsheetml/2006/main" id="8" name="AssignedPairs" displayName="AssignedPairs" ref="A1:G3" headerRowCount="1">
  <autoFilter ref="A1:G3"/>
  <tableColumns count="7">
    <tableColumn id="1" name="New Hire"/>
    <tableColumn id="2" name="Department"/>
    <tableColumn id="3" name="Buddy"/>
    <tableColumn id="4" name="Buddy Email"/>
    <tableColumn id="5" name="Slack ID"/>
    <tableColumn id="6" name="Start Date"/>
    <tableColumn id="7" name="State"/>
  </tableColumns>
  <tableStyleInfo name="TableStyleMedium2" showRowStripes="1"/>
</table>
</file>

<file path=xl/tables/table9.xml><?xml version="1.0" encoding="utf-8"?>
<table xmlns="http://schemas.openxmlformats.org/spreadsheetml/2006/main" id="9" name="UnfilledAssignments" displayName="UnfilledAssignments" ref="A1:E2" headerRowCount="1">
  <autoFilter ref="A1:E2"/>
  <tableColumns count="5">
    <tableColumn id="1" name="New Hire"/>
    <tableColumn id="2" name="Department"/>
    <tableColumn id="3" name="Head Email"/>
    <tableColumn id="4" name="Reason"/>
    <tableColumn id="5" name="State"/>
  </tableColumns>
  <tableStyleInfo name="TableStyleMedium2" showRowStripes="1"/>
</table>
</file>

<file path=xl/tables/table10.xml><?xml version="1.0" encoding="utf-8"?>
<table xmlns="http://schemas.openxmlformats.org/spreadsheetml/2006/main" id="10" name="NewHireEmailDrafts" displayName="NewHireEmailDrafts" ref="A1:D3" headerRowCount="1">
  <autoFilter ref="A1:D3"/>
  <tableColumns count="4">
    <tableColumn id="1" name="New Hire"/>
    <tableColumn id="2" name="To"/>
    <tableColumn id="3" name="Buddy"/>
    <tableColumn id="4" name="State"/>
  </tableColumns>
  <tableStyleInfo name="TableStyleMedium2" showRowStripes="1"/>
</table>
</file>

<file path=xl/tables/table11.xml><?xml version="1.0" encoding="utf-8"?>
<table xmlns="http://schemas.openxmlformats.org/spreadsheetml/2006/main" id="11" name="BuddyDMDrafts" displayName="BuddyDMDrafts" ref="A1:D3" headerRowCount="1">
  <autoFilter ref="A1:D3"/>
  <tableColumns count="4">
    <tableColumn id="1" name="Buddy"/>
    <tableColumn id="2" name="Slack ID"/>
    <tableColumn id="3" name="New Hire"/>
    <tableColumn id="4" name="State"/>
  </tableColumns>
  <tableStyleInfo name="TableStyleMedium2" showRowStripes="1"/>
</table>
</file>

<file path=xl/tables/table12.xml><?xml version="1.0" encoding="utf-8"?>
<table xmlns="http://schemas.openxmlformats.org/spreadsheetml/2006/main" id="12" name="ControlSummary" displayName="ControlSummary" ref="A1:C10" headerRowCount="1">
  <autoFilter ref="A1:C10"/>
  <tableColumns count="3">
    <tableColumn id="1" name="Metric"/>
    <tableColumn id="2" name="Count"/>
    <tableColumn id="3" name="Contro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22" customWidth="1" min="4" max="4"/>
    <col width="18" customWidth="1" min="5" max="5"/>
  </cols>
  <sheetData>
    <row r="1">
      <c r="A1" s="1" t="inlineStr">
        <is>
          <t>Source Row</t>
        </is>
      </c>
      <c r="B1" s="1" t="inlineStr">
        <is>
          <t>New Hire</t>
        </is>
      </c>
      <c r="C1" s="1" t="inlineStr">
        <is>
          <t>New Hire Email</t>
        </is>
      </c>
      <c r="D1" s="1" t="inlineStr">
        <is>
          <t>Department</t>
        </is>
      </c>
      <c r="E1" s="1" t="inlineStr">
        <is>
          <t>Start Date</t>
        </is>
      </c>
    </row>
    <row r="2">
      <c r="A2" s="2" t="n">
        <v>2</v>
      </c>
      <c r="B2" s="2" t="inlineStr">
        <is>
          <t>Li Wei</t>
        </is>
      </c>
      <c r="C2" s="2" t="inlineStr">
        <is>
          <t>li.wei@company.example.com</t>
        </is>
      </c>
      <c r="D2" s="2" t="inlineStr">
        <is>
          <t>Engineering</t>
        </is>
      </c>
      <c r="E2" s="3" t="n">
        <v>46133</v>
      </c>
    </row>
    <row r="3">
      <c r="A3" s="2" t="n">
        <v>3</v>
      </c>
      <c r="B3" s="2" t="inlineStr">
        <is>
          <t>Li Wei-Chen</t>
        </is>
      </c>
      <c r="C3" s="2" t="inlineStr">
        <is>
          <t>li.weichen@company.example.com</t>
        </is>
      </c>
      <c r="D3" s="2" t="inlineStr">
        <is>
          <t>Marketing</t>
        </is>
      </c>
      <c r="E3" s="3" t="n">
        <v>46133</v>
      </c>
    </row>
    <row r="4">
      <c r="A4" s="2" t="n">
        <v>4</v>
      </c>
      <c r="B4" s="2" t="inlineStr">
        <is>
          <t>Nora Lindgren</t>
        </is>
      </c>
      <c r="C4" s="2" t="inlineStr">
        <is>
          <t>nora.lindgren@company.example.com</t>
        </is>
      </c>
      <c r="D4" s="2" t="inlineStr">
        <is>
          <t>Sales</t>
        </is>
      </c>
      <c r="E4" s="3" t="n">
        <v>46133</v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22" customWidth="1" min="4" max="4"/>
    <col width="18" customWidth="1" min="5" max="5"/>
    <col width="22" customWidth="1" min="6" max="6"/>
    <col width="58" customWidth="1" min="7" max="7"/>
  </cols>
  <sheetData>
    <row r="1">
      <c r="A1" s="1" t="inlineStr">
        <is>
          <t>Source Row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Currently Assigned</t>
        </is>
      </c>
      <c r="G1" s="1" t="inlineStr">
        <is>
          <t>Notes</t>
        </is>
      </c>
    </row>
    <row r="2">
      <c r="A2" s="2" t="n">
        <v>2</v>
      </c>
      <c r="B2" s="2" t="inlineStr">
        <is>
          <t>Carlos Mendoza</t>
        </is>
      </c>
      <c r="C2" s="2" t="inlineStr">
        <is>
          <t>carlos.mendoza@company.example.com</t>
        </is>
      </c>
      <c r="D2" s="2" t="inlineStr">
        <is>
          <t>Engineering</t>
        </is>
      </c>
      <c r="E2" s="3" t="n">
        <v>45005</v>
      </c>
      <c r="F2" s="2" t="inlineStr">
        <is>
          <t>No</t>
        </is>
      </c>
      <c r="G2" s="2" t="n"/>
    </row>
    <row r="3">
      <c r="A3" s="2" t="n">
        <v>3</v>
      </c>
      <c r="B3" s="2" t="inlineStr">
        <is>
          <t>Fatima Al-Rashid</t>
        </is>
      </c>
      <c r="C3" s="2" t="inlineStr">
        <is>
          <t>fatima.alrashid@company.example.com</t>
        </is>
      </c>
      <c r="D3" s="2" t="inlineStr">
        <is>
          <t>Engineering</t>
        </is>
      </c>
      <c r="E3" s="3" t="n">
        <v>45458</v>
      </c>
      <c r="F3" s="2" t="inlineStr">
        <is>
          <t>No</t>
        </is>
      </c>
      <c r="G3" s="2" t="inlineStr">
        <is>
          <t>Out until May 15 - parental leave</t>
        </is>
      </c>
    </row>
    <row r="4">
      <c r="A4" s="2" t="n">
        <v>4</v>
      </c>
      <c r="B4" s="2" t="inlineStr">
        <is>
          <t>James Whitfield</t>
        </is>
      </c>
      <c r="C4" s="2" t="inlineStr">
        <is>
          <t>james.whitfield@company.example.com</t>
        </is>
      </c>
      <c r="D4" s="2" t="inlineStr">
        <is>
          <t>Engineering</t>
        </is>
      </c>
      <c r="E4" s="3" t="n">
        <v>45870</v>
      </c>
      <c r="F4" s="2" t="inlineStr">
        <is>
          <t>No</t>
        </is>
      </c>
      <c r="G4" s="2" t="n"/>
    </row>
    <row r="5">
      <c r="A5" s="2" t="n">
        <v>5</v>
      </c>
      <c r="B5" s="2" t="inlineStr">
        <is>
          <t>Sandra Liu</t>
        </is>
      </c>
      <c r="C5" s="2" t="inlineStr">
        <is>
          <t>sandra.liu@company.example.com</t>
        </is>
      </c>
      <c r="D5" s="2" t="inlineStr">
        <is>
          <t>Marketing</t>
        </is>
      </c>
      <c r="E5" s="3" t="n">
        <v>44814</v>
      </c>
      <c r="F5" s="2" t="inlineStr">
        <is>
          <t>No</t>
        </is>
      </c>
      <c r="G5" s="2" t="n"/>
    </row>
    <row r="6">
      <c r="A6" s="2" t="n">
        <v>6</v>
      </c>
      <c r="B6" s="2" t="inlineStr">
        <is>
          <t>Olga Petrova</t>
        </is>
      </c>
      <c r="C6" s="2" t="inlineStr">
        <is>
          <t>olga.petrova@company.example.com</t>
        </is>
      </c>
      <c r="D6" s="2" t="inlineStr">
        <is>
          <t>Marketing</t>
        </is>
      </c>
      <c r="E6" s="3" t="n">
        <v>45828</v>
      </c>
      <c r="F6" s="2" t="inlineStr">
        <is>
          <t>No</t>
        </is>
      </c>
      <c r="G6" s="2" t="n"/>
    </row>
    <row r="7">
      <c r="A7" s="2" t="n">
        <v>7</v>
      </c>
      <c r="B7" s="2" t="inlineStr">
        <is>
          <t>Brandon Osei</t>
        </is>
      </c>
      <c r="C7" s="2" t="inlineStr">
        <is>
          <t>brandon.osei@company.example.com</t>
        </is>
      </c>
      <c r="D7" s="2" t="inlineStr">
        <is>
          <t>Sales</t>
        </is>
      </c>
      <c r="E7" s="3" t="n">
        <v>45962</v>
      </c>
      <c r="F7" s="2" t="inlineStr">
        <is>
          <t>No</t>
        </is>
      </c>
      <c r="G7" s="2" t="n"/>
    </row>
    <row r="8">
      <c r="A8" s="2" t="n">
        <v>8</v>
      </c>
      <c r="B8" s="2" t="inlineStr">
        <is>
          <t>Ava Chen</t>
        </is>
      </c>
      <c r="C8" s="2" t="inlineStr">
        <is>
          <t>ava.chen@company.example.com</t>
        </is>
      </c>
      <c r="D8" s="2" t="inlineStr">
        <is>
          <t>Sales</t>
        </is>
      </c>
      <c r="E8" s="3" t="n">
        <v>46037</v>
      </c>
      <c r="F8" s="2" t="inlineStr">
        <is>
          <t>No</t>
        </is>
      </c>
      <c r="G8" s="2" t="n"/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</cols>
  <sheetData>
    <row r="1">
      <c r="A1" s="1" t="inlineStr">
        <is>
          <t>Source Row</t>
        </is>
      </c>
      <c r="B1" s="1" t="inlineStr">
        <is>
          <t>Department</t>
        </is>
      </c>
      <c r="C1" s="1" t="inlineStr">
        <is>
          <t>Head Email</t>
        </is>
      </c>
    </row>
    <row r="2">
      <c r="A2" s="2" t="n">
        <v>2</v>
      </c>
      <c r="B2" s="2" t="inlineStr">
        <is>
          <t>Engineering</t>
        </is>
      </c>
      <c r="C2" s="2" t="inlineStr">
        <is>
          <t>vp-eng@company.example.com</t>
        </is>
      </c>
    </row>
    <row r="3">
      <c r="A3" s="2" t="n">
        <v>3</v>
      </c>
      <c r="B3" s="2" t="inlineStr">
        <is>
          <t>Marketing</t>
        </is>
      </c>
      <c r="C3" s="2" t="inlineStr">
        <is>
          <t>vp-mkt@company.example.com</t>
        </is>
      </c>
    </row>
    <row r="4">
      <c r="A4" s="2" t="n">
        <v>4</v>
      </c>
      <c r="B4" s="2" t="inlineStr">
        <is>
          <t>Sales</t>
        </is>
      </c>
      <c r="C4" s="2" t="inlineStr">
        <is>
          <t>vp-sales@company.example.com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1" t="inlineStr">
        <is>
          <t>Message ID</t>
        </is>
      </c>
      <c r="B1" s="1" t="inlineStr">
        <is>
          <t>Body</t>
        </is>
      </c>
    </row>
    <row r="2">
      <c r="A2" s="2" t="inlineStr">
        <is>
          <t>msg_buddy_policy_5116</t>
        </is>
      </c>
      <c r="B2" s="2" t="inlineStr">
        <is>
          <t xml:space="preserve">Team,
Buddy assignment rules:
1. Buddy must be in the SAME department as the new hire.
2. Buddy must have at least 1 year of tenure (hired before April 2025).
3. Each buddy can only be assigned to ONE new hire at a time.
4. If multiple eligible buddies exist, assign the one with the longest tenure.
5. If no eligible buddy is available, email the department head instead asking them to find a buddy manually. Do NOT assign a cross-department buddy.
- HR Director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Buddy_Program_Policy.mbox</t>
        </is>
      </c>
      <c r="B2" s="2" t="inlineStr">
        <is>
          <t>Frozen 5116 source</t>
        </is>
      </c>
      <c r="C2" s="2" t="inlineStr">
        <is>
          <t>389447a9f1b5bafbb3c7f2042a076666127f93e5e2ed870eba0ea5674c4a4ef0</t>
        </is>
      </c>
    </row>
    <row r="3">
      <c r="A3" s="2" t="inlineStr">
        <is>
          <t>Buddy_Slack_Users.json</t>
        </is>
      </c>
      <c r="B3" s="2" t="inlineStr">
        <is>
          <t>Frozen 5116 source</t>
        </is>
      </c>
      <c r="C3" s="2" t="inlineStr">
        <is>
          <t>cdc3a9f1efe7f85e56428dd8c85dedb9545be5bd2b2413bee94537483bde45e6</t>
        </is>
      </c>
    </row>
    <row r="4">
      <c r="A4" s="2" t="inlineStr">
        <is>
          <t>Onboarding_Buddy_Tracker.xlsx</t>
        </is>
      </c>
      <c r="B4" s="2" t="inlineStr">
        <is>
          <t>Frozen 5116 source</t>
        </is>
      </c>
      <c r="C4" s="2" t="inlineStr">
        <is>
          <t>e6f3e42a57f8b467281e4f073bfb6b2086a4aca76a4735ea1e95e687723e8662</t>
        </is>
      </c>
    </row>
    <row r="5">
      <c r="A5" s="2" t="inlineStr">
        <is>
          <t>Workflow_Context.json</t>
        </is>
      </c>
      <c r="B5" s="2" t="inlineStr">
        <is>
          <t>Frozen 5116 source</t>
        </is>
      </c>
      <c r="C5" s="2" t="inlineStr">
        <is>
          <t>76c4a0657bc27f2fd830b10613ec7ceae3adcdc5798aeee0f822d27bf69bbc99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22" customWidth="1" min="4" max="4"/>
    <col width="18" customWidth="1" min="5" max="5"/>
    <col width="20" customWidth="1" min="6" max="6"/>
    <col width="54" customWidth="1" min="7" max="7"/>
    <col width="18" customWidth="1" min="8" max="8"/>
    <col width="16" customWidth="1" min="9" max="9"/>
    <col width="16" customWidth="1" min="10" max="10"/>
    <col width="16" customWidth="1" min="11" max="11"/>
    <col width="30" customWidth="1" min="12" max="12"/>
    <col width="86" customWidth="1" min="13" max="13"/>
  </cols>
  <sheetData>
    <row r="1">
      <c r="A1" s="1" t="inlineStr">
        <is>
          <t>Row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Currently Assigned</t>
        </is>
      </c>
      <c r="G1" s="1" t="inlineStr">
        <is>
          <t>Notes</t>
        </is>
      </c>
      <c r="H1" s="1" t="inlineStr">
        <is>
          <t>Tenure Eligible</t>
        </is>
      </c>
      <c r="I1" s="1" t="inlineStr">
        <is>
          <t>Unassigned</t>
        </is>
      </c>
      <c r="J1" s="1" t="inlineStr">
        <is>
          <t>On Leave</t>
        </is>
      </c>
      <c r="K1" s="1" t="inlineStr">
        <is>
          <t>Eligible</t>
        </is>
      </c>
      <c r="L1" s="1" t="inlineStr">
        <is>
          <t>Reason</t>
        </is>
      </c>
      <c r="M1" s="1" t="inlineStr">
        <is>
          <t>Trace</t>
        </is>
      </c>
    </row>
    <row r="2">
      <c r="A2" s="2">
        <f>Source_Buddy_Pool!A2</f>
        <v/>
      </c>
      <c r="B2" s="2">
        <f>Source_Buddy_Pool!B2</f>
        <v/>
      </c>
      <c r="C2" s="2">
        <f>Source_Buddy_Pool!C2</f>
        <v/>
      </c>
      <c r="D2" s="2">
        <f>Source_Buddy_Pool!D2</f>
        <v/>
      </c>
      <c r="E2" s="2">
        <f>Source_Buddy_Pool!E2</f>
        <v/>
      </c>
      <c r="F2" s="2">
        <f>Source_Buddy_Pool!F2</f>
        <v/>
      </c>
      <c r="G2" s="2">
        <f>Source_Buddy_Pool!G2</f>
        <v/>
      </c>
      <c r="H2" s="2">
        <f>IF(E2&lt;DATE(2025,4,1),"YES","NO")</f>
        <v/>
      </c>
      <c r="I2" s="2">
        <f>IF(F2="No","YES","NO")</f>
        <v/>
      </c>
      <c r="J2" s="2">
        <f>IF(ISNUMBER(SEARCH("Out until",G2)),"YES","NO")</f>
        <v/>
      </c>
      <c r="K2" s="2">
        <f>IF(AND(H2="YES",I2="YES",J2="NO"),"YES","NO")</f>
        <v/>
      </c>
      <c r="L2" s="2">
        <f>IF(K2="YES","ELIGIBLE",IF(J2="YES","ON_LEAVE","TENURE_UNDER_ONE_YEAR"))</f>
        <v/>
      </c>
      <c r="M2" s="2">
        <f>"name="&amp;B2&amp;"|department="&amp;D2&amp;"|hire="&amp;TEXT(E2,"yyyy-mm-dd")&amp;"|eligible="&amp;K2</f>
        <v/>
      </c>
    </row>
    <row r="3">
      <c r="A3" s="2">
        <f>Source_Buddy_Pool!A3</f>
        <v/>
      </c>
      <c r="B3" s="2">
        <f>Source_Buddy_Pool!B3</f>
        <v/>
      </c>
      <c r="C3" s="2">
        <f>Source_Buddy_Pool!C3</f>
        <v/>
      </c>
      <c r="D3" s="2">
        <f>Source_Buddy_Pool!D3</f>
        <v/>
      </c>
      <c r="E3" s="2">
        <f>Source_Buddy_Pool!E3</f>
        <v/>
      </c>
      <c r="F3" s="2">
        <f>Source_Buddy_Pool!F3</f>
        <v/>
      </c>
      <c r="G3" s="2">
        <f>Source_Buddy_Pool!G3</f>
        <v/>
      </c>
      <c r="H3" s="2">
        <f>IF(E3&lt;DATE(2025,4,1),"YES","NO")</f>
        <v/>
      </c>
      <c r="I3" s="2">
        <f>IF(F3="No","YES","NO")</f>
        <v/>
      </c>
      <c r="J3" s="2">
        <f>IF(ISNUMBER(SEARCH("Out until",G3)),"YES","NO")</f>
        <v/>
      </c>
      <c r="K3" s="2">
        <f>IF(AND(H3="YES",I3="YES",J3="NO"),"YES","NO")</f>
        <v/>
      </c>
      <c r="L3" s="2">
        <f>IF(K3="YES","ELIGIBLE",IF(J3="YES","ON_LEAVE","TENURE_UNDER_ONE_YEAR"))</f>
        <v/>
      </c>
      <c r="M3" s="2">
        <f>"name="&amp;B3&amp;"|department="&amp;D3&amp;"|hire="&amp;TEXT(E3,"yyyy-mm-dd")&amp;"|eligible="&amp;K3</f>
        <v/>
      </c>
    </row>
    <row r="4">
      <c r="A4" s="2">
        <f>Source_Buddy_Pool!A4</f>
        <v/>
      </c>
      <c r="B4" s="2">
        <f>Source_Buddy_Pool!B4</f>
        <v/>
      </c>
      <c r="C4" s="2">
        <f>Source_Buddy_Pool!C4</f>
        <v/>
      </c>
      <c r="D4" s="2">
        <f>Source_Buddy_Pool!D4</f>
        <v/>
      </c>
      <c r="E4" s="2">
        <f>Source_Buddy_Pool!E4</f>
        <v/>
      </c>
      <c r="F4" s="2">
        <f>Source_Buddy_Pool!F4</f>
        <v/>
      </c>
      <c r="G4" s="2">
        <f>Source_Buddy_Pool!G4</f>
        <v/>
      </c>
      <c r="H4" s="2">
        <f>IF(E4&lt;DATE(2025,4,1),"YES","NO")</f>
        <v/>
      </c>
      <c r="I4" s="2">
        <f>IF(F4="No","YES","NO")</f>
        <v/>
      </c>
      <c r="J4" s="2">
        <f>IF(ISNUMBER(SEARCH("Out until",G4)),"YES","NO")</f>
        <v/>
      </c>
      <c r="K4" s="2">
        <f>IF(AND(H4="YES",I4="YES",J4="NO"),"YES","NO")</f>
        <v/>
      </c>
      <c r="L4" s="2">
        <f>IF(K4="YES","ELIGIBLE",IF(J4="YES","ON_LEAVE","TENURE_UNDER_ONE_YEAR"))</f>
        <v/>
      </c>
      <c r="M4" s="2">
        <f>"name="&amp;B4&amp;"|department="&amp;D4&amp;"|hire="&amp;TEXT(E4,"yyyy-mm-dd")&amp;"|eligible="&amp;K4</f>
        <v/>
      </c>
    </row>
    <row r="5">
      <c r="A5" s="2">
        <f>Source_Buddy_Pool!A5</f>
        <v/>
      </c>
      <c r="B5" s="2">
        <f>Source_Buddy_Pool!B5</f>
        <v/>
      </c>
      <c r="C5" s="2">
        <f>Source_Buddy_Pool!C5</f>
        <v/>
      </c>
      <c r="D5" s="2">
        <f>Source_Buddy_Pool!D5</f>
        <v/>
      </c>
      <c r="E5" s="2">
        <f>Source_Buddy_Pool!E5</f>
        <v/>
      </c>
      <c r="F5" s="2">
        <f>Source_Buddy_Pool!F5</f>
        <v/>
      </c>
      <c r="G5" s="2">
        <f>Source_Buddy_Pool!G5</f>
        <v/>
      </c>
      <c r="H5" s="2">
        <f>IF(E5&lt;DATE(2025,4,1),"YES","NO")</f>
        <v/>
      </c>
      <c r="I5" s="2">
        <f>IF(F5="No","YES","NO")</f>
        <v/>
      </c>
      <c r="J5" s="2">
        <f>IF(ISNUMBER(SEARCH("Out until",G5)),"YES","NO")</f>
        <v/>
      </c>
      <c r="K5" s="2">
        <f>IF(AND(H5="YES",I5="YES",J5="NO"),"YES","NO")</f>
        <v/>
      </c>
      <c r="L5" s="2">
        <f>IF(K5="YES","ELIGIBLE",IF(J5="YES","ON_LEAVE","TENURE_UNDER_ONE_YEAR"))</f>
        <v/>
      </c>
      <c r="M5" s="2">
        <f>"name="&amp;B5&amp;"|department="&amp;D5&amp;"|hire="&amp;TEXT(E5,"yyyy-mm-dd")&amp;"|eligible="&amp;K5</f>
        <v/>
      </c>
    </row>
    <row r="6">
      <c r="A6" s="2">
        <f>Source_Buddy_Pool!A6</f>
        <v/>
      </c>
      <c r="B6" s="2">
        <f>Source_Buddy_Pool!B6</f>
        <v/>
      </c>
      <c r="C6" s="2">
        <f>Source_Buddy_Pool!C6</f>
        <v/>
      </c>
      <c r="D6" s="2">
        <f>Source_Buddy_Pool!D6</f>
        <v/>
      </c>
      <c r="E6" s="2">
        <f>Source_Buddy_Pool!E6</f>
        <v/>
      </c>
      <c r="F6" s="2">
        <f>Source_Buddy_Pool!F6</f>
        <v/>
      </c>
      <c r="G6" s="2">
        <f>Source_Buddy_Pool!G6</f>
        <v/>
      </c>
      <c r="H6" s="2">
        <f>IF(E6&lt;DATE(2025,4,1),"YES","NO")</f>
        <v/>
      </c>
      <c r="I6" s="2">
        <f>IF(F6="No","YES","NO")</f>
        <v/>
      </c>
      <c r="J6" s="2">
        <f>IF(ISNUMBER(SEARCH("Out until",G6)),"YES","NO")</f>
        <v/>
      </c>
      <c r="K6" s="2">
        <f>IF(AND(H6="YES",I6="YES",J6="NO"),"YES","NO")</f>
        <v/>
      </c>
      <c r="L6" s="2">
        <f>IF(K6="YES","ELIGIBLE",IF(J6="YES","ON_LEAVE","TENURE_UNDER_ONE_YEAR"))</f>
        <v/>
      </c>
      <c r="M6" s="2">
        <f>"name="&amp;B6&amp;"|department="&amp;D6&amp;"|hire="&amp;TEXT(E6,"yyyy-mm-dd")&amp;"|eligible="&amp;K6</f>
        <v/>
      </c>
    </row>
    <row r="7">
      <c r="A7" s="2">
        <f>Source_Buddy_Pool!A7</f>
        <v/>
      </c>
      <c r="B7" s="2">
        <f>Source_Buddy_Pool!B7</f>
        <v/>
      </c>
      <c r="C7" s="2">
        <f>Source_Buddy_Pool!C7</f>
        <v/>
      </c>
      <c r="D7" s="2">
        <f>Source_Buddy_Pool!D7</f>
        <v/>
      </c>
      <c r="E7" s="2">
        <f>Source_Buddy_Pool!E7</f>
        <v/>
      </c>
      <c r="F7" s="2">
        <f>Source_Buddy_Pool!F7</f>
        <v/>
      </c>
      <c r="G7" s="2">
        <f>Source_Buddy_Pool!G7</f>
        <v/>
      </c>
      <c r="H7" s="2">
        <f>IF(E7&lt;DATE(2025,4,1),"YES","NO")</f>
        <v/>
      </c>
      <c r="I7" s="2">
        <f>IF(F7="No","YES","NO")</f>
        <v/>
      </c>
      <c r="J7" s="2">
        <f>IF(ISNUMBER(SEARCH("Out until",G7)),"YES","NO")</f>
        <v/>
      </c>
      <c r="K7" s="2">
        <f>IF(AND(H7="YES",I7="YES",J7="NO"),"YES","NO")</f>
        <v/>
      </c>
      <c r="L7" s="2">
        <f>IF(K7="YES","ELIGIBLE",IF(J7="YES","ON_LEAVE","TENURE_UNDER_ONE_YEAR"))</f>
        <v/>
      </c>
      <c r="M7" s="2">
        <f>"name="&amp;B7&amp;"|department="&amp;D7&amp;"|hire="&amp;TEXT(E7,"yyyy-mm-dd")&amp;"|eligible="&amp;K7</f>
        <v/>
      </c>
    </row>
    <row r="8">
      <c r="A8" s="2">
        <f>Source_Buddy_Pool!A8</f>
        <v/>
      </c>
      <c r="B8" s="2">
        <f>Source_Buddy_Pool!B8</f>
        <v/>
      </c>
      <c r="C8" s="2">
        <f>Source_Buddy_Pool!C8</f>
        <v/>
      </c>
      <c r="D8" s="2">
        <f>Source_Buddy_Pool!D8</f>
        <v/>
      </c>
      <c r="E8" s="2">
        <f>Source_Buddy_Pool!E8</f>
        <v/>
      </c>
      <c r="F8" s="2">
        <f>Source_Buddy_Pool!F8</f>
        <v/>
      </c>
      <c r="G8" s="2">
        <f>Source_Buddy_Pool!G8</f>
        <v/>
      </c>
      <c r="H8" s="2">
        <f>IF(E8&lt;DATE(2025,4,1),"YES","NO")</f>
        <v/>
      </c>
      <c r="I8" s="2">
        <f>IF(F8="No","YES","NO")</f>
        <v/>
      </c>
      <c r="J8" s="2">
        <f>IF(ISNUMBER(SEARCH("Out until",G8)),"YES","NO")</f>
        <v/>
      </c>
      <c r="K8" s="2">
        <f>IF(AND(H8="YES",I8="YES",J8="NO"),"YES","NO")</f>
        <v/>
      </c>
      <c r="L8" s="2">
        <f>IF(K8="YES","ELIGIBLE",IF(J8="YES","ON_LEAVE","TENURE_UNDER_ONE_YEAR"))</f>
        <v/>
      </c>
      <c r="M8" s="2">
        <f>"name="&amp;B8&amp;"|department="&amp;D8&amp;"|hire="&amp;TEXT(E8,"yyyy-mm-dd")&amp;"|eligible="&amp;K8</f>
        <v/>
      </c>
    </row>
  </sheetData>
  <conditionalFormatting sqref="K2:K8">
    <cfRule type="expression" priority="1" dxfId="0">
      <formula>K2="YES"</formula>
    </cfRule>
    <cfRule type="expression" priority="2" dxfId="1">
      <formula>K2="NO"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22" customWidth="1" min="4" max="4"/>
    <col width="18" customWidth="1" min="5" max="5"/>
    <col width="24" customWidth="1" min="6" max="6"/>
    <col width="38" customWidth="1" min="7" max="7"/>
    <col width="18" customWidth="1" min="8" max="8"/>
    <col width="38" customWidth="1" min="9" max="9"/>
    <col width="34" customWidth="1" min="10" max="10"/>
    <col width="22" customWidth="1" min="11" max="11"/>
    <col width="24" customWidth="1" min="12" max="12"/>
    <col width="22" customWidth="1" min="13" max="13"/>
    <col width="18" customWidth="1" min="14" max="14"/>
    <col width="16" customWidth="1" min="15" max="15"/>
    <col width="18" customWidth="1" min="16" max="16"/>
    <col width="82" customWidth="1" min="17" max="17"/>
  </cols>
  <sheetData>
    <row r="1">
      <c r="A1" s="1" t="inlineStr">
        <is>
          <t>Row</t>
        </is>
      </c>
      <c r="B1" s="1" t="inlineStr">
        <is>
          <t>New Hire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Start Date</t>
        </is>
      </c>
      <c r="F1" s="1" t="inlineStr">
        <is>
          <t>Selected Buddy</t>
        </is>
      </c>
      <c r="G1" s="1" t="inlineStr">
        <is>
          <t>Buddy Email</t>
        </is>
      </c>
      <c r="H1" s="1" t="inlineStr">
        <is>
          <t>Slack ID</t>
        </is>
      </c>
      <c r="I1" s="1" t="inlineStr">
        <is>
          <t>Head Email</t>
        </is>
      </c>
      <c r="J1" s="1" t="inlineStr">
        <is>
          <t>Decision</t>
        </is>
      </c>
      <c r="K1" s="1" t="inlineStr">
        <is>
          <t>New Hire Draft</t>
        </is>
      </c>
      <c r="L1" s="1" t="inlineStr">
        <is>
          <t>Buddy DM Draft</t>
        </is>
      </c>
      <c r="M1" s="1" t="inlineStr">
        <is>
          <t>Head Escalation</t>
        </is>
      </c>
      <c r="N1" s="1" t="inlineStr">
        <is>
          <t>Assignment Applied</t>
        </is>
      </c>
      <c r="O1" s="1" t="inlineStr">
        <is>
          <t>Email Sent</t>
        </is>
      </c>
      <c r="P1" s="1" t="inlineStr">
        <is>
          <t>DM Delivered</t>
        </is>
      </c>
      <c r="Q1" s="1" t="inlineStr">
        <is>
          <t>Trace</t>
        </is>
      </c>
    </row>
    <row r="2">
      <c r="A2" s="2">
        <f>Source_New_Hires!A2</f>
        <v/>
      </c>
      <c r="B2" s="2">
        <f>Source_New_Hires!B2</f>
        <v/>
      </c>
      <c r="C2" s="2">
        <f>Source_New_Hires!C2</f>
        <v/>
      </c>
      <c r="D2" s="2">
        <f>Source_New_Hires!D2</f>
        <v/>
      </c>
      <c r="E2" s="2">
        <f>Source_New_Hires!E2</f>
        <v/>
      </c>
      <c r="F2" s="2">
        <f>IF(D2="Engineering",Buddy_Eligibility!B2,IF(D2="Marketing",Buddy_Eligibility!B5,""))</f>
        <v/>
      </c>
      <c r="G2" s="2">
        <f>IF(F2=Buddy_Eligibility!B2,Buddy_Eligibility!C2,IF(F2=Buddy_Eligibility!B5,Buddy_Eligibility!C5,""))</f>
        <v/>
      </c>
      <c r="H2" s="2">
        <f>IF(F2="Carlos Mendoza","U_CARLOS",IF(F2="Sandra Liu","U_SANDRA",""))</f>
        <v/>
      </c>
      <c r="I2" s="2">
        <f>IF(D2="Engineering",Source_Department_Heads!C2,IF(D2="Marketing",Source_Department_Heads!C3,Source_Department_Heads!C4))</f>
        <v/>
      </c>
      <c r="J2" s="2">
        <f>IF(F2="","ESCALATE_DEPARTMENT_HEAD","ASSIGN_BUDDY")</f>
        <v/>
      </c>
      <c r="K2" s="2">
        <f>IF(J2="ASSIGN_BUDDY","DRAFT_NOT_SENT","NOT_REQUIRED")</f>
        <v/>
      </c>
      <c r="L2" s="2">
        <f>IF(J2="ASSIGN_BUDDY","DRAFT_NOT_DELIVERED","NOT_REQUIRED")</f>
        <v/>
      </c>
      <c r="M2" s="2">
        <f>IF(J2="ESCALATE_DEPARTMENT_HEAD","DRAFT_NOT_SENT","NOT_REQUIRED")</f>
        <v/>
      </c>
      <c r="N2" s="2">
        <f>0</f>
        <v/>
      </c>
      <c r="O2" s="2">
        <f>0</f>
        <v/>
      </c>
      <c r="P2" s="2">
        <f>0</f>
        <v/>
      </c>
      <c r="Q2" s="2">
        <f>"new_hire="&amp;B2&amp;"|department="&amp;D2&amp;"|decision="&amp;J2&amp;"|buddy="&amp;F2</f>
        <v/>
      </c>
    </row>
    <row r="3">
      <c r="A3" s="2">
        <f>Source_New_Hires!A3</f>
        <v/>
      </c>
      <c r="B3" s="2">
        <f>Source_New_Hires!B3</f>
        <v/>
      </c>
      <c r="C3" s="2">
        <f>Source_New_Hires!C3</f>
        <v/>
      </c>
      <c r="D3" s="2">
        <f>Source_New_Hires!D3</f>
        <v/>
      </c>
      <c r="E3" s="2">
        <f>Source_New_Hires!E3</f>
        <v/>
      </c>
      <c r="F3" s="2">
        <f>IF(D3="Engineering",Buddy_Eligibility!B2,IF(D3="Marketing",Buddy_Eligibility!B5,""))</f>
        <v/>
      </c>
      <c r="G3" s="2">
        <f>IF(F3=Buddy_Eligibility!B2,Buddy_Eligibility!C2,IF(F3=Buddy_Eligibility!B5,Buddy_Eligibility!C5,""))</f>
        <v/>
      </c>
      <c r="H3" s="2">
        <f>IF(F3="Carlos Mendoza","U_CARLOS",IF(F3="Sandra Liu","U_SANDRA",""))</f>
        <v/>
      </c>
      <c r="I3" s="2">
        <f>IF(D3="Engineering",Source_Department_Heads!C2,IF(D3="Marketing",Source_Department_Heads!C3,Source_Department_Heads!C4))</f>
        <v/>
      </c>
      <c r="J3" s="2">
        <f>IF(F3="","ESCALATE_DEPARTMENT_HEAD","ASSIGN_BUDDY")</f>
        <v/>
      </c>
      <c r="K3" s="2">
        <f>IF(J3="ASSIGN_BUDDY","DRAFT_NOT_SENT","NOT_REQUIRED")</f>
        <v/>
      </c>
      <c r="L3" s="2">
        <f>IF(J3="ASSIGN_BUDDY","DRAFT_NOT_DELIVERED","NOT_REQUIRED")</f>
        <v/>
      </c>
      <c r="M3" s="2">
        <f>IF(J3="ESCALATE_DEPARTMENT_HEAD","DRAFT_NOT_SENT","NOT_REQUIRED")</f>
        <v/>
      </c>
      <c r="N3" s="2">
        <f>0</f>
        <v/>
      </c>
      <c r="O3" s="2">
        <f>0</f>
        <v/>
      </c>
      <c r="P3" s="2">
        <f>0</f>
        <v/>
      </c>
      <c r="Q3" s="2">
        <f>"new_hire="&amp;B3&amp;"|department="&amp;D3&amp;"|decision="&amp;J3&amp;"|buddy="&amp;F3</f>
        <v/>
      </c>
    </row>
    <row r="4">
      <c r="A4" s="2">
        <f>Source_New_Hires!A4</f>
        <v/>
      </c>
      <c r="B4" s="2">
        <f>Source_New_Hires!B4</f>
        <v/>
      </c>
      <c r="C4" s="2">
        <f>Source_New_Hires!C4</f>
        <v/>
      </c>
      <c r="D4" s="2">
        <f>Source_New_Hires!D4</f>
        <v/>
      </c>
      <c r="E4" s="2">
        <f>Source_New_Hires!E4</f>
        <v/>
      </c>
      <c r="F4" s="2">
        <f>IF(D4="Engineering",Buddy_Eligibility!B2,IF(D4="Marketing",Buddy_Eligibility!B5,""))</f>
        <v/>
      </c>
      <c r="G4" s="2">
        <f>IF(F4=Buddy_Eligibility!B2,Buddy_Eligibility!C2,IF(F4=Buddy_Eligibility!B5,Buddy_Eligibility!C5,""))</f>
        <v/>
      </c>
      <c r="H4" s="2">
        <f>IF(F4="Carlos Mendoza","U_CARLOS",IF(F4="Sandra Liu","U_SANDRA",""))</f>
        <v/>
      </c>
      <c r="I4" s="2">
        <f>IF(D4="Engineering",Source_Department_Heads!C2,IF(D4="Marketing",Source_Department_Heads!C3,Source_Department_Heads!C4))</f>
        <v/>
      </c>
      <c r="J4" s="2">
        <f>IF(F4="","ESCALATE_DEPARTMENT_HEAD","ASSIGN_BUDDY")</f>
        <v/>
      </c>
      <c r="K4" s="2">
        <f>IF(J4="ASSIGN_BUDDY","DRAFT_NOT_SENT","NOT_REQUIRED")</f>
        <v/>
      </c>
      <c r="L4" s="2">
        <f>IF(J4="ASSIGN_BUDDY","DRAFT_NOT_DELIVERED","NOT_REQUIRED")</f>
        <v/>
      </c>
      <c r="M4" s="2">
        <f>IF(J4="ESCALATE_DEPARTMENT_HEAD","DRAFT_NOT_SENT","NOT_REQUIRED")</f>
        <v/>
      </c>
      <c r="N4" s="2">
        <f>0</f>
        <v/>
      </c>
      <c r="O4" s="2">
        <f>0</f>
        <v/>
      </c>
      <c r="P4" s="2">
        <f>0</f>
        <v/>
      </c>
      <c r="Q4" s="2">
        <f>"new_hire="&amp;B4&amp;"|department="&amp;D4&amp;"|decision="&amp;J4&amp;"|buddy="&amp;F4</f>
        <v/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38" customWidth="1" min="4" max="4"/>
    <col width="18" customWidth="1" min="5" max="5"/>
    <col width="18" customWidth="1" min="6" max="6"/>
    <col width="24" customWidth="1" min="7" max="7"/>
  </cols>
  <sheetData>
    <row r="1">
      <c r="A1" s="1" t="inlineStr">
        <is>
          <t>New Hire</t>
        </is>
      </c>
      <c r="B1" s="1" t="inlineStr">
        <is>
          <t>Department</t>
        </is>
      </c>
      <c r="C1" s="1" t="inlineStr">
        <is>
          <t>Buddy</t>
        </is>
      </c>
      <c r="D1" s="1" t="inlineStr">
        <is>
          <t>Buddy Email</t>
        </is>
      </c>
      <c r="E1" s="1" t="inlineStr">
        <is>
          <t>Slack ID</t>
        </is>
      </c>
      <c r="F1" s="1" t="inlineStr">
        <is>
          <t>Start Date</t>
        </is>
      </c>
      <c r="G1" s="1" t="inlineStr">
        <is>
          <t>State</t>
        </is>
      </c>
    </row>
    <row r="2">
      <c r="A2" s="2" t="inlineStr">
        <is>
          <t>Li Wei</t>
        </is>
      </c>
      <c r="B2" s="2" t="inlineStr">
        <is>
          <t>Engineering</t>
        </is>
      </c>
      <c r="C2" s="2" t="inlineStr">
        <is>
          <t>Carlos Mendoza</t>
        </is>
      </c>
      <c r="D2" s="2" t="inlineStr">
        <is>
          <t>carlos.mendoza@company.example.com</t>
        </is>
      </c>
      <c r="E2" s="2" t="inlineStr">
        <is>
          <t>U_CARLOS</t>
        </is>
      </c>
      <c r="F2" s="3" t="n">
        <v>46133</v>
      </c>
      <c r="G2" s="2" t="inlineStr">
        <is>
          <t>DRAFT_NOT_APPLIED</t>
        </is>
      </c>
    </row>
    <row r="3">
      <c r="A3" s="2" t="inlineStr">
        <is>
          <t>Li Wei-Chen</t>
        </is>
      </c>
      <c r="B3" s="2" t="inlineStr">
        <is>
          <t>Marketing</t>
        </is>
      </c>
      <c r="C3" s="2" t="inlineStr">
        <is>
          <t>Sandra Liu</t>
        </is>
      </c>
      <c r="D3" s="2" t="inlineStr">
        <is>
          <t>sandra.liu@company.example.com</t>
        </is>
      </c>
      <c r="E3" s="2" t="inlineStr">
        <is>
          <t>U_SANDRA</t>
        </is>
      </c>
      <c r="F3" s="3" t="n">
        <v>46133</v>
      </c>
      <c r="G3" s="2" t="inlineStr">
        <is>
          <t>DRAFT_NOT_APPLIED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8" customWidth="1" min="3" max="3"/>
    <col width="90" customWidth="1" min="4" max="4"/>
    <col width="24" customWidth="1" min="5" max="5"/>
  </cols>
  <sheetData>
    <row r="1">
      <c r="A1" s="1" t="inlineStr">
        <is>
          <t>New Hire</t>
        </is>
      </c>
      <c r="B1" s="1" t="inlineStr">
        <is>
          <t>Department</t>
        </is>
      </c>
      <c r="C1" s="1" t="inlineStr">
        <is>
          <t>Head Email</t>
        </is>
      </c>
      <c r="D1" s="1" t="inlineStr">
        <is>
          <t>Reason</t>
        </is>
      </c>
      <c r="E1" s="1" t="inlineStr">
        <is>
          <t>State</t>
        </is>
      </c>
    </row>
    <row r="2">
      <c r="A2" s="2" t="inlineStr">
        <is>
          <t>Nora Lindgren</t>
        </is>
      </c>
      <c r="B2" s="2" t="inlineStr">
        <is>
          <t>Sales</t>
        </is>
      </c>
      <c r="C2" s="2" t="inlineStr">
        <is>
          <t>vp-sales@company.example.com</t>
        </is>
      </c>
      <c r="D2" s="2" t="inlineStr">
        <is>
          <t>No same-department buddy meets tenure and availability rules</t>
        </is>
      </c>
      <c r="E2" s="2" t="inlineStr">
        <is>
          <t>ESCALATION_DRAFT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24" customWidth="1" min="4" max="4"/>
  </cols>
  <sheetData>
    <row r="1">
      <c r="A1" s="1" t="inlineStr">
        <is>
          <t>New Hire</t>
        </is>
      </c>
      <c r="B1" s="1" t="inlineStr">
        <is>
          <t>To</t>
        </is>
      </c>
      <c r="C1" s="1" t="inlineStr">
        <is>
          <t>Buddy</t>
        </is>
      </c>
      <c r="D1" s="1" t="inlineStr">
        <is>
          <t>State</t>
        </is>
      </c>
    </row>
    <row r="2">
      <c r="A2" s="2" t="inlineStr">
        <is>
          <t>Li Wei</t>
        </is>
      </c>
      <c r="B2" s="2" t="inlineStr">
        <is>
          <t>li.wei@company.example.com</t>
        </is>
      </c>
      <c r="C2" s="2" t="inlineStr">
        <is>
          <t>Carlos Mendoza</t>
        </is>
      </c>
      <c r="D2" s="2" t="inlineStr">
        <is>
          <t>DRAFT_NOT_SENT</t>
        </is>
      </c>
    </row>
    <row r="3">
      <c r="A3" s="2" t="inlineStr">
        <is>
          <t>Li Wei-Chen</t>
        </is>
      </c>
      <c r="B3" s="2" t="inlineStr">
        <is>
          <t>li.weichen@company.example.com</t>
        </is>
      </c>
      <c r="C3" s="2" t="inlineStr">
        <is>
          <t>Sandra Liu</t>
        </is>
      </c>
      <c r="D3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28" customWidth="1" min="4" max="4"/>
  </cols>
  <sheetData>
    <row r="1">
      <c r="A1" s="1" t="inlineStr">
        <is>
          <t>Buddy</t>
        </is>
      </c>
      <c r="B1" s="1" t="inlineStr">
        <is>
          <t>Slack ID</t>
        </is>
      </c>
      <c r="C1" s="1" t="inlineStr">
        <is>
          <t>New Hire</t>
        </is>
      </c>
      <c r="D1" s="1" t="inlineStr">
        <is>
          <t>State</t>
        </is>
      </c>
    </row>
    <row r="2">
      <c r="A2" s="2" t="inlineStr">
        <is>
          <t>Carlos Mendoza</t>
        </is>
      </c>
      <c r="B2" s="2" t="inlineStr">
        <is>
          <t>U_CARLOS</t>
        </is>
      </c>
      <c r="C2" s="2" t="inlineStr">
        <is>
          <t>Li Wei</t>
        </is>
      </c>
      <c r="D2" s="2" t="inlineStr">
        <is>
          <t>DRAFT_NOT_DELIVERED</t>
        </is>
      </c>
    </row>
    <row r="3">
      <c r="A3" s="2" t="inlineStr">
        <is>
          <t>Sandra Liu</t>
        </is>
      </c>
      <c r="B3" s="2" t="inlineStr">
        <is>
          <t>U_SANDRA</t>
        </is>
      </c>
      <c r="C3" s="2" t="inlineStr">
        <is>
          <t>Li Wei-Chen</t>
        </is>
      </c>
      <c r="D3" s="2" t="inlineStr">
        <is>
          <t>DRAFT_NOT_DELIVERED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0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Control</t>
        </is>
      </c>
    </row>
    <row r="2">
      <c r="A2" s="2" t="inlineStr">
        <is>
          <t>New hires reviewed</t>
        </is>
      </c>
      <c r="B2" s="2" t="n">
        <v>3</v>
      </c>
      <c r="C2" s="2" t="inlineStr">
        <is>
          <t>Li Wei; Li Wei-Chen; Nora</t>
        </is>
      </c>
    </row>
    <row r="3">
      <c r="A3" s="2" t="inlineStr">
        <is>
          <t>Assigned pairs</t>
        </is>
      </c>
      <c r="B3" s="2" t="n">
        <v>2</v>
      </c>
      <c r="C3" s="2" t="inlineStr">
        <is>
          <t>Carlos-&gt;Li Wei; Sandra-&gt;Li Wei-Chen</t>
        </is>
      </c>
    </row>
    <row r="4">
      <c r="A4" s="2" t="inlineStr">
        <is>
          <t>Head escalations</t>
        </is>
      </c>
      <c r="B4" s="2" t="n">
        <v>1</v>
      </c>
      <c r="C4" s="2" t="inlineStr">
        <is>
          <t>Nora-&gt;VP Sales</t>
        </is>
      </c>
    </row>
    <row r="5">
      <c r="A5" s="2" t="inlineStr">
        <is>
          <t>New hire drafts</t>
        </is>
      </c>
      <c r="B5" s="2" t="n">
        <v>2</v>
      </c>
      <c r="C5" s="2" t="inlineStr">
        <is>
          <t>Not sent</t>
        </is>
      </c>
    </row>
    <row r="6">
      <c r="A6" s="2" t="inlineStr">
        <is>
          <t>Buddy DM drafts</t>
        </is>
      </c>
      <c r="B6" s="2" t="n">
        <v>2</v>
      </c>
      <c r="C6" s="2" t="inlineStr">
        <is>
          <t>Not delivered</t>
        </is>
      </c>
    </row>
    <row r="7">
      <c r="A7" s="2" t="inlineStr">
        <is>
          <t>Head email drafts</t>
        </is>
      </c>
      <c r="B7" s="2" t="n">
        <v>1</v>
      </c>
      <c r="C7" s="2" t="inlineStr">
        <is>
          <t>Not sent</t>
        </is>
      </c>
    </row>
    <row r="8">
      <c r="A8" s="2" t="inlineStr">
        <is>
          <t>Cross-department assignments</t>
        </is>
      </c>
      <c r="B8" s="2" t="n">
        <v>0</v>
      </c>
      <c r="C8" s="2" t="inlineStr">
        <is>
          <t>Prohibited</t>
        </is>
      </c>
    </row>
    <row r="9">
      <c r="A9" s="2" t="inlineStr">
        <is>
          <t>Assignments applied</t>
        </is>
      </c>
      <c r="B9" s="2" t="n">
        <v>0</v>
      </c>
      <c r="C9" s="2" t="inlineStr">
        <is>
          <t>None</t>
        </is>
      </c>
    </row>
    <row r="10">
      <c r="A10" s="2" t="inlineStr">
        <is>
          <t>Real side effects</t>
        </is>
      </c>
      <c r="B10" s="2" t="n">
        <v>0</v>
      </c>
      <c r="C10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Onboarding Buddy Assignment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