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8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tricted_Source" sheetId="1" state="visible" r:id="rId2"/>
    <sheet name="Policy_Source" sheetId="2" state="visible" r:id="rId3"/>
    <sheet name="Evidence_Register" sheetId="3" state="visible" r:id="rId4"/>
    <sheet name="Routing_Decisions" sheetId="4" state="visible" r:id="rId5"/>
    <sheet name="Manager_Queue" sheetId="5" state="visible" r:id="rId6"/>
    <sheet name="HRBP_Queue" sheetId="6" state="visible" r:id="rId7"/>
    <sheet name="Legal_HR_Director_Queue" sheetId="7" state="visible" r:id="rId8"/>
    <sheet name="Leadership_Summary" sheetId="8" state="visible" r:id="rId9"/>
    <sheet name="Control_Summary" sheetId="9" state="visible" r:id="rId10"/>
  </sheets>
  <definedNames>
    <definedName function="false" hidden="false" localSheetId="8" name="_xlnm.Print_Area" vbProcedure="false">Control_Summary!$A$1:$E$27</definedName>
    <definedName function="false" hidden="true" localSheetId="8" name="_xlnm._FilterDatabase" vbProcedure="false">Control_Summary!$A$1:$E$27</definedName>
    <definedName function="false" hidden="false" localSheetId="2" name="_xlnm.Print_Area" vbProcedure="false">Evidence_Register!$A$1:$E$13</definedName>
    <definedName function="false" hidden="true" localSheetId="2" name="_xlnm._FilterDatabase" vbProcedure="false">Evidence_Register!$A$1:$E$13</definedName>
    <definedName function="false" hidden="false" localSheetId="5" name="_xlnm.Print_Area" vbProcedure="false">HRBP_Queue!$A$1:$K$5</definedName>
    <definedName function="false" hidden="true" localSheetId="5" name="_xlnm._FilterDatabase" vbProcedure="false">HRBP_Queue!$A$1:$K$5</definedName>
    <definedName function="false" hidden="false" localSheetId="7" name="_xlnm.Print_Area" vbProcedure="false">Leadership_Summary!$A$1:$G$4</definedName>
    <definedName function="false" hidden="true" localSheetId="7" name="_xlnm._FilterDatabase" vbProcedure="false">Leadership_Summary!$A$1:$G$4</definedName>
    <definedName function="false" hidden="false" localSheetId="6" name="_xlnm.Print_Area" vbProcedure="false">Legal_HR_Director_Queue!$A$1:$K$4</definedName>
    <definedName function="false" hidden="true" localSheetId="6" name="_xlnm._FilterDatabase" vbProcedure="false">Legal_HR_Director_Queue!$A$1:$K$4</definedName>
    <definedName function="false" hidden="false" localSheetId="4" name="_xlnm.Print_Area" vbProcedure="false">Manager_Queue!$A$1:$K$2</definedName>
    <definedName function="false" hidden="true" localSheetId="4" name="_xlnm._FilterDatabase" vbProcedure="false">Manager_Queue!$A$1:$K$2</definedName>
    <definedName function="false" hidden="false" localSheetId="1" name="_xlnm.Print_Area" vbProcedure="false">Policy_Source!$A$1:$G$3</definedName>
    <definedName function="false" hidden="true" localSheetId="1" name="_xlnm._FilterDatabase" vbProcedure="false">Policy_Source!$A$1:$G$3</definedName>
    <definedName function="false" hidden="false" localSheetId="0" name="_xlnm.Print_Area" vbProcedure="false">Restricted_Source!$A$1:$J$9</definedName>
    <definedName function="false" hidden="true" localSheetId="0" name="_xlnm._FilterDatabase" vbProcedure="false">Restricted_Source!$A$1:$J$9</definedName>
    <definedName function="false" hidden="false" localSheetId="3" name="_xlnm.Print_Area" vbProcedure="false">Routing_Decisions!$A$1:$U$9</definedName>
    <definedName function="false" hidden="true" localSheetId="3" name="_xlnm._FilterDatabase" vbProcedure="false">Routing_Decisions!$A$1:$U$9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<sst xmlns="http://schemas.openxmlformats.org/spreadsheetml/2006/main" count="318" uniqueCount="169">
  <si>
    <t xml:space="preserve">Source Row</t>
  </si>
  <si>
    <t xml:space="preserve">Case ID</t>
  </si>
  <si>
    <t xml:space="preserve">Employee</t>
  </si>
  <si>
    <t xml:space="preserve">Manager</t>
  </si>
  <si>
    <t xml:space="preserve">Manager Email</t>
  </si>
  <si>
    <t xml:space="preserve">Category</t>
  </si>
  <si>
    <t xml:space="preserve">Severity</t>
  </si>
  <si>
    <t xml:space="preserve">Description</t>
  </si>
  <si>
    <t xml:space="preserve">Status</t>
  </si>
  <si>
    <t xml:space="preserve">Notes</t>
  </si>
  <si>
    <t xml:space="preserve">GR-2026-041</t>
  </si>
  <si>
    <t xml:space="preserve">Anna Svensson</t>
  </si>
  <si>
    <t xml:space="preserve">Robert Kim</t>
  </si>
  <si>
    <t xml:space="preserve">robert.kim@company.example.com</t>
  </si>
  <si>
    <t xml:space="preserve">Workplace Conduct</t>
  </si>
  <si>
    <t xml:space="preserve">Level 1</t>
  </si>
  <si>
    <t xml:space="preserve">Noise complaint about adjacent team area</t>
  </si>
  <si>
    <t xml:space="preserve">Pending</t>
  </si>
  <si>
    <t xml:space="preserve">GR-2026-042</t>
  </si>
  <si>
    <t xml:space="preserve">Ben Torres</t>
  </si>
  <si>
    <t xml:space="preserve">Lisa Wang</t>
  </si>
  <si>
    <t xml:space="preserve">lisa.wang@company.example.com</t>
  </si>
  <si>
    <t xml:space="preserve">Compensation</t>
  </si>
  <si>
    <t xml:space="preserve">Level 2</t>
  </si>
  <si>
    <t xml:space="preserve">Overtime not being properly tracked</t>
  </si>
  <si>
    <t xml:space="preserve">GR-2026-043</t>
  </si>
  <si>
    <t xml:space="preserve">Carmen Obi</t>
  </si>
  <si>
    <t xml:space="preserve">Derek Huang</t>
  </si>
  <si>
    <t xml:space="preserve">derek.huang@company.example.com</t>
  </si>
  <si>
    <t xml:space="preserve">Discrimination</t>
  </si>
  <si>
    <t xml:space="preserve">Feels excluded from team activities</t>
  </si>
  <si>
    <t xml:space="preserve">GR-2026-044</t>
  </si>
  <si>
    <t xml:space="preserve">David Holm</t>
  </si>
  <si>
    <t xml:space="preserve">Mira Patel</t>
  </si>
  <si>
    <t xml:space="preserve">mira.patel@company.example.com</t>
  </si>
  <si>
    <t xml:space="preserve">Safety</t>
  </si>
  <si>
    <t xml:space="preserve">Level 3</t>
  </si>
  <si>
    <t xml:space="preserve">Exposed wiring in server room</t>
  </si>
  <si>
    <t xml:space="preserve">GR-2026-045</t>
  </si>
  <si>
    <t xml:space="preserve">Elise Braun</t>
  </si>
  <si>
    <t xml:space="preserve">Manager Robert Kim making inappropriate comments</t>
  </si>
  <si>
    <t xml:space="preserve">Complaint is about direct manager</t>
  </si>
  <si>
    <t xml:space="preserve">GR-2026-046</t>
  </si>
  <si>
    <t xml:space="preserve">Frank Yoshida</t>
  </si>
  <si>
    <t xml:space="preserve">Policy Dispute</t>
  </si>
  <si>
    <t xml:space="preserve">Disagrees with new remote work policy application</t>
  </si>
  <si>
    <t xml:space="preserve">GR-2026-047</t>
  </si>
  <si>
    <t xml:space="preserve">Grace Petrov</t>
  </si>
  <si>
    <t xml:space="preserve">Passed over for promotion due to gender</t>
  </si>
  <si>
    <t xml:space="preserve">GR-2026-048</t>
  </si>
  <si>
    <t xml:space="preserve">Hugo Strand</t>
  </si>
  <si>
    <t xml:space="preserve">Persistent bullying from peer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</si>
  <si>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</si>
  <si>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</si>
  <si>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</si>
  <si>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</si>
  <si>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</si>
  <si>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Body</t>
  </si>
  <si>
    <t xml:space="preserve">Source Trace</t>
  </si>
  <si>
    <t xml:space="preserve">msg_grievance_handbook_5117</t>
  </si>
  <si>
    <t xml:space="preserve">legal@company.example.com</t>
  </si>
  <si>
    <t xml:space="preserve">hr-ops@company.example.com</t>
  </si>
  <si>
    <t xml:space="preserve">Employee Grievance Handling Procedures - 2026</t>
  </si>
  <si>
    <t xml:space="preserve">Sat, 10 Jan 2026 08:00:00 +0000</t>
  </si>
  <si>
    <t xml:space="preserve">EMPLOYEE GRIEVANCE HANDLING PROCEDURES
Section 1: Scope
These procedures apply to all formal grievances submitted through the HR grievance system.
Section 2: Categories
Grievances are categorized as: Workplace Conduct, Compensation, Discrimination, Safety, and Policy Dispute.
Section 3: Severity Levels
Level 1 (Low): Minor workplace disagreements. Level 2 (Medium): Recurring issues or policy violations. Level 3 (High): Serious misconduct, discrimination, or safety hazards.
Section 4: Standard Routing
- Level 1: Route to the employee's direct manager. Email manager with case details.
- Level 2: Route to HRBP (hr-bp@company.example.com). Email HRBP with case details.
- Level 3: Route to Legal (legal@company.example.com) AND HR Director (hr-director@company.example.com). Email both with case details.
Section 5: Confidentiality
All grievance information is strictly confidential. Do not post grievance details to any Slack channel.
Section 6: Special Provisions
Grievances involving a manager-subordinate relationship where the manager IS the subject of the complaint must skip the manager route entirely. These cases go directly to HRBP regardless of severity level.
Section 7: Timeline
All grievances must be acknowledged within 2 business days.
Section 8: Documentation
Update the Status column to 'Routed to [handler]' after routing.</t>
  </si>
  <si>
    <t xml:space="preserve">Grievance_Procedures.mbox:msg_grievance_handbook_5117</t>
  </si>
  <si>
    <t xml:space="preserve">msg_griev_override_5117</t>
  </si>
  <si>
    <t xml:space="preserve">hr-director@company.example.com</t>
  </si>
  <si>
    <t xml:space="preserve">Grievance Handling Update - Discrimination Cases</t>
  </si>
  <si>
    <t xml:space="preserve">Wed, 01 Apr 2026 09:00:00 +0000</t>
  </si>
  <si>
    <t xml:space="preserve">Team,
Effective immediately: ALL discrimination-category grievances, regardless of severity level, must be routed to Legal AND HR Director. This overrides the standard severity-based routing for discrimination cases.
- HR Director</t>
  </si>
  <si>
    <t xml:space="preserve">Grievance_Procedures.mbox:msg_griev_override_5117</t>
  </si>
  <si>
    <t xml:space="preserve">Evidence ID</t>
  </si>
  <si>
    <t xml:space="preserve">Type</t>
  </si>
  <si>
    <t xml:space="preserve">Source</t>
  </si>
  <si>
    <t xml:space="preserve">Exact Fact</t>
  </si>
  <si>
    <t xml:space="preserve">Used By</t>
  </si>
  <si>
    <t xml:space="preserve">EV-CASE-2</t>
  </si>
  <si>
    <t xml:space="preserve">CASE</t>
  </si>
  <si>
    <t xml:space="preserve">Grievance_Tracker.xlsx:Pending Cases</t>
  </si>
  <si>
    <t xml:space="preserve">row=2; case=GR-2026-041; employee=Anna Svensson; manager=Robert Kim; manager_email=robert.kim@company.example.com; category=Workplace Conduct; severity=Level 1; description=Noise complaint about adjacent team area; status=Pending; notes=</t>
  </si>
  <si>
    <t xml:space="preserve">Routing_Decisions</t>
  </si>
  <si>
    <t xml:space="preserve">EV-CASE-3</t>
  </si>
  <si>
    <t xml:space="preserve">row=3; case=GR-2026-042; employee=Ben Torres; manager=Lisa Wang; manager_email=lisa.wang@company.example.com; category=Compensation; severity=Level 2; description=Overtime not being properly tracked; status=Pending; notes=</t>
  </si>
  <si>
    <t xml:space="preserve">EV-CASE-4</t>
  </si>
  <si>
    <t xml:space="preserve">row=4; case=GR-2026-043; employee=Carmen Obi; manager=Derek Huang; manager_email=derek.huang@company.example.com; category=Discrimination; severity=Level 1; description=Feels excluded from team activities; status=Pending; notes=</t>
  </si>
  <si>
    <t xml:space="preserve">EV-CASE-5</t>
  </si>
  <si>
    <t xml:space="preserve">row=5; case=GR-2026-044; employee=David Holm; manager=Mira Patel; manager_email=mira.patel@company.example.com; category=Safety; severity=Level 3; description=Exposed wiring in server room; status=Pending; notes=</t>
  </si>
  <si>
    <t xml:space="preserve">EV-CASE-6</t>
  </si>
  <si>
    <t xml:space="preserve">row=6; case=GR-2026-045; employee=Elise Braun; manager=Robert Kim; manager_email=robert.kim@company.example.com; category=Workplace Conduct; severity=Level 1; description=Manager Robert Kim making inappropriate comments; status=Pending; notes=Complaint is about direct manager</t>
  </si>
  <si>
    <t xml:space="preserve">EV-CASE-7</t>
  </si>
  <si>
    <t xml:space="preserve">row=7; case=GR-2026-046; employee=Frank Yoshida; manager=Lisa Wang; manager_email=lisa.wang@company.example.com; category=Policy Dispute; severity=Level 2; description=Disagrees with new remote work policy application; status=Pending; notes=</t>
  </si>
  <si>
    <t xml:space="preserve">EV-CASE-8</t>
  </si>
  <si>
    <t xml:space="preserve">row=8; case=GR-2026-047; employee=Grace Petrov; manager=Derek Huang; manager_email=derek.huang@company.example.com; category=Discrimination; severity=Level 2; description=Passed over for promotion due to gender; status=Pending; notes=</t>
  </si>
  <si>
    <t xml:space="preserve">EV-CASE-9</t>
  </si>
  <si>
    <t xml:space="preserve">row=9; case=GR-2026-048; employee=Hugo Strand; manager=Mira Patel; manager_email=mira.patel@company.example.com; category=Workplace Conduct; severity=Level 2; description=Persistent bullying from peer; status=Pending; notes=</t>
  </si>
  <si>
    <t xml:space="preserve">EV-POLICY-1</t>
  </si>
  <si>
    <t xml:space="preserve">POLICY</t>
  </si>
  <si>
    <t xml:space="preserve">Routing_Decisions / notifications / controls</t>
  </si>
  <si>
    <t xml:space="preserve">EV-POLICY-2</t>
  </si>
  <si>
    <t xml:space="preserve">EV-CONTEXT-1</t>
  </si>
  <si>
    <t xml:space="preserve">TIME</t>
  </si>
  <si>
    <t xml:space="preserve">Workflow_Context.json</t>
  </si>
  <si>
    <t xml:space="preserve">current_time=2026-04-15T09:00:00Z</t>
  </si>
  <si>
    <t xml:space="preserve">All deliverables</t>
  </si>
  <si>
    <t xml:space="preserve">EV-SLACK-1</t>
  </si>
  <si>
    <t xml:space="preserve">CHANNEL</t>
  </si>
  <si>
    <t xml:space="preserve">Slack_Channels.json</t>
  </si>
  <si>
    <t xml:space="preserve">{"id":"C_HR_5117","name":"hr-general","is_private":false}</t>
  </si>
  <si>
    <t xml:space="preserve">Grievance_Slack_Control.json</t>
  </si>
  <si>
    <t xml:space="preserve">Source Status</t>
  </si>
  <si>
    <t xml:space="preserve">Discrimination Override</t>
  </si>
  <si>
    <t xml:space="preserve">Manager Subject</t>
  </si>
  <si>
    <t xml:space="preserve">Route Type</t>
  </si>
  <si>
    <t xml:space="preserve">Primary Handler</t>
  </si>
  <si>
    <t xml:space="preserve">Cc</t>
  </si>
  <si>
    <t xml:space="preserve">Proposed Status</t>
  </si>
  <si>
    <t xml:space="preserve">Authority</t>
  </si>
  <si>
    <t xml:space="preserve">Slack Allowed</t>
  </si>
  <si>
    <t xml:space="preserve">Confidentiality</t>
  </si>
  <si>
    <t xml:space="preserve">NO</t>
  </si>
  <si>
    <t xml:space="preserve">STRICTLY_CONFIDENTIAL</t>
  </si>
  <si>
    <t xml:space="preserve">Order</t>
  </si>
  <si>
    <t xml:space="preserve">Handler</t>
  </si>
  <si>
    <t xml:space="preserve">Draft State</t>
  </si>
  <si>
    <t xml:space="preserve">DRAFT_NOT_SENT</t>
  </si>
  <si>
    <t xml:space="preserve">Case Count</t>
  </si>
  <si>
    <t xml:space="preserve">Case IDs</t>
  </si>
  <si>
    <t xml:space="preserve">Policy Basis</t>
  </si>
  <si>
    <t xml:space="preserve">Email Drafts</t>
  </si>
  <si>
    <t xml:space="preserve">Emails Sent</t>
  </si>
  <si>
    <t xml:space="preserve">MANAGER</t>
  </si>
  <si>
    <t xml:space="preserve">Handbook Section 4 Level 1</t>
  </si>
  <si>
    <t xml:space="preserve">AGGREGATE_CONTROL_VIEW</t>
  </si>
  <si>
    <t xml:space="preserve">HRBP</t>
  </si>
  <si>
    <t xml:space="preserve">GR-2026-042, GR-2026-045, GR-2026-046, GR-2026-048</t>
  </si>
  <si>
    <t xml:space="preserve">Handbook Section 4 Level 2 + Section 6 exception</t>
  </si>
  <si>
    <t xml:space="preserve">LEGAL_HR_DIRECTOR</t>
  </si>
  <si>
    <t xml:space="preserve">GR-2026-043, GR-2026-044, GR-2026-047</t>
  </si>
  <si>
    <t xml:space="preserve">Discrimination override + Handbook Section 4 Level 3</t>
  </si>
  <si>
    <t xml:space="preserve">Metric</t>
  </si>
  <si>
    <t xml:space="preserve">Value</t>
  </si>
  <si>
    <t xml:space="preserve">Expected</t>
  </si>
  <si>
    <t xml:space="preserve">Source cases</t>
  </si>
  <si>
    <t xml:space="preserve">Routing_Decisions / queues / source evidence</t>
  </si>
  <si>
    <t xml:space="preserve">Level 1 cases</t>
  </si>
  <si>
    <t xml:space="preserve">Level 2 cases</t>
  </si>
  <si>
    <t xml:space="preserve">Level 3 cases</t>
  </si>
  <si>
    <t xml:space="preserve">Discrimination overrides</t>
  </si>
  <si>
    <t xml:space="preserve">Manager-subject exceptions</t>
  </si>
  <si>
    <t xml:space="preserve">Manager routes</t>
  </si>
  <si>
    <t xml:space="preserve">HRBP routes</t>
  </si>
  <si>
    <t xml:space="preserve">Legal + HR Director routes</t>
  </si>
  <si>
    <t xml:space="preserve">Email drafts</t>
  </si>
  <si>
    <t xml:space="preserve">Emails sent</t>
  </si>
  <si>
    <t xml:space="preserve">Tracker update drafts</t>
  </si>
  <si>
    <t xml:space="preserve">Tracker updates applied</t>
  </si>
  <si>
    <t xml:space="preserve">Slack drafts</t>
  </si>
  <si>
    <t xml:space="preserve">Slack posts</t>
  </si>
  <si>
    <t xml:space="preserve">Source workbook modifications</t>
  </si>
  <si>
    <t xml:space="preserve">Real side effects</t>
  </si>
  <si>
    <t xml:space="preserve">First case</t>
  </si>
  <si>
    <t xml:space="preserve">Last case</t>
  </si>
  <si>
    <t xml:space="preserve">Manager queue rows</t>
  </si>
  <si>
    <t xml:space="preserve">HRBP queue rows</t>
  </si>
  <si>
    <t xml:space="preserve">Legal queue rows</t>
  </si>
  <si>
    <t xml:space="preserve">Slack disclosed case details</t>
  </si>
  <si>
    <t xml:space="preserve">Policy messages</t>
  </si>
  <si>
    <t xml:space="preserve">Evidence rows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</si>
</sst>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authorized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Leadership_Summary!B1</c:f>
              <c:strCache>
                <c:ptCount val="1"/>
                <c:pt idx="0">
                  <c:v>Case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Leadership_Summary!$A$2:$A$4</c:f>
              <c:strCache>
                <c:ptCount val="3"/>
                <c:pt idx="0">
                  <c:v>MANAGER</c:v>
                </c:pt>
                <c:pt idx="1">
                  <c:v>HRBP</c:v>
                </c:pt>
                <c:pt idx="2">
                  <c:v>LEGAL_HR_DIRECTOR</c:v>
                </c:pt>
              </c:strCache>
            </c:strRef>
          </c:cat>
          <c:val>
            <c:numRef>
              <c:f>Leadership_Summary!$B$2:$B$4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gapWidth val="150"/>
        <c:overlap val="0"/>
        <c:axId val="51170001"/>
        <c:axId val="51170002"/>
      </c:barChart>
      <c:catAx>
        <c:axId val="511700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0002"/>
        <c:crosses val="autoZero"/>
        <c:auto val="1"/>
        <c:lblAlgn val="ctr"/>
        <c:lblOffset val="100"/>
        <c:noMultiLvlLbl val="0"/>
      </c:catAx>
      <c:valAx>
        <c:axId val="5117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15</xdr:col>
      <xdr:colOff>34920</xdr:colOff>
      <xdr:row>13</xdr:row>
      <xdr:rowOff>53640</xdr:rowOff>
    </xdr:to>
    <xdr:graphicFrame>
      <xdr:nvGraphicFramePr>
        <xdr:cNvPr id="0" name="Chart 1"/>
        <xdr:cNvGraphicFramePr/>
      </xdr:nvGraphicFramePr>
      <xdr:xfrm>
        <a:off x="16277760" y="39060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GrievanceControlSummary" displayName="GrievanceControlSummary" ref="A1:E27" headerRowCount="1" totalsRowCount="0" totalsRowShown="0">
  <autoFilter ref="A1:E27"/>
  <tableColumns count="5">
    <tableColumn id="1" name="Metric"/>
    <tableColumn id="2" name="Value"/>
    <tableColumn id="3" name="Expected"/>
    <tableColumn id="4" name="Status"/>
    <tableColumn id="5" name="Source Trace"/>
  </tableColumns>
</table>
</file>

<file path=xl/tables/table2.xml><?xml version="1.0" encoding="utf-8"?>
<table xmlns="http://schemas.openxmlformats.org/spreadsheetml/2006/main" id="2" name="GrievanceEvidenceRegister" displayName="GrievanceEvidenceRegister" ref="A1:E13" headerRowCount="1" totalsRowCount="0" totalsRowShown="0">
  <autoFilter ref="A1:E13"/>
  <tableColumns count="5">
    <tableColumn id="1" name="Evidence ID"/>
    <tableColumn id="2" name="Type"/>
    <tableColumn id="3" name="Source"/>
    <tableColumn id="4" name="Exact Fact"/>
    <tableColumn id="5" name="Used By"/>
  </tableColumns>
</table>
</file>

<file path=xl/tables/table3.xml><?xml version="1.0" encoding="utf-8"?>
<table xmlns="http://schemas.openxmlformats.org/spreadsheetml/2006/main" id="3" name="GrievanceLeadershipSummary" displayName="GrievanceLeadershipSummary" ref="A1:G4" headerRowCount="1" totalsRowCount="0" totalsRowShown="0">
  <autoFilter ref="A1:G4"/>
  <tableColumns count="7">
    <tableColumn id="1" name="Route Type"/>
    <tableColumn id="2" name="Case Count"/>
    <tableColumn id="3" name="Case IDs"/>
    <tableColumn id="4" name="Policy Basis"/>
    <tableColumn id="5" name="Email Drafts"/>
    <tableColumn id="6" name="Emails Sent"/>
    <tableColumn id="7" name="Confidentiality"/>
  </tableColumns>
</table>
</file>

<file path=xl/tables/table4.xml><?xml version="1.0" encoding="utf-8"?>
<table xmlns="http://schemas.openxmlformats.org/spreadsheetml/2006/main" id="4" name="GrievancePolicySource" displayName="GrievancePolicySource" ref="A1:G3" headerRowCount="1" totalsRowCount="0" totalsRowShown="0">
  <autoFilter ref="A1:G3"/>
  <tableColumns count="7">
    <tableColumn id="1" name="Message ID"/>
    <tableColumn id="2" name="From"/>
    <tableColumn id="3" name="To"/>
    <tableColumn id="4" name="Subject"/>
    <tableColumn id="5" name="Date"/>
    <tableColumn id="6" name="Body"/>
    <tableColumn id="7" name="Source Trace"/>
  </tableColumns>
</table>
</file>

<file path=xl/tables/table5.xml><?xml version="1.0" encoding="utf-8"?>
<table xmlns="http://schemas.openxmlformats.org/spreadsheetml/2006/main" id="5" name="GrievanceRoutingDecisions" displayName="GrievanceRoutingDecisions" ref="A1:U9" headerRowCount="1" totalsRowCount="0" totalsRowShown="0">
  <autoFilter ref="A1:U9"/>
  <tableColumns count="21">
    <tableColumn id="1" name="Source Row"/>
    <tableColumn id="2" name="Case ID"/>
    <tableColumn id="3" name="Employee"/>
    <tableColumn id="4" name="Manager"/>
    <tableColumn id="5" name="Manager Email"/>
    <tableColumn id="6" name="Category"/>
    <tableColumn id="7" name="Severity"/>
    <tableColumn id="8" name="Description"/>
    <tableColumn id="9" name="Source Status"/>
    <tableColumn id="10" name="Notes"/>
    <tableColumn id="11" name="Discrimination Override"/>
    <tableColumn id="12" name="Manager Subject"/>
    <tableColumn id="13" name="Route Type"/>
    <tableColumn id="14" name="Primary Handler"/>
    <tableColumn id="15" name="To"/>
    <tableColumn id="16" name="Cc"/>
    <tableColumn id="17" name="Proposed Status"/>
    <tableColumn id="18" name="Authority"/>
    <tableColumn id="19" name="Source Trace"/>
    <tableColumn id="20" name="Slack Allowed"/>
    <tableColumn id="21" name="Confidentiality"/>
  </tableColumns>
</table>
</file>

<file path=xl/tables/table6.xml><?xml version="1.0" encoding="utf-8"?>
<table xmlns="http://schemas.openxmlformats.org/spreadsheetml/2006/main" id="6" name="HRBPRouteQueue" displayName="HRBPRouteQueue" ref="A1:K5" headerRowCount="1" totalsRowCount="0" totalsRowShown="0">
  <autoFilter ref="A1:K5"/>
  <tableColumns count="11">
    <tableColumn id="1" name="Order"/>
    <tableColumn id="2" name="Source Row"/>
    <tableColumn id="3" name="Case ID"/>
    <tableColumn id="4" name="Route Type"/>
    <tableColumn id="5" name="Handler"/>
    <tableColumn id="6" name="To"/>
    <tableColumn id="7" name="Cc"/>
    <tableColumn id="8" name="Proposed Status"/>
    <tableColumn id="9" name="Authority"/>
    <tableColumn id="10" name="Draft State"/>
    <tableColumn id="11" name="Source Trace"/>
  </tableColumns>
</table>
</file>

<file path=xl/tables/table7.xml><?xml version="1.0" encoding="utf-8"?>
<table xmlns="http://schemas.openxmlformats.org/spreadsheetml/2006/main" id="7" name="LegalHRDirectorRouteQueue" displayName="LegalHRDirectorRouteQueue" ref="A1:K4" headerRowCount="1" totalsRowCount="0" totalsRowShown="0">
  <autoFilter ref="A1:K4"/>
  <tableColumns count="11">
    <tableColumn id="1" name="Order"/>
    <tableColumn id="2" name="Source Row"/>
    <tableColumn id="3" name="Case ID"/>
    <tableColumn id="4" name="Route Type"/>
    <tableColumn id="5" name="Handler"/>
    <tableColumn id="6" name="To"/>
    <tableColumn id="7" name="Cc"/>
    <tableColumn id="8" name="Proposed Status"/>
    <tableColumn id="9" name="Authority"/>
    <tableColumn id="10" name="Draft State"/>
    <tableColumn id="11" name="Source Trace"/>
  </tableColumns>
</table>
</file>

<file path=xl/tables/table8.xml><?xml version="1.0" encoding="utf-8"?>
<table xmlns="http://schemas.openxmlformats.org/spreadsheetml/2006/main" id="8" name="ManagerRouteQueue" displayName="ManagerRouteQueue" ref="A1:K2" headerRowCount="1" totalsRowCount="0" totalsRowShown="0">
  <autoFilter ref="A1:K2"/>
  <tableColumns count="11">
    <tableColumn id="1" name="Order"/>
    <tableColumn id="2" name="Source Row"/>
    <tableColumn id="3" name="Case ID"/>
    <tableColumn id="4" name="Route Type"/>
    <tableColumn id="5" name="Handler"/>
    <tableColumn id="6" name="To"/>
    <tableColumn id="7" name="Cc"/>
    <tableColumn id="8" name="Proposed Status"/>
    <tableColumn id="9" name="Authority"/>
    <tableColumn id="10" name="Draft State"/>
    <tableColumn id="11" name="Source Trace"/>
  </tableColumns>
</table>
</file>

<file path=xl/tables/table9.xml><?xml version="1.0" encoding="utf-8"?>
<table xmlns="http://schemas.openxmlformats.org/spreadsheetml/2006/main" id="9" name="RestrictedGrievanceSource" displayName="RestrictedGrievanceSource" ref="A1:J9" headerRowCount="1" totalsRowCount="0" totalsRowShown="0">
  <autoFilter ref="A1:J9"/>
  <tableColumns count="10">
    <tableColumn id="1" name="Source Row"/>
    <tableColumn id="2" name="Case ID"/>
    <tableColumn id="3" name="Employee"/>
    <tableColumn id="4" name="Manager"/>
    <tableColumn id="5" name="Manager Email"/>
    <tableColumn id="6" name="Category"/>
    <tableColumn id="7" name="Severity"/>
    <tableColumn id="8" name="Description"/>
    <tableColumn id="9" name="Status"/>
    <tableColumn id="10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31.01"/>
    <col collapsed="false" customWidth="true" hidden="false" outlineLevel="0" max="6" min="6" style="0" width="22.01"/>
    <col collapsed="false" customWidth="true" hidden="false" outlineLevel="0" max="7" min="7" style="0" width="11.99"/>
    <col collapsed="false" customWidth="true" hidden="false" outlineLevel="0" max="8" min="8" style="0" width="45.99"/>
    <col collapsed="false" customWidth="true" hidden="false" outlineLevel="0" max="9" min="9" style="0" width="11.99"/>
    <col collapsed="false" customWidth="true" hidden="false" outlineLevel="0" max="10" min="10" style="0" width="36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</row>
    <row r="3" customFormat="false" ht="15" hidden="false" customHeight="false" outlineLevel="0" collapsed="false">
      <c r="A3" s="2" t="n">
        <v>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  <c r="J3" s="2"/>
    </row>
    <row r="4" customFormat="false" ht="15" hidden="false" customHeight="false" outlineLevel="0" collapsed="false">
      <c r="A4" s="2" t="n">
        <v>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15</v>
      </c>
      <c r="H4" s="2" t="s">
        <v>30</v>
      </c>
      <c r="I4" s="2" t="s">
        <v>17</v>
      </c>
      <c r="J4" s="2"/>
    </row>
    <row r="5" customFormat="false" ht="15" hidden="false" customHeight="false" outlineLevel="0" collapsed="false">
      <c r="A5" s="2" t="n">
        <v>5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17</v>
      </c>
      <c r="J5" s="2"/>
    </row>
    <row r="6" customFormat="false" ht="15" hidden="false" customHeight="false" outlineLevel="0" collapsed="false">
      <c r="A6" s="2" t="n">
        <v>6</v>
      </c>
      <c r="B6" s="2" t="s">
        <v>38</v>
      </c>
      <c r="C6" s="2" t="s">
        <v>39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40</v>
      </c>
      <c r="I6" s="2" t="s">
        <v>17</v>
      </c>
      <c r="J6" s="2" t="s">
        <v>41</v>
      </c>
    </row>
    <row r="7" customFormat="false" ht="15" hidden="false" customHeight="false" outlineLevel="0" collapsed="false">
      <c r="A7" s="2" t="n">
        <v>7</v>
      </c>
      <c r="B7" s="2" t="s">
        <v>42</v>
      </c>
      <c r="C7" s="2" t="s">
        <v>43</v>
      </c>
      <c r="D7" s="2" t="s">
        <v>20</v>
      </c>
      <c r="E7" s="2" t="s">
        <v>21</v>
      </c>
      <c r="F7" s="2" t="s">
        <v>44</v>
      </c>
      <c r="G7" s="2" t="s">
        <v>23</v>
      </c>
      <c r="H7" s="2" t="s">
        <v>45</v>
      </c>
      <c r="I7" s="2" t="s">
        <v>17</v>
      </c>
      <c r="J7" s="2"/>
    </row>
    <row r="8" customFormat="false" ht="15" hidden="false" customHeight="false" outlineLevel="0" collapsed="false">
      <c r="A8" s="2" t="n">
        <v>8</v>
      </c>
      <c r="B8" s="2" t="s">
        <v>46</v>
      </c>
      <c r="C8" s="2" t="s">
        <v>47</v>
      </c>
      <c r="D8" s="2" t="s">
        <v>27</v>
      </c>
      <c r="E8" s="2" t="s">
        <v>28</v>
      </c>
      <c r="F8" s="2" t="s">
        <v>29</v>
      </c>
      <c r="G8" s="2" t="s">
        <v>23</v>
      </c>
      <c r="H8" s="2" t="s">
        <v>48</v>
      </c>
      <c r="I8" s="2" t="s">
        <v>17</v>
      </c>
      <c r="J8" s="2"/>
    </row>
    <row r="9" customFormat="false" ht="15" hidden="false" customHeight="false" outlineLevel="0" collapsed="false">
      <c r="A9" s="2" t="n">
        <v>9</v>
      </c>
      <c r="B9" s="2" t="s">
        <v>49</v>
      </c>
      <c r="C9" s="2" t="s">
        <v>50</v>
      </c>
      <c r="D9" s="2" t="s">
        <v>33</v>
      </c>
      <c r="E9" s="2" t="s">
        <v>34</v>
      </c>
      <c r="F9" s="2" t="s">
        <v>14</v>
      </c>
      <c r="G9" s="2" t="s">
        <v>23</v>
      </c>
      <c r="H9" s="2" t="s">
        <v>51</v>
      </c>
      <c r="I9" s="2" t="s">
        <v>17</v>
      </c>
      <c r="J9" s="2"/>
    </row>
  </sheetData>
  <autoFilter ref="A1:J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AutomationBench 5117 source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3" min="1" style="0" width="31.01"/>
    <col collapsed="false" customWidth="true" hidden="false" outlineLevel="0" max="4" min="4" style="0" width="48.01"/>
    <col collapsed="false" customWidth="true" hidden="false" outlineLevel="0" max="5" min="5" style="0" width="27.99"/>
    <col collapsed="false" customWidth="true" hidden="false" outlineLevel="0" max="6" min="6" style="0" width="110"/>
    <col collapsed="false" customWidth="true" hidden="false" outlineLevel="0" max="7" min="7" style="0" width="50"/>
  </cols>
  <sheetData>
    <row r="1" customFormat="false" ht="30.7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customFormat="false" ht="165" hidden="false" customHeight="tru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customFormat="false" ht="165" hidden="false" customHeight="true" outlineLevel="0" collapsed="false">
      <c r="A3" s="2" t="s">
        <v>66</v>
      </c>
      <c r="B3" s="2" t="s">
        <v>67</v>
      </c>
      <c r="C3" s="2" t="s">
        <v>61</v>
      </c>
      <c r="D3" s="2" t="s">
        <v>68</v>
      </c>
      <c r="E3" s="2" t="s">
        <v>69</v>
      </c>
      <c r="F3" s="2" t="s">
        <v>70</v>
      </c>
      <c r="G3" s="2" t="s">
        <v>71</v>
      </c>
    </row>
  </sheetData>
  <autoFilter ref="A1:G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exact policy evidence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4.01"/>
    <col collapsed="false" customWidth="true" hidden="false" outlineLevel="0" max="3" min="3" style="0" width="47.01"/>
    <col collapsed="false" customWidth="true" hidden="false" outlineLevel="0" max="4" min="4" style="0" width="118"/>
    <col collapsed="false" customWidth="true" hidden="false" outlineLevel="0" max="5" min="5" style="0" width="44.99"/>
  </cols>
  <sheetData>
    <row r="1" customFormat="false" ht="30.7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customFormat="false" ht="63" hidden="false" customHeight="true" outlineLevel="0" collapsed="false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customFormat="false" ht="63" hidden="false" customHeight="true" outlineLevel="0" collapsed="false">
      <c r="A3" s="2" t="s">
        <v>82</v>
      </c>
      <c r="B3" s="2" t="s">
        <v>78</v>
      </c>
      <c r="C3" s="2" t="s">
        <v>79</v>
      </c>
      <c r="D3" s="2" t="s">
        <v>83</v>
      </c>
      <c r="E3" s="2" t="s">
        <v>81</v>
      </c>
    </row>
    <row r="4" customFormat="false" ht="63" hidden="false" customHeight="true" outlineLevel="0" collapsed="false">
      <c r="A4" s="2" t="s">
        <v>84</v>
      </c>
      <c r="B4" s="2" t="s">
        <v>78</v>
      </c>
      <c r="C4" s="2" t="s">
        <v>79</v>
      </c>
      <c r="D4" s="2" t="s">
        <v>85</v>
      </c>
      <c r="E4" s="2" t="s">
        <v>81</v>
      </c>
    </row>
    <row r="5" customFormat="false" ht="63" hidden="false" customHeight="true" outlineLevel="0" collapsed="false">
      <c r="A5" s="2" t="s">
        <v>86</v>
      </c>
      <c r="B5" s="2" t="s">
        <v>78</v>
      </c>
      <c r="C5" s="2" t="s">
        <v>79</v>
      </c>
      <c r="D5" s="2" t="s">
        <v>87</v>
      </c>
      <c r="E5" s="2" t="s">
        <v>81</v>
      </c>
    </row>
    <row r="6" customFormat="false" ht="63" hidden="false" customHeight="true" outlineLevel="0" collapsed="false">
      <c r="A6" s="2" t="s">
        <v>88</v>
      </c>
      <c r="B6" s="2" t="s">
        <v>78</v>
      </c>
      <c r="C6" s="2" t="s">
        <v>79</v>
      </c>
      <c r="D6" s="2" t="s">
        <v>89</v>
      </c>
      <c r="E6" s="2" t="s">
        <v>81</v>
      </c>
    </row>
    <row r="7" customFormat="false" ht="63" hidden="false" customHeight="true" outlineLevel="0" collapsed="false">
      <c r="A7" s="2" t="s">
        <v>90</v>
      </c>
      <c r="B7" s="2" t="s">
        <v>78</v>
      </c>
      <c r="C7" s="2" t="s">
        <v>79</v>
      </c>
      <c r="D7" s="2" t="s">
        <v>91</v>
      </c>
      <c r="E7" s="2" t="s">
        <v>81</v>
      </c>
    </row>
    <row r="8" customFormat="false" ht="63" hidden="false" customHeight="true" outlineLevel="0" collapsed="false">
      <c r="A8" s="2" t="s">
        <v>92</v>
      </c>
      <c r="B8" s="2" t="s">
        <v>78</v>
      </c>
      <c r="C8" s="2" t="s">
        <v>79</v>
      </c>
      <c r="D8" s="2" t="s">
        <v>93</v>
      </c>
      <c r="E8" s="2" t="s">
        <v>81</v>
      </c>
    </row>
    <row r="9" customFormat="false" ht="63" hidden="false" customHeight="true" outlineLevel="0" collapsed="false">
      <c r="A9" s="2" t="s">
        <v>94</v>
      </c>
      <c r="B9" s="2" t="s">
        <v>78</v>
      </c>
      <c r="C9" s="2" t="s">
        <v>79</v>
      </c>
      <c r="D9" s="2" t="s">
        <v>95</v>
      </c>
      <c r="E9" s="2" t="s">
        <v>81</v>
      </c>
    </row>
    <row r="10" customFormat="false" ht="114.75" hidden="false" customHeight="true" outlineLevel="0" collapsed="false">
      <c r="A10" s="2" t="s">
        <v>96</v>
      </c>
      <c r="B10" s="2" t="s">
        <v>97</v>
      </c>
      <c r="C10" s="2" t="s">
        <v>65</v>
      </c>
      <c r="D10" s="2" t="s">
        <v>64</v>
      </c>
      <c r="E10" s="2" t="s">
        <v>98</v>
      </c>
    </row>
    <row r="11" customFormat="false" ht="114.75" hidden="false" customHeight="true" outlineLevel="0" collapsed="false">
      <c r="A11" s="2" t="s">
        <v>99</v>
      </c>
      <c r="B11" s="2" t="s">
        <v>97</v>
      </c>
      <c r="C11" s="2" t="s">
        <v>71</v>
      </c>
      <c r="D11" s="2" t="s">
        <v>70</v>
      </c>
      <c r="E11" s="2" t="s">
        <v>98</v>
      </c>
    </row>
    <row r="12" customFormat="false" ht="114.75" hidden="false" customHeight="true" outlineLevel="0" collapsed="false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</row>
    <row r="13" customFormat="false" ht="114.75" hidden="false" customHeight="true" outlineLevel="0" collapsed="false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</row>
  </sheetData>
  <autoFilter ref="A1:E1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source-backed evidence register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28.99"/>
    <col collapsed="false" customWidth="true" hidden="false" outlineLevel="0" max="6" min="6" style="0" width="20.99"/>
    <col collapsed="false" customWidth="true" hidden="false" outlineLevel="0" max="7" min="7" style="0" width="10.99"/>
    <col collapsed="false" customWidth="true" hidden="false" outlineLevel="0" max="8" min="8" style="0" width="42"/>
    <col collapsed="false" customWidth="true" hidden="false" outlineLevel="0" max="9" min="9" style="0" width="10.99"/>
    <col collapsed="false" customWidth="true" hidden="false" outlineLevel="0" max="10" min="10" style="0" width="32"/>
    <col collapsed="false" customWidth="true" hidden="false" outlineLevel="0" max="11" min="11" style="0" width="16"/>
    <col collapsed="false" customWidth="true" hidden="false" outlineLevel="0" max="12" min="12" style="0" width="14.01"/>
    <col collapsed="false" customWidth="true" hidden="false" outlineLevel="0" max="13" min="13" style="0" width="22.01"/>
    <col collapsed="false" customWidth="true" hidden="false" outlineLevel="0" max="14" min="14" style="0" width="24"/>
    <col collapsed="false" customWidth="true" hidden="false" outlineLevel="0" max="15" min="15" style="0" width="32"/>
    <col collapsed="false" customWidth="true" hidden="false" outlineLevel="0" max="16" min="16" style="0" width="34"/>
    <col collapsed="false" customWidth="true" hidden="false" outlineLevel="0" max="17" min="17" style="0" width="28.99"/>
    <col collapsed="false" customWidth="true" hidden="false" outlineLevel="0" max="18" min="18" style="0" width="47.01"/>
    <col collapsed="false" customWidth="true" hidden="false" outlineLevel="0" max="19" min="19" style="0" width="70"/>
    <col collapsed="false" customWidth="true" hidden="false" outlineLevel="0" max="20" min="20" style="0" width="11.99"/>
    <col collapsed="false" customWidth="true" hidden="false" outlineLevel="0" max="21" min="21" style="0" width="2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110</v>
      </c>
      <c r="J1" s="1" t="s">
        <v>9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54</v>
      </c>
      <c r="P1" s="1" t="s">
        <v>115</v>
      </c>
      <c r="Q1" s="1" t="s">
        <v>116</v>
      </c>
      <c r="R1" s="1" t="s">
        <v>117</v>
      </c>
      <c r="S1" s="1" t="s">
        <v>58</v>
      </c>
      <c r="T1" s="1" t="s">
        <v>118</v>
      </c>
      <c r="U1" s="1" t="s">
        <v>119</v>
      </c>
    </row>
    <row r="2" customFormat="false" ht="15" hidden="false" customHeight="false" outlineLevel="0" collapsed="false">
      <c r="A2" s="2" t="n">
        <f aca="false">Restricted_Source!A2</f>
        <v>2</v>
      </c>
      <c r="B2" s="2" t="str">
        <f aca="false">Restricted_Source!B2</f>
        <v>GR-2026-041</v>
      </c>
      <c r="C2" s="2" t="str">
        <f aca="false">Restricted_Source!C2</f>
        <v>Anna Svensson</v>
      </c>
      <c r="D2" s="2" t="str">
        <f aca="false">Restricted_Source!D2</f>
        <v>Robert Kim</v>
      </c>
      <c r="E2" s="2" t="str">
        <f aca="false">Restricted_Source!E2</f>
        <v>robert.kim@company.example.com</v>
      </c>
      <c r="F2" s="2" t="str">
        <f aca="false">Restricted_Source!F2</f>
        <v>Workplace Conduct</v>
      </c>
      <c r="G2" s="2" t="str">
        <f aca="false">Restricted_Source!G2</f>
        <v>Level 1</v>
      </c>
      <c r="H2" s="2" t="str">
        <f aca="false">Restricted_Source!H2</f>
        <v>Noise complaint about adjacent team area</v>
      </c>
      <c r="I2" s="2" t="str">
        <f aca="false">Restricted_Source!I2</f>
        <v>Pending</v>
      </c>
      <c r="J2" s="2" t="str">
        <f aca="false">IF(Restricted_Source!J2="","",Restricted_Source!J2)</f>
        <v/>
      </c>
      <c r="K2" s="2" t="str">
        <f aca="false">IF(F2="Discrimination","YES","NO")</f>
        <v>NO</v>
      </c>
      <c r="L2" s="2" t="str">
        <f aca="false">IF(ISNUMBER(SEARCH("direct manager",J2)),"YES","NO")</f>
        <v>NO</v>
      </c>
      <c r="M2" s="2" t="str">
        <f aca="false">IF(K2="YES","LEGAL_HR_DIRECTOR",IF(L2="YES","HRBP",IF(G2="Level 1","MANAGER",IF(G2="Level 2","HRBP",IF(G2="Level 3","LEGAL_HR_DIRECTOR","ERROR")))))</f>
        <v>MANAGER</v>
      </c>
      <c r="N2" s="2" t="str">
        <f aca="false">IF(M2="MANAGER",D2,IF(M2="HRBP","HRBP","Legal and HR Director"))</f>
        <v>Robert Kim</v>
      </c>
      <c r="O2" s="2" t="str">
        <f aca="false">IF(M2="MANAGER",E2,IF(M2="HRBP","hr-bp@company.example.com","legal@company.example.com"))</f>
        <v>robert.kim@company.example.com</v>
      </c>
      <c r="P2" s="2" t="str">
        <f aca="false">IF(M2="LEGAL_HR_DIRECTOR","hr-director@company.example.com","")</f>
        <v/>
      </c>
      <c r="Q2" s="2" t="str">
        <f aca="false">"Routed to "&amp;N2</f>
        <v>Routed to Robert Kim</v>
      </c>
      <c r="R2" s="2" t="str">
        <f aca="false">IF(K2="YES","HR Director 2026-04-01 discrimination override",IF(L2="YES","Handbook Section 6 manager-subject exception",IF(G2="Level 1","Handbook Section 4 Level 1",IF(G2="Level 2","Handbook Section 4 Level 2","Handbook Section 4 Level 3"))))</f>
        <v>Handbook Section 4 Level 1</v>
      </c>
      <c r="S2" s="2" t="str">
        <f aca="false">"Grievance_Tracker.xlsx:Pending Cases row "&amp;A2&amp;" | Grievance_Procedures.mbox:"&amp;IF(K2="YES","msg_griev_override_5117","msg_grievance_handbook_5117")</f>
        <v>Grievance_Tracker.xlsx:Pending Cases row 2 | Grievance_Procedures.mbox:msg_grievance_handbook_5117</v>
      </c>
      <c r="T2" s="2" t="s">
        <v>120</v>
      </c>
      <c r="U2" s="2" t="s">
        <v>121</v>
      </c>
    </row>
    <row r="3" customFormat="false" ht="15" hidden="false" customHeight="false" outlineLevel="0" collapsed="false">
      <c r="A3" s="2" t="n">
        <f aca="false">Restricted_Source!A3</f>
        <v>3</v>
      </c>
      <c r="B3" s="2" t="str">
        <f aca="false">Restricted_Source!B3</f>
        <v>GR-2026-042</v>
      </c>
      <c r="C3" s="2" t="str">
        <f aca="false">Restricted_Source!C3</f>
        <v>Ben Torres</v>
      </c>
      <c r="D3" s="2" t="str">
        <f aca="false">Restricted_Source!D3</f>
        <v>Lisa Wang</v>
      </c>
      <c r="E3" s="2" t="str">
        <f aca="false">Restricted_Source!E3</f>
        <v>lisa.wang@company.example.com</v>
      </c>
      <c r="F3" s="2" t="str">
        <f aca="false">Restricted_Source!F3</f>
        <v>Compensation</v>
      </c>
      <c r="G3" s="2" t="str">
        <f aca="false">Restricted_Source!G3</f>
        <v>Level 2</v>
      </c>
      <c r="H3" s="2" t="str">
        <f aca="false">Restricted_Source!H3</f>
        <v>Overtime not being properly tracked</v>
      </c>
      <c r="I3" s="2" t="str">
        <f aca="false">Restricted_Source!I3</f>
        <v>Pending</v>
      </c>
      <c r="J3" s="2" t="str">
        <f aca="false">IF(Restricted_Source!J3="","",Restricted_Source!J3)</f>
        <v/>
      </c>
      <c r="K3" s="2" t="str">
        <f aca="false">IF(F3="Discrimination","YES","NO")</f>
        <v>NO</v>
      </c>
      <c r="L3" s="2" t="str">
        <f aca="false">IF(ISNUMBER(SEARCH("direct manager",J3)),"YES","NO")</f>
        <v>NO</v>
      </c>
      <c r="M3" s="2" t="str">
        <f aca="false">IF(K3="YES","LEGAL_HR_DIRECTOR",IF(L3="YES","HRBP",IF(G3="Level 1","MANAGER",IF(G3="Level 2","HRBP",IF(G3="Level 3","LEGAL_HR_DIRECTOR","ERROR")))))</f>
        <v>HRBP</v>
      </c>
      <c r="N3" s="2" t="str">
        <f aca="false">IF(M3="MANAGER",D3,IF(M3="HRBP","HRBP","Legal and HR Director"))</f>
        <v>HRBP</v>
      </c>
      <c r="O3" s="2" t="str">
        <f aca="false">IF(M3="MANAGER",E3,IF(M3="HRBP","hr-bp@company.example.com","legal@company.example.com"))</f>
        <v>hr-bp@company.example.com</v>
      </c>
      <c r="P3" s="2" t="str">
        <f aca="false">IF(M3="LEGAL_HR_DIRECTOR","hr-director@company.example.com","")</f>
        <v/>
      </c>
      <c r="Q3" s="2" t="str">
        <f aca="false">"Routed to "&amp;N3</f>
        <v>Routed to HRBP</v>
      </c>
      <c r="R3" s="2" t="str">
        <f aca="false">IF(K3="YES","HR Director 2026-04-01 discrimination override",IF(L3="YES","Handbook Section 6 manager-subject exception",IF(G3="Level 1","Handbook Section 4 Level 1",IF(G3="Level 2","Handbook Section 4 Level 2","Handbook Section 4 Level 3"))))</f>
        <v>Handbook Section 4 Level 2</v>
      </c>
      <c r="S3" s="2" t="str">
        <f aca="false">"Grievance_Tracker.xlsx:Pending Cases row "&amp;A3&amp;" | Grievance_Procedures.mbox:"&amp;IF(K3="YES","msg_griev_override_5117","msg_grievance_handbook_5117")</f>
        <v>Grievance_Tracker.xlsx:Pending Cases row 3 | Grievance_Procedures.mbox:msg_grievance_handbook_5117</v>
      </c>
      <c r="T3" s="2" t="s">
        <v>120</v>
      </c>
      <c r="U3" s="2" t="s">
        <v>121</v>
      </c>
    </row>
    <row r="4" customFormat="false" ht="15" hidden="false" customHeight="false" outlineLevel="0" collapsed="false">
      <c r="A4" s="2" t="n">
        <f aca="false">Restricted_Source!A4</f>
        <v>4</v>
      </c>
      <c r="B4" s="2" t="str">
        <f aca="false">Restricted_Source!B4</f>
        <v>GR-2026-043</v>
      </c>
      <c r="C4" s="2" t="str">
        <f aca="false">Restricted_Source!C4</f>
        <v>Carmen Obi</v>
      </c>
      <c r="D4" s="2" t="str">
        <f aca="false">Restricted_Source!D4</f>
        <v>Derek Huang</v>
      </c>
      <c r="E4" s="2" t="str">
        <f aca="false">Restricted_Source!E4</f>
        <v>derek.huang@company.example.com</v>
      </c>
      <c r="F4" s="2" t="str">
        <f aca="false">Restricted_Source!F4</f>
        <v>Discrimination</v>
      </c>
      <c r="G4" s="2" t="str">
        <f aca="false">Restricted_Source!G4</f>
        <v>Level 1</v>
      </c>
      <c r="H4" s="2" t="str">
        <f aca="false">Restricted_Source!H4</f>
        <v>Feels excluded from team activities</v>
      </c>
      <c r="I4" s="2" t="str">
        <f aca="false">Restricted_Source!I4</f>
        <v>Pending</v>
      </c>
      <c r="J4" s="2" t="str">
        <f aca="false">IF(Restricted_Source!J4="","",Restricted_Source!J4)</f>
        <v/>
      </c>
      <c r="K4" s="2" t="str">
        <f aca="false">IF(F4="Discrimination","YES","NO")</f>
        <v>YES</v>
      </c>
      <c r="L4" s="2" t="str">
        <f aca="false">IF(ISNUMBER(SEARCH("direct manager",J4)),"YES","NO")</f>
        <v>NO</v>
      </c>
      <c r="M4" s="2" t="str">
        <f aca="false">IF(K4="YES","LEGAL_HR_DIRECTOR",IF(L4="YES","HRBP",IF(G4="Level 1","MANAGER",IF(G4="Level 2","HRBP",IF(G4="Level 3","LEGAL_HR_DIRECTOR","ERROR")))))</f>
        <v>LEGAL_HR_DIRECTOR</v>
      </c>
      <c r="N4" s="2" t="str">
        <f aca="false">IF(M4="MANAGER",D4,IF(M4="HRBP","HRBP","Legal and HR Director"))</f>
        <v>Legal and HR Director</v>
      </c>
      <c r="O4" s="2" t="str">
        <f aca="false">IF(M4="MANAGER",E4,IF(M4="HRBP","hr-bp@company.example.com","legal@company.example.com"))</f>
        <v>legal@company.example.com</v>
      </c>
      <c r="P4" s="2" t="str">
        <f aca="false">IF(M4="LEGAL_HR_DIRECTOR","hr-director@company.example.com","")</f>
        <v>hr-director@company.example.com</v>
      </c>
      <c r="Q4" s="2" t="str">
        <f aca="false">"Routed to "&amp;N4</f>
        <v>Routed to Legal and HR Director</v>
      </c>
      <c r="R4" s="2" t="str">
        <f aca="false">IF(K4="YES","HR Director 2026-04-01 discrimination override",IF(L4="YES","Handbook Section 6 manager-subject exception",IF(G4="Level 1","Handbook Section 4 Level 1",IF(G4="Level 2","Handbook Section 4 Level 2","Handbook Section 4 Level 3"))))</f>
        <v>HR Director 2026-04-01 discrimination override</v>
      </c>
      <c r="S4" s="2" t="str">
        <f aca="false">"Grievance_Tracker.xlsx:Pending Cases row "&amp;A4&amp;" | Grievance_Procedures.mbox:"&amp;IF(K4="YES","msg_griev_override_5117","msg_grievance_handbook_5117")</f>
        <v>Grievance_Tracker.xlsx:Pending Cases row 4 | Grievance_Procedures.mbox:msg_griev_override_5117</v>
      </c>
      <c r="T4" s="2" t="s">
        <v>120</v>
      </c>
      <c r="U4" s="2" t="s">
        <v>121</v>
      </c>
    </row>
    <row r="5" customFormat="false" ht="15" hidden="false" customHeight="false" outlineLevel="0" collapsed="false">
      <c r="A5" s="2" t="n">
        <f aca="false">Restricted_Source!A5</f>
        <v>5</v>
      </c>
      <c r="B5" s="2" t="str">
        <f aca="false">Restricted_Source!B5</f>
        <v>GR-2026-044</v>
      </c>
      <c r="C5" s="2" t="str">
        <f aca="false">Restricted_Source!C5</f>
        <v>David Holm</v>
      </c>
      <c r="D5" s="2" t="str">
        <f aca="false">Restricted_Source!D5</f>
        <v>Mira Patel</v>
      </c>
      <c r="E5" s="2" t="str">
        <f aca="false">Restricted_Source!E5</f>
        <v>mira.patel@company.example.com</v>
      </c>
      <c r="F5" s="2" t="str">
        <f aca="false">Restricted_Source!F5</f>
        <v>Safety</v>
      </c>
      <c r="G5" s="2" t="str">
        <f aca="false">Restricted_Source!G5</f>
        <v>Level 3</v>
      </c>
      <c r="H5" s="2" t="str">
        <f aca="false">Restricted_Source!H5</f>
        <v>Exposed wiring in server room</v>
      </c>
      <c r="I5" s="2" t="str">
        <f aca="false">Restricted_Source!I5</f>
        <v>Pending</v>
      </c>
      <c r="J5" s="2" t="str">
        <f aca="false">IF(Restricted_Source!J5="","",Restricted_Source!J5)</f>
        <v/>
      </c>
      <c r="K5" s="2" t="str">
        <f aca="false">IF(F5="Discrimination","YES","NO")</f>
        <v>NO</v>
      </c>
      <c r="L5" s="2" t="str">
        <f aca="false">IF(ISNUMBER(SEARCH("direct manager",J5)),"YES","NO")</f>
        <v>NO</v>
      </c>
      <c r="M5" s="2" t="str">
        <f aca="false">IF(K5="YES","LEGAL_HR_DIRECTOR",IF(L5="YES","HRBP",IF(G5="Level 1","MANAGER",IF(G5="Level 2","HRBP",IF(G5="Level 3","LEGAL_HR_DIRECTOR","ERROR")))))</f>
        <v>LEGAL_HR_DIRECTOR</v>
      </c>
      <c r="N5" s="2" t="str">
        <f aca="false">IF(M5="MANAGER",D5,IF(M5="HRBP","HRBP","Legal and HR Director"))</f>
        <v>Legal and HR Director</v>
      </c>
      <c r="O5" s="2" t="str">
        <f aca="false">IF(M5="MANAGER",E5,IF(M5="HRBP","hr-bp@company.example.com","legal@company.example.com"))</f>
        <v>legal@company.example.com</v>
      </c>
      <c r="P5" s="2" t="str">
        <f aca="false">IF(M5="LEGAL_HR_DIRECTOR","hr-director@company.example.com","")</f>
        <v>hr-director@company.example.com</v>
      </c>
      <c r="Q5" s="2" t="str">
        <f aca="false">"Routed to "&amp;N5</f>
        <v>Routed to Legal and HR Director</v>
      </c>
      <c r="R5" s="2" t="str">
        <f aca="false">IF(K5="YES","HR Director 2026-04-01 discrimination override",IF(L5="YES","Handbook Section 6 manager-subject exception",IF(G5="Level 1","Handbook Section 4 Level 1",IF(G5="Level 2","Handbook Section 4 Level 2","Handbook Section 4 Level 3"))))</f>
        <v>Handbook Section 4 Level 3</v>
      </c>
      <c r="S5" s="2" t="str">
        <f aca="false">"Grievance_Tracker.xlsx:Pending Cases row "&amp;A5&amp;" | Grievance_Procedures.mbox:"&amp;IF(K5="YES","msg_griev_override_5117","msg_grievance_handbook_5117")</f>
        <v>Grievance_Tracker.xlsx:Pending Cases row 5 | Grievance_Procedures.mbox:msg_grievance_handbook_5117</v>
      </c>
      <c r="T5" s="2" t="s">
        <v>120</v>
      </c>
      <c r="U5" s="2" t="s">
        <v>121</v>
      </c>
    </row>
    <row r="6" customFormat="false" ht="15" hidden="false" customHeight="false" outlineLevel="0" collapsed="false">
      <c r="A6" s="2" t="n">
        <f aca="false">Restricted_Source!A6</f>
        <v>6</v>
      </c>
      <c r="B6" s="2" t="str">
        <f aca="false">Restricted_Source!B6</f>
        <v>GR-2026-045</v>
      </c>
      <c r="C6" s="2" t="str">
        <f aca="false">Restricted_Source!C6</f>
        <v>Elise Braun</v>
      </c>
      <c r="D6" s="2" t="str">
        <f aca="false">Restricted_Source!D6</f>
        <v>Robert Kim</v>
      </c>
      <c r="E6" s="2" t="str">
        <f aca="false">Restricted_Source!E6</f>
        <v>robert.kim@company.example.com</v>
      </c>
      <c r="F6" s="2" t="str">
        <f aca="false">Restricted_Source!F6</f>
        <v>Workplace Conduct</v>
      </c>
      <c r="G6" s="2" t="str">
        <f aca="false">Restricted_Source!G6</f>
        <v>Level 1</v>
      </c>
      <c r="H6" s="2" t="str">
        <f aca="false">Restricted_Source!H6</f>
        <v>Manager Robert Kim making inappropriate comments</v>
      </c>
      <c r="I6" s="2" t="str">
        <f aca="false">Restricted_Source!I6</f>
        <v>Pending</v>
      </c>
      <c r="J6" s="2" t="str">
        <f aca="false">IF(Restricted_Source!J6="","",Restricted_Source!J6)</f>
        <v>Complaint is about direct manager</v>
      </c>
      <c r="K6" s="2" t="str">
        <f aca="false">IF(F6="Discrimination","YES","NO")</f>
        <v>NO</v>
      </c>
      <c r="L6" s="2" t="str">
        <f aca="false">IF(ISNUMBER(SEARCH("direct manager",J6)),"YES","NO")</f>
        <v>YES</v>
      </c>
      <c r="M6" s="2" t="str">
        <f aca="false">IF(K6="YES","LEGAL_HR_DIRECTOR",IF(L6="YES","HRBP",IF(G6="Level 1","MANAGER",IF(G6="Level 2","HRBP",IF(G6="Level 3","LEGAL_HR_DIRECTOR","ERROR")))))</f>
        <v>HRBP</v>
      </c>
      <c r="N6" s="2" t="str">
        <f aca="false">IF(M6="MANAGER",D6,IF(M6="HRBP","HRBP","Legal and HR Director"))</f>
        <v>HRBP</v>
      </c>
      <c r="O6" s="2" t="str">
        <f aca="false">IF(M6="MANAGER",E6,IF(M6="HRBP","hr-bp@company.example.com","legal@company.example.com"))</f>
        <v>hr-bp@company.example.com</v>
      </c>
      <c r="P6" s="2" t="str">
        <f aca="false">IF(M6="LEGAL_HR_DIRECTOR","hr-director@company.example.com","")</f>
        <v/>
      </c>
      <c r="Q6" s="2" t="str">
        <f aca="false">"Routed to "&amp;N6</f>
        <v>Routed to HRBP</v>
      </c>
      <c r="R6" s="2" t="str">
        <f aca="false">IF(K6="YES","HR Director 2026-04-01 discrimination override",IF(L6="YES","Handbook Section 6 manager-subject exception",IF(G6="Level 1","Handbook Section 4 Level 1",IF(G6="Level 2","Handbook Section 4 Level 2","Handbook Section 4 Level 3"))))</f>
        <v>Handbook Section 6 manager-subject exception</v>
      </c>
      <c r="S6" s="2" t="str">
        <f aca="false">"Grievance_Tracker.xlsx:Pending Cases row "&amp;A6&amp;" | Grievance_Procedures.mbox:"&amp;IF(K6="YES","msg_griev_override_5117","msg_grievance_handbook_5117")</f>
        <v>Grievance_Tracker.xlsx:Pending Cases row 6 | Grievance_Procedures.mbox:msg_grievance_handbook_5117</v>
      </c>
      <c r="T6" s="2" t="s">
        <v>120</v>
      </c>
      <c r="U6" s="2" t="s">
        <v>121</v>
      </c>
    </row>
    <row r="7" customFormat="false" ht="15" hidden="false" customHeight="false" outlineLevel="0" collapsed="false">
      <c r="A7" s="2" t="n">
        <f aca="false">Restricted_Source!A7</f>
        <v>7</v>
      </c>
      <c r="B7" s="2" t="str">
        <f aca="false">Restricted_Source!B7</f>
        <v>GR-2026-046</v>
      </c>
      <c r="C7" s="2" t="str">
        <f aca="false">Restricted_Source!C7</f>
        <v>Frank Yoshida</v>
      </c>
      <c r="D7" s="2" t="str">
        <f aca="false">Restricted_Source!D7</f>
        <v>Lisa Wang</v>
      </c>
      <c r="E7" s="2" t="str">
        <f aca="false">Restricted_Source!E7</f>
        <v>lisa.wang@company.example.com</v>
      </c>
      <c r="F7" s="2" t="str">
        <f aca="false">Restricted_Source!F7</f>
        <v>Policy Dispute</v>
      </c>
      <c r="G7" s="2" t="str">
        <f aca="false">Restricted_Source!G7</f>
        <v>Level 2</v>
      </c>
      <c r="H7" s="2" t="str">
        <f aca="false">Restricted_Source!H7</f>
        <v>Disagrees with new remote work policy application</v>
      </c>
      <c r="I7" s="2" t="str">
        <f aca="false">Restricted_Source!I7</f>
        <v>Pending</v>
      </c>
      <c r="J7" s="2" t="str">
        <f aca="false">IF(Restricted_Source!J7="","",Restricted_Source!J7)</f>
        <v/>
      </c>
      <c r="K7" s="2" t="str">
        <f aca="false">IF(F7="Discrimination","YES","NO")</f>
        <v>NO</v>
      </c>
      <c r="L7" s="2" t="str">
        <f aca="false">IF(ISNUMBER(SEARCH("direct manager",J7)),"YES","NO")</f>
        <v>NO</v>
      </c>
      <c r="M7" s="2" t="str">
        <f aca="false">IF(K7="YES","LEGAL_HR_DIRECTOR",IF(L7="YES","HRBP",IF(G7="Level 1","MANAGER",IF(G7="Level 2","HRBP",IF(G7="Level 3","LEGAL_HR_DIRECTOR","ERROR")))))</f>
        <v>HRBP</v>
      </c>
      <c r="N7" s="2" t="str">
        <f aca="false">IF(M7="MANAGER",D7,IF(M7="HRBP","HRBP","Legal and HR Director"))</f>
        <v>HRBP</v>
      </c>
      <c r="O7" s="2" t="str">
        <f aca="false">IF(M7="MANAGER",E7,IF(M7="HRBP","hr-bp@company.example.com","legal@company.example.com"))</f>
        <v>hr-bp@company.example.com</v>
      </c>
      <c r="P7" s="2" t="str">
        <f aca="false">IF(M7="LEGAL_HR_DIRECTOR","hr-director@company.example.com","")</f>
        <v/>
      </c>
      <c r="Q7" s="2" t="str">
        <f aca="false">"Routed to "&amp;N7</f>
        <v>Routed to HRBP</v>
      </c>
      <c r="R7" s="2" t="str">
        <f aca="false">IF(K7="YES","HR Director 2026-04-01 discrimination override",IF(L7="YES","Handbook Section 6 manager-subject exception",IF(G7="Level 1","Handbook Section 4 Level 1",IF(G7="Level 2","Handbook Section 4 Level 2","Handbook Section 4 Level 3"))))</f>
        <v>Handbook Section 4 Level 2</v>
      </c>
      <c r="S7" s="2" t="str">
        <f aca="false">"Grievance_Tracker.xlsx:Pending Cases row "&amp;A7&amp;" | Grievance_Procedures.mbox:"&amp;IF(K7="YES","msg_griev_override_5117","msg_grievance_handbook_5117")</f>
        <v>Grievance_Tracker.xlsx:Pending Cases row 7 | Grievance_Procedures.mbox:msg_grievance_handbook_5117</v>
      </c>
      <c r="T7" s="2" t="s">
        <v>120</v>
      </c>
      <c r="U7" s="2" t="s">
        <v>121</v>
      </c>
    </row>
    <row r="8" customFormat="false" ht="15" hidden="false" customHeight="false" outlineLevel="0" collapsed="false">
      <c r="A8" s="2" t="n">
        <f aca="false">Restricted_Source!A8</f>
        <v>8</v>
      </c>
      <c r="B8" s="2" t="str">
        <f aca="false">Restricted_Source!B8</f>
        <v>GR-2026-047</v>
      </c>
      <c r="C8" s="2" t="str">
        <f aca="false">Restricted_Source!C8</f>
        <v>Grace Petrov</v>
      </c>
      <c r="D8" s="2" t="str">
        <f aca="false">Restricted_Source!D8</f>
        <v>Derek Huang</v>
      </c>
      <c r="E8" s="2" t="str">
        <f aca="false">Restricted_Source!E8</f>
        <v>derek.huang@company.example.com</v>
      </c>
      <c r="F8" s="2" t="str">
        <f aca="false">Restricted_Source!F8</f>
        <v>Discrimination</v>
      </c>
      <c r="G8" s="2" t="str">
        <f aca="false">Restricted_Source!G8</f>
        <v>Level 2</v>
      </c>
      <c r="H8" s="2" t="str">
        <f aca="false">Restricted_Source!H8</f>
        <v>Passed over for promotion due to gender</v>
      </c>
      <c r="I8" s="2" t="str">
        <f aca="false">Restricted_Source!I8</f>
        <v>Pending</v>
      </c>
      <c r="J8" s="2" t="str">
        <f aca="false">IF(Restricted_Source!J8="","",Restricted_Source!J8)</f>
        <v/>
      </c>
      <c r="K8" s="2" t="str">
        <f aca="false">IF(F8="Discrimination","YES","NO")</f>
        <v>YES</v>
      </c>
      <c r="L8" s="2" t="str">
        <f aca="false">IF(ISNUMBER(SEARCH("direct manager",J8)),"YES","NO")</f>
        <v>NO</v>
      </c>
      <c r="M8" s="2" t="str">
        <f aca="false">IF(K8="YES","LEGAL_HR_DIRECTOR",IF(L8="YES","HRBP",IF(G8="Level 1","MANAGER",IF(G8="Level 2","HRBP",IF(G8="Level 3","LEGAL_HR_DIRECTOR","ERROR")))))</f>
        <v>LEGAL_HR_DIRECTOR</v>
      </c>
      <c r="N8" s="2" t="str">
        <f aca="false">IF(M8="MANAGER",D8,IF(M8="HRBP","HRBP","Legal and HR Director"))</f>
        <v>Legal and HR Director</v>
      </c>
      <c r="O8" s="2" t="str">
        <f aca="false">IF(M8="MANAGER",E8,IF(M8="HRBP","hr-bp@company.example.com","legal@company.example.com"))</f>
        <v>legal@company.example.com</v>
      </c>
      <c r="P8" s="2" t="str">
        <f aca="false">IF(M8="LEGAL_HR_DIRECTOR","hr-director@company.example.com","")</f>
        <v>hr-director@company.example.com</v>
      </c>
      <c r="Q8" s="2" t="str">
        <f aca="false">"Routed to "&amp;N8</f>
        <v>Routed to Legal and HR Director</v>
      </c>
      <c r="R8" s="2" t="str">
        <f aca="false">IF(K8="YES","HR Director 2026-04-01 discrimination override",IF(L8="YES","Handbook Section 6 manager-subject exception",IF(G8="Level 1","Handbook Section 4 Level 1",IF(G8="Level 2","Handbook Section 4 Level 2","Handbook Section 4 Level 3"))))</f>
        <v>HR Director 2026-04-01 discrimination override</v>
      </c>
      <c r="S8" s="2" t="str">
        <f aca="false">"Grievance_Tracker.xlsx:Pending Cases row "&amp;A8&amp;" | Grievance_Procedures.mbox:"&amp;IF(K8="YES","msg_griev_override_5117","msg_grievance_handbook_5117")</f>
        <v>Grievance_Tracker.xlsx:Pending Cases row 8 | Grievance_Procedures.mbox:msg_griev_override_5117</v>
      </c>
      <c r="T8" s="2" t="s">
        <v>120</v>
      </c>
      <c r="U8" s="2" t="s">
        <v>121</v>
      </c>
    </row>
    <row r="9" customFormat="false" ht="15" hidden="false" customHeight="false" outlineLevel="0" collapsed="false">
      <c r="A9" s="2" t="n">
        <f aca="false">Restricted_Source!A9</f>
        <v>9</v>
      </c>
      <c r="B9" s="2" t="str">
        <f aca="false">Restricted_Source!B9</f>
        <v>GR-2026-048</v>
      </c>
      <c r="C9" s="2" t="str">
        <f aca="false">Restricted_Source!C9</f>
        <v>Hugo Strand</v>
      </c>
      <c r="D9" s="2" t="str">
        <f aca="false">Restricted_Source!D9</f>
        <v>Mira Patel</v>
      </c>
      <c r="E9" s="2" t="str">
        <f aca="false">Restricted_Source!E9</f>
        <v>mira.patel@company.example.com</v>
      </c>
      <c r="F9" s="2" t="str">
        <f aca="false">Restricted_Source!F9</f>
        <v>Workplace Conduct</v>
      </c>
      <c r="G9" s="2" t="str">
        <f aca="false">Restricted_Source!G9</f>
        <v>Level 2</v>
      </c>
      <c r="H9" s="2" t="str">
        <f aca="false">Restricted_Source!H9</f>
        <v>Persistent bullying from peer</v>
      </c>
      <c r="I9" s="2" t="str">
        <f aca="false">Restricted_Source!I9</f>
        <v>Pending</v>
      </c>
      <c r="J9" s="2" t="str">
        <f aca="false">IF(Restricted_Source!J9="","",Restricted_Source!J9)</f>
        <v/>
      </c>
      <c r="K9" s="2" t="str">
        <f aca="false">IF(F9="Discrimination","YES","NO")</f>
        <v>NO</v>
      </c>
      <c r="L9" s="2" t="str">
        <f aca="false">IF(ISNUMBER(SEARCH("direct manager",J9)),"YES","NO")</f>
        <v>NO</v>
      </c>
      <c r="M9" s="2" t="str">
        <f aca="false">IF(K9="YES","LEGAL_HR_DIRECTOR",IF(L9="YES","HRBP",IF(G9="Level 1","MANAGER",IF(G9="Level 2","HRBP",IF(G9="Level 3","LEGAL_HR_DIRECTOR","ERROR")))))</f>
        <v>HRBP</v>
      </c>
      <c r="N9" s="2" t="str">
        <f aca="false">IF(M9="MANAGER",D9,IF(M9="HRBP","HRBP","Legal and HR Director"))</f>
        <v>HRBP</v>
      </c>
      <c r="O9" s="2" t="str">
        <f aca="false">IF(M9="MANAGER",E9,IF(M9="HRBP","hr-bp@company.example.com","legal@company.example.com"))</f>
        <v>hr-bp@company.example.com</v>
      </c>
      <c r="P9" s="2" t="str">
        <f aca="false">IF(M9="LEGAL_HR_DIRECTOR","hr-director@company.example.com","")</f>
        <v/>
      </c>
      <c r="Q9" s="2" t="str">
        <f aca="false">"Routed to "&amp;N9</f>
        <v>Routed to HRBP</v>
      </c>
      <c r="R9" s="2" t="str">
        <f aca="false">IF(K9="YES","HR Director 2026-04-01 discrimination override",IF(L9="YES","Handbook Section 6 manager-subject exception",IF(G9="Level 1","Handbook Section 4 Level 1",IF(G9="Level 2","Handbook Section 4 Level 2","Handbook Section 4 Level 3"))))</f>
        <v>Handbook Section 4 Level 2</v>
      </c>
      <c r="S9" s="2" t="str">
        <f aca="false">"Grievance_Tracker.xlsx:Pending Cases row "&amp;A9&amp;" | Grievance_Procedures.mbox:"&amp;IF(K9="YES","msg_griev_override_5117","msg_grievance_handbook_5117")</f>
        <v>Grievance_Tracker.xlsx:Pending Cases row 9 | Grievance_Procedures.mbox:msg_grievance_handbook_5117</v>
      </c>
      <c r="T9" s="2" t="s">
        <v>120</v>
      </c>
      <c r="U9" s="2" t="s">
        <v>121</v>
      </c>
    </row>
  </sheetData>
  <autoFilter ref="A1:U9"/>
  <conditionalFormatting sqref="K2:K9">
    <cfRule type="expression" priority="2" aboveAverage="0" equalAverage="0" bottom="0" percent="0" rank="0" text="" dxfId="6">
      <formula>K2="YES"</formula>
    </cfRule>
  </conditionalFormatting>
  <conditionalFormatting sqref="L2:L9">
    <cfRule type="expression" priority="3" aboveAverage="0" equalAverage="0" bottom="0" percent="0" rank="0" text="" dxfId="7">
      <formula>L2="YES"</formula>
    </cfRule>
  </conditionalFormatting>
  <conditionalFormatting sqref="M2:M9">
    <cfRule type="expression" priority="4" aboveAverage="0" equalAverage="0" bottom="0" percent="0" rank="0" text="" dxfId="8">
      <formula>M2="HRBP"</formula>
    </cfRule>
    <cfRule type="expression" priority="5" aboveAverage="0" equalAverage="0" bottom="0" percent="0" rank="0" text="" dxfId="6">
      <formula>M2="LEGAL_HR_DIRECTOR"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formula-derived routing truth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17"/>
    <col collapsed="false" customWidth="true" hidden="false" outlineLevel="0" max="4" min="4" style="0" width="23.01"/>
    <col collapsed="false" customWidth="true" hidden="false" outlineLevel="0" max="5" min="5" style="0" width="25"/>
    <col collapsed="false" customWidth="true" hidden="false" outlineLevel="0" max="6" min="6" style="0" width="33"/>
    <col collapsed="false" customWidth="true" hidden="false" outlineLevel="0" max="7" min="7" style="0" width="35"/>
    <col collapsed="false" customWidth="true" hidden="false" outlineLevel="0" max="8" min="8" style="0" width="31.01"/>
    <col collapsed="false" customWidth="true" hidden="false" outlineLevel="0" max="9" min="9" style="0" width="52"/>
    <col collapsed="false" customWidth="true" hidden="false" outlineLevel="0" max="10" min="10" style="0" width="20.99"/>
    <col collapsed="false" customWidth="true" hidden="false" outlineLevel="0" max="11" min="11" style="0" width="70"/>
  </cols>
  <sheetData>
    <row r="1" customFormat="false" ht="30.75" hidden="false" customHeight="true" outlineLevel="0" collapsed="false">
      <c r="A1" s="1" t="s">
        <v>122</v>
      </c>
      <c r="B1" s="1" t="s">
        <v>0</v>
      </c>
      <c r="C1" s="1" t="s">
        <v>1</v>
      </c>
      <c r="D1" s="1" t="s">
        <v>113</v>
      </c>
      <c r="E1" s="1" t="s">
        <v>123</v>
      </c>
      <c r="F1" s="1" t="s">
        <v>54</v>
      </c>
      <c r="G1" s="1" t="s">
        <v>115</v>
      </c>
      <c r="H1" s="1" t="s">
        <v>116</v>
      </c>
      <c r="I1" s="1" t="s">
        <v>117</v>
      </c>
      <c r="J1" s="1" t="s">
        <v>124</v>
      </c>
      <c r="K1" s="1" t="s">
        <v>58</v>
      </c>
    </row>
    <row r="2" customFormat="false" ht="15" hidden="false" customHeight="false" outlineLevel="0" collapsed="false">
      <c r="A2" s="2" t="n">
        <v>1</v>
      </c>
      <c r="B2" s="2" t="n">
        <f aca="false">Routing_Decisions!A2</f>
        <v>2</v>
      </c>
      <c r="C2" s="2" t="str">
        <f aca="false">Routing_Decisions!B2</f>
        <v>GR-2026-041</v>
      </c>
      <c r="D2" s="2" t="str">
        <f aca="false">Routing_Decisions!M2</f>
        <v>MANAGER</v>
      </c>
      <c r="E2" s="2" t="str">
        <f aca="false">Routing_Decisions!N2</f>
        <v>Robert Kim</v>
      </c>
      <c r="F2" s="2" t="str">
        <f aca="false">Routing_Decisions!O2</f>
        <v>robert.kim@company.example.com</v>
      </c>
      <c r="G2" s="2" t="str">
        <f aca="false">Routing_Decisions!P2</f>
        <v/>
      </c>
      <c r="H2" s="2" t="str">
        <f aca="false">Routing_Decisions!Q2</f>
        <v>Routed to Robert Kim</v>
      </c>
      <c r="I2" s="2" t="str">
        <f aca="false">Routing_Decisions!R2</f>
        <v>Handbook Section 4 Level 1</v>
      </c>
      <c r="J2" s="2" t="s">
        <v>125</v>
      </c>
      <c r="K2" s="2" t="str">
        <f aca="false">Routing_Decisions!S2</f>
        <v>Grievance_Tracker.xlsx:Pending Cases row 2 | Grievance_Procedures.mbox:msg_grievance_handbook_5117</v>
      </c>
    </row>
  </sheetData>
  <autoFilter ref="A1:K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Manager_Queue · offline drafts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17"/>
    <col collapsed="false" customWidth="true" hidden="false" outlineLevel="0" max="4" min="4" style="0" width="23.01"/>
    <col collapsed="false" customWidth="true" hidden="false" outlineLevel="0" max="5" min="5" style="0" width="25"/>
    <col collapsed="false" customWidth="true" hidden="false" outlineLevel="0" max="6" min="6" style="0" width="33"/>
    <col collapsed="false" customWidth="true" hidden="false" outlineLevel="0" max="7" min="7" style="0" width="35"/>
    <col collapsed="false" customWidth="true" hidden="false" outlineLevel="0" max="8" min="8" style="0" width="31.01"/>
    <col collapsed="false" customWidth="true" hidden="false" outlineLevel="0" max="9" min="9" style="0" width="52"/>
    <col collapsed="false" customWidth="true" hidden="false" outlineLevel="0" max="10" min="10" style="0" width="20.99"/>
    <col collapsed="false" customWidth="true" hidden="false" outlineLevel="0" max="11" min="11" style="0" width="70"/>
  </cols>
  <sheetData>
    <row r="1" customFormat="false" ht="30.75" hidden="false" customHeight="true" outlineLevel="0" collapsed="false">
      <c r="A1" s="1" t="s">
        <v>122</v>
      </c>
      <c r="B1" s="1" t="s">
        <v>0</v>
      </c>
      <c r="C1" s="1" t="s">
        <v>1</v>
      </c>
      <c r="D1" s="1" t="s">
        <v>113</v>
      </c>
      <c r="E1" s="1" t="s">
        <v>123</v>
      </c>
      <c r="F1" s="1" t="s">
        <v>54</v>
      </c>
      <c r="G1" s="1" t="s">
        <v>115</v>
      </c>
      <c r="H1" s="1" t="s">
        <v>116</v>
      </c>
      <c r="I1" s="1" t="s">
        <v>117</v>
      </c>
      <c r="J1" s="1" t="s">
        <v>124</v>
      </c>
      <c r="K1" s="1" t="s">
        <v>58</v>
      </c>
    </row>
    <row r="2" customFormat="false" ht="15" hidden="false" customHeight="false" outlineLevel="0" collapsed="false">
      <c r="A2" s="2" t="n">
        <v>1</v>
      </c>
      <c r="B2" s="2" t="n">
        <f aca="false">Routing_Decisions!A3</f>
        <v>3</v>
      </c>
      <c r="C2" s="2" t="str">
        <f aca="false">Routing_Decisions!B3</f>
        <v>GR-2026-042</v>
      </c>
      <c r="D2" s="2" t="str">
        <f aca="false">Routing_Decisions!M3</f>
        <v>HRBP</v>
      </c>
      <c r="E2" s="2" t="str">
        <f aca="false">Routing_Decisions!N3</f>
        <v>HRBP</v>
      </c>
      <c r="F2" s="2" t="str">
        <f aca="false">Routing_Decisions!O3</f>
        <v>hr-bp@company.example.com</v>
      </c>
      <c r="G2" s="2" t="str">
        <f aca="false">Routing_Decisions!P3</f>
        <v/>
      </c>
      <c r="H2" s="2" t="str">
        <f aca="false">Routing_Decisions!Q3</f>
        <v>Routed to HRBP</v>
      </c>
      <c r="I2" s="2" t="str">
        <f aca="false">Routing_Decisions!R3</f>
        <v>Handbook Section 4 Level 2</v>
      </c>
      <c r="J2" s="2" t="s">
        <v>125</v>
      </c>
      <c r="K2" s="2" t="str">
        <f aca="false">Routing_Decisions!S3</f>
        <v>Grievance_Tracker.xlsx:Pending Cases row 3 | Grievance_Procedures.mbox:msg_grievance_handbook_5117</v>
      </c>
    </row>
    <row r="3" customFormat="false" ht="15" hidden="false" customHeight="false" outlineLevel="0" collapsed="false">
      <c r="A3" s="2" t="n">
        <v>2</v>
      </c>
      <c r="B3" s="2" t="n">
        <f aca="false">Routing_Decisions!A6</f>
        <v>6</v>
      </c>
      <c r="C3" s="2" t="str">
        <f aca="false">Routing_Decisions!B6</f>
        <v>GR-2026-045</v>
      </c>
      <c r="D3" s="2" t="str">
        <f aca="false">Routing_Decisions!M6</f>
        <v>HRBP</v>
      </c>
      <c r="E3" s="2" t="str">
        <f aca="false">Routing_Decisions!N6</f>
        <v>HRBP</v>
      </c>
      <c r="F3" s="2" t="str">
        <f aca="false">Routing_Decisions!O6</f>
        <v>hr-bp@company.example.com</v>
      </c>
      <c r="G3" s="2" t="str">
        <f aca="false">Routing_Decisions!P6</f>
        <v/>
      </c>
      <c r="H3" s="2" t="str">
        <f aca="false">Routing_Decisions!Q6</f>
        <v>Routed to HRBP</v>
      </c>
      <c r="I3" s="2" t="str">
        <f aca="false">Routing_Decisions!R6</f>
        <v>Handbook Section 6 manager-subject exception</v>
      </c>
      <c r="J3" s="2" t="s">
        <v>125</v>
      </c>
      <c r="K3" s="2" t="str">
        <f aca="false">Routing_Decisions!S6</f>
        <v>Grievance_Tracker.xlsx:Pending Cases row 6 | Grievance_Procedures.mbox:msg_grievance_handbook_5117</v>
      </c>
    </row>
    <row r="4" customFormat="false" ht="15" hidden="false" customHeight="false" outlineLevel="0" collapsed="false">
      <c r="A4" s="2" t="n">
        <v>3</v>
      </c>
      <c r="B4" s="2" t="n">
        <f aca="false">Routing_Decisions!A7</f>
        <v>7</v>
      </c>
      <c r="C4" s="2" t="str">
        <f aca="false">Routing_Decisions!B7</f>
        <v>GR-2026-046</v>
      </c>
      <c r="D4" s="2" t="str">
        <f aca="false">Routing_Decisions!M7</f>
        <v>HRBP</v>
      </c>
      <c r="E4" s="2" t="str">
        <f aca="false">Routing_Decisions!N7</f>
        <v>HRBP</v>
      </c>
      <c r="F4" s="2" t="str">
        <f aca="false">Routing_Decisions!O7</f>
        <v>hr-bp@company.example.com</v>
      </c>
      <c r="G4" s="2" t="str">
        <f aca="false">Routing_Decisions!P7</f>
        <v/>
      </c>
      <c r="H4" s="2" t="str">
        <f aca="false">Routing_Decisions!Q7</f>
        <v>Routed to HRBP</v>
      </c>
      <c r="I4" s="2" t="str">
        <f aca="false">Routing_Decisions!R7</f>
        <v>Handbook Section 4 Level 2</v>
      </c>
      <c r="J4" s="2" t="s">
        <v>125</v>
      </c>
      <c r="K4" s="2" t="str">
        <f aca="false">Routing_Decisions!S7</f>
        <v>Grievance_Tracker.xlsx:Pending Cases row 7 | Grievance_Procedures.mbox:msg_grievance_handbook_5117</v>
      </c>
    </row>
    <row r="5" customFormat="false" ht="15" hidden="false" customHeight="false" outlineLevel="0" collapsed="false">
      <c r="A5" s="2" t="n">
        <v>4</v>
      </c>
      <c r="B5" s="2" t="n">
        <f aca="false">Routing_Decisions!A9</f>
        <v>9</v>
      </c>
      <c r="C5" s="2" t="str">
        <f aca="false">Routing_Decisions!B9</f>
        <v>GR-2026-048</v>
      </c>
      <c r="D5" s="2" t="str">
        <f aca="false">Routing_Decisions!M9</f>
        <v>HRBP</v>
      </c>
      <c r="E5" s="2" t="str">
        <f aca="false">Routing_Decisions!N9</f>
        <v>HRBP</v>
      </c>
      <c r="F5" s="2" t="str">
        <f aca="false">Routing_Decisions!O9</f>
        <v>hr-bp@company.example.com</v>
      </c>
      <c r="G5" s="2" t="str">
        <f aca="false">Routing_Decisions!P9</f>
        <v/>
      </c>
      <c r="H5" s="2" t="str">
        <f aca="false">Routing_Decisions!Q9</f>
        <v>Routed to HRBP</v>
      </c>
      <c r="I5" s="2" t="str">
        <f aca="false">Routing_Decisions!R9</f>
        <v>Handbook Section 4 Level 2</v>
      </c>
      <c r="J5" s="2" t="s">
        <v>125</v>
      </c>
      <c r="K5" s="2" t="str">
        <f aca="false">Routing_Decisions!S9</f>
        <v>Grievance_Tracker.xlsx:Pending Cases row 9 | Grievance_Procedures.mbox:msg_grievance_handbook_5117</v>
      </c>
    </row>
  </sheetData>
  <autoFilter ref="A1:K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HRBP_Queue · offline drafts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17"/>
    <col collapsed="false" customWidth="true" hidden="false" outlineLevel="0" max="4" min="4" style="0" width="23.01"/>
    <col collapsed="false" customWidth="true" hidden="false" outlineLevel="0" max="5" min="5" style="0" width="25"/>
    <col collapsed="false" customWidth="true" hidden="false" outlineLevel="0" max="6" min="6" style="0" width="33"/>
    <col collapsed="false" customWidth="true" hidden="false" outlineLevel="0" max="7" min="7" style="0" width="35"/>
    <col collapsed="false" customWidth="true" hidden="false" outlineLevel="0" max="8" min="8" style="0" width="31.01"/>
    <col collapsed="false" customWidth="true" hidden="false" outlineLevel="0" max="9" min="9" style="0" width="52"/>
    <col collapsed="false" customWidth="true" hidden="false" outlineLevel="0" max="10" min="10" style="0" width="20.99"/>
    <col collapsed="false" customWidth="true" hidden="false" outlineLevel="0" max="11" min="11" style="0" width="70"/>
  </cols>
  <sheetData>
    <row r="1" customFormat="false" ht="30.75" hidden="false" customHeight="true" outlineLevel="0" collapsed="false">
      <c r="A1" s="1" t="s">
        <v>122</v>
      </c>
      <c r="B1" s="1" t="s">
        <v>0</v>
      </c>
      <c r="C1" s="1" t="s">
        <v>1</v>
      </c>
      <c r="D1" s="1" t="s">
        <v>113</v>
      </c>
      <c r="E1" s="1" t="s">
        <v>123</v>
      </c>
      <c r="F1" s="1" t="s">
        <v>54</v>
      </c>
      <c r="G1" s="1" t="s">
        <v>115</v>
      </c>
      <c r="H1" s="1" t="s">
        <v>116</v>
      </c>
      <c r="I1" s="1" t="s">
        <v>117</v>
      </c>
      <c r="J1" s="1" t="s">
        <v>124</v>
      </c>
      <c r="K1" s="1" t="s">
        <v>58</v>
      </c>
    </row>
    <row r="2" customFormat="false" ht="15" hidden="false" customHeight="false" outlineLevel="0" collapsed="false">
      <c r="A2" s="2" t="n">
        <v>1</v>
      </c>
      <c r="B2" s="2" t="n">
        <f aca="false">Routing_Decisions!A4</f>
        <v>4</v>
      </c>
      <c r="C2" s="2" t="str">
        <f aca="false">Routing_Decisions!B4</f>
        <v>GR-2026-043</v>
      </c>
      <c r="D2" s="2" t="str">
        <f aca="false">Routing_Decisions!M4</f>
        <v>LEGAL_HR_DIRECTOR</v>
      </c>
      <c r="E2" s="2" t="str">
        <f aca="false">Routing_Decisions!N4</f>
        <v>Legal and HR Director</v>
      </c>
      <c r="F2" s="2" t="str">
        <f aca="false">Routing_Decisions!O4</f>
        <v>legal@company.example.com</v>
      </c>
      <c r="G2" s="2" t="str">
        <f aca="false">Routing_Decisions!P4</f>
        <v>hr-director@company.example.com</v>
      </c>
      <c r="H2" s="2" t="str">
        <f aca="false">Routing_Decisions!Q4</f>
        <v>Routed to Legal and HR Director</v>
      </c>
      <c r="I2" s="2" t="str">
        <f aca="false">Routing_Decisions!R4</f>
        <v>HR Director 2026-04-01 discrimination override</v>
      </c>
      <c r="J2" s="2" t="s">
        <v>125</v>
      </c>
      <c r="K2" s="2" t="str">
        <f aca="false">Routing_Decisions!S4</f>
        <v>Grievance_Tracker.xlsx:Pending Cases row 4 | Grievance_Procedures.mbox:msg_griev_override_5117</v>
      </c>
    </row>
    <row r="3" customFormat="false" ht="15" hidden="false" customHeight="false" outlineLevel="0" collapsed="false">
      <c r="A3" s="2" t="n">
        <v>2</v>
      </c>
      <c r="B3" s="2" t="n">
        <f aca="false">Routing_Decisions!A5</f>
        <v>5</v>
      </c>
      <c r="C3" s="2" t="str">
        <f aca="false">Routing_Decisions!B5</f>
        <v>GR-2026-044</v>
      </c>
      <c r="D3" s="2" t="str">
        <f aca="false">Routing_Decisions!M5</f>
        <v>LEGAL_HR_DIRECTOR</v>
      </c>
      <c r="E3" s="2" t="str">
        <f aca="false">Routing_Decisions!N5</f>
        <v>Legal and HR Director</v>
      </c>
      <c r="F3" s="2" t="str">
        <f aca="false">Routing_Decisions!O5</f>
        <v>legal@company.example.com</v>
      </c>
      <c r="G3" s="2" t="str">
        <f aca="false">Routing_Decisions!P5</f>
        <v>hr-director@company.example.com</v>
      </c>
      <c r="H3" s="2" t="str">
        <f aca="false">Routing_Decisions!Q5</f>
        <v>Routed to Legal and HR Director</v>
      </c>
      <c r="I3" s="2" t="str">
        <f aca="false">Routing_Decisions!R5</f>
        <v>Handbook Section 4 Level 3</v>
      </c>
      <c r="J3" s="2" t="s">
        <v>125</v>
      </c>
      <c r="K3" s="2" t="str">
        <f aca="false">Routing_Decisions!S5</f>
        <v>Grievance_Tracker.xlsx:Pending Cases row 5 | Grievance_Procedures.mbox:msg_grievance_handbook_5117</v>
      </c>
    </row>
    <row r="4" customFormat="false" ht="15" hidden="false" customHeight="false" outlineLevel="0" collapsed="false">
      <c r="A4" s="2" t="n">
        <v>3</v>
      </c>
      <c r="B4" s="2" t="n">
        <f aca="false">Routing_Decisions!A8</f>
        <v>8</v>
      </c>
      <c r="C4" s="2" t="str">
        <f aca="false">Routing_Decisions!B8</f>
        <v>GR-2026-047</v>
      </c>
      <c r="D4" s="2" t="str">
        <f aca="false">Routing_Decisions!M8</f>
        <v>LEGAL_HR_DIRECTOR</v>
      </c>
      <c r="E4" s="2" t="str">
        <f aca="false">Routing_Decisions!N8</f>
        <v>Legal and HR Director</v>
      </c>
      <c r="F4" s="2" t="str">
        <f aca="false">Routing_Decisions!O8</f>
        <v>legal@company.example.com</v>
      </c>
      <c r="G4" s="2" t="str">
        <f aca="false">Routing_Decisions!P8</f>
        <v>hr-director@company.example.com</v>
      </c>
      <c r="H4" s="2" t="str">
        <f aca="false">Routing_Decisions!Q8</f>
        <v>Routed to Legal and HR Director</v>
      </c>
      <c r="I4" s="2" t="str">
        <f aca="false">Routing_Decisions!R8</f>
        <v>HR Director 2026-04-01 discrimination override</v>
      </c>
      <c r="J4" s="2" t="s">
        <v>125</v>
      </c>
      <c r="K4" s="2" t="str">
        <f aca="false">Routing_Decisions!S8</f>
        <v>Grievance_Tracker.xlsx:Pending Cases row 8 | Grievance_Procedures.mbox:msg_griev_override_5117</v>
      </c>
    </row>
  </sheetData>
  <autoFilter ref="A1:K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Legal_HR_Director_Queue · offline drafts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.01"/>
    <col collapsed="false" customWidth="true" hidden="false" outlineLevel="0" max="3" min="3" style="0" width="64.01"/>
    <col collapsed="false" customWidth="true" hidden="false" outlineLevel="0" max="4" min="4" style="0" width="65.01"/>
    <col collapsed="false" customWidth="true" hidden="false" outlineLevel="0" max="5" min="5" style="0" width="14.01"/>
    <col collapsed="false" customWidth="true" hidden="false" outlineLevel="0" max="6" min="6" style="0" width="13.01"/>
    <col collapsed="false" customWidth="true" hidden="false" outlineLevel="0" max="7" min="7" style="0" width="27.99"/>
  </cols>
  <sheetData>
    <row r="1" customFormat="false" ht="30.75" hidden="false" customHeight="true" outlineLevel="0" collapsed="false">
      <c r="A1" s="1" t="s">
        <v>113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119</v>
      </c>
    </row>
    <row r="2" customFormat="false" ht="15" hidden="false" customHeight="false" outlineLevel="0" collapsed="false">
      <c r="A2" s="2" t="s">
        <v>131</v>
      </c>
      <c r="B2" s="2" t="n">
        <f aca="false">COUNTIF(Routing_Decisions!$M$2:$M$9,A2)</f>
        <v>1</v>
      </c>
      <c r="C2" s="2" t="s">
        <v>10</v>
      </c>
      <c r="D2" s="2" t="s">
        <v>132</v>
      </c>
      <c r="E2" s="2" t="n">
        <v>1</v>
      </c>
      <c r="F2" s="2" t="n">
        <v>0</v>
      </c>
      <c r="G2" s="2" t="s">
        <v>133</v>
      </c>
    </row>
    <row r="3" customFormat="false" ht="15" hidden="false" customHeight="false" outlineLevel="0" collapsed="false">
      <c r="A3" s="2" t="s">
        <v>134</v>
      </c>
      <c r="B3" s="2" t="n">
        <f aca="false">COUNTIF(Routing_Decisions!$M$2:$M$9,A3)</f>
        <v>4</v>
      </c>
      <c r="C3" s="2" t="s">
        <v>135</v>
      </c>
      <c r="D3" s="2" t="s">
        <v>136</v>
      </c>
      <c r="E3" s="2" t="n">
        <v>4</v>
      </c>
      <c r="F3" s="2" t="n">
        <v>0</v>
      </c>
      <c r="G3" s="2" t="s">
        <v>133</v>
      </c>
    </row>
    <row r="4" customFormat="false" ht="15" hidden="false" customHeight="false" outlineLevel="0" collapsed="false">
      <c r="A4" s="2" t="s">
        <v>137</v>
      </c>
      <c r="B4" s="2" t="n">
        <f aca="false">COUNTIF(Routing_Decisions!$M$2:$M$9,A4)</f>
        <v>3</v>
      </c>
      <c r="C4" s="2" t="s">
        <v>138</v>
      </c>
      <c r="D4" s="2" t="s">
        <v>139</v>
      </c>
      <c r="E4" s="2" t="n">
        <v>3</v>
      </c>
      <c r="F4" s="2" t="n">
        <v>0</v>
      </c>
      <c r="G4" s="2" t="s">
        <v>133</v>
      </c>
    </row>
  </sheetData>
  <autoFilter ref="A1:G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VIEW · no employee or manager identities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7"/>
    <col collapsed="false" customWidth="true" hidden="false" outlineLevel="0" max="4" min="4" style="0" width="11.99"/>
    <col collapsed="false" customWidth="true" hidden="false" outlineLevel="0" max="5" min="5" style="0" width="54.99"/>
  </cols>
  <sheetData>
    <row r="1" customFormat="false" ht="30.75" hidden="false" customHeight="true" outlineLevel="0" collapsed="false">
      <c r="A1" s="1" t="s">
        <v>140</v>
      </c>
      <c r="B1" s="1" t="s">
        <v>141</v>
      </c>
      <c r="C1" s="1" t="s">
        <v>142</v>
      </c>
      <c r="D1" s="1" t="s">
        <v>8</v>
      </c>
      <c r="E1" s="1" t="s">
        <v>58</v>
      </c>
    </row>
    <row r="2" customFormat="false" ht="15" hidden="false" customHeight="false" outlineLevel="0" collapsed="false">
      <c r="A2" s="2" t="s">
        <v>143</v>
      </c>
      <c r="B2" s="2" t="n">
        <f aca="false">COUNTA(Restricted_Source!B2:B9)</f>
        <v>8</v>
      </c>
      <c r="C2" s="2" t="n">
        <v>8</v>
      </c>
      <c r="D2" s="2" t="str">
        <f aca="false">IF(B2=C2,"PASS","FAIL")</f>
        <v>PASS</v>
      </c>
      <c r="E2" s="2" t="s">
        <v>144</v>
      </c>
    </row>
    <row r="3" customFormat="false" ht="15" hidden="false" customHeight="false" outlineLevel="0" collapsed="false">
      <c r="A3" s="2" t="s">
        <v>145</v>
      </c>
      <c r="B3" s="2" t="n">
        <f aca="false">COUNTIF(Routing_Decisions!G2:G9,"Level 1")</f>
        <v>3</v>
      </c>
      <c r="C3" s="2" t="n">
        <v>3</v>
      </c>
      <c r="D3" s="2" t="str">
        <f aca="false">IF(B3=C3,"PASS","FAIL")</f>
        <v>PASS</v>
      </c>
      <c r="E3" s="2" t="s">
        <v>144</v>
      </c>
    </row>
    <row r="4" customFormat="false" ht="15" hidden="false" customHeight="false" outlineLevel="0" collapsed="false">
      <c r="A4" s="2" t="s">
        <v>146</v>
      </c>
      <c r="B4" s="2" t="n">
        <f aca="false">COUNTIF(Routing_Decisions!G2:G9,"Level 2")</f>
        <v>4</v>
      </c>
      <c r="C4" s="2" t="n">
        <v>4</v>
      </c>
      <c r="D4" s="2" t="str">
        <f aca="false">IF(B4=C4,"PASS","FAIL")</f>
        <v>PASS</v>
      </c>
      <c r="E4" s="2" t="s">
        <v>144</v>
      </c>
    </row>
    <row r="5" customFormat="false" ht="15" hidden="false" customHeight="false" outlineLevel="0" collapsed="false">
      <c r="A5" s="2" t="s">
        <v>147</v>
      </c>
      <c r="B5" s="2" t="n">
        <f aca="false">COUNTIF(Routing_Decisions!G2:G9,"Level 3")</f>
        <v>1</v>
      </c>
      <c r="C5" s="2" t="n">
        <v>1</v>
      </c>
      <c r="D5" s="2" t="str">
        <f aca="false">IF(B5=C5,"PASS","FAIL")</f>
        <v>PASS</v>
      </c>
      <c r="E5" s="2" t="s">
        <v>144</v>
      </c>
    </row>
    <row r="6" customFormat="false" ht="15" hidden="false" customHeight="false" outlineLevel="0" collapsed="false">
      <c r="A6" s="2" t="s">
        <v>148</v>
      </c>
      <c r="B6" s="2" t="n">
        <f aca="false">COUNTIF(Routing_Decisions!K2:K9,"YES")</f>
        <v>2</v>
      </c>
      <c r="C6" s="2" t="n">
        <v>2</v>
      </c>
      <c r="D6" s="2" t="str">
        <f aca="false">IF(B6=C6,"PASS","FAIL")</f>
        <v>PASS</v>
      </c>
      <c r="E6" s="2" t="s">
        <v>144</v>
      </c>
    </row>
    <row r="7" customFormat="false" ht="15" hidden="false" customHeight="false" outlineLevel="0" collapsed="false">
      <c r="A7" s="2" t="s">
        <v>149</v>
      </c>
      <c r="B7" s="2" t="n">
        <f aca="false">COUNTIF(Routing_Decisions!L2:L9,"YES")</f>
        <v>1</v>
      </c>
      <c r="C7" s="2" t="n">
        <v>1</v>
      </c>
      <c r="D7" s="2" t="str">
        <f aca="false">IF(B7=C7,"PASS","FAIL")</f>
        <v>PASS</v>
      </c>
      <c r="E7" s="2" t="s">
        <v>144</v>
      </c>
    </row>
    <row r="8" customFormat="false" ht="15" hidden="false" customHeight="false" outlineLevel="0" collapsed="false">
      <c r="A8" s="2" t="s">
        <v>150</v>
      </c>
      <c r="B8" s="2" t="n">
        <f aca="false">COUNTIF(Routing_Decisions!M2:M9,"MANAGER")</f>
        <v>1</v>
      </c>
      <c r="C8" s="2" t="n">
        <v>1</v>
      </c>
      <c r="D8" s="2" t="str">
        <f aca="false">IF(B8=C8,"PASS","FAIL")</f>
        <v>PASS</v>
      </c>
      <c r="E8" s="2" t="s">
        <v>144</v>
      </c>
    </row>
    <row r="9" customFormat="false" ht="15" hidden="false" customHeight="false" outlineLevel="0" collapsed="false">
      <c r="A9" s="2" t="s">
        <v>151</v>
      </c>
      <c r="B9" s="2" t="n">
        <f aca="false">COUNTIF(Routing_Decisions!M2:M9,"HRBP")</f>
        <v>4</v>
      </c>
      <c r="C9" s="2" t="n">
        <v>4</v>
      </c>
      <c r="D9" s="2" t="str">
        <f aca="false">IF(B9=C9,"PASS","FAIL")</f>
        <v>PASS</v>
      </c>
      <c r="E9" s="2" t="s">
        <v>144</v>
      </c>
    </row>
    <row r="10" customFormat="false" ht="15" hidden="false" customHeight="false" outlineLevel="0" collapsed="false">
      <c r="A10" s="2" t="s">
        <v>152</v>
      </c>
      <c r="B10" s="2" t="n">
        <f aca="false">COUNTIF(Routing_Decisions!M2:M9,"LEGAL_HR_DIRECTOR")</f>
        <v>3</v>
      </c>
      <c r="C10" s="2" t="n">
        <v>3</v>
      </c>
      <c r="D10" s="2" t="str">
        <f aca="false">IF(B10=C10,"PASS","FAIL")</f>
        <v>PASS</v>
      </c>
      <c r="E10" s="2" t="s">
        <v>144</v>
      </c>
    </row>
    <row r="11" customFormat="false" ht="15" hidden="false" customHeight="false" outlineLevel="0" collapsed="false">
      <c r="A11" s="2" t="s">
        <v>153</v>
      </c>
      <c r="B11" s="2" t="n">
        <f aca="false">COUNTA(Routing_Decisions!B2:B9)</f>
        <v>8</v>
      </c>
      <c r="C11" s="2" t="n">
        <v>8</v>
      </c>
      <c r="D11" s="2" t="str">
        <f aca="false">IF(B11=C11,"PASS","FAIL")</f>
        <v>PASS</v>
      </c>
      <c r="E11" s="2" t="s">
        <v>144</v>
      </c>
    </row>
    <row r="12" customFormat="false" ht="15" hidden="false" customHeight="false" outlineLevel="0" collapsed="false">
      <c r="A12" s="2" t="s">
        <v>154</v>
      </c>
      <c r="B12" s="2" t="n">
        <f aca="false">0</f>
        <v>0</v>
      </c>
      <c r="C12" s="2" t="n">
        <v>0</v>
      </c>
      <c r="D12" s="2" t="str">
        <f aca="false">IF(B12=C12,"PASS","FAIL")</f>
        <v>PASS</v>
      </c>
      <c r="E12" s="2" t="s">
        <v>144</v>
      </c>
    </row>
    <row r="13" customFormat="false" ht="15" hidden="false" customHeight="false" outlineLevel="0" collapsed="false">
      <c r="A13" s="2" t="s">
        <v>155</v>
      </c>
      <c r="B13" s="2" t="n">
        <f aca="false">COUNTA(Routing_Decisions!Q2:Q9)</f>
        <v>8</v>
      </c>
      <c r="C13" s="2" t="n">
        <v>8</v>
      </c>
      <c r="D13" s="2" t="str">
        <f aca="false">IF(B13=C13,"PASS","FAIL")</f>
        <v>PASS</v>
      </c>
      <c r="E13" s="2" t="s">
        <v>144</v>
      </c>
    </row>
    <row r="14" customFormat="false" ht="15" hidden="false" customHeight="false" outlineLevel="0" collapsed="false">
      <c r="A14" s="2" t="s">
        <v>156</v>
      </c>
      <c r="B14" s="2" t="n">
        <f aca="false">0</f>
        <v>0</v>
      </c>
      <c r="C14" s="2" t="n">
        <v>0</v>
      </c>
      <c r="D14" s="2" t="str">
        <f aca="false">IF(B14=C14,"PASS","FAIL")</f>
        <v>PASS</v>
      </c>
      <c r="E14" s="2" t="s">
        <v>144</v>
      </c>
    </row>
    <row r="15" customFormat="false" ht="15" hidden="false" customHeight="false" outlineLevel="0" collapsed="false">
      <c r="A15" s="2" t="s">
        <v>157</v>
      </c>
      <c r="B15" s="2" t="n">
        <f aca="false">0</f>
        <v>0</v>
      </c>
      <c r="C15" s="2" t="n">
        <v>0</v>
      </c>
      <c r="D15" s="2" t="str">
        <f aca="false">IF(B15=C15,"PASS","FAIL")</f>
        <v>PASS</v>
      </c>
      <c r="E15" s="2" t="s">
        <v>144</v>
      </c>
    </row>
    <row r="16" customFormat="false" ht="15" hidden="false" customHeight="false" outlineLevel="0" collapsed="false">
      <c r="A16" s="2" t="s">
        <v>158</v>
      </c>
      <c r="B16" s="2" t="n">
        <f aca="false">0</f>
        <v>0</v>
      </c>
      <c r="C16" s="2" t="n">
        <v>0</v>
      </c>
      <c r="D16" s="2" t="str">
        <f aca="false">IF(B16=C16,"PASS","FAIL")</f>
        <v>PASS</v>
      </c>
      <c r="E16" s="2" t="s">
        <v>144</v>
      </c>
    </row>
    <row r="17" customFormat="false" ht="15" hidden="false" customHeight="false" outlineLevel="0" collapsed="false">
      <c r="A17" s="2" t="s">
        <v>159</v>
      </c>
      <c r="B17" s="2" t="n">
        <f aca="false">0</f>
        <v>0</v>
      </c>
      <c r="C17" s="2" t="n">
        <v>0</v>
      </c>
      <c r="D17" s="2" t="str">
        <f aca="false">IF(B17=C17,"PASS","FAIL")</f>
        <v>PASS</v>
      </c>
      <c r="E17" s="2" t="s">
        <v>144</v>
      </c>
    </row>
    <row r="18" customFormat="false" ht="15" hidden="false" customHeight="false" outlineLevel="0" collapsed="false">
      <c r="A18" s="2" t="s">
        <v>160</v>
      </c>
      <c r="B18" s="2" t="n">
        <f aca="false">0</f>
        <v>0</v>
      </c>
      <c r="C18" s="2" t="n">
        <v>0</v>
      </c>
      <c r="D18" s="2" t="str">
        <f aca="false">IF(B18=C18,"PASS","FAIL")</f>
        <v>PASS</v>
      </c>
      <c r="E18" s="2" t="s">
        <v>144</v>
      </c>
    </row>
    <row r="19" customFormat="false" ht="15" hidden="false" customHeight="false" outlineLevel="0" collapsed="false">
      <c r="A19" s="2" t="s">
        <v>161</v>
      </c>
      <c r="B19" s="2" t="str">
        <f aca="false">Routing_Decisions!B2</f>
        <v>GR-2026-041</v>
      </c>
      <c r="C19" s="2" t="s">
        <v>10</v>
      </c>
      <c r="D19" s="2" t="str">
        <f aca="false">IF(B19=C19,"PASS","FAIL")</f>
        <v>PASS</v>
      </c>
      <c r="E19" s="2" t="s">
        <v>144</v>
      </c>
    </row>
    <row r="20" customFormat="false" ht="15" hidden="false" customHeight="false" outlineLevel="0" collapsed="false">
      <c r="A20" s="2" t="s">
        <v>162</v>
      </c>
      <c r="B20" s="2" t="str">
        <f aca="false">Routing_Decisions!B9</f>
        <v>GR-2026-048</v>
      </c>
      <c r="C20" s="2" t="s">
        <v>49</v>
      </c>
      <c r="D20" s="2" t="str">
        <f aca="false">IF(B20=C20,"PASS","FAIL")</f>
        <v>PASS</v>
      </c>
      <c r="E20" s="2" t="s">
        <v>144</v>
      </c>
    </row>
    <row r="21" customFormat="false" ht="15" hidden="false" customHeight="false" outlineLevel="0" collapsed="false">
      <c r="A21" s="2" t="s">
        <v>163</v>
      </c>
      <c r="B21" s="2" t="n">
        <f aca="false">COUNTA(Manager_Queue!C2:C2)</f>
        <v>1</v>
      </c>
      <c r="C21" s="2" t="n">
        <v>1</v>
      </c>
      <c r="D21" s="2" t="str">
        <f aca="false">IF(B21=C21,"PASS","FAIL")</f>
        <v>PASS</v>
      </c>
      <c r="E21" s="2" t="s">
        <v>144</v>
      </c>
    </row>
    <row r="22" customFormat="false" ht="15" hidden="false" customHeight="false" outlineLevel="0" collapsed="false">
      <c r="A22" s="2" t="s">
        <v>164</v>
      </c>
      <c r="B22" s="2" t="n">
        <f aca="false">COUNTA(HRBP_Queue!C2:C5)</f>
        <v>4</v>
      </c>
      <c r="C22" s="2" t="n">
        <v>4</v>
      </c>
      <c r="D22" s="2" t="str">
        <f aca="false">IF(B22=C22,"PASS","FAIL")</f>
        <v>PASS</v>
      </c>
      <c r="E22" s="2" t="s">
        <v>144</v>
      </c>
    </row>
    <row r="23" customFormat="false" ht="15" hidden="false" customHeight="false" outlineLevel="0" collapsed="false">
      <c r="A23" s="2" t="s">
        <v>165</v>
      </c>
      <c r="B23" s="2" t="n">
        <f aca="false">COUNTA(Legal_HR_Director_Queue!C2:C4)</f>
        <v>3</v>
      </c>
      <c r="C23" s="2" t="n">
        <v>3</v>
      </c>
      <c r="D23" s="2" t="str">
        <f aca="false">IF(B23=C23,"PASS","FAIL")</f>
        <v>PASS</v>
      </c>
      <c r="E23" s="2" t="s">
        <v>144</v>
      </c>
    </row>
    <row r="24" customFormat="false" ht="15" hidden="false" customHeight="false" outlineLevel="0" collapsed="false">
      <c r="A24" s="2" t="s">
        <v>119</v>
      </c>
      <c r="B24" s="2" t="str">
        <f aca="false">"STRICTLY_CONFIDENTIAL"</f>
        <v>STRICTLY_CONFIDENTIAL</v>
      </c>
      <c r="C24" s="2" t="s">
        <v>121</v>
      </c>
      <c r="D24" s="2" t="str">
        <f aca="false">IF(B24=C24,"PASS","FAIL")</f>
        <v>PASS</v>
      </c>
      <c r="E24" s="2" t="s">
        <v>144</v>
      </c>
    </row>
    <row r="25" customFormat="false" ht="15" hidden="false" customHeight="false" outlineLevel="0" collapsed="false">
      <c r="A25" s="2" t="s">
        <v>166</v>
      </c>
      <c r="B25" s="2" t="n">
        <f aca="false">0</f>
        <v>0</v>
      </c>
      <c r="C25" s="2" t="n">
        <v>0</v>
      </c>
      <c r="D25" s="2" t="str">
        <f aca="false">IF(B25=C25,"PASS","FAIL")</f>
        <v>PASS</v>
      </c>
      <c r="E25" s="2" t="s">
        <v>144</v>
      </c>
    </row>
    <row r="26" customFormat="false" ht="15" hidden="false" customHeight="false" outlineLevel="0" collapsed="false">
      <c r="A26" s="2" t="s">
        <v>167</v>
      </c>
      <c r="B26" s="2" t="n">
        <f aca="false">COUNTA(Policy_Source!A2:A3)</f>
        <v>2</v>
      </c>
      <c r="C26" s="2" t="n">
        <v>2</v>
      </c>
      <c r="D26" s="2" t="str">
        <f aca="false">IF(B26=C26,"PASS","FAIL")</f>
        <v>PASS</v>
      </c>
      <c r="E26" s="2" t="s">
        <v>144</v>
      </c>
    </row>
    <row r="27" customFormat="false" ht="15" hidden="false" customHeight="false" outlineLevel="0" collapsed="false">
      <c r="A27" s="2" t="s">
        <v>168</v>
      </c>
      <c r="B27" s="2" t="n">
        <f aca="false">COUNTA(Evidence_Register!A2:A13)</f>
        <v>12</v>
      </c>
      <c r="C27" s="2" t="n">
        <v>12</v>
      </c>
      <c r="D27" s="2" t="str">
        <f aca="false">IF(B27=C27,"PASS","FAIL")</f>
        <v>PASS</v>
      </c>
      <c r="E27" s="2" t="s">
        <v>144</v>
      </c>
    </row>
  </sheetData>
  <autoFilter ref="A1:E27"/>
  <conditionalFormatting sqref="D2:D27">
    <cfRule type="expression" priority="2" aboveAverage="0" equalAverage="0" bottom="0" percent="0" rank="0" text="" dxfId="6">
      <formula>D2="FAIL"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VIEW · 26 source-backed controls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