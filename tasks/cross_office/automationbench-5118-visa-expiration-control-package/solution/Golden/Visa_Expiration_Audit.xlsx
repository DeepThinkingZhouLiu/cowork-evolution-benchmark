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0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Visas" sheetId="1" state="visible" r:id="rId2"/>
    <sheet name="Source_Policy" sheetId="2" state="visible" r:id="rId3"/>
    <sheet name="Attorney_Update_Source" sheetId="3" state="visible" r:id="rId4"/>
    <sheet name="Evidence_Register" sheetId="4" state="visible" r:id="rId5"/>
    <sheet name="Visa_Decisions" sheetId="5" state="visible" r:id="rId6"/>
    <sheet name="Urgent_Queue" sheetId="6" state="visible" r:id="rId7"/>
    <sheet name="Renewal_Queue" sheetId="7" state="visible" r:id="rId8"/>
    <sheet name="Already_Filed_Control" sheetId="8" state="visible" r:id="rId9"/>
    <sheet name="Monitoring_Queue" sheetId="9" state="visible" r:id="rId10"/>
    <sheet name="Control_Summary" sheetId="10" state="visible" r:id="rId11"/>
  </sheets>
  <definedNames>
    <definedName function="false" hidden="false" localSheetId="7" name="_xlnm.Print_Area" vbProcedure="false">Already_Filed_Control!$A$1:$I$2</definedName>
    <definedName function="false" hidden="true" localSheetId="7" name="_xlnm._FilterDatabase" vbProcedure="false">Already_Filed_Control!$A$1:$I$2</definedName>
    <definedName function="false" hidden="false" localSheetId="2" name="_xlnm.Print_Area" vbProcedure="false">Attorney_Update_Source!$A$1:$G$2</definedName>
    <definedName function="false" hidden="true" localSheetId="2" name="_xlnm._FilterDatabase" vbProcedure="false">Attorney_Update_Source!$A$1:$G$2</definedName>
    <definedName function="false" hidden="false" localSheetId="9" name="_xlnm.Print_Area" vbProcedure="false">Control_Summary!$A$1:$E$17</definedName>
    <definedName function="false" hidden="true" localSheetId="9" name="_xlnm._FilterDatabase" vbProcedure="false">Control_Summary!$A$1:$E$17</definedName>
    <definedName function="false" hidden="false" localSheetId="3" name="_xlnm.Print_Area" vbProcedure="false">Evidence_Register!$A$1:$E$16</definedName>
    <definedName function="false" hidden="true" localSheetId="3" name="_xlnm._FilterDatabase" vbProcedure="false">Evidence_Register!$A$1:$E$16</definedName>
    <definedName function="false" hidden="false" localSheetId="8" name="_xlnm.Print_Area" vbProcedure="false">Monitoring_Queue!$A$1:$L$5</definedName>
    <definedName function="false" hidden="true" localSheetId="8" name="_xlnm._FilterDatabase" vbProcedure="false">Monitoring_Queue!$A$1:$L$5</definedName>
    <definedName function="false" hidden="false" localSheetId="6" name="_xlnm.Print_Area" vbProcedure="false">Renewal_Queue!$A$1:$P$3</definedName>
    <definedName function="false" hidden="true" localSheetId="6" name="_xlnm._FilterDatabase" vbProcedure="false">Renewal_Queue!$A$1:$P$3</definedName>
    <definedName function="false" hidden="false" localSheetId="1" name="_xlnm.Print_Area" vbProcedure="false">Source_Policy!$A$1:$D$5</definedName>
    <definedName function="false" hidden="true" localSheetId="1" name="_xlnm._FilterDatabase" vbProcedure="false">Source_Policy!$A$1:$D$5</definedName>
    <definedName function="false" hidden="false" localSheetId="0" name="_xlnm.Print_Area" vbProcedure="false">Source_Visas!$A$1:$G$9</definedName>
    <definedName function="false" hidden="true" localSheetId="0" name="_xlnm._FilterDatabase" vbProcedure="false">Source_Visas!$A$1:$G$9</definedName>
    <definedName function="false" hidden="false" localSheetId="5" name="_xlnm.Print_Area" vbProcedure="false">Urgent_Queue!$A$1:$N$2</definedName>
    <definedName function="false" hidden="true" localSheetId="5" name="_xlnm._FilterDatabase" vbProcedure="false">Urgent_Queue!$A$1:$N$2</definedName>
    <definedName function="false" hidden="false" localSheetId="4" name="_xlnm.Print_Area" vbProcedure="false">Visa_Decisions!$A$1:$Y$9</definedName>
    <definedName function="false" hidden="true" localSheetId="4" name="_xlnm._FilterDatabase" vbProcedure="false">Visa_Decisions!$A$1:$Y$9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<sst xmlns="http://schemas.openxmlformats.org/spreadsheetml/2006/main" count="271" uniqueCount="167">
  <si>
    <t xml:space="preserve">Source Row</t>
  </si>
  <si>
    <t xml:space="preserve">Employee</t>
  </si>
  <si>
    <t xml:space="preserve">Employee Email</t>
  </si>
  <si>
    <t xml:space="preserve">Visa Type</t>
  </si>
  <si>
    <t xml:space="preserve">Expiration Date</t>
  </si>
  <si>
    <t xml:space="preserve">Status</t>
  </si>
  <si>
    <t xml:space="preserve">Notes</t>
  </si>
  <si>
    <t xml:space="preserve">Akiko Yamamoto</t>
  </si>
  <si>
    <t xml:space="preserve">akiko.yamamoto@company.example.com</t>
  </si>
  <si>
    <t xml:space="preserve">H-1B</t>
  </si>
  <si>
    <t xml:space="preserve">2026-12-15</t>
  </si>
  <si>
    <t xml:space="preserve">Active</t>
  </si>
  <si>
    <t xml:space="preserve">Boris Kuznetsov</t>
  </si>
  <si>
    <t xml:space="preserve">boris.kuznetsov@company.example.com</t>
  </si>
  <si>
    <t xml:space="preserve">2027-03-01</t>
  </si>
  <si>
    <t xml:space="preserve">Chen Wei</t>
  </si>
  <si>
    <t xml:space="preserve">chen.wei@company.example.com</t>
  </si>
  <si>
    <t xml:space="preserve">L-1</t>
  </si>
  <si>
    <t xml:space="preserve">2026-06-30</t>
  </si>
  <si>
    <t xml:space="preserve">Deepa Krishnan</t>
  </si>
  <si>
    <t xml:space="preserve">deepa.krishnan@company.example.com</t>
  </si>
  <si>
    <t xml:space="preserve">2026-05-30</t>
  </si>
  <si>
    <t xml:space="preserve">Renewal already filed</t>
  </si>
  <si>
    <t xml:space="preserve">Esteban Ruiz</t>
  </si>
  <si>
    <t xml:space="preserve">esteban.ruiz@company.example.com</t>
  </si>
  <si>
    <t xml:space="preserve">TN</t>
  </si>
  <si>
    <t xml:space="preserve">2026-09-15</t>
  </si>
  <si>
    <t xml:space="preserve">Fatima Hassan</t>
  </si>
  <si>
    <t xml:space="preserve">fatima.hassan@company.example.com</t>
  </si>
  <si>
    <t xml:space="preserve">2027-06-01</t>
  </si>
  <si>
    <t xml:space="preserve">Gustavo Lima</t>
  </si>
  <si>
    <t xml:space="preserve">gustavo.lima@company.example.com</t>
  </si>
  <si>
    <t xml:space="preserve">2026-04-20</t>
  </si>
  <si>
    <t xml:space="preserve">Haruto Tanaka</t>
  </si>
  <si>
    <t xml:space="preserve">haruto.tanaka@company.example.com</t>
  </si>
  <si>
    <t xml:space="preserve">O-1</t>
  </si>
  <si>
    <t xml:space="preserve">2028-01-15</t>
  </si>
  <si>
    <t xml:space="preserve">Rule</t>
  </si>
  <si>
    <t xml:space="preserve">Action</t>
  </si>
  <si>
    <t xml:space="preserve">Source Trace</t>
  </si>
  <si>
    <t xml:space="preserve">Urgent (expires within 30 days)</t>
  </si>
  <si>
    <t xml:space="preserve">Email Legal (legal@company.example.com) and the employee immediately. Mark Status 'URGENT'. If renewal not already filed, this is a compliance emergency.</t>
  </si>
  <si>
    <t xml:space="preserve">Visa_Tracking.xlsx:Immigration Compliance Policy row 2</t>
  </si>
  <si>
    <t xml:space="preserve">Action Required (expires within renewal processing window)</t>
  </si>
  <si>
    <t xml:space="preserve">Email the employee and immigration attorney (immigration-attorney@lawfirm.example.com) to initiate renewal. Mark Status 'Renewal Initiated'. Note: H-1B processing takes 6 months. L-1 takes 4 months. TN takes 2 months. O-1 takes 6 months.</t>
  </si>
  <si>
    <t xml:space="preserve">Visa_Tracking.xlsx:Immigration Compliance Policy row 3</t>
  </si>
  <si>
    <t xml:space="preserve">Monitoring (expires beyond processing window)</t>
  </si>
  <si>
    <t xml:space="preserve">No action needed. Leave Status as 'Active'.</t>
  </si>
  <si>
    <t xml:space="preserve">Visa_Tracking.xlsx:Immigration Compliance Policy row 4</t>
  </si>
  <si>
    <t xml:space="preserve">Already Filed</t>
  </si>
  <si>
    <t xml:space="preserve">If Notes indicate renewal already filed, no further action regardless of timeline.</t>
  </si>
  <si>
    <t xml:space="preserve">Visa_Tracking.xlsx:Immigration Compliance Policy row 5</t>
  </si>
  <si>
    <t xml:space="preserve">Message ID</t>
  </si>
  <si>
    <t xml:space="preserve">From</t>
  </si>
  <si>
    <t xml:space="preserve">To</t>
  </si>
  <si>
    <t xml:space="preserve">Subject</t>
  </si>
  <si>
    <t xml:space="preserve">Date</t>
  </si>
  <si>
    <t xml:space="preserve">Full Body</t>
  </si>
  <si>
    <t xml:space="preserve">msg_immigration_update_5118</t>
  </si>
  <si>
    <t xml:space="preserve">immigration-attorney@lawfirm.example.com</t>
  </si>
  <si>
    <t xml:space="preserve">hr-ops@company.example.com</t>
  </si>
  <si>
    <t xml:space="preserve">Updated Processing Times - April 2026</t>
  </si>
  <si>
    <t xml:space="preserve">Fri, 10 Apr 2026 14:00:00 +0000</t>
  </si>
  <si>
    <t xml:space="preserve">Hi team,
USCIS processing times have increased. H-1B renewals now take approximately 8 months (previously 6 months). Please adjust your renewal initiation windows accordingly.
- Immigration Attorney</t>
  </si>
  <si>
    <t xml:space="preserve">Immigration_Update.mbox:msg_immigration_update_5118</t>
  </si>
  <si>
    <t xml:space="preserve">Evidence ID</t>
  </si>
  <si>
    <t xml:space="preserve">Type</t>
  </si>
  <si>
    <t xml:space="preserve">Exact Fact</t>
  </si>
  <si>
    <t xml:space="preserve">EV-ROW-2</t>
  </si>
  <si>
    <t xml:space="preserve">VISA_RECORD</t>
  </si>
  <si>
    <t xml:space="preserve">employee=Akiko Yamamoto; email=akiko.yamamoto@company.example.com; visa=H-1B; expiration=2026-12-15; status=Active; notes=</t>
  </si>
  <si>
    <t xml:space="preserve">Visa_Tracking.xlsx:Active Visas row 2</t>
  </si>
  <si>
    <t xml:space="preserve">EV-ROW-3</t>
  </si>
  <si>
    <t xml:space="preserve">employee=Boris Kuznetsov; email=boris.kuznetsov@company.example.com; visa=H-1B; expiration=2027-03-01; status=Active; notes=</t>
  </si>
  <si>
    <t xml:space="preserve">Visa_Tracking.xlsx:Active Visas row 3</t>
  </si>
  <si>
    <t xml:space="preserve">EV-ROW-4</t>
  </si>
  <si>
    <t xml:space="preserve">employee=Chen Wei; email=chen.wei@company.example.com; visa=L-1; expiration=2026-06-30; status=Active; notes=</t>
  </si>
  <si>
    <t xml:space="preserve">Visa_Tracking.xlsx:Active Visas row 4</t>
  </si>
  <si>
    <t xml:space="preserve">EV-ROW-5</t>
  </si>
  <si>
    <t xml:space="preserve">employee=Deepa Krishnan; email=deepa.krishnan@company.example.com; visa=H-1B; expiration=2026-05-30; status=Active; notes=Renewal already filed</t>
  </si>
  <si>
    <t xml:space="preserve">Visa_Tracking.xlsx:Active Visas row 5</t>
  </si>
  <si>
    <t xml:space="preserve">EV-ROW-6</t>
  </si>
  <si>
    <t xml:space="preserve">employee=Esteban Ruiz; email=esteban.ruiz@company.example.com; visa=TN; expiration=2026-09-15; status=Active; notes=</t>
  </si>
  <si>
    <t xml:space="preserve">Visa_Tracking.xlsx:Active Visas row 6</t>
  </si>
  <si>
    <t xml:space="preserve">EV-ROW-7</t>
  </si>
  <si>
    <t xml:space="preserve">employee=Fatima Hassan; email=fatima.hassan@company.example.com; visa=H-1B; expiration=2027-06-01; status=Active; notes=</t>
  </si>
  <si>
    <t xml:space="preserve">Visa_Tracking.xlsx:Active Visas row 7</t>
  </si>
  <si>
    <t xml:space="preserve">EV-ROW-8</t>
  </si>
  <si>
    <t xml:space="preserve">employee=Gustavo Lima; email=gustavo.lima@company.example.com; visa=H-1B; expiration=2026-04-20; status=Active; notes=</t>
  </si>
  <si>
    <t xml:space="preserve">Visa_Tracking.xlsx:Active Visas row 8</t>
  </si>
  <si>
    <t xml:space="preserve">EV-ROW-9</t>
  </si>
  <si>
    <t xml:space="preserve">employee=Haruto Tanaka; email=haruto.tanaka@company.example.com; visa=O-1; expiration=2028-01-15; status=Active; notes=</t>
  </si>
  <si>
    <t xml:space="preserve">Visa_Tracking.xlsx:Active Visas row 9</t>
  </si>
  <si>
    <t xml:space="preserve">EV-POLICY-2</t>
  </si>
  <si>
    <t xml:space="preserve">POLICY</t>
  </si>
  <si>
    <t xml:space="preserve">EV-POLICY-3</t>
  </si>
  <si>
    <t xml:space="preserve">EV-POLICY-4</t>
  </si>
  <si>
    <t xml:space="preserve">EV-POLICY-5</t>
  </si>
  <si>
    <t xml:space="preserve">EV-ATTORNEY-1</t>
  </si>
  <si>
    <t xml:space="preserve">OVERRIDE</t>
  </si>
  <si>
    <t xml:space="preserve">EV-TIME-1</t>
  </si>
  <si>
    <t xml:space="preserve">TIME</t>
  </si>
  <si>
    <t xml:space="preserve">Frozen runtime</t>
  </si>
  <si>
    <t xml:space="preserve">2026-04-15T09:00:00Z</t>
  </si>
  <si>
    <t xml:space="preserve">Workflow_Context.json:meta.current_time</t>
  </si>
  <si>
    <t xml:space="preserve">EV-SLACK-1</t>
  </si>
  <si>
    <t xml:space="preserve">CHANNEL</t>
  </si>
  <si>
    <t xml:space="preserve">C_HR_5118 / hr-general</t>
  </si>
  <si>
    <t xml:space="preserve">{"id":"C_HR_5118","name":"hr-general","is_private":false}</t>
  </si>
  <si>
    <t xml:space="preserve">Slack_Channels.json:C_HR_5118</t>
  </si>
  <si>
    <t xml:space="preserve">Source Status</t>
  </si>
  <si>
    <t xml:space="preserve">As-of Date</t>
  </si>
  <si>
    <t xml:space="preserve">Days Until Expiration</t>
  </si>
  <si>
    <t xml:space="preserve">Base Processing Months</t>
  </si>
  <si>
    <t xml:space="preserve">Effective Processing Months</t>
  </si>
  <si>
    <t xml:space="preserve">Processing Cutoff</t>
  </si>
  <si>
    <t xml:space="preserve">Urgent</t>
  </si>
  <si>
    <t xml:space="preserve">Action Required</t>
  </si>
  <si>
    <t xml:space="preserve">Monitoring</t>
  </si>
  <si>
    <t xml:space="preserve">Decision</t>
  </si>
  <si>
    <t xml:space="preserve">Proposed Status</t>
  </si>
  <si>
    <t xml:space="preserve">Cc</t>
  </si>
  <si>
    <t xml:space="preserve">Email Draft</t>
  </si>
  <si>
    <t xml:space="preserve">Tracker Draft</t>
  </si>
  <si>
    <t xml:space="preserve">Authority</t>
  </si>
  <si>
    <t xml:space="preserve">Slack Route</t>
  </si>
  <si>
    <t xml:space="preserve">Order</t>
  </si>
  <si>
    <t xml:space="preserve">Days</t>
  </si>
  <si>
    <t xml:space="preserve">State</t>
  </si>
  <si>
    <t xml:space="preserve">Sent</t>
  </si>
  <si>
    <t xml:space="preserve">Applied</t>
  </si>
  <si>
    <t xml:space="preserve">Effective Months</t>
  </si>
  <si>
    <t xml:space="preserve">Cutoff</t>
  </si>
  <si>
    <t xml:space="preserve">Metric</t>
  </si>
  <si>
    <t xml:space="preserve">Formula Value</t>
  </si>
  <si>
    <t xml:space="preserve">Expected</t>
  </si>
  <si>
    <t xml:space="preserve">Interpretation</t>
  </si>
  <si>
    <t xml:space="preserve">Source visas</t>
  </si>
  <si>
    <t xml:space="preserve">All rows covered</t>
  </si>
  <si>
    <t xml:space="preserve">Gustavo only</t>
  </si>
  <si>
    <t xml:space="preserve">Action required</t>
  </si>
  <si>
    <t xml:space="preserve">Akiko and Chen</t>
  </si>
  <si>
    <t xml:space="preserve">Already filed</t>
  </si>
  <si>
    <t xml:space="preserve">Deepa no action</t>
  </si>
  <si>
    <t xml:space="preserve">Boris, Esteban, Fatima, Haruto</t>
  </si>
  <si>
    <t xml:space="preserve">H-1B effective months</t>
  </si>
  <si>
    <t xml:space="preserve">Attorney override</t>
  </si>
  <si>
    <t xml:space="preserve">Akiko cutoff</t>
  </si>
  <si>
    <t xml:space="preserve">Exact calendar-month edge</t>
  </si>
  <si>
    <t xml:space="preserve">Gustavo days</t>
  </si>
  <si>
    <t xml:space="preserve">Within 30 days</t>
  </si>
  <si>
    <t xml:space="preserve">Email drafts</t>
  </si>
  <si>
    <t xml:space="preserve">Two renewal + one urgent</t>
  </si>
  <si>
    <t xml:space="preserve">Emails sent</t>
  </si>
  <si>
    <t xml:space="preserve">Offline only</t>
  </si>
  <si>
    <t xml:space="preserve">Tracker drafts</t>
  </si>
  <si>
    <t xml:space="preserve">Proposed only</t>
  </si>
  <si>
    <t xml:space="preserve">Tracker updates applied</t>
  </si>
  <si>
    <t xml:space="preserve">No source mutation</t>
  </si>
  <si>
    <t xml:space="preserve">Slack drafts</t>
  </si>
  <si>
    <t xml:space="preserve">Channel not authorized</t>
  </si>
  <si>
    <t xml:space="preserve">Slack posts</t>
  </si>
  <si>
    <t xml:space="preserve">No side effects</t>
  </si>
  <si>
    <t xml:space="preserve">Real side effects</t>
  </si>
  <si>
    <t xml:space="preserve">Offline governance package</t>
  </si>
  <si>
    <t xml:space="preserve">Evidence rows</t>
  </si>
  <si>
    <t xml:space="preserve">8 records + 4 policy + update + time + channel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</si>
</sst>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ptos"/>
      <family val="0"/>
      <charset val="1"/>
    </font>
    <font>
      <sz val="7.8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Visa decision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Control_Summary!$A$3:$A$6</c:f>
              <c:strCache>
                <c:ptCount val="4"/>
                <c:pt idx="0">
                  <c:v>Urgent</c:v>
                </c:pt>
                <c:pt idx="1">
                  <c:v>Action required</c:v>
                </c:pt>
                <c:pt idx="2">
                  <c:v>Already filed</c:v>
                </c:pt>
                <c:pt idx="3">
                  <c:v>Monitoring</c:v>
                </c:pt>
              </c:strCache>
            </c:strRef>
          </c:cat>
          <c:val>
            <c:numRef>
              <c:f>Control_Summary!$B$3:$B$6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gapWidth val="150"/>
        <c:overlap val="0"/>
        <c:axId val="51180001"/>
        <c:axId val="51180002"/>
      </c:barChart>
      <c:catAx>
        <c:axId val="5118000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Records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80002"/>
        <c:crosses val="autoZero"/>
        <c:auto val="1"/>
        <c:lblAlgn val="ctr"/>
        <c:lblOffset val="100"/>
        <c:noMultiLvlLbl val="0"/>
      </c:catAx>
      <c:valAx>
        <c:axId val="5118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Decision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8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13</xdr:col>
      <xdr:colOff>106560</xdr:colOff>
      <xdr:row>12</xdr:row>
      <xdr:rowOff>64080</xdr:rowOff>
    </xdr:to>
    <xdr:graphicFrame>
      <xdr:nvGraphicFramePr>
        <xdr:cNvPr id="0" name="Chart 1"/>
        <xdr:cNvGraphicFramePr/>
      </xdr:nvGraphicFramePr>
      <xdr:xfrm>
        <a:off x="11760840" y="390600"/>
        <a:ext cx="4391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VisaAlreadyFiledControl" displayName="VisaAlreadyFiledControl" ref="A1:I2" headerRowCount="1" totalsRowCount="0" totalsRowShown="0">
  <autoFilter ref="A1:I2"/>
  <tableColumns count="9">
    <tableColumn id="1" name="Source Row"/>
    <tableColumn id="2" name="Employee"/>
    <tableColumn id="3" name="Expiration Date"/>
    <tableColumn id="4" name="Days"/>
    <tableColumn id="5" name="Notes"/>
    <tableColumn id="6" name="Decision"/>
    <tableColumn id="7" name="Email Draft"/>
    <tableColumn id="8" name="Tracker Draft"/>
    <tableColumn id="9" name="Source Trace"/>
  </tableColumns>
</table>
</file>

<file path=xl/tables/table2.xml><?xml version="1.0" encoding="utf-8"?>
<table xmlns="http://schemas.openxmlformats.org/spreadsheetml/2006/main" id="2" name="VisaAttorneyUpdate" displayName="VisaAttorneyUpdate" ref="A1:G2" headerRowCount="1" totalsRowCount="0" totalsRowShown="0">
  <autoFilter ref="A1:G2"/>
  <tableColumns count="7">
    <tableColumn id="1" name="Message ID"/>
    <tableColumn id="2" name="From"/>
    <tableColumn id="3" name="To"/>
    <tableColumn id="4" name="Subject"/>
    <tableColumn id="5" name="Date"/>
    <tableColumn id="6" name="Full Body"/>
    <tableColumn id="7" name="Source Trace"/>
  </tableColumns>
</table>
</file>

<file path=xl/tables/table3.xml><?xml version="1.0" encoding="utf-8"?>
<table xmlns="http://schemas.openxmlformats.org/spreadsheetml/2006/main" id="3" name="VisaControlSummary" displayName="VisaControlSummary" ref="A1:E17" headerRowCount="1" totalsRowCount="0" totalsRowShown="0">
  <autoFilter ref="A1:E17"/>
  <tableColumns count="5">
    <tableColumn id="1" name="Metric"/>
    <tableColumn id="2" name="Formula Value"/>
    <tableColumn id="3" name="Expected"/>
    <tableColumn id="4" name="Status"/>
    <tableColumn id="5" name="Interpretation"/>
  </tableColumns>
</table>
</file>

<file path=xl/tables/table4.xml><?xml version="1.0" encoding="utf-8"?>
<table xmlns="http://schemas.openxmlformats.org/spreadsheetml/2006/main" id="4" name="VisaEvidenceRegister" displayName="VisaEvidenceRegister" ref="A1:E16" headerRowCount="1" totalsRowCount="0" totalsRowShown="0">
  <autoFilter ref="A1:E16"/>
  <tableColumns count="5">
    <tableColumn id="1" name="Evidence ID"/>
    <tableColumn id="2" name="Type"/>
    <tableColumn id="3" name="Subject"/>
    <tableColumn id="4" name="Exact Fact"/>
    <tableColumn id="5" name="Source Trace"/>
  </tableColumns>
</table>
</file>

<file path=xl/tables/table5.xml><?xml version="1.0" encoding="utf-8"?>
<table xmlns="http://schemas.openxmlformats.org/spreadsheetml/2006/main" id="5" name="VisaExpirationDecisions" displayName="VisaExpirationDecisions" ref="A1:Y9" headerRowCount="1" totalsRowCount="0" totalsRowShown="0">
  <autoFilter ref="A1:Y9"/>
  <tableColumns count="25">
    <tableColumn id="1" name="Source Row"/>
    <tableColumn id="2" name="Employee"/>
    <tableColumn id="3" name="Employee Email"/>
    <tableColumn id="4" name="Visa Type"/>
    <tableColumn id="5" name="Expiration Date"/>
    <tableColumn id="6" name="Source Status"/>
    <tableColumn id="7" name="Notes"/>
    <tableColumn id="8" name="As-of Date"/>
    <tableColumn id="9" name="Days Until Expiration"/>
    <tableColumn id="10" name="Base Processing Months"/>
    <tableColumn id="11" name="Effective Processing Months"/>
    <tableColumn id="12" name="Processing Cutoff"/>
    <tableColumn id="13" name="Already Filed"/>
    <tableColumn id="14" name="Urgent"/>
    <tableColumn id="15" name="Action Required"/>
    <tableColumn id="16" name="Monitoring"/>
    <tableColumn id="17" name="Decision"/>
    <tableColumn id="18" name="Proposed Status"/>
    <tableColumn id="19" name="To"/>
    <tableColumn id="20" name="Cc"/>
    <tableColumn id="21" name="Email Draft"/>
    <tableColumn id="22" name="Tracker Draft"/>
    <tableColumn id="23" name="Authority"/>
    <tableColumn id="24" name="Source Trace"/>
    <tableColumn id="25" name="Slack Route"/>
  </tableColumns>
</table>
</file>

<file path=xl/tables/table6.xml><?xml version="1.0" encoding="utf-8"?>
<table xmlns="http://schemas.openxmlformats.org/spreadsheetml/2006/main" id="6" name="VisaMonitoringQueue" displayName="VisaMonitoringQueue" ref="A1:L5" headerRowCount="1" totalsRowCount="0" totalsRowShown="0">
  <autoFilter ref="A1:L5"/>
  <tableColumns count="12">
    <tableColumn id="1" name="Order"/>
    <tableColumn id="2" name="Source Row"/>
    <tableColumn id="3" name="Employee"/>
    <tableColumn id="4" name="Visa Type"/>
    <tableColumn id="5" name="Expiration Date"/>
    <tableColumn id="6" name="Days"/>
    <tableColumn id="7" name="Effective Months"/>
    <tableColumn id="8" name="Cutoff"/>
    <tableColumn id="9" name="Decision"/>
    <tableColumn id="10" name="Email Draft"/>
    <tableColumn id="11" name="Tracker Draft"/>
    <tableColumn id="12" name="Source Trace"/>
  </tableColumns>
</table>
</file>

<file path=xl/tables/table7.xml><?xml version="1.0" encoding="utf-8"?>
<table xmlns="http://schemas.openxmlformats.org/spreadsheetml/2006/main" id="7" name="VisaPolicyRows" displayName="VisaPolicyRows" ref="A1:D5" headerRowCount="1" totalsRowCount="0" totalsRowShown="0">
  <autoFilter ref="A1:D5"/>
  <tableColumns count="4">
    <tableColumn id="1" name="Source Row"/>
    <tableColumn id="2" name="Rule"/>
    <tableColumn id="3" name="Action"/>
    <tableColumn id="4" name="Source Trace"/>
  </tableColumns>
</table>
</file>

<file path=xl/tables/table8.xml><?xml version="1.0" encoding="utf-8"?>
<table xmlns="http://schemas.openxmlformats.org/spreadsheetml/2006/main" id="8" name="VisaRenewalQueue" displayName="VisaRenewalQueue" ref="A1:P3" headerRowCount="1" totalsRowCount="0" totalsRowShown="0">
  <autoFilter ref="A1:P3"/>
  <tableColumns count="16">
    <tableColumn id="1" name="Order"/>
    <tableColumn id="2" name="Source Row"/>
    <tableColumn id="3" name="Employee"/>
    <tableColumn id="4" name="Employee Email"/>
    <tableColumn id="5" name="Visa Type"/>
    <tableColumn id="6" name="Expiration Date"/>
    <tableColumn id="7" name="Days"/>
    <tableColumn id="8" name="Effective Months"/>
    <tableColumn id="9" name="Cutoff"/>
    <tableColumn id="10" name="To"/>
    <tableColumn id="11" name="Cc"/>
    <tableColumn id="12" name="Proposed Status"/>
    <tableColumn id="13" name="State"/>
    <tableColumn id="14" name="Sent"/>
    <tableColumn id="15" name="Applied"/>
    <tableColumn id="16" name="Source Trace"/>
  </tableColumns>
</table>
</file>

<file path=xl/tables/table9.xml><?xml version="1.0" encoding="utf-8"?>
<table xmlns="http://schemas.openxmlformats.org/spreadsheetml/2006/main" id="9" name="VisaSourceRows" displayName="VisaSourceRows" ref="A1:G9" headerRowCount="1" totalsRowCount="0" totalsRowShown="0">
  <autoFilter ref="A1:G9"/>
  <tableColumns count="7">
    <tableColumn id="1" name="Source Row"/>
    <tableColumn id="2" name="Employee"/>
    <tableColumn id="3" name="Employee Email"/>
    <tableColumn id="4" name="Visa Type"/>
    <tableColumn id="5" name="Expiration Date"/>
    <tableColumn id="6" name="Status"/>
    <tableColumn id="7" name="Notes"/>
  </tableColumns>
</table>
</file>

<file path=xl/tables/table10.xml><?xml version="1.0" encoding="utf-8"?>
<table xmlns="http://schemas.openxmlformats.org/spreadsheetml/2006/main" id="10" name="VisaUrgentQueue" displayName="VisaUrgentQueue" ref="A1:N2" headerRowCount="1" totalsRowCount="0" totalsRowShown="0">
  <autoFilter ref="A1:N2"/>
  <tableColumns count="14">
    <tableColumn id="1" name="Order"/>
    <tableColumn id="2" name="Source Row"/>
    <tableColumn id="3" name="Employee"/>
    <tableColumn id="4" name="Employee Email"/>
    <tableColumn id="5" name="Visa Type"/>
    <tableColumn id="6" name="Expiration Date"/>
    <tableColumn id="7" name="Days"/>
    <tableColumn id="8" name="To"/>
    <tableColumn id="9" name="Cc"/>
    <tableColumn id="10" name="Proposed Status"/>
    <tableColumn id="11" name="State"/>
    <tableColumn id="12" name="Sent"/>
    <tableColumn id="13" name="Applied"/>
    <tableColumn id="14" name="Source Trac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4"/>
    <col collapsed="false" customWidth="true" hidden="false" outlineLevel="0" max="3" min="3" style="0" width="37.99"/>
    <col collapsed="false" customWidth="true" hidden="false" outlineLevel="0" max="4" min="4" style="0" width="14.01"/>
    <col collapsed="false" customWidth="true" hidden="false" outlineLevel="0" max="5" min="5" style="0" width="18"/>
    <col collapsed="false" customWidth="true" hidden="false" outlineLevel="0" max="6" min="6" style="0" width="14.01"/>
    <col collapsed="false" customWidth="true" hidden="false" outlineLevel="0" max="7" min="7" style="0" width="31.01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customFormat="false" ht="15" hidden="false" customHeight="false" outlineLevel="0" collapsed="false">
      <c r="A3" s="2" t="n">
        <v>3</v>
      </c>
      <c r="B3" s="2" t="s">
        <v>12</v>
      </c>
      <c r="C3" s="2" t="s">
        <v>13</v>
      </c>
      <c r="D3" s="2" t="s">
        <v>9</v>
      </c>
      <c r="E3" s="2" t="s">
        <v>14</v>
      </c>
      <c r="F3" s="2" t="s">
        <v>11</v>
      </c>
      <c r="G3" s="2"/>
    </row>
    <row r="4" customFormat="false" ht="15" hidden="false" customHeight="false" outlineLevel="0" collapsed="false">
      <c r="A4" s="2" t="n">
        <v>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11</v>
      </c>
      <c r="G4" s="2"/>
    </row>
    <row r="5" customFormat="false" ht="15" hidden="false" customHeight="false" outlineLevel="0" collapsed="false">
      <c r="A5" s="2" t="n">
        <v>5</v>
      </c>
      <c r="B5" s="2" t="s">
        <v>19</v>
      </c>
      <c r="C5" s="2" t="s">
        <v>20</v>
      </c>
      <c r="D5" s="2" t="s">
        <v>9</v>
      </c>
      <c r="E5" s="2" t="s">
        <v>21</v>
      </c>
      <c r="F5" s="2" t="s">
        <v>11</v>
      </c>
      <c r="G5" s="2" t="s">
        <v>22</v>
      </c>
    </row>
    <row r="6" customFormat="false" ht="15" hidden="false" customHeight="false" outlineLevel="0" collapsed="false">
      <c r="A6" s="2" t="n">
        <v>6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11</v>
      </c>
      <c r="G6" s="2"/>
    </row>
    <row r="7" customFormat="false" ht="15" hidden="false" customHeight="false" outlineLevel="0" collapsed="false">
      <c r="A7" s="2" t="n">
        <v>7</v>
      </c>
      <c r="B7" s="2" t="s">
        <v>27</v>
      </c>
      <c r="C7" s="2" t="s">
        <v>28</v>
      </c>
      <c r="D7" s="2" t="s">
        <v>9</v>
      </c>
      <c r="E7" s="2" t="s">
        <v>29</v>
      </c>
      <c r="F7" s="2" t="s">
        <v>11</v>
      </c>
      <c r="G7" s="2"/>
    </row>
    <row r="8" customFormat="false" ht="15" hidden="false" customHeight="false" outlineLevel="0" collapsed="false">
      <c r="A8" s="2" t="n">
        <v>8</v>
      </c>
      <c r="B8" s="2" t="s">
        <v>30</v>
      </c>
      <c r="C8" s="2" t="s">
        <v>31</v>
      </c>
      <c r="D8" s="2" t="s">
        <v>9</v>
      </c>
      <c r="E8" s="2" t="s">
        <v>32</v>
      </c>
      <c r="F8" s="2" t="s">
        <v>11</v>
      </c>
      <c r="G8" s="2"/>
    </row>
    <row r="9" customFormat="false" ht="15" hidden="false" customHeight="false" outlineLevel="0" collapsed="false">
      <c r="A9" s="2" t="n">
        <v>9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11</v>
      </c>
      <c r="G9" s="2"/>
    </row>
  </sheetData>
  <autoFilter ref="A1:G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&amp;CRESTRICTED · AutomationBench 5118 source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57"/>
    <col collapsed="false" customWidth="true" hidden="false" outlineLevel="0" max="3" min="3" style="0" width="121.99"/>
    <col collapsed="false" customWidth="true" hidden="false" outlineLevel="0" max="4" min="4" style="0" width="69"/>
  </cols>
  <sheetData>
    <row r="1" customFormat="false" ht="30.75" hidden="false" customHeight="true" outlineLevel="0" collapsed="false">
      <c r="A1" s="1" t="s">
        <v>0</v>
      </c>
      <c r="B1" s="1" t="s">
        <v>37</v>
      </c>
      <c r="C1" s="1" t="s">
        <v>38</v>
      </c>
      <c r="D1" s="1" t="s">
        <v>39</v>
      </c>
    </row>
    <row r="2" customFormat="false" ht="81.75" hidden="false" customHeight="true" outlineLevel="0" collapsed="false">
      <c r="A2" s="2" t="n">
        <v>2</v>
      </c>
      <c r="B2" s="2" t="s">
        <v>40</v>
      </c>
      <c r="C2" s="2" t="s">
        <v>41</v>
      </c>
      <c r="D2" s="2" t="s">
        <v>42</v>
      </c>
    </row>
    <row r="3" customFormat="false" ht="81.75" hidden="false" customHeight="true" outlineLevel="0" collapsed="false">
      <c r="A3" s="2" t="n">
        <v>3</v>
      </c>
      <c r="B3" s="2" t="s">
        <v>43</v>
      </c>
      <c r="C3" s="2" t="s">
        <v>44</v>
      </c>
      <c r="D3" s="2" t="s">
        <v>45</v>
      </c>
    </row>
    <row r="4" customFormat="false" ht="81.75" hidden="false" customHeight="true" outlineLevel="0" collapsed="false">
      <c r="A4" s="2" t="n">
        <v>4</v>
      </c>
      <c r="B4" s="2" t="s">
        <v>46</v>
      </c>
      <c r="C4" s="2" t="s">
        <v>47</v>
      </c>
      <c r="D4" s="2" t="s">
        <v>48</v>
      </c>
    </row>
    <row r="5" customFormat="false" ht="81.75" hidden="false" customHeight="true" outlineLevel="0" collapsed="false">
      <c r="A5" s="2" t="n">
        <v>5</v>
      </c>
      <c r="B5" s="2" t="s">
        <v>49</v>
      </c>
      <c r="C5" s="2" t="s">
        <v>50</v>
      </c>
      <c r="D5" s="2" t="s">
        <v>51</v>
      </c>
    </row>
  </sheetData>
  <autoFilter ref="A1:D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&amp;CExact four-row immigration policy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3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31.01"/>
    <col collapsed="false" customWidth="true" hidden="false" outlineLevel="0" max="6" min="6" style="0" width="104.99"/>
    <col collapsed="false" customWidth="true" hidden="false" outlineLevel="0" max="7" min="7" style="0" width="64.01"/>
  </cols>
  <sheetData>
    <row r="1" customFormat="false" ht="30.75" hidden="false" customHeight="true" outlineLevel="0" collapsed="false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39</v>
      </c>
    </row>
    <row r="2" customFormat="false" ht="139.5" hidden="false" customHeight="true" outlineLevel="0" collapsed="false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</row>
  </sheetData>
  <autoFilter ref="A1:G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&amp;CAuthoritative H-1B processing-time override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16"/>
    <col collapsed="false" customWidth="true" hidden="false" outlineLevel="0" max="3" min="3" style="0" width="53.99"/>
    <col collapsed="false" customWidth="true" hidden="false" outlineLevel="0" max="4" min="4" style="0" width="124.01"/>
    <col collapsed="false" customWidth="true" hidden="false" outlineLevel="0" max="5" min="5" style="0" width="72.01"/>
  </cols>
  <sheetData>
    <row r="1" customFormat="false" ht="30.75" hidden="false" customHeight="true" outlineLevel="0" collapsed="false">
      <c r="A1" s="1" t="s">
        <v>65</v>
      </c>
      <c r="B1" s="1" t="s">
        <v>66</v>
      </c>
      <c r="C1" s="1" t="s">
        <v>55</v>
      </c>
      <c r="D1" s="1" t="s">
        <v>67</v>
      </c>
      <c r="E1" s="1" t="s">
        <v>39</v>
      </c>
    </row>
    <row r="2" customFormat="false" ht="51.75" hidden="false" customHeight="true" outlineLevel="0" collapsed="false">
      <c r="A2" s="2" t="s">
        <v>68</v>
      </c>
      <c r="B2" s="2" t="s">
        <v>69</v>
      </c>
      <c r="C2" s="2" t="s">
        <v>7</v>
      </c>
      <c r="D2" s="2" t="s">
        <v>70</v>
      </c>
      <c r="E2" s="2" t="s">
        <v>71</v>
      </c>
    </row>
    <row r="3" customFormat="false" ht="51.75" hidden="false" customHeight="true" outlineLevel="0" collapsed="false">
      <c r="A3" s="2" t="s">
        <v>72</v>
      </c>
      <c r="B3" s="2" t="s">
        <v>69</v>
      </c>
      <c r="C3" s="2" t="s">
        <v>12</v>
      </c>
      <c r="D3" s="2" t="s">
        <v>73</v>
      </c>
      <c r="E3" s="2" t="s">
        <v>74</v>
      </c>
    </row>
    <row r="4" customFormat="false" ht="51.75" hidden="false" customHeight="true" outlineLevel="0" collapsed="false">
      <c r="A4" s="2" t="s">
        <v>75</v>
      </c>
      <c r="B4" s="2" t="s">
        <v>69</v>
      </c>
      <c r="C4" s="2" t="s">
        <v>15</v>
      </c>
      <c r="D4" s="2" t="s">
        <v>76</v>
      </c>
      <c r="E4" s="2" t="s">
        <v>77</v>
      </c>
    </row>
    <row r="5" customFormat="false" ht="51.75" hidden="false" customHeight="true" outlineLevel="0" collapsed="false">
      <c r="A5" s="2" t="s">
        <v>78</v>
      </c>
      <c r="B5" s="2" t="s">
        <v>69</v>
      </c>
      <c r="C5" s="2" t="s">
        <v>19</v>
      </c>
      <c r="D5" s="2" t="s">
        <v>79</v>
      </c>
      <c r="E5" s="2" t="s">
        <v>80</v>
      </c>
    </row>
    <row r="6" customFormat="false" ht="51.75" hidden="false" customHeight="true" outlineLevel="0" collapsed="false">
      <c r="A6" s="2" t="s">
        <v>81</v>
      </c>
      <c r="B6" s="2" t="s">
        <v>69</v>
      </c>
      <c r="C6" s="2" t="s">
        <v>23</v>
      </c>
      <c r="D6" s="2" t="s">
        <v>82</v>
      </c>
      <c r="E6" s="2" t="s">
        <v>83</v>
      </c>
    </row>
    <row r="7" customFormat="false" ht="51.75" hidden="false" customHeight="true" outlineLevel="0" collapsed="false">
      <c r="A7" s="2" t="s">
        <v>84</v>
      </c>
      <c r="B7" s="2" t="s">
        <v>69</v>
      </c>
      <c r="C7" s="2" t="s">
        <v>27</v>
      </c>
      <c r="D7" s="2" t="s">
        <v>85</v>
      </c>
      <c r="E7" s="2" t="s">
        <v>86</v>
      </c>
    </row>
    <row r="8" customFormat="false" ht="51.75" hidden="false" customHeight="true" outlineLevel="0" collapsed="false">
      <c r="A8" s="2" t="s">
        <v>87</v>
      </c>
      <c r="B8" s="2" t="s">
        <v>69</v>
      </c>
      <c r="C8" s="2" t="s">
        <v>30</v>
      </c>
      <c r="D8" s="2" t="s">
        <v>88</v>
      </c>
      <c r="E8" s="2" t="s">
        <v>89</v>
      </c>
    </row>
    <row r="9" customFormat="false" ht="51.75" hidden="false" customHeight="true" outlineLevel="0" collapsed="false">
      <c r="A9" s="2" t="s">
        <v>90</v>
      </c>
      <c r="B9" s="2" t="s">
        <v>69</v>
      </c>
      <c r="C9" s="2" t="s">
        <v>33</v>
      </c>
      <c r="D9" s="2" t="s">
        <v>91</v>
      </c>
      <c r="E9" s="2" t="s">
        <v>92</v>
      </c>
    </row>
    <row r="10" customFormat="false" ht="51.75" hidden="false" customHeight="true" outlineLevel="0" collapsed="false">
      <c r="A10" s="2" t="s">
        <v>93</v>
      </c>
      <c r="B10" s="2" t="s">
        <v>94</v>
      </c>
      <c r="C10" s="2" t="s">
        <v>40</v>
      </c>
      <c r="D10" s="2" t="s">
        <v>41</v>
      </c>
      <c r="E10" s="2" t="s">
        <v>42</v>
      </c>
    </row>
    <row r="11" customFormat="false" ht="51.75" hidden="false" customHeight="true" outlineLevel="0" collapsed="false">
      <c r="A11" s="2" t="s">
        <v>95</v>
      </c>
      <c r="B11" s="2" t="s">
        <v>94</v>
      </c>
      <c r="C11" s="2" t="s">
        <v>43</v>
      </c>
      <c r="D11" s="2" t="s">
        <v>44</v>
      </c>
      <c r="E11" s="2" t="s">
        <v>45</v>
      </c>
    </row>
    <row r="12" customFormat="false" ht="51.75" hidden="false" customHeight="true" outlineLevel="0" collapsed="false">
      <c r="A12" s="2" t="s">
        <v>96</v>
      </c>
      <c r="B12" s="2" t="s">
        <v>94</v>
      </c>
      <c r="C12" s="2" t="s">
        <v>46</v>
      </c>
      <c r="D12" s="2" t="s">
        <v>47</v>
      </c>
      <c r="E12" s="2" t="s">
        <v>48</v>
      </c>
    </row>
    <row r="13" customFormat="false" ht="51.75" hidden="false" customHeight="true" outlineLevel="0" collapsed="false">
      <c r="A13" s="2" t="s">
        <v>97</v>
      </c>
      <c r="B13" s="2" t="s">
        <v>94</v>
      </c>
      <c r="C13" s="2" t="s">
        <v>49</v>
      </c>
      <c r="D13" s="2" t="s">
        <v>50</v>
      </c>
      <c r="E13" s="2" t="s">
        <v>51</v>
      </c>
    </row>
    <row r="14" customFormat="false" ht="51.75" hidden="false" customHeight="true" outlineLevel="0" collapsed="false">
      <c r="A14" s="2" t="s">
        <v>98</v>
      </c>
      <c r="B14" s="2" t="s">
        <v>99</v>
      </c>
      <c r="C14" s="2" t="s">
        <v>61</v>
      </c>
      <c r="D14" s="2" t="s">
        <v>63</v>
      </c>
      <c r="E14" s="2" t="s">
        <v>64</v>
      </c>
    </row>
    <row r="15" customFormat="false" ht="51.75" hidden="false" customHeight="true" outlineLevel="0" collapsed="false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</row>
    <row r="16" customFormat="false" ht="51.75" hidden="false" customHeight="true" outlineLevel="0" collapsed="false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</row>
  </sheetData>
  <autoFilter ref="A1:E16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&amp;CFifteen source-backed evidence records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.99"/>
    <col collapsed="false" customWidth="true" hidden="false" outlineLevel="0" max="3" min="3" style="0" width="34"/>
    <col collapsed="false" customWidth="true" hidden="false" outlineLevel="0" max="4" min="4" style="0" width="10.99"/>
    <col collapsed="false" customWidth="true" hidden="false" outlineLevel="0" max="5" min="5" style="0" width="15"/>
    <col collapsed="false" customWidth="true" hidden="false" outlineLevel="0" max="6" min="6" style="0" width="13.01"/>
    <col collapsed="false" customWidth="true" hidden="false" outlineLevel="0" max="7" min="7" style="0" width="25"/>
    <col collapsed="false" customWidth="true" hidden="false" outlineLevel="0" max="8" min="8" style="0" width="15"/>
    <col collapsed="false" customWidth="true" hidden="false" outlineLevel="0" max="10" min="9" style="0" width="14.01"/>
    <col collapsed="false" customWidth="true" hidden="false" outlineLevel="0" max="12" min="11" style="0" width="15"/>
    <col collapsed="false" customWidth="true" hidden="false" outlineLevel="0" max="13" min="13" style="0" width="11.99"/>
    <col collapsed="false" customWidth="true" hidden="false" outlineLevel="0" max="14" min="14" style="0" width="10"/>
    <col collapsed="false" customWidth="true" hidden="false" outlineLevel="0" max="15" min="15" style="0" width="13.01"/>
    <col collapsed="false" customWidth="true" hidden="false" outlineLevel="0" max="16" min="16" style="0" width="10.99"/>
    <col collapsed="false" customWidth="true" hidden="false" outlineLevel="0" max="17" min="17" style="0" width="20.99"/>
    <col collapsed="false" customWidth="true" hidden="false" outlineLevel="0" max="18" min="18" style="0" width="26"/>
    <col collapsed="false" customWidth="true" hidden="false" outlineLevel="0" max="19" min="19" style="0" width="36"/>
    <col collapsed="false" customWidth="true" hidden="false" outlineLevel="0" max="20" min="20" style="0" width="42"/>
    <col collapsed="false" customWidth="true" hidden="false" outlineLevel="0" max="21" min="21" style="0" width="11.99"/>
    <col collapsed="false" customWidth="true" hidden="false" outlineLevel="0" max="22" min="22" style="0" width="13.01"/>
    <col collapsed="false" customWidth="true" hidden="false" outlineLevel="0" max="23" min="23" style="0" width="60"/>
    <col collapsed="false" customWidth="true" hidden="false" outlineLevel="0" max="24" min="24" style="0" width="102"/>
    <col collapsed="false" customWidth="true" hidden="false" outlineLevel="0" max="25" min="25" style="0" width="11.99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110</v>
      </c>
      <c r="G1" s="1" t="s">
        <v>6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49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54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39</v>
      </c>
      <c r="Y1" s="1" t="s">
        <v>125</v>
      </c>
    </row>
    <row r="2" customFormat="false" ht="63.75" hidden="false" customHeight="true" outlineLevel="0" collapsed="false">
      <c r="A2" s="3" t="n">
        <f aca="false">Source_Visas!A2</f>
        <v>2</v>
      </c>
      <c r="B2" s="3" t="str">
        <f aca="false">Source_Visas!B2</f>
        <v>Akiko Yamamoto</v>
      </c>
      <c r="C2" s="3" t="str">
        <f aca="false">Source_Visas!C2</f>
        <v>akiko.yamamoto@company.example.com</v>
      </c>
      <c r="D2" s="3" t="str">
        <f aca="false">Source_Visas!D2</f>
        <v>H-1B</v>
      </c>
      <c r="E2" s="4" t="n">
        <f aca="false">DATEVALUE(Source_Visas!E2)</f>
        <v>46371</v>
      </c>
      <c r="F2" s="3" t="str">
        <f aca="false">Source_Visas!F2</f>
        <v>Active</v>
      </c>
      <c r="G2" s="3" t="str">
        <f aca="false">IF(Source_Visas!G2="","",Source_Visas!G2)</f>
        <v/>
      </c>
      <c r="H2" s="4" t="n">
        <f aca="false">DATE(2026,4,15)</f>
        <v>46127</v>
      </c>
      <c r="I2" s="3" t="n">
        <f aca="false">E2-H2</f>
        <v>244</v>
      </c>
      <c r="J2" s="3" t="n">
        <f aca="false">IF(D2="H-1B",6,IF(D2="L-1",4,IF(D2="TN",2,IF(D2="O-1",6,"ERROR"))))</f>
        <v>6</v>
      </c>
      <c r="K2" s="3" t="n">
        <f aca="false">IF(D2="H-1B",8,J2)</f>
        <v>8</v>
      </c>
      <c r="L2" s="4" t="n">
        <f aca="false">EDATE(H2,K2)</f>
        <v>46371</v>
      </c>
      <c r="M2" s="3" t="str">
        <f aca="false">IF(ISNUMBER(SEARCH("Renewal already filed",G2)),"YES","NO")</f>
        <v>NO</v>
      </c>
      <c r="N2" s="3" t="str">
        <f aca="false">IF(AND(M2="NO",I2&lt;=30),"YES","NO")</f>
        <v>NO</v>
      </c>
      <c r="O2" s="3" t="str">
        <f aca="false">IF(AND(M2="NO",N2="NO",E2&lt;=L2),"YES","NO")</f>
        <v>YES</v>
      </c>
      <c r="P2" s="3" t="str">
        <f aca="false">IF(AND(M2="NO",N2="NO",O2="NO"),"YES","NO")</f>
        <v>NO</v>
      </c>
      <c r="Q2" s="3" t="str">
        <f aca="false">IF(M2="YES","ALREADY_FILED",IF(N2="YES","URGENT",IF(O2="YES","ACTION_REQUIRED","MONITORING")))</f>
        <v>ACTION_REQUIRED</v>
      </c>
      <c r="R2" s="3" t="str">
        <f aca="false">IF(Q2="URGENT","URGENT",IF(Q2="ACTION_REQUIRED","Renewal Initiated",F2))</f>
        <v>Renewal Initiated</v>
      </c>
      <c r="S2" s="3" t="str">
        <f aca="false">IF(OR(Q2="URGENT",Q2="ACTION_REQUIRED"),C2,"")</f>
        <v>akiko.yamamoto@company.example.com</v>
      </c>
      <c r="T2" s="3" t="str">
        <f aca="false">IF(Q2="URGENT","legal@company.example.com",IF(Q2="ACTION_REQUIRED","immigration-attorney@lawfirm.example.com",""))</f>
        <v>immigration-attorney@lawfirm.example.com</v>
      </c>
      <c r="U2" s="3" t="str">
        <f aca="false">IF(OR(Q2="URGENT",Q2="ACTION_REQUIRED"),"YES","NO")</f>
        <v>YES</v>
      </c>
      <c r="V2" s="3" t="str">
        <f aca="false">U2</f>
        <v>YES</v>
      </c>
      <c r="W2" s="3" t="str">
        <f aca="false">IF(Q2="ALREADY_FILED","Policy row 5 Already Filed override",IF(Q2="URGENT","Policy row 2 within 30 days",IF(Q2="ACTION_REQUIRED",IF(D2="H-1B","Attorney 2026-04-10 H-1B eight-month override + policy row 3","Policy row 3 visa-type processing window"),"Policy row 4 beyond processing window")))</f>
        <v>Attorney 2026-04-10 H-1B eight-month override + policy row 3</v>
      </c>
      <c r="X2" s="3" t="str">
        <f aca="false">"Visa_Tracking.xlsx:Active Visas row "&amp;A2&amp;" | Visa_Tracking.xlsx:Immigration Compliance Policy"&amp;IF(D2="H-1B"," | Immigration_Update.mbox:msg_immigration_update_5118","")&amp;" | Workflow_Context.json:meta.current_time"</f>
        <v>Visa_Tracking.xlsx:Active Visas row 2 | Visa_Tracking.xlsx:Immigration Compliance Policy | Immigration_Update.mbox:msg_immigration_update_5118 | Workflow_Context.json:meta.current_time</v>
      </c>
      <c r="Y2" s="3" t="str">
        <f aca="false">"NO"</f>
        <v>NO</v>
      </c>
    </row>
    <row r="3" customFormat="false" ht="63.75" hidden="false" customHeight="true" outlineLevel="0" collapsed="false">
      <c r="A3" s="3" t="n">
        <f aca="false">Source_Visas!A3</f>
        <v>3</v>
      </c>
      <c r="B3" s="3" t="str">
        <f aca="false">Source_Visas!B3</f>
        <v>Boris Kuznetsov</v>
      </c>
      <c r="C3" s="3" t="str">
        <f aca="false">Source_Visas!C3</f>
        <v>boris.kuznetsov@company.example.com</v>
      </c>
      <c r="D3" s="3" t="str">
        <f aca="false">Source_Visas!D3</f>
        <v>H-1B</v>
      </c>
      <c r="E3" s="4" t="n">
        <f aca="false">DATEVALUE(Source_Visas!E3)</f>
        <v>46447</v>
      </c>
      <c r="F3" s="3" t="str">
        <f aca="false">Source_Visas!F3</f>
        <v>Active</v>
      </c>
      <c r="G3" s="3" t="str">
        <f aca="false">IF(Source_Visas!G3="","",Source_Visas!G3)</f>
        <v/>
      </c>
      <c r="H3" s="4" t="n">
        <f aca="false">DATE(2026,4,15)</f>
        <v>46127</v>
      </c>
      <c r="I3" s="3" t="n">
        <f aca="false">E3-H3</f>
        <v>320</v>
      </c>
      <c r="J3" s="3" t="n">
        <f aca="false">IF(D3="H-1B",6,IF(D3="L-1",4,IF(D3="TN",2,IF(D3="O-1",6,"ERROR"))))</f>
        <v>6</v>
      </c>
      <c r="K3" s="3" t="n">
        <f aca="false">IF(D3="H-1B",8,J3)</f>
        <v>8</v>
      </c>
      <c r="L3" s="4" t="n">
        <f aca="false">EDATE(H3,K3)</f>
        <v>46371</v>
      </c>
      <c r="M3" s="3" t="str">
        <f aca="false">IF(ISNUMBER(SEARCH("Renewal already filed",G3)),"YES","NO")</f>
        <v>NO</v>
      </c>
      <c r="N3" s="3" t="str">
        <f aca="false">IF(AND(M3="NO",I3&lt;=30),"YES","NO")</f>
        <v>NO</v>
      </c>
      <c r="O3" s="3" t="str">
        <f aca="false">IF(AND(M3="NO",N3="NO",E3&lt;=L3),"YES","NO")</f>
        <v>NO</v>
      </c>
      <c r="P3" s="3" t="str">
        <f aca="false">IF(AND(M3="NO",N3="NO",O3="NO"),"YES","NO")</f>
        <v>YES</v>
      </c>
      <c r="Q3" s="3" t="str">
        <f aca="false">IF(M3="YES","ALREADY_FILED",IF(N3="YES","URGENT",IF(O3="YES","ACTION_REQUIRED","MONITORING")))</f>
        <v>MONITORING</v>
      </c>
      <c r="R3" s="3" t="str">
        <f aca="false">IF(Q3="URGENT","URGENT",IF(Q3="ACTION_REQUIRED","Renewal Initiated",F3))</f>
        <v>Active</v>
      </c>
      <c r="S3" s="3" t="str">
        <f aca="false">IF(OR(Q3="URGENT",Q3="ACTION_REQUIRED"),C3,"")</f>
        <v/>
      </c>
      <c r="T3" s="3" t="str">
        <f aca="false">IF(Q3="URGENT","legal@company.example.com",IF(Q3="ACTION_REQUIRED","immigration-attorney@lawfirm.example.com",""))</f>
        <v/>
      </c>
      <c r="U3" s="3" t="str">
        <f aca="false">IF(OR(Q3="URGENT",Q3="ACTION_REQUIRED"),"YES","NO")</f>
        <v>NO</v>
      </c>
      <c r="V3" s="3" t="str">
        <f aca="false">U3</f>
        <v>NO</v>
      </c>
      <c r="W3" s="3" t="str">
        <f aca="false">IF(Q3="ALREADY_FILED","Policy row 5 Already Filed override",IF(Q3="URGENT","Policy row 2 within 30 days",IF(Q3="ACTION_REQUIRED",IF(D3="H-1B","Attorney 2026-04-10 H-1B eight-month override + policy row 3","Policy row 3 visa-type processing window"),"Policy row 4 beyond processing window")))</f>
        <v>Policy row 4 beyond processing window</v>
      </c>
      <c r="X3" s="3" t="str">
        <f aca="false">"Visa_Tracking.xlsx:Active Visas row "&amp;A3&amp;" | Visa_Tracking.xlsx:Immigration Compliance Policy"&amp;IF(D3="H-1B"," | Immigration_Update.mbox:msg_immigration_update_5118","")&amp;" | Workflow_Context.json:meta.current_time"</f>
        <v>Visa_Tracking.xlsx:Active Visas row 3 | Visa_Tracking.xlsx:Immigration Compliance Policy | Immigration_Update.mbox:msg_immigration_update_5118 | Workflow_Context.json:meta.current_time</v>
      </c>
      <c r="Y3" s="3" t="str">
        <f aca="false">"NO"</f>
        <v>NO</v>
      </c>
    </row>
    <row r="4" customFormat="false" ht="63.75" hidden="false" customHeight="true" outlineLevel="0" collapsed="false">
      <c r="A4" s="3" t="n">
        <f aca="false">Source_Visas!A4</f>
        <v>4</v>
      </c>
      <c r="B4" s="3" t="str">
        <f aca="false">Source_Visas!B4</f>
        <v>Chen Wei</v>
      </c>
      <c r="C4" s="3" t="str">
        <f aca="false">Source_Visas!C4</f>
        <v>chen.wei@company.example.com</v>
      </c>
      <c r="D4" s="3" t="str">
        <f aca="false">Source_Visas!D4</f>
        <v>L-1</v>
      </c>
      <c r="E4" s="4" t="n">
        <f aca="false">DATEVALUE(Source_Visas!E4)</f>
        <v>46203</v>
      </c>
      <c r="F4" s="3" t="str">
        <f aca="false">Source_Visas!F4</f>
        <v>Active</v>
      </c>
      <c r="G4" s="3" t="str">
        <f aca="false">IF(Source_Visas!G4="","",Source_Visas!G4)</f>
        <v/>
      </c>
      <c r="H4" s="4" t="n">
        <f aca="false">DATE(2026,4,15)</f>
        <v>46127</v>
      </c>
      <c r="I4" s="3" t="n">
        <f aca="false">E4-H4</f>
        <v>76</v>
      </c>
      <c r="J4" s="3" t="n">
        <f aca="false">IF(D4="H-1B",6,IF(D4="L-1",4,IF(D4="TN",2,IF(D4="O-1",6,"ERROR"))))</f>
        <v>4</v>
      </c>
      <c r="K4" s="3" t="n">
        <f aca="false">IF(D4="H-1B",8,J4)</f>
        <v>4</v>
      </c>
      <c r="L4" s="4" t="n">
        <f aca="false">EDATE(H4,K4)</f>
        <v>46249</v>
      </c>
      <c r="M4" s="3" t="str">
        <f aca="false">IF(ISNUMBER(SEARCH("Renewal already filed",G4)),"YES","NO")</f>
        <v>NO</v>
      </c>
      <c r="N4" s="3" t="str">
        <f aca="false">IF(AND(M4="NO",I4&lt;=30),"YES","NO")</f>
        <v>NO</v>
      </c>
      <c r="O4" s="3" t="str">
        <f aca="false">IF(AND(M4="NO",N4="NO",E4&lt;=L4),"YES","NO")</f>
        <v>YES</v>
      </c>
      <c r="P4" s="3" t="str">
        <f aca="false">IF(AND(M4="NO",N4="NO",O4="NO"),"YES","NO")</f>
        <v>NO</v>
      </c>
      <c r="Q4" s="3" t="str">
        <f aca="false">IF(M4="YES","ALREADY_FILED",IF(N4="YES","URGENT",IF(O4="YES","ACTION_REQUIRED","MONITORING")))</f>
        <v>ACTION_REQUIRED</v>
      </c>
      <c r="R4" s="3" t="str">
        <f aca="false">IF(Q4="URGENT","URGENT",IF(Q4="ACTION_REQUIRED","Renewal Initiated",F4))</f>
        <v>Renewal Initiated</v>
      </c>
      <c r="S4" s="3" t="str">
        <f aca="false">IF(OR(Q4="URGENT",Q4="ACTION_REQUIRED"),C4,"")</f>
        <v>chen.wei@company.example.com</v>
      </c>
      <c r="T4" s="3" t="str">
        <f aca="false">IF(Q4="URGENT","legal@company.example.com",IF(Q4="ACTION_REQUIRED","immigration-attorney@lawfirm.example.com",""))</f>
        <v>immigration-attorney@lawfirm.example.com</v>
      </c>
      <c r="U4" s="3" t="str">
        <f aca="false">IF(OR(Q4="URGENT",Q4="ACTION_REQUIRED"),"YES","NO")</f>
        <v>YES</v>
      </c>
      <c r="V4" s="3" t="str">
        <f aca="false">U4</f>
        <v>YES</v>
      </c>
      <c r="W4" s="3" t="str">
        <f aca="false">IF(Q4="ALREADY_FILED","Policy row 5 Already Filed override",IF(Q4="URGENT","Policy row 2 within 30 days",IF(Q4="ACTION_REQUIRED",IF(D4="H-1B","Attorney 2026-04-10 H-1B eight-month override + policy row 3","Policy row 3 visa-type processing window"),"Policy row 4 beyond processing window")))</f>
        <v>Policy row 3 visa-type processing window</v>
      </c>
      <c r="X4" s="3" t="str">
        <f aca="false">"Visa_Tracking.xlsx:Active Visas row "&amp;A4&amp;" | Visa_Tracking.xlsx:Immigration Compliance Policy"&amp;IF(D4="H-1B"," | Immigration_Update.mbox:msg_immigration_update_5118","")&amp;" | Workflow_Context.json:meta.current_time"</f>
        <v>Visa_Tracking.xlsx:Active Visas row 4 | Visa_Tracking.xlsx:Immigration Compliance Policy | Workflow_Context.json:meta.current_time</v>
      </c>
      <c r="Y4" s="3" t="str">
        <f aca="false">"NO"</f>
        <v>NO</v>
      </c>
    </row>
    <row r="5" customFormat="false" ht="63.75" hidden="false" customHeight="true" outlineLevel="0" collapsed="false">
      <c r="A5" s="3" t="n">
        <f aca="false">Source_Visas!A5</f>
        <v>5</v>
      </c>
      <c r="B5" s="3" t="str">
        <f aca="false">Source_Visas!B5</f>
        <v>Deepa Krishnan</v>
      </c>
      <c r="C5" s="3" t="str">
        <f aca="false">Source_Visas!C5</f>
        <v>deepa.krishnan@company.example.com</v>
      </c>
      <c r="D5" s="3" t="str">
        <f aca="false">Source_Visas!D5</f>
        <v>H-1B</v>
      </c>
      <c r="E5" s="4" t="n">
        <f aca="false">DATEVALUE(Source_Visas!E5)</f>
        <v>46172</v>
      </c>
      <c r="F5" s="3" t="str">
        <f aca="false">Source_Visas!F5</f>
        <v>Active</v>
      </c>
      <c r="G5" s="3" t="str">
        <f aca="false">IF(Source_Visas!G5="","",Source_Visas!G5)</f>
        <v>Renewal already filed</v>
      </c>
      <c r="H5" s="4" t="n">
        <f aca="false">DATE(2026,4,15)</f>
        <v>46127</v>
      </c>
      <c r="I5" s="3" t="n">
        <f aca="false">E5-H5</f>
        <v>45</v>
      </c>
      <c r="J5" s="3" t="n">
        <f aca="false">IF(D5="H-1B",6,IF(D5="L-1",4,IF(D5="TN",2,IF(D5="O-1",6,"ERROR"))))</f>
        <v>6</v>
      </c>
      <c r="K5" s="3" t="n">
        <f aca="false">IF(D5="H-1B",8,J5)</f>
        <v>8</v>
      </c>
      <c r="L5" s="4" t="n">
        <f aca="false">EDATE(H5,K5)</f>
        <v>46371</v>
      </c>
      <c r="M5" s="3" t="str">
        <f aca="false">IF(ISNUMBER(SEARCH("Renewal already filed",G5)),"YES","NO")</f>
        <v>YES</v>
      </c>
      <c r="N5" s="3" t="str">
        <f aca="false">IF(AND(M5="NO",I5&lt;=30),"YES","NO")</f>
        <v>NO</v>
      </c>
      <c r="O5" s="3" t="str">
        <f aca="false">IF(AND(M5="NO",N5="NO",E5&lt;=L5),"YES","NO")</f>
        <v>NO</v>
      </c>
      <c r="P5" s="3" t="str">
        <f aca="false">IF(AND(M5="NO",N5="NO",O5="NO"),"YES","NO")</f>
        <v>NO</v>
      </c>
      <c r="Q5" s="3" t="str">
        <f aca="false">IF(M5="YES","ALREADY_FILED",IF(N5="YES","URGENT",IF(O5="YES","ACTION_REQUIRED","MONITORING")))</f>
        <v>ALREADY_FILED</v>
      </c>
      <c r="R5" s="3" t="str">
        <f aca="false">IF(Q5="URGENT","URGENT",IF(Q5="ACTION_REQUIRED","Renewal Initiated",F5))</f>
        <v>Active</v>
      </c>
      <c r="S5" s="3" t="str">
        <f aca="false">IF(OR(Q5="URGENT",Q5="ACTION_REQUIRED"),C5,"")</f>
        <v/>
      </c>
      <c r="T5" s="3" t="str">
        <f aca="false">IF(Q5="URGENT","legal@company.example.com",IF(Q5="ACTION_REQUIRED","immigration-attorney@lawfirm.example.com",""))</f>
        <v/>
      </c>
      <c r="U5" s="3" t="str">
        <f aca="false">IF(OR(Q5="URGENT",Q5="ACTION_REQUIRED"),"YES","NO")</f>
        <v>NO</v>
      </c>
      <c r="V5" s="3" t="str">
        <f aca="false">U5</f>
        <v>NO</v>
      </c>
      <c r="W5" s="3" t="str">
        <f aca="false">IF(Q5="ALREADY_FILED","Policy row 5 Already Filed override",IF(Q5="URGENT","Policy row 2 within 30 days",IF(Q5="ACTION_REQUIRED",IF(D5="H-1B","Attorney 2026-04-10 H-1B eight-month override + policy row 3","Policy row 3 visa-type processing window"),"Policy row 4 beyond processing window")))</f>
        <v>Policy row 5 Already Filed override</v>
      </c>
      <c r="X5" s="3" t="str">
        <f aca="false">"Visa_Tracking.xlsx:Active Visas row "&amp;A5&amp;" | Visa_Tracking.xlsx:Immigration Compliance Policy"&amp;IF(D5="H-1B"," | Immigration_Update.mbox:msg_immigration_update_5118","")&amp;" | Workflow_Context.json:meta.current_time"</f>
        <v>Visa_Tracking.xlsx:Active Visas row 5 | Visa_Tracking.xlsx:Immigration Compliance Policy | Immigration_Update.mbox:msg_immigration_update_5118 | Workflow_Context.json:meta.current_time</v>
      </c>
      <c r="Y5" s="3" t="str">
        <f aca="false">"NO"</f>
        <v>NO</v>
      </c>
    </row>
    <row r="6" customFormat="false" ht="63.75" hidden="false" customHeight="true" outlineLevel="0" collapsed="false">
      <c r="A6" s="3" t="n">
        <f aca="false">Source_Visas!A6</f>
        <v>6</v>
      </c>
      <c r="B6" s="3" t="str">
        <f aca="false">Source_Visas!B6</f>
        <v>Esteban Ruiz</v>
      </c>
      <c r="C6" s="3" t="str">
        <f aca="false">Source_Visas!C6</f>
        <v>esteban.ruiz@company.example.com</v>
      </c>
      <c r="D6" s="3" t="str">
        <f aca="false">Source_Visas!D6</f>
        <v>TN</v>
      </c>
      <c r="E6" s="4" t="n">
        <f aca="false">DATEVALUE(Source_Visas!E6)</f>
        <v>46280</v>
      </c>
      <c r="F6" s="3" t="str">
        <f aca="false">Source_Visas!F6</f>
        <v>Active</v>
      </c>
      <c r="G6" s="3" t="str">
        <f aca="false">IF(Source_Visas!G6="","",Source_Visas!G6)</f>
        <v/>
      </c>
      <c r="H6" s="4" t="n">
        <f aca="false">DATE(2026,4,15)</f>
        <v>46127</v>
      </c>
      <c r="I6" s="3" t="n">
        <f aca="false">E6-H6</f>
        <v>153</v>
      </c>
      <c r="J6" s="3" t="n">
        <f aca="false">IF(D6="H-1B",6,IF(D6="L-1",4,IF(D6="TN",2,IF(D6="O-1",6,"ERROR"))))</f>
        <v>2</v>
      </c>
      <c r="K6" s="3" t="n">
        <f aca="false">IF(D6="H-1B",8,J6)</f>
        <v>2</v>
      </c>
      <c r="L6" s="4" t="n">
        <f aca="false">EDATE(H6,K6)</f>
        <v>46188</v>
      </c>
      <c r="M6" s="3" t="str">
        <f aca="false">IF(ISNUMBER(SEARCH("Renewal already filed",G6)),"YES","NO")</f>
        <v>NO</v>
      </c>
      <c r="N6" s="3" t="str">
        <f aca="false">IF(AND(M6="NO",I6&lt;=30),"YES","NO")</f>
        <v>NO</v>
      </c>
      <c r="O6" s="3" t="str">
        <f aca="false">IF(AND(M6="NO",N6="NO",E6&lt;=L6),"YES","NO")</f>
        <v>NO</v>
      </c>
      <c r="P6" s="3" t="str">
        <f aca="false">IF(AND(M6="NO",N6="NO",O6="NO"),"YES","NO")</f>
        <v>YES</v>
      </c>
      <c r="Q6" s="3" t="str">
        <f aca="false">IF(M6="YES","ALREADY_FILED",IF(N6="YES","URGENT",IF(O6="YES","ACTION_REQUIRED","MONITORING")))</f>
        <v>MONITORING</v>
      </c>
      <c r="R6" s="3" t="str">
        <f aca="false">IF(Q6="URGENT","URGENT",IF(Q6="ACTION_REQUIRED","Renewal Initiated",F6))</f>
        <v>Active</v>
      </c>
      <c r="S6" s="3" t="str">
        <f aca="false">IF(OR(Q6="URGENT",Q6="ACTION_REQUIRED"),C6,"")</f>
        <v/>
      </c>
      <c r="T6" s="3" t="str">
        <f aca="false">IF(Q6="URGENT","legal@company.example.com",IF(Q6="ACTION_REQUIRED","immigration-attorney@lawfirm.example.com",""))</f>
        <v/>
      </c>
      <c r="U6" s="3" t="str">
        <f aca="false">IF(OR(Q6="URGENT",Q6="ACTION_REQUIRED"),"YES","NO")</f>
        <v>NO</v>
      </c>
      <c r="V6" s="3" t="str">
        <f aca="false">U6</f>
        <v>NO</v>
      </c>
      <c r="W6" s="3" t="str">
        <f aca="false">IF(Q6="ALREADY_FILED","Policy row 5 Already Filed override",IF(Q6="URGENT","Policy row 2 within 30 days",IF(Q6="ACTION_REQUIRED",IF(D6="H-1B","Attorney 2026-04-10 H-1B eight-month override + policy row 3","Policy row 3 visa-type processing window"),"Policy row 4 beyond processing window")))</f>
        <v>Policy row 4 beyond processing window</v>
      </c>
      <c r="X6" s="3" t="str">
        <f aca="false">"Visa_Tracking.xlsx:Active Visas row "&amp;A6&amp;" | Visa_Tracking.xlsx:Immigration Compliance Policy"&amp;IF(D6="H-1B"," | Immigration_Update.mbox:msg_immigration_update_5118","")&amp;" | Workflow_Context.json:meta.current_time"</f>
        <v>Visa_Tracking.xlsx:Active Visas row 6 | Visa_Tracking.xlsx:Immigration Compliance Policy | Workflow_Context.json:meta.current_time</v>
      </c>
      <c r="Y6" s="3" t="str">
        <f aca="false">"NO"</f>
        <v>NO</v>
      </c>
    </row>
    <row r="7" customFormat="false" ht="63.75" hidden="false" customHeight="true" outlineLevel="0" collapsed="false">
      <c r="A7" s="3" t="n">
        <f aca="false">Source_Visas!A7</f>
        <v>7</v>
      </c>
      <c r="B7" s="3" t="str">
        <f aca="false">Source_Visas!B7</f>
        <v>Fatima Hassan</v>
      </c>
      <c r="C7" s="3" t="str">
        <f aca="false">Source_Visas!C7</f>
        <v>fatima.hassan@company.example.com</v>
      </c>
      <c r="D7" s="3" t="str">
        <f aca="false">Source_Visas!D7</f>
        <v>H-1B</v>
      </c>
      <c r="E7" s="4" t="n">
        <f aca="false">DATEVALUE(Source_Visas!E7)</f>
        <v>46539</v>
      </c>
      <c r="F7" s="3" t="str">
        <f aca="false">Source_Visas!F7</f>
        <v>Active</v>
      </c>
      <c r="G7" s="3" t="str">
        <f aca="false">IF(Source_Visas!G7="","",Source_Visas!G7)</f>
        <v/>
      </c>
      <c r="H7" s="4" t="n">
        <f aca="false">DATE(2026,4,15)</f>
        <v>46127</v>
      </c>
      <c r="I7" s="3" t="n">
        <f aca="false">E7-H7</f>
        <v>412</v>
      </c>
      <c r="J7" s="3" t="n">
        <f aca="false">IF(D7="H-1B",6,IF(D7="L-1",4,IF(D7="TN",2,IF(D7="O-1",6,"ERROR"))))</f>
        <v>6</v>
      </c>
      <c r="K7" s="3" t="n">
        <f aca="false">IF(D7="H-1B",8,J7)</f>
        <v>8</v>
      </c>
      <c r="L7" s="4" t="n">
        <f aca="false">EDATE(H7,K7)</f>
        <v>46371</v>
      </c>
      <c r="M7" s="3" t="str">
        <f aca="false">IF(ISNUMBER(SEARCH("Renewal already filed",G7)),"YES","NO")</f>
        <v>NO</v>
      </c>
      <c r="N7" s="3" t="str">
        <f aca="false">IF(AND(M7="NO",I7&lt;=30),"YES","NO")</f>
        <v>NO</v>
      </c>
      <c r="O7" s="3" t="str">
        <f aca="false">IF(AND(M7="NO",N7="NO",E7&lt;=L7),"YES","NO")</f>
        <v>NO</v>
      </c>
      <c r="P7" s="3" t="str">
        <f aca="false">IF(AND(M7="NO",N7="NO",O7="NO"),"YES","NO")</f>
        <v>YES</v>
      </c>
      <c r="Q7" s="3" t="str">
        <f aca="false">IF(M7="YES","ALREADY_FILED",IF(N7="YES","URGENT",IF(O7="YES","ACTION_REQUIRED","MONITORING")))</f>
        <v>MONITORING</v>
      </c>
      <c r="R7" s="3" t="str">
        <f aca="false">IF(Q7="URGENT","URGENT",IF(Q7="ACTION_REQUIRED","Renewal Initiated",F7))</f>
        <v>Active</v>
      </c>
      <c r="S7" s="3" t="str">
        <f aca="false">IF(OR(Q7="URGENT",Q7="ACTION_REQUIRED"),C7,"")</f>
        <v/>
      </c>
      <c r="T7" s="3" t="str">
        <f aca="false">IF(Q7="URGENT","legal@company.example.com",IF(Q7="ACTION_REQUIRED","immigration-attorney@lawfirm.example.com",""))</f>
        <v/>
      </c>
      <c r="U7" s="3" t="str">
        <f aca="false">IF(OR(Q7="URGENT",Q7="ACTION_REQUIRED"),"YES","NO")</f>
        <v>NO</v>
      </c>
      <c r="V7" s="3" t="str">
        <f aca="false">U7</f>
        <v>NO</v>
      </c>
      <c r="W7" s="3" t="str">
        <f aca="false">IF(Q7="ALREADY_FILED","Policy row 5 Already Filed override",IF(Q7="URGENT","Policy row 2 within 30 days",IF(Q7="ACTION_REQUIRED",IF(D7="H-1B","Attorney 2026-04-10 H-1B eight-month override + policy row 3","Policy row 3 visa-type processing window"),"Policy row 4 beyond processing window")))</f>
        <v>Policy row 4 beyond processing window</v>
      </c>
      <c r="X7" s="3" t="str">
        <f aca="false">"Visa_Tracking.xlsx:Active Visas row "&amp;A7&amp;" | Visa_Tracking.xlsx:Immigration Compliance Policy"&amp;IF(D7="H-1B"," | Immigration_Update.mbox:msg_immigration_update_5118","")&amp;" | Workflow_Context.json:meta.current_time"</f>
        <v>Visa_Tracking.xlsx:Active Visas row 7 | Visa_Tracking.xlsx:Immigration Compliance Policy | Immigration_Update.mbox:msg_immigration_update_5118 | Workflow_Context.json:meta.current_time</v>
      </c>
      <c r="Y7" s="3" t="str">
        <f aca="false">"NO"</f>
        <v>NO</v>
      </c>
    </row>
    <row r="8" customFormat="false" ht="63.75" hidden="false" customHeight="true" outlineLevel="0" collapsed="false">
      <c r="A8" s="3" t="n">
        <f aca="false">Source_Visas!A8</f>
        <v>8</v>
      </c>
      <c r="B8" s="3" t="str">
        <f aca="false">Source_Visas!B8</f>
        <v>Gustavo Lima</v>
      </c>
      <c r="C8" s="3" t="str">
        <f aca="false">Source_Visas!C8</f>
        <v>gustavo.lima@company.example.com</v>
      </c>
      <c r="D8" s="3" t="str">
        <f aca="false">Source_Visas!D8</f>
        <v>H-1B</v>
      </c>
      <c r="E8" s="4" t="n">
        <f aca="false">DATEVALUE(Source_Visas!E8)</f>
        <v>46132</v>
      </c>
      <c r="F8" s="3" t="str">
        <f aca="false">Source_Visas!F8</f>
        <v>Active</v>
      </c>
      <c r="G8" s="3" t="str">
        <f aca="false">IF(Source_Visas!G8="","",Source_Visas!G8)</f>
        <v/>
      </c>
      <c r="H8" s="4" t="n">
        <f aca="false">DATE(2026,4,15)</f>
        <v>46127</v>
      </c>
      <c r="I8" s="3" t="n">
        <f aca="false">E8-H8</f>
        <v>5</v>
      </c>
      <c r="J8" s="3" t="n">
        <f aca="false">IF(D8="H-1B",6,IF(D8="L-1",4,IF(D8="TN",2,IF(D8="O-1",6,"ERROR"))))</f>
        <v>6</v>
      </c>
      <c r="K8" s="3" t="n">
        <f aca="false">IF(D8="H-1B",8,J8)</f>
        <v>8</v>
      </c>
      <c r="L8" s="4" t="n">
        <f aca="false">EDATE(H8,K8)</f>
        <v>46371</v>
      </c>
      <c r="M8" s="3" t="str">
        <f aca="false">IF(ISNUMBER(SEARCH("Renewal already filed",G8)),"YES","NO")</f>
        <v>NO</v>
      </c>
      <c r="N8" s="3" t="str">
        <f aca="false">IF(AND(M8="NO",I8&lt;=30),"YES","NO")</f>
        <v>YES</v>
      </c>
      <c r="O8" s="3" t="str">
        <f aca="false">IF(AND(M8="NO",N8="NO",E8&lt;=L8),"YES","NO")</f>
        <v>NO</v>
      </c>
      <c r="P8" s="3" t="str">
        <f aca="false">IF(AND(M8="NO",N8="NO",O8="NO"),"YES","NO")</f>
        <v>NO</v>
      </c>
      <c r="Q8" s="3" t="str">
        <f aca="false">IF(M8="YES","ALREADY_FILED",IF(N8="YES","URGENT",IF(O8="YES","ACTION_REQUIRED","MONITORING")))</f>
        <v>URGENT</v>
      </c>
      <c r="R8" s="3" t="str">
        <f aca="false">IF(Q8="URGENT","URGENT",IF(Q8="ACTION_REQUIRED","Renewal Initiated",F8))</f>
        <v>URGENT</v>
      </c>
      <c r="S8" s="3" t="str">
        <f aca="false">IF(OR(Q8="URGENT",Q8="ACTION_REQUIRED"),C8,"")</f>
        <v>gustavo.lima@company.example.com</v>
      </c>
      <c r="T8" s="3" t="str">
        <f aca="false">IF(Q8="URGENT","legal@company.example.com",IF(Q8="ACTION_REQUIRED","immigration-attorney@lawfirm.example.com",""))</f>
        <v>legal@company.example.com</v>
      </c>
      <c r="U8" s="3" t="str">
        <f aca="false">IF(OR(Q8="URGENT",Q8="ACTION_REQUIRED"),"YES","NO")</f>
        <v>YES</v>
      </c>
      <c r="V8" s="3" t="str">
        <f aca="false">U8</f>
        <v>YES</v>
      </c>
      <c r="W8" s="3" t="str">
        <f aca="false">IF(Q8="ALREADY_FILED","Policy row 5 Already Filed override",IF(Q8="URGENT","Policy row 2 within 30 days",IF(Q8="ACTION_REQUIRED",IF(D8="H-1B","Attorney 2026-04-10 H-1B eight-month override + policy row 3","Policy row 3 visa-type processing window"),"Policy row 4 beyond processing window")))</f>
        <v>Policy row 2 within 30 days</v>
      </c>
      <c r="X8" s="3" t="str">
        <f aca="false">"Visa_Tracking.xlsx:Active Visas row "&amp;A8&amp;" | Visa_Tracking.xlsx:Immigration Compliance Policy"&amp;IF(D8="H-1B"," | Immigration_Update.mbox:msg_immigration_update_5118","")&amp;" | Workflow_Context.json:meta.current_time"</f>
        <v>Visa_Tracking.xlsx:Active Visas row 8 | Visa_Tracking.xlsx:Immigration Compliance Policy | Immigration_Update.mbox:msg_immigration_update_5118 | Workflow_Context.json:meta.current_time</v>
      </c>
      <c r="Y8" s="3" t="str">
        <f aca="false">"NO"</f>
        <v>NO</v>
      </c>
    </row>
    <row r="9" customFormat="false" ht="63.75" hidden="false" customHeight="true" outlineLevel="0" collapsed="false">
      <c r="A9" s="3" t="n">
        <f aca="false">Source_Visas!A9</f>
        <v>9</v>
      </c>
      <c r="B9" s="3" t="str">
        <f aca="false">Source_Visas!B9</f>
        <v>Haruto Tanaka</v>
      </c>
      <c r="C9" s="3" t="str">
        <f aca="false">Source_Visas!C9</f>
        <v>haruto.tanaka@company.example.com</v>
      </c>
      <c r="D9" s="3" t="str">
        <f aca="false">Source_Visas!D9</f>
        <v>O-1</v>
      </c>
      <c r="E9" s="4" t="n">
        <f aca="false">DATEVALUE(Source_Visas!E9)</f>
        <v>46767</v>
      </c>
      <c r="F9" s="3" t="str">
        <f aca="false">Source_Visas!F9</f>
        <v>Active</v>
      </c>
      <c r="G9" s="3" t="str">
        <f aca="false">IF(Source_Visas!G9="","",Source_Visas!G9)</f>
        <v/>
      </c>
      <c r="H9" s="4" t="n">
        <f aca="false">DATE(2026,4,15)</f>
        <v>46127</v>
      </c>
      <c r="I9" s="3" t="n">
        <f aca="false">E9-H9</f>
        <v>640</v>
      </c>
      <c r="J9" s="3" t="n">
        <f aca="false">IF(D9="H-1B",6,IF(D9="L-1",4,IF(D9="TN",2,IF(D9="O-1",6,"ERROR"))))</f>
        <v>6</v>
      </c>
      <c r="K9" s="3" t="n">
        <f aca="false">IF(D9="H-1B",8,J9)</f>
        <v>6</v>
      </c>
      <c r="L9" s="4" t="n">
        <f aca="false">EDATE(H9,K9)</f>
        <v>46310</v>
      </c>
      <c r="M9" s="3" t="str">
        <f aca="false">IF(ISNUMBER(SEARCH("Renewal already filed",G9)),"YES","NO")</f>
        <v>NO</v>
      </c>
      <c r="N9" s="3" t="str">
        <f aca="false">IF(AND(M9="NO",I9&lt;=30),"YES","NO")</f>
        <v>NO</v>
      </c>
      <c r="O9" s="3" t="str">
        <f aca="false">IF(AND(M9="NO",N9="NO",E9&lt;=L9),"YES","NO")</f>
        <v>NO</v>
      </c>
      <c r="P9" s="3" t="str">
        <f aca="false">IF(AND(M9="NO",N9="NO",O9="NO"),"YES","NO")</f>
        <v>YES</v>
      </c>
      <c r="Q9" s="3" t="str">
        <f aca="false">IF(M9="YES","ALREADY_FILED",IF(N9="YES","URGENT",IF(O9="YES","ACTION_REQUIRED","MONITORING")))</f>
        <v>MONITORING</v>
      </c>
      <c r="R9" s="3" t="str">
        <f aca="false">IF(Q9="URGENT","URGENT",IF(Q9="ACTION_REQUIRED","Renewal Initiated",F9))</f>
        <v>Active</v>
      </c>
      <c r="S9" s="3" t="str">
        <f aca="false">IF(OR(Q9="URGENT",Q9="ACTION_REQUIRED"),C9,"")</f>
        <v/>
      </c>
      <c r="T9" s="3" t="str">
        <f aca="false">IF(Q9="URGENT","legal@company.example.com",IF(Q9="ACTION_REQUIRED","immigration-attorney@lawfirm.example.com",""))</f>
        <v/>
      </c>
      <c r="U9" s="3" t="str">
        <f aca="false">IF(OR(Q9="URGENT",Q9="ACTION_REQUIRED"),"YES","NO")</f>
        <v>NO</v>
      </c>
      <c r="V9" s="3" t="str">
        <f aca="false">U9</f>
        <v>NO</v>
      </c>
      <c r="W9" s="3" t="str">
        <f aca="false">IF(Q9="ALREADY_FILED","Policy row 5 Already Filed override",IF(Q9="URGENT","Policy row 2 within 30 days",IF(Q9="ACTION_REQUIRED",IF(D9="H-1B","Attorney 2026-04-10 H-1B eight-month override + policy row 3","Policy row 3 visa-type processing window"),"Policy row 4 beyond processing window")))</f>
        <v>Policy row 4 beyond processing window</v>
      </c>
      <c r="X9" s="3" t="str">
        <f aca="false">"Visa_Tracking.xlsx:Active Visas row "&amp;A9&amp;" | Visa_Tracking.xlsx:Immigration Compliance Policy"&amp;IF(D9="H-1B"," | Immigration_Update.mbox:msg_immigration_update_5118","")&amp;" | Workflow_Context.json:meta.current_time"</f>
        <v>Visa_Tracking.xlsx:Active Visas row 9 | Visa_Tracking.xlsx:Immigration Compliance Policy | Workflow_Context.json:meta.current_time</v>
      </c>
      <c r="Y9" s="3" t="str">
        <f aca="false">"NO"</f>
        <v>NO</v>
      </c>
    </row>
  </sheetData>
  <autoFilter ref="A1:Y9"/>
  <conditionalFormatting sqref="A2:Y9">
    <cfRule type="expression" priority="2" aboveAverage="0" equalAverage="0" bottom="0" percent="0" rank="0" text="" dxfId="6">
      <formula>$Q2="URGENT"</formula>
    </cfRule>
    <cfRule type="expression" priority="3" aboveAverage="0" equalAverage="0" bottom="0" percent="0" rank="0" text="" dxfId="7">
      <formula>$Q2="ACTION_REQUIRED"</formula>
    </cfRule>
    <cfRule type="expression" priority="4" aboveAverage="0" equalAverage="0" bottom="0" percent="0" rank="0" text="" dxfId="8">
      <formula>$Q2="ALREADY_FILED"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&amp;CFormula-derived precedence, windows and actions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3.01"/>
    <col collapsed="false" customWidth="true" hidden="false" outlineLevel="0" max="4" min="4" style="0" width="36.99"/>
    <col collapsed="false" customWidth="true" hidden="false" outlineLevel="0" max="5" min="5" style="0" width="11.99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36.99"/>
    <col collapsed="false" customWidth="true" hidden="false" outlineLevel="0" max="9" min="9" style="0" width="34"/>
    <col collapsed="false" customWidth="true" hidden="false" outlineLevel="0" max="10" min="10" style="0" width="22.01"/>
    <col collapsed="false" customWidth="true" hidden="false" outlineLevel="0" max="11" min="11" style="0" width="31.01"/>
    <col collapsed="false" customWidth="true" hidden="false" outlineLevel="0" max="13" min="12" style="0" width="10"/>
    <col collapsed="false" customWidth="true" hidden="false" outlineLevel="0" max="14" min="14" style="0" width="79.99"/>
  </cols>
  <sheetData>
    <row r="1" customFormat="false" ht="30.75" hidden="false" customHeight="true" outlineLevel="0" collapsed="false">
      <c r="A1" s="1" t="s">
        <v>126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127</v>
      </c>
      <c r="H1" s="1" t="s">
        <v>54</v>
      </c>
      <c r="I1" s="1" t="s">
        <v>121</v>
      </c>
      <c r="J1" s="1" t="s">
        <v>120</v>
      </c>
      <c r="K1" s="1" t="s">
        <v>128</v>
      </c>
      <c r="L1" s="1" t="s">
        <v>129</v>
      </c>
      <c r="M1" s="1" t="s">
        <v>130</v>
      </c>
      <c r="N1" s="1" t="s">
        <v>39</v>
      </c>
    </row>
    <row r="2" customFormat="false" ht="15" hidden="false" customHeight="false" outlineLevel="0" collapsed="false">
      <c r="A2" s="2" t="n">
        <v>1</v>
      </c>
      <c r="B2" s="2" t="n">
        <f aca="false">Visa_Decisions!A8</f>
        <v>8</v>
      </c>
      <c r="C2" s="2" t="str">
        <f aca="false">Visa_Decisions!B8</f>
        <v>Gustavo Lima</v>
      </c>
      <c r="D2" s="2" t="str">
        <f aca="false">Visa_Decisions!C8</f>
        <v>gustavo.lima@company.example.com</v>
      </c>
      <c r="E2" s="2" t="str">
        <f aca="false">Visa_Decisions!D8</f>
        <v>H-1B</v>
      </c>
      <c r="F2" s="4" t="n">
        <f aca="false">Visa_Decisions!E8</f>
        <v>46132</v>
      </c>
      <c r="G2" s="2" t="n">
        <f aca="false">Visa_Decisions!I8</f>
        <v>5</v>
      </c>
      <c r="H2" s="2" t="str">
        <f aca="false">Visa_Decisions!S8</f>
        <v>gustavo.lima@company.example.com</v>
      </c>
      <c r="I2" s="2" t="str">
        <f aca="false">Visa_Decisions!T8</f>
        <v>legal@company.example.com</v>
      </c>
      <c r="J2" s="2" t="str">
        <f aca="false">Visa_Decisions!R8</f>
        <v>URGENT</v>
      </c>
      <c r="K2" s="2" t="str">
        <f aca="false">"DRAFT_NOT_SENT / NOT_APPLIED"</f>
        <v>DRAFT_NOT_SENT / NOT_APPLIED</v>
      </c>
      <c r="L2" s="5" t="b">
        <f aca="false">FALSE()</f>
        <v>0</v>
      </c>
      <c r="M2" s="5" t="b">
        <f aca="false">FALSE()</f>
        <v>0</v>
      </c>
      <c r="N2" s="2" t="str">
        <f aca="false">"Visa_Tracking.xlsx:Active Visas row "&amp;B2&amp;" | Visa_Tracking.xlsx:Immigration Compliance Policy row 2"</f>
        <v>Visa_Tracking.xlsx:Active Visas row 8 | Visa_Tracking.xlsx:Immigration Compliance Policy row 2</v>
      </c>
    </row>
  </sheetData>
  <autoFilter ref="A1:N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&amp;COne compliance-emergency draft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3.01"/>
    <col collapsed="false" customWidth="true" hidden="false" outlineLevel="0" max="4" min="4" style="0" width="36.99"/>
    <col collapsed="false" customWidth="true" hidden="false" outlineLevel="0" max="5" min="5" style="0" width="11.99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3.01"/>
    <col collapsed="false" customWidth="true" hidden="false" outlineLevel="0" max="9" min="9" style="0" width="16"/>
    <col collapsed="false" customWidth="true" hidden="false" outlineLevel="0" max="10" min="10" style="0" width="36.99"/>
    <col collapsed="false" customWidth="true" hidden="false" outlineLevel="0" max="11" min="11" style="0" width="44"/>
    <col collapsed="false" customWidth="true" hidden="false" outlineLevel="0" max="12" min="12" style="0" width="24"/>
    <col collapsed="false" customWidth="true" hidden="false" outlineLevel="0" max="13" min="13" style="0" width="31.01"/>
    <col collapsed="false" customWidth="true" hidden="false" outlineLevel="0" max="15" min="14" style="0" width="10"/>
    <col collapsed="false" customWidth="true" hidden="false" outlineLevel="0" max="16" min="16" style="0" width="98.01"/>
  </cols>
  <sheetData>
    <row r="1" customFormat="false" ht="30.75" hidden="false" customHeight="true" outlineLevel="0" collapsed="false">
      <c r="A1" s="1" t="s">
        <v>126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127</v>
      </c>
      <c r="H1" s="1" t="s">
        <v>131</v>
      </c>
      <c r="I1" s="1" t="s">
        <v>132</v>
      </c>
      <c r="J1" s="1" t="s">
        <v>54</v>
      </c>
      <c r="K1" s="1" t="s">
        <v>121</v>
      </c>
      <c r="L1" s="1" t="s">
        <v>120</v>
      </c>
      <c r="M1" s="1" t="s">
        <v>128</v>
      </c>
      <c r="N1" s="1" t="s">
        <v>129</v>
      </c>
      <c r="O1" s="1" t="s">
        <v>130</v>
      </c>
      <c r="P1" s="1" t="s">
        <v>39</v>
      </c>
    </row>
    <row r="2" customFormat="false" ht="15" hidden="false" customHeight="false" outlineLevel="0" collapsed="false">
      <c r="A2" s="2" t="n">
        <v>1</v>
      </c>
      <c r="B2" s="2" t="n">
        <f aca="false">Visa_Decisions!A2</f>
        <v>2</v>
      </c>
      <c r="C2" s="2" t="str">
        <f aca="false">Visa_Decisions!B2</f>
        <v>Akiko Yamamoto</v>
      </c>
      <c r="D2" s="2" t="str">
        <f aca="false">Visa_Decisions!C2</f>
        <v>akiko.yamamoto@company.example.com</v>
      </c>
      <c r="E2" s="2" t="str">
        <f aca="false">Visa_Decisions!D2</f>
        <v>H-1B</v>
      </c>
      <c r="F2" s="4" t="n">
        <f aca="false">Visa_Decisions!E2</f>
        <v>46371</v>
      </c>
      <c r="G2" s="2" t="n">
        <f aca="false">Visa_Decisions!I2</f>
        <v>244</v>
      </c>
      <c r="H2" s="2" t="n">
        <f aca="false">Visa_Decisions!K2</f>
        <v>8</v>
      </c>
      <c r="I2" s="4" t="n">
        <f aca="false">Visa_Decisions!L2</f>
        <v>46371</v>
      </c>
      <c r="J2" s="2" t="str">
        <f aca="false">Visa_Decisions!S2</f>
        <v>akiko.yamamoto@company.example.com</v>
      </c>
      <c r="K2" s="2" t="str">
        <f aca="false">Visa_Decisions!T2</f>
        <v>immigration-attorney@lawfirm.example.com</v>
      </c>
      <c r="L2" s="2" t="str">
        <f aca="false">Visa_Decisions!R2</f>
        <v>Renewal Initiated</v>
      </c>
      <c r="M2" s="2" t="str">
        <f aca="false">"DRAFT_NOT_SENT / NOT_APPLIED"</f>
        <v>DRAFT_NOT_SENT / NOT_APPLIED</v>
      </c>
      <c r="N2" s="5" t="b">
        <f aca="false">FALSE()</f>
        <v>0</v>
      </c>
      <c r="O2" s="5" t="b">
        <f aca="false">FALSE()</f>
        <v>0</v>
      </c>
      <c r="P2" s="2" t="str">
        <f aca="false">"Visa_Tracking.xlsx:Active Visas row "&amp;B2&amp;" | "&amp;IF(E2="H-1B","Immigration_Update.mbox:msg_immigration_update_5118 + ","")&amp;"Visa_Tracking.xlsx:Immigration Compliance Policy row 3"</f>
        <v>Visa_Tracking.xlsx:Active Visas row 2 | Immigration_Update.mbox:msg_immigration_update_5118 + Visa_Tracking.xlsx:Immigration Compliance Policy row 3</v>
      </c>
    </row>
    <row r="3" customFormat="false" ht="15" hidden="false" customHeight="false" outlineLevel="0" collapsed="false">
      <c r="A3" s="2" t="n">
        <v>2</v>
      </c>
      <c r="B3" s="2" t="n">
        <f aca="false">Visa_Decisions!A4</f>
        <v>4</v>
      </c>
      <c r="C3" s="2" t="str">
        <f aca="false">Visa_Decisions!B4</f>
        <v>Chen Wei</v>
      </c>
      <c r="D3" s="2" t="str">
        <f aca="false">Visa_Decisions!C4</f>
        <v>chen.wei@company.example.com</v>
      </c>
      <c r="E3" s="2" t="str">
        <f aca="false">Visa_Decisions!D4</f>
        <v>L-1</v>
      </c>
      <c r="F3" s="4" t="n">
        <f aca="false">Visa_Decisions!E4</f>
        <v>46203</v>
      </c>
      <c r="G3" s="2" t="n">
        <f aca="false">Visa_Decisions!I4</f>
        <v>76</v>
      </c>
      <c r="H3" s="2" t="n">
        <f aca="false">Visa_Decisions!K4</f>
        <v>4</v>
      </c>
      <c r="I3" s="4" t="n">
        <f aca="false">Visa_Decisions!L4</f>
        <v>46249</v>
      </c>
      <c r="J3" s="2" t="str">
        <f aca="false">Visa_Decisions!S4</f>
        <v>chen.wei@company.example.com</v>
      </c>
      <c r="K3" s="2" t="str">
        <f aca="false">Visa_Decisions!T4</f>
        <v>immigration-attorney@lawfirm.example.com</v>
      </c>
      <c r="L3" s="2" t="str">
        <f aca="false">Visa_Decisions!R4</f>
        <v>Renewal Initiated</v>
      </c>
      <c r="M3" s="2" t="str">
        <f aca="false">"DRAFT_NOT_SENT / NOT_APPLIED"</f>
        <v>DRAFT_NOT_SENT / NOT_APPLIED</v>
      </c>
      <c r="N3" s="5" t="b">
        <f aca="false">FALSE()</f>
        <v>0</v>
      </c>
      <c r="O3" s="5" t="b">
        <f aca="false">FALSE()</f>
        <v>0</v>
      </c>
      <c r="P3" s="2" t="str">
        <f aca="false">"Visa_Tracking.xlsx:Active Visas row "&amp;B3&amp;" | "&amp;IF(E3="H-1B","Immigration_Update.mbox:msg_immigration_update_5118 + ","")&amp;"Visa_Tracking.xlsx:Immigration Compliance Policy row 3"</f>
        <v>Visa_Tracking.xlsx:Active Visas row 4 | Visa_Tracking.xlsx:Immigration Compliance Policy row 3</v>
      </c>
    </row>
  </sheetData>
  <autoFilter ref="A1:P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&amp;CTwo processing-window renewal drafts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5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22.01"/>
    <col collapsed="false" customWidth="true" hidden="false" outlineLevel="0" max="7" min="7" style="0" width="14.01"/>
    <col collapsed="false" customWidth="true" hidden="false" outlineLevel="0" max="8" min="8" style="0" width="15"/>
    <col collapsed="false" customWidth="true" hidden="false" outlineLevel="0" max="9" min="9" style="0" width="87.99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4</v>
      </c>
      <c r="D1" s="1" t="s">
        <v>127</v>
      </c>
      <c r="E1" s="1" t="s">
        <v>6</v>
      </c>
      <c r="F1" s="1" t="s">
        <v>119</v>
      </c>
      <c r="G1" s="1" t="s">
        <v>122</v>
      </c>
      <c r="H1" s="1" t="s">
        <v>123</v>
      </c>
      <c r="I1" s="1" t="s">
        <v>39</v>
      </c>
    </row>
    <row r="2" customFormat="false" ht="15" hidden="false" customHeight="false" outlineLevel="0" collapsed="false">
      <c r="A2" s="2" t="n">
        <f aca="false">Visa_Decisions!A5</f>
        <v>5</v>
      </c>
      <c r="B2" s="2" t="str">
        <f aca="false">Visa_Decisions!B5</f>
        <v>Deepa Krishnan</v>
      </c>
      <c r="C2" s="4" t="n">
        <f aca="false">Visa_Decisions!E5</f>
        <v>46172</v>
      </c>
      <c r="D2" s="2" t="n">
        <f aca="false">Visa_Decisions!I5</f>
        <v>45</v>
      </c>
      <c r="E2" s="2" t="str">
        <f aca="false">Visa_Decisions!G5</f>
        <v>Renewal already filed</v>
      </c>
      <c r="F2" s="2" t="str">
        <f aca="false">Visa_Decisions!Q5</f>
        <v>ALREADY_FILED</v>
      </c>
      <c r="G2" s="2" t="str">
        <f aca="false">Visa_Decisions!U5</f>
        <v>NO</v>
      </c>
      <c r="H2" s="2" t="str">
        <f aca="false">Visa_Decisions!V5</f>
        <v>NO</v>
      </c>
      <c r="I2" s="2" t="str">
        <f aca="false">"Visa_Tracking.xlsx:Active Visas row "&amp;A2&amp;" | Visa_Tracking.xlsx:Immigration Compliance Policy row 5"</f>
        <v>Visa_Tracking.xlsx:Active Visas row 5 | Visa_Tracking.xlsx:Immigration Compliance Policy row 5</v>
      </c>
    </row>
  </sheetData>
  <autoFilter ref="A1:I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&amp;CDeepa protected by Already Filed override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26"/>
    <col collapsed="false" customWidth="true" hidden="false" outlineLevel="0" max="4" min="4" style="0" width="13.01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14.01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14.01"/>
    <col collapsed="false" customWidth="true" hidden="false" outlineLevel="0" max="11" min="11" style="0" width="15"/>
    <col collapsed="false" customWidth="true" hidden="false" outlineLevel="0" max="12" min="12" style="0" width="90.01"/>
  </cols>
  <sheetData>
    <row r="1" customFormat="false" ht="30.75" hidden="false" customHeight="true" outlineLevel="0" collapsed="false">
      <c r="A1" s="1" t="s">
        <v>126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127</v>
      </c>
      <c r="G1" s="1" t="s">
        <v>131</v>
      </c>
      <c r="H1" s="1" t="s">
        <v>132</v>
      </c>
      <c r="I1" s="1" t="s">
        <v>119</v>
      </c>
      <c r="J1" s="1" t="s">
        <v>122</v>
      </c>
      <c r="K1" s="1" t="s">
        <v>123</v>
      </c>
      <c r="L1" s="1" t="s">
        <v>39</v>
      </c>
    </row>
    <row r="2" customFormat="false" ht="15" hidden="false" customHeight="false" outlineLevel="0" collapsed="false">
      <c r="A2" s="2" t="n">
        <v>1</v>
      </c>
      <c r="B2" s="2" t="n">
        <f aca="false">Visa_Decisions!A3</f>
        <v>3</v>
      </c>
      <c r="C2" s="2" t="str">
        <f aca="false">Visa_Decisions!B3</f>
        <v>Boris Kuznetsov</v>
      </c>
      <c r="D2" s="2" t="str">
        <f aca="false">Visa_Decisions!D3</f>
        <v>H-1B</v>
      </c>
      <c r="E2" s="4" t="n">
        <f aca="false">Visa_Decisions!E3</f>
        <v>46447</v>
      </c>
      <c r="F2" s="2" t="n">
        <f aca="false">Visa_Decisions!I3</f>
        <v>320</v>
      </c>
      <c r="G2" s="2" t="n">
        <f aca="false">Visa_Decisions!K3</f>
        <v>8</v>
      </c>
      <c r="H2" s="4" t="n">
        <f aca="false">Visa_Decisions!L3</f>
        <v>46371</v>
      </c>
      <c r="I2" s="2" t="str">
        <f aca="false">Visa_Decisions!Q3</f>
        <v>MONITORING</v>
      </c>
      <c r="J2" s="2" t="str">
        <f aca="false">Visa_Decisions!U3</f>
        <v>NO</v>
      </c>
      <c r="K2" s="2" t="str">
        <f aca="false">Visa_Decisions!V3</f>
        <v>NO</v>
      </c>
      <c r="L2" s="2" t="str">
        <f aca="false">"Visa_Tracking.xlsx:Active Visas row "&amp;B2&amp;" | Visa_Tracking.xlsx:Immigration Compliance Policy row 4"</f>
        <v>Visa_Tracking.xlsx:Active Visas row 3 | Visa_Tracking.xlsx:Immigration Compliance Policy row 4</v>
      </c>
    </row>
    <row r="3" customFormat="false" ht="15" hidden="false" customHeight="false" outlineLevel="0" collapsed="false">
      <c r="A3" s="2" t="n">
        <v>2</v>
      </c>
      <c r="B3" s="2" t="n">
        <f aca="false">Visa_Decisions!A6</f>
        <v>6</v>
      </c>
      <c r="C3" s="2" t="str">
        <f aca="false">Visa_Decisions!B6</f>
        <v>Esteban Ruiz</v>
      </c>
      <c r="D3" s="2" t="str">
        <f aca="false">Visa_Decisions!D6</f>
        <v>TN</v>
      </c>
      <c r="E3" s="4" t="n">
        <f aca="false">Visa_Decisions!E6</f>
        <v>46280</v>
      </c>
      <c r="F3" s="2" t="n">
        <f aca="false">Visa_Decisions!I6</f>
        <v>153</v>
      </c>
      <c r="G3" s="2" t="n">
        <f aca="false">Visa_Decisions!K6</f>
        <v>2</v>
      </c>
      <c r="H3" s="4" t="n">
        <f aca="false">Visa_Decisions!L6</f>
        <v>46188</v>
      </c>
      <c r="I3" s="2" t="str">
        <f aca="false">Visa_Decisions!Q6</f>
        <v>MONITORING</v>
      </c>
      <c r="J3" s="2" t="str">
        <f aca="false">Visa_Decisions!U6</f>
        <v>NO</v>
      </c>
      <c r="K3" s="2" t="str">
        <f aca="false">Visa_Decisions!V6</f>
        <v>NO</v>
      </c>
      <c r="L3" s="2" t="str">
        <f aca="false">"Visa_Tracking.xlsx:Active Visas row "&amp;B3&amp;" | Visa_Tracking.xlsx:Immigration Compliance Policy row 4"</f>
        <v>Visa_Tracking.xlsx:Active Visas row 6 | Visa_Tracking.xlsx:Immigration Compliance Policy row 4</v>
      </c>
    </row>
    <row r="4" customFormat="false" ht="15" hidden="false" customHeight="false" outlineLevel="0" collapsed="false">
      <c r="A4" s="2" t="n">
        <v>3</v>
      </c>
      <c r="B4" s="2" t="n">
        <f aca="false">Visa_Decisions!A7</f>
        <v>7</v>
      </c>
      <c r="C4" s="2" t="str">
        <f aca="false">Visa_Decisions!B7</f>
        <v>Fatima Hassan</v>
      </c>
      <c r="D4" s="2" t="str">
        <f aca="false">Visa_Decisions!D7</f>
        <v>H-1B</v>
      </c>
      <c r="E4" s="4" t="n">
        <f aca="false">Visa_Decisions!E7</f>
        <v>46539</v>
      </c>
      <c r="F4" s="2" t="n">
        <f aca="false">Visa_Decisions!I7</f>
        <v>412</v>
      </c>
      <c r="G4" s="2" t="n">
        <f aca="false">Visa_Decisions!K7</f>
        <v>8</v>
      </c>
      <c r="H4" s="4" t="n">
        <f aca="false">Visa_Decisions!L7</f>
        <v>46371</v>
      </c>
      <c r="I4" s="2" t="str">
        <f aca="false">Visa_Decisions!Q7</f>
        <v>MONITORING</v>
      </c>
      <c r="J4" s="2" t="str">
        <f aca="false">Visa_Decisions!U7</f>
        <v>NO</v>
      </c>
      <c r="K4" s="2" t="str">
        <f aca="false">Visa_Decisions!V7</f>
        <v>NO</v>
      </c>
      <c r="L4" s="2" t="str">
        <f aca="false">"Visa_Tracking.xlsx:Active Visas row "&amp;B4&amp;" | Visa_Tracking.xlsx:Immigration Compliance Policy row 4"</f>
        <v>Visa_Tracking.xlsx:Active Visas row 7 | Visa_Tracking.xlsx:Immigration Compliance Policy row 4</v>
      </c>
    </row>
    <row r="5" customFormat="false" ht="15" hidden="false" customHeight="false" outlineLevel="0" collapsed="false">
      <c r="A5" s="2" t="n">
        <v>4</v>
      </c>
      <c r="B5" s="2" t="n">
        <f aca="false">Visa_Decisions!A9</f>
        <v>9</v>
      </c>
      <c r="C5" s="2" t="str">
        <f aca="false">Visa_Decisions!B9</f>
        <v>Haruto Tanaka</v>
      </c>
      <c r="D5" s="2" t="str">
        <f aca="false">Visa_Decisions!D9</f>
        <v>O-1</v>
      </c>
      <c r="E5" s="4" t="n">
        <f aca="false">Visa_Decisions!E9</f>
        <v>46767</v>
      </c>
      <c r="F5" s="2" t="n">
        <f aca="false">Visa_Decisions!I9</f>
        <v>640</v>
      </c>
      <c r="G5" s="2" t="n">
        <f aca="false">Visa_Decisions!K9</f>
        <v>6</v>
      </c>
      <c r="H5" s="4" t="n">
        <f aca="false">Visa_Decisions!L9</f>
        <v>46310</v>
      </c>
      <c r="I5" s="2" t="str">
        <f aca="false">Visa_Decisions!Q9</f>
        <v>MONITORING</v>
      </c>
      <c r="J5" s="2" t="str">
        <f aca="false">Visa_Decisions!U9</f>
        <v>NO</v>
      </c>
      <c r="K5" s="2" t="str">
        <f aca="false">Visa_Decisions!V9</f>
        <v>NO</v>
      </c>
      <c r="L5" s="2" t="str">
        <f aca="false">"Visa_Tracking.xlsx:Active Visas row "&amp;B5&amp;" | Visa_Tracking.xlsx:Immigration Compliance Policy row 4"</f>
        <v>Visa_Tracking.xlsx:Active Visas row 9 | Visa_Tracking.xlsx:Immigration Compliance Policy row 4</v>
      </c>
    </row>
  </sheetData>
  <autoFilter ref="A1:L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&amp;CFour no-action monitoring records · Fatima included</oddFooter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3.01"/>
    <col collapsed="false" customWidth="true" hidden="false" outlineLevel="0" max="4" min="4" style="0" width="11.99"/>
    <col collapsed="false" customWidth="true" hidden="false" outlineLevel="0" max="5" min="5" style="0" width="65.01"/>
  </cols>
  <sheetData>
    <row r="1" customFormat="false" ht="30.75" hidden="false" customHeight="true" outlineLevel="0" collapsed="false">
      <c r="A1" s="1" t="s">
        <v>133</v>
      </c>
      <c r="B1" s="1" t="s">
        <v>134</v>
      </c>
      <c r="C1" s="1" t="s">
        <v>135</v>
      </c>
      <c r="D1" s="1" t="s">
        <v>5</v>
      </c>
      <c r="E1" s="1" t="s">
        <v>136</v>
      </c>
    </row>
    <row r="2" customFormat="false" ht="15" hidden="false" customHeight="false" outlineLevel="0" collapsed="false">
      <c r="A2" s="2" t="s">
        <v>137</v>
      </c>
      <c r="B2" s="2" t="n">
        <f aca="false">COUNTA(Visa_Decisions!A2:A9)</f>
        <v>8</v>
      </c>
      <c r="C2" s="2" t="n">
        <v>8</v>
      </c>
      <c r="D2" s="3" t="str">
        <f aca="false">IF(B2=C2,"PASS","FAIL")</f>
        <v>PASS</v>
      </c>
      <c r="E2" s="2" t="s">
        <v>138</v>
      </c>
    </row>
    <row r="3" customFormat="false" ht="15" hidden="false" customHeight="false" outlineLevel="0" collapsed="false">
      <c r="A3" s="2" t="s">
        <v>116</v>
      </c>
      <c r="B3" s="2" t="n">
        <f aca="false">COUNTIF(Visa_Decisions!Q2:Q9,"URGENT")</f>
        <v>1</v>
      </c>
      <c r="C3" s="2" t="n">
        <v>1</v>
      </c>
      <c r="D3" s="3" t="str">
        <f aca="false">IF(B3=C3,"PASS","FAIL")</f>
        <v>PASS</v>
      </c>
      <c r="E3" s="2" t="s">
        <v>139</v>
      </c>
    </row>
    <row r="4" customFormat="false" ht="15" hidden="false" customHeight="false" outlineLevel="0" collapsed="false">
      <c r="A4" s="2" t="s">
        <v>140</v>
      </c>
      <c r="B4" s="2" t="n">
        <f aca="false">COUNTIF(Visa_Decisions!Q2:Q9,"ACTION_REQUIRED")</f>
        <v>2</v>
      </c>
      <c r="C4" s="2" t="n">
        <v>2</v>
      </c>
      <c r="D4" s="3" t="str">
        <f aca="false">IF(B4=C4,"PASS","FAIL")</f>
        <v>PASS</v>
      </c>
      <c r="E4" s="2" t="s">
        <v>141</v>
      </c>
    </row>
    <row r="5" customFormat="false" ht="15" hidden="false" customHeight="false" outlineLevel="0" collapsed="false">
      <c r="A5" s="2" t="s">
        <v>142</v>
      </c>
      <c r="B5" s="2" t="n">
        <f aca="false">COUNTIF(Visa_Decisions!Q2:Q9,"ALREADY_FILED")</f>
        <v>1</v>
      </c>
      <c r="C5" s="2" t="n">
        <v>1</v>
      </c>
      <c r="D5" s="3" t="str">
        <f aca="false">IF(B5=C5,"PASS","FAIL")</f>
        <v>PASS</v>
      </c>
      <c r="E5" s="2" t="s">
        <v>143</v>
      </c>
    </row>
    <row r="6" customFormat="false" ht="15" hidden="false" customHeight="false" outlineLevel="0" collapsed="false">
      <c r="A6" s="2" t="s">
        <v>118</v>
      </c>
      <c r="B6" s="2" t="n">
        <f aca="false">COUNTIF(Visa_Decisions!Q2:Q9,"MONITORING")</f>
        <v>4</v>
      </c>
      <c r="C6" s="2" t="n">
        <v>4</v>
      </c>
      <c r="D6" s="3" t="str">
        <f aca="false">IF(B6=C6,"PASS","FAIL")</f>
        <v>PASS</v>
      </c>
      <c r="E6" s="2" t="s">
        <v>144</v>
      </c>
    </row>
    <row r="7" customFormat="false" ht="15" hidden="false" customHeight="false" outlineLevel="0" collapsed="false">
      <c r="A7" s="2" t="s">
        <v>145</v>
      </c>
      <c r="B7" s="2" t="n">
        <f aca="false">Visa_Decisions!K2</f>
        <v>8</v>
      </c>
      <c r="C7" s="2" t="n">
        <v>8</v>
      </c>
      <c r="D7" s="3" t="str">
        <f aca="false">IF(B7=C7,"PASS","FAIL")</f>
        <v>PASS</v>
      </c>
      <c r="E7" s="2" t="s">
        <v>146</v>
      </c>
    </row>
    <row r="8" customFormat="false" ht="15" hidden="false" customHeight="false" outlineLevel="0" collapsed="false">
      <c r="A8" s="2" t="s">
        <v>147</v>
      </c>
      <c r="B8" s="4" t="n">
        <f aca="false">Visa_Decisions!L2</f>
        <v>46371</v>
      </c>
      <c r="C8" s="4" t="n">
        <v>46371</v>
      </c>
      <c r="D8" s="3" t="str">
        <f aca="false">IF(B8=C8,"PASS","FAIL")</f>
        <v>PASS</v>
      </c>
      <c r="E8" s="2" t="s">
        <v>148</v>
      </c>
    </row>
    <row r="9" customFormat="false" ht="15" hidden="false" customHeight="false" outlineLevel="0" collapsed="false">
      <c r="A9" s="2" t="s">
        <v>149</v>
      </c>
      <c r="B9" s="2" t="n">
        <f aca="false">Visa_Decisions!I8</f>
        <v>5</v>
      </c>
      <c r="C9" s="2" t="n">
        <v>5</v>
      </c>
      <c r="D9" s="3" t="str">
        <f aca="false">IF(B9=C9,"PASS","FAIL")</f>
        <v>PASS</v>
      </c>
      <c r="E9" s="2" t="s">
        <v>150</v>
      </c>
    </row>
    <row r="10" customFormat="false" ht="15" hidden="false" customHeight="false" outlineLevel="0" collapsed="false">
      <c r="A10" s="2" t="s">
        <v>151</v>
      </c>
      <c r="B10" s="2" t="n">
        <f aca="false">COUNTIF(Visa_Decisions!U2:U9,"YES")</f>
        <v>3</v>
      </c>
      <c r="C10" s="2" t="n">
        <v>3</v>
      </c>
      <c r="D10" s="3" t="str">
        <f aca="false">IF(B10=C10,"PASS","FAIL")</f>
        <v>PASS</v>
      </c>
      <c r="E10" s="2" t="s">
        <v>152</v>
      </c>
    </row>
    <row r="11" customFormat="false" ht="15" hidden="false" customHeight="false" outlineLevel="0" collapsed="false">
      <c r="A11" s="2" t="s">
        <v>153</v>
      </c>
      <c r="B11" s="2" t="n">
        <f aca="false">0</f>
        <v>0</v>
      </c>
      <c r="C11" s="2" t="n">
        <v>0</v>
      </c>
      <c r="D11" s="3" t="str">
        <f aca="false">IF(B11=C11,"PASS","FAIL")</f>
        <v>PASS</v>
      </c>
      <c r="E11" s="2" t="s">
        <v>154</v>
      </c>
    </row>
    <row r="12" customFormat="false" ht="15" hidden="false" customHeight="false" outlineLevel="0" collapsed="false">
      <c r="A12" s="2" t="s">
        <v>155</v>
      </c>
      <c r="B12" s="2" t="n">
        <f aca="false">COUNTIF(Visa_Decisions!V2:V9,"YES")</f>
        <v>3</v>
      </c>
      <c r="C12" s="2" t="n">
        <v>3</v>
      </c>
      <c r="D12" s="3" t="str">
        <f aca="false">IF(B12=C12,"PASS","FAIL")</f>
        <v>PASS</v>
      </c>
      <c r="E12" s="2" t="s">
        <v>156</v>
      </c>
    </row>
    <row r="13" customFormat="false" ht="15" hidden="false" customHeight="false" outlineLevel="0" collapsed="false">
      <c r="A13" s="2" t="s">
        <v>157</v>
      </c>
      <c r="B13" s="2" t="n">
        <f aca="false">0</f>
        <v>0</v>
      </c>
      <c r="C13" s="2" t="n">
        <v>0</v>
      </c>
      <c r="D13" s="3" t="str">
        <f aca="false">IF(B13=C13,"PASS","FAIL")</f>
        <v>PASS</v>
      </c>
      <c r="E13" s="2" t="s">
        <v>158</v>
      </c>
    </row>
    <row r="14" customFormat="false" ht="15" hidden="false" customHeight="false" outlineLevel="0" collapsed="false">
      <c r="A14" s="2" t="s">
        <v>159</v>
      </c>
      <c r="B14" s="2" t="n">
        <f aca="false">0</f>
        <v>0</v>
      </c>
      <c r="C14" s="2" t="n">
        <v>0</v>
      </c>
      <c r="D14" s="3" t="str">
        <f aca="false">IF(B14=C14,"PASS","FAIL")</f>
        <v>PASS</v>
      </c>
      <c r="E14" s="2" t="s">
        <v>160</v>
      </c>
    </row>
    <row r="15" customFormat="false" ht="15" hidden="false" customHeight="false" outlineLevel="0" collapsed="false">
      <c r="A15" s="2" t="s">
        <v>161</v>
      </c>
      <c r="B15" s="2" t="n">
        <f aca="false">0</f>
        <v>0</v>
      </c>
      <c r="C15" s="2" t="n">
        <v>0</v>
      </c>
      <c r="D15" s="3" t="str">
        <f aca="false">IF(B15=C15,"PASS","FAIL")</f>
        <v>PASS</v>
      </c>
      <c r="E15" s="2" t="s">
        <v>162</v>
      </c>
    </row>
    <row r="16" customFormat="false" ht="15" hidden="false" customHeight="false" outlineLevel="0" collapsed="false">
      <c r="A16" s="2" t="s">
        <v>163</v>
      </c>
      <c r="B16" s="2" t="n">
        <f aca="false">0</f>
        <v>0</v>
      </c>
      <c r="C16" s="2" t="n">
        <v>0</v>
      </c>
      <c r="D16" s="3" t="str">
        <f aca="false">IF(B16=C16,"PASS","FAIL")</f>
        <v>PASS</v>
      </c>
      <c r="E16" s="2" t="s">
        <v>164</v>
      </c>
    </row>
    <row r="17" customFormat="false" ht="15" hidden="false" customHeight="false" outlineLevel="0" collapsed="false">
      <c r="A17" s="2" t="s">
        <v>165</v>
      </c>
      <c r="B17" s="2" t="n">
        <f aca="false">COUNTA(Evidence_Register!A2:A16)</f>
        <v>15</v>
      </c>
      <c r="C17" s="2" t="n">
        <v>15</v>
      </c>
      <c r="D17" s="3" t="str">
        <f aca="false">IF(B17=C17,"PASS","FAIL")</f>
        <v>PASS</v>
      </c>
      <c r="E17" s="2" t="s">
        <v>166</v>
      </c>
    </row>
  </sheetData>
  <autoFilter ref="A1:E17"/>
  <conditionalFormatting sqref="D2:D17">
    <cfRule type="expression" priority="2" aboveAverage="0" equalAverage="0" bottom="0" percent="0" rank="0" text="" dxfId="6">
      <formula>D2="FAIL"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&amp;CSixteen controls reconcile all seven deliverables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