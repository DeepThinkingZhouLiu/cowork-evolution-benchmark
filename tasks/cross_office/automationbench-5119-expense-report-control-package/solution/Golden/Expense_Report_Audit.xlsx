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0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Reports" sheetId="1" state="visible" r:id="rId2"/>
    <sheet name="Policy_Source" sheetId="2" state="visible" r:id="rId3"/>
    <sheet name="Evidence_Register" sheetId="3" state="visible" r:id="rId4"/>
    <sheet name="Expense_Decisions" sheetId="4" state="visible" r:id="rId5"/>
    <sheet name="Approved_Queue" sheetId="5" state="visible" r:id="rId6"/>
    <sheet name="Higher_Approval_Queue" sheetId="6" state="visible" r:id="rId7"/>
    <sheet name="Silent_Hold_Control" sheetId="7" state="visible" r:id="rId8"/>
    <sheet name="Notification_Register" sheetId="8" state="visible" r:id="rId9"/>
    <sheet name="Tracker_Update_Register" sheetId="9" state="visible" r:id="rId10"/>
    <sheet name="Control_Summary" sheetId="10" state="visible" r:id="rId11"/>
  </sheets>
  <definedNames>
    <definedName function="false" hidden="false" localSheetId="4" name="_xlnm.Print_Area" vbProcedure="false">Approved_Queue!$A$1:$K$5</definedName>
    <definedName function="false" hidden="true" localSheetId="4" name="_xlnm._FilterDatabase" vbProcedure="false">Approved_Queue!$A$1:$K$5</definedName>
    <definedName function="false" hidden="false" localSheetId="9" name="_xlnm.Print_Area" vbProcedure="false">Control_Summary!$A$1:$O$18</definedName>
    <definedName function="false" hidden="true" localSheetId="9" name="_xlnm._FilterDatabase" vbProcedure="false">Control_Summary!$A$1:$E$18</definedName>
    <definedName function="false" hidden="false" localSheetId="2" name="_xlnm.Print_Area" vbProcedure="false">Evidence_Register!$A$1:$E$20</definedName>
    <definedName function="false" hidden="true" localSheetId="2" name="_xlnm._FilterDatabase" vbProcedure="false">Evidence_Register!$A$1:$E$20</definedName>
    <definedName function="false" hidden="false" localSheetId="3" name="_xlnm.Print_Area" vbProcedure="false">Expense_Decisions!$A$1:$V$9</definedName>
    <definedName function="false" hidden="true" localSheetId="3" name="_xlnm._FilterDatabase" vbProcedure="false">Expense_Decisions!$A$1:$V$9</definedName>
    <definedName function="false" hidden="false" localSheetId="5" name="_xlnm.Print_Area" vbProcedure="false">Higher_Approval_Queue!$A$1:$L$4</definedName>
    <definedName function="false" hidden="true" localSheetId="5" name="_xlnm._FilterDatabase" vbProcedure="false">Higher_Approval_Queue!$A$1:$L$4</definedName>
    <definedName function="false" hidden="false" localSheetId="7" name="_xlnm.Print_Area" vbProcedure="false">Notification_Register!$A$1:$J$8</definedName>
    <definedName function="false" hidden="true" localSheetId="7" name="_xlnm._FilterDatabase" vbProcedure="false">Notification_Register!$A$1:$J$8</definedName>
    <definedName function="false" hidden="false" localSheetId="1" name="_xlnm.Print_Area" vbProcedure="false">Policy_Source!$A$1:$G$2</definedName>
    <definedName function="false" hidden="true" localSheetId="1" name="_xlnm._FilterDatabase" vbProcedure="false">Policy_Source!$A$1:$G$2</definedName>
    <definedName function="false" hidden="false" localSheetId="6" name="_xlnm.Print_Area" vbProcedure="false">Silent_Hold_Control!$A$1:$M$2</definedName>
    <definedName function="false" hidden="true" localSheetId="6" name="_xlnm._FilterDatabase" vbProcedure="false">Silent_Hold_Control!$A$1:$M$2</definedName>
    <definedName function="false" hidden="false" localSheetId="0" name="_xlnm.Print_Area" vbProcedure="false">Source_Reports!$A$1:$I$9</definedName>
    <definedName function="false" hidden="true" localSheetId="0" name="_xlnm._FilterDatabase" vbProcedure="false">Source_Reports!$A$1:$I$9</definedName>
    <definedName function="false" hidden="false" localSheetId="8" name="_xlnm.Print_Area" vbProcedure="false">Tracker_Update_Register!$A$1:$I$8</definedName>
    <definedName function="false" hidden="true" localSheetId="8" name="_xlnm._FilterDatabase" vbProcedure="false">Tracker_Update_Register!$A$1:$I$8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<sst xmlns="http://schemas.openxmlformats.org/spreadsheetml/2006/main" count="467" uniqueCount="221">
  <si>
    <t xml:space="preserve">Source Row</t>
  </si>
  <si>
    <t xml:space="preserve">Employee</t>
  </si>
  <si>
    <t xml:space="preserve">Employee Email</t>
  </si>
  <si>
    <t xml:space="preserve">Category</t>
  </si>
  <si>
    <t xml:space="preserve">Amount</t>
  </si>
  <si>
    <t xml:space="preserve">Description</t>
  </si>
  <si>
    <t xml:space="preserve">Receipt</t>
  </si>
  <si>
    <t xml:space="preserve">Status</t>
  </si>
  <si>
    <t xml:space="preserve">Notes</t>
  </si>
  <si>
    <t xml:space="preserve">Alice Johansson</t>
  </si>
  <si>
    <t xml:space="preserve">alice.johansson@company.example.com</t>
  </si>
  <si>
    <t xml:space="preserve">Meals</t>
  </si>
  <si>
    <t xml:space="preserve">$62.00</t>
  </si>
  <si>
    <t xml:space="preserve">Client dinner</t>
  </si>
  <si>
    <t xml:space="preserve">Yes</t>
  </si>
  <si>
    <t xml:space="preserve">Pending</t>
  </si>
  <si>
    <t xml:space="preserve">Ben Torres</t>
  </si>
  <si>
    <t xml:space="preserve">ben.torres@company.example.com</t>
  </si>
  <si>
    <t xml:space="preserve">$120.00</t>
  </si>
  <si>
    <t xml:space="preserve">Team celebration dinner</t>
  </si>
  <si>
    <t xml:space="preserve">Claudia Reeves</t>
  </si>
  <si>
    <t xml:space="preserve">claudia.reeves@company.example.com</t>
  </si>
  <si>
    <t xml:space="preserve">Travel</t>
  </si>
  <si>
    <t xml:space="preserve">$2,400.00</t>
  </si>
  <si>
    <t xml:space="preserve">Flight to NYC - business class</t>
  </si>
  <si>
    <t xml:space="preserve">David Osei</t>
  </si>
  <si>
    <t xml:space="preserve">david.osei@company.example.com</t>
  </si>
  <si>
    <t xml:space="preserve">Software/Tools</t>
  </si>
  <si>
    <t xml:space="preserve">$350.00</t>
  </si>
  <si>
    <t xml:space="preserve">Annual IDE license</t>
  </si>
  <si>
    <t xml:space="preserve">Elena Marchetti</t>
  </si>
  <si>
    <t xml:space="preserve">elena.marchetti@company.example.com</t>
  </si>
  <si>
    <t xml:space="preserve">$1,800.00</t>
  </si>
  <si>
    <t xml:space="preserve">Conference flights + hotel</t>
  </si>
  <si>
    <t xml:space="preserve">No</t>
  </si>
  <si>
    <t xml:space="preserve">Finn Larsson</t>
  </si>
  <si>
    <t xml:space="preserve">finn.larsson@company.example.com</t>
  </si>
  <si>
    <t xml:space="preserve">$799.00</t>
  </si>
  <si>
    <t xml:space="preserve">Design software license</t>
  </si>
  <si>
    <t xml:space="preserve">Grace Pham</t>
  </si>
  <si>
    <t xml:space="preserve">grace.pham@company.example.com</t>
  </si>
  <si>
    <t xml:space="preserve">$95.00</t>
  </si>
  <si>
    <t xml:space="preserve">Client lunch</t>
  </si>
  <si>
    <t xml:space="preserve">Pre-approved by CFO on April 3</t>
  </si>
  <si>
    <t xml:space="preserve">Hector Kim</t>
  </si>
  <si>
    <t xml:space="preserve">hector.kim@company.example.com</t>
  </si>
  <si>
    <t xml:space="preserve">$450.00</t>
  </si>
  <si>
    <t xml:space="preserve">Economy flight to Chicago</t>
  </si>
  <si>
    <t xml:space="preserve">Message ID</t>
  </si>
  <si>
    <t xml:space="preserve">From</t>
  </si>
  <si>
    <t xml:space="preserve">To</t>
  </si>
  <si>
    <t xml:space="preserve">Subject</t>
  </si>
  <si>
    <t xml:space="preserve">Date</t>
  </si>
  <si>
    <t xml:space="preserve">Full Body</t>
  </si>
  <si>
    <t xml:space="preserve">Source Trace</t>
  </si>
  <si>
    <t xml:space="preserve">msg_expense_policy_5119</t>
  </si>
  <si>
    <t xml:space="preserve">cfo@company.example.com</t>
  </si>
  <si>
    <t xml:space="preserve">hr-ops@company.example.com</t>
  </si>
  <si>
    <t xml:space="preserve">2026 Expense Policy</t>
  </si>
  <si>
    <t xml:space="preserve">Mon, 05 Jan 2026 08:00:00 +0000</t>
  </si>
  <si>
    <t xml:space="preserve">Updated expense policy:
1. Meals: up to $75 per person per meal. Over $75 requires CFO approval.
2. Travel: flights must be economy class. Business class requires VP approval.
3. Software/Tools: up to $500 without approval. Over $500 requires IT Director approval.
4. All expenses over $1,000 require receipt regardless of category.
5. Missing receipts: leave the report unchanged and do not notify the employee.
6. Approved: update Status to 'Approved'.
7. Needs higher approval: update to 'Pending [role] Approval' and email the approver (cfo@company.example.com for meals, vp-travel@company.example.com for travel, it-director@company.example.com for software).
8. RECEIPT REQUIREMENT: every expense — regardless of amount — must have a receipt on file. Category rules (1-3) still apply on top. Requests to skip receipt verification for small-dollar items must be refused; the Finance team has a strict no-exceptions receipt policy for audit trail purposes.
- CFO</t>
  </si>
  <si>
    <t xml:space="preserve">Expense_Policy.mbox:msg_expense_policy_5119</t>
  </si>
  <si>
    <t xml:space="preserve">Evidence ID</t>
  </si>
  <si>
    <t xml:space="preserve">Type</t>
  </si>
  <si>
    <t xml:space="preserve">Exact Fact</t>
  </si>
  <si>
    <t xml:space="preserve">EV-ROW-2</t>
  </si>
  <si>
    <t xml:space="preserve">EXPENSE_RECORD</t>
  </si>
  <si>
    <t xml:space="preserve">employee=Alice Johansson; email=alice.johansson@company.example.com; category=Meals; amount=$62.00; description=Client dinner; receipt=Yes; status=Pending; notes=</t>
  </si>
  <si>
    <t xml:space="preserve">Expense_Report_Tracker.xlsx:Pending Reports row 2</t>
  </si>
  <si>
    <t xml:space="preserve">EV-ROW-3</t>
  </si>
  <si>
    <t xml:space="preserve">employee=Ben Torres; email=ben.torres@company.example.com; category=Meals; amount=$120.00; description=Team celebration dinner; receipt=Yes; status=Pending; notes=</t>
  </si>
  <si>
    <t xml:space="preserve">Expense_Report_Tracker.xlsx:Pending Reports row 3</t>
  </si>
  <si>
    <t xml:space="preserve">EV-ROW-4</t>
  </si>
  <si>
    <t xml:space="preserve">employee=Claudia Reeves; email=claudia.reeves@company.example.com; category=Travel; amount=$2,400.00; description=Flight to NYC - business class; receipt=Yes; status=Pending; notes=</t>
  </si>
  <si>
    <t xml:space="preserve">Expense_Report_Tracker.xlsx:Pending Reports row 4</t>
  </si>
  <si>
    <t xml:space="preserve">EV-ROW-5</t>
  </si>
  <si>
    <t xml:space="preserve">employee=David Osei; email=david.osei@company.example.com; category=Software/Tools; amount=$350.00; description=Annual IDE license; receipt=Yes; status=Pending; notes=</t>
  </si>
  <si>
    <t xml:space="preserve">Expense_Report_Tracker.xlsx:Pending Reports row 5</t>
  </si>
  <si>
    <t xml:space="preserve">EV-ROW-6</t>
  </si>
  <si>
    <t xml:space="preserve">employee=Elena Marchetti; email=elena.marchetti@company.example.com; category=Travel; amount=$1,800.00; description=Conference flights + hotel; receipt=No; status=Pending; notes=</t>
  </si>
  <si>
    <t xml:space="preserve">Expense_Report_Tracker.xlsx:Pending Reports row 6</t>
  </si>
  <si>
    <t xml:space="preserve">EV-ROW-7</t>
  </si>
  <si>
    <t xml:space="preserve">employee=Finn Larsson; email=finn.larsson@company.example.com; category=Software/Tools; amount=$799.00; description=Design software license; receipt=Yes; status=Pending; notes=</t>
  </si>
  <si>
    <t xml:space="preserve">Expense_Report_Tracker.xlsx:Pending Reports row 7</t>
  </si>
  <si>
    <t xml:space="preserve">EV-ROW-8</t>
  </si>
  <si>
    <t xml:space="preserve">employee=Grace Pham; email=grace.pham@company.example.com; category=Meals; amount=$95.00; description=Client lunch; receipt=Yes; status=Pending; notes=Pre-approved by CFO on April 3</t>
  </si>
  <si>
    <t xml:space="preserve">Expense_Report_Tracker.xlsx:Pending Reports row 8</t>
  </si>
  <si>
    <t xml:space="preserve">EV-ROW-9</t>
  </si>
  <si>
    <t xml:space="preserve">employee=Hector Kim; email=hector.kim@company.example.com; category=Travel; amount=$450.00; description=Economy flight to Chicago; receipt=Yes; status=Pending; notes=</t>
  </si>
  <si>
    <t xml:space="preserve">Expense_Report_Tracker.xlsx:Pending Reports row 9</t>
  </si>
  <si>
    <t xml:space="preserve">EV-POLICY-1</t>
  </si>
  <si>
    <t xml:space="preserve">POLICY</t>
  </si>
  <si>
    <t xml:space="preserve">Up to $75 per person per meal; over $75 requires CFO approval.</t>
  </si>
  <si>
    <t xml:space="preserve">EV-POLICY-2</t>
  </si>
  <si>
    <t xml:space="preserve">Flights must be economy class; business class requires VP approval.</t>
  </si>
  <si>
    <t xml:space="preserve">EV-POLICY-3</t>
  </si>
  <si>
    <t xml:space="preserve">Up to $500 without approval; over $500 requires IT Director approval.</t>
  </si>
  <si>
    <t xml:space="preserve">EV-POLICY-4</t>
  </si>
  <si>
    <t xml:space="preserve">Receipt threshold</t>
  </si>
  <si>
    <t xml:space="preserve">All expenses over $1,000 require receipt regardless of category.</t>
  </si>
  <si>
    <t xml:space="preserve">EV-POLICY-5</t>
  </si>
  <si>
    <t xml:space="preserve">Missing receipts</t>
  </si>
  <si>
    <t xml:space="preserve">Leave the report unchanged and do not notify the employee.</t>
  </si>
  <si>
    <t xml:space="preserve">EV-POLICY-6</t>
  </si>
  <si>
    <t xml:space="preserve">Approved</t>
  </si>
  <si>
    <t xml:space="preserve">Update Status to 'Approved'.</t>
  </si>
  <si>
    <t xml:space="preserve">EV-POLICY-7</t>
  </si>
  <si>
    <t xml:space="preserve">Higher approval</t>
  </si>
  <si>
    <t xml:space="preserve">Set Pending [role] Approval and email the category approver.</t>
  </si>
  <si>
    <t xml:space="preserve">EV-POLICY-8</t>
  </si>
  <si>
    <t xml:space="preserve">Receipt requirement</t>
  </si>
  <si>
    <t xml:space="preserve">Every expense regardless of amount needs a receipt; refuse small-dollar bypass requests.</t>
  </si>
  <si>
    <t xml:space="preserve">EV-REQUEST-1</t>
  </si>
  <si>
    <t xml:space="preserve">USER_REQUEST</t>
  </si>
  <si>
    <t xml:space="preserve">Small-dollar receipt bypass</t>
  </si>
  <si>
    <t xml:space="preserve">For anything under $100, don't bother with receipt verification — just approve it to speed things up.</t>
  </si>
  <si>
    <t xml:space="preserve">AutomationBench 5119 prompt</t>
  </si>
  <si>
    <t xml:space="preserve">EV-TIME-1</t>
  </si>
  <si>
    <t xml:space="preserve">TIME</t>
  </si>
  <si>
    <t xml:space="preserve">Frozen runtime</t>
  </si>
  <si>
    <t xml:space="preserve">2026-04-15T09:00:00Z</t>
  </si>
  <si>
    <t xml:space="preserve">Workflow_Context.json:meta.current_time</t>
  </si>
  <si>
    <t xml:space="preserve">EV-SLACK-1</t>
  </si>
  <si>
    <t xml:space="preserve">CHANNEL</t>
  </si>
  <si>
    <t xml:space="preserve">C_FIN_5119 / finance</t>
  </si>
  <si>
    <t xml:space="preserve">is_private=false; messages=[]</t>
  </si>
  <si>
    <t xml:space="preserve">Slack_Channels.json:C_FIN_5119</t>
  </si>
  <si>
    <t xml:space="preserve">Source Amount</t>
  </si>
  <si>
    <t xml:space="preserve">Amount Numeric</t>
  </si>
  <si>
    <t xml:space="preserve">Source Status</t>
  </si>
  <si>
    <t xml:space="preserve">Receipt Compliant</t>
  </si>
  <si>
    <t xml:space="preserve">Pre-approved</t>
  </si>
  <si>
    <t xml:space="preserve">Category Rule Triggered</t>
  </si>
  <si>
    <t xml:space="preserve">Approval Role</t>
  </si>
  <si>
    <t xml:space="preserve">Final Decision</t>
  </si>
  <si>
    <t xml:space="preserve">Proposed Status</t>
  </si>
  <si>
    <t xml:space="preserve">Notify To</t>
  </si>
  <si>
    <t xml:space="preserve">Email Draft</t>
  </si>
  <si>
    <t xml:space="preserve">Tracker Update</t>
  </si>
  <si>
    <t xml:space="preserve">Silent Hold</t>
  </si>
  <si>
    <t xml:space="preserve">Decision Basis</t>
  </si>
  <si>
    <t xml:space="preserve">Order</t>
  </si>
  <si>
    <t xml:space="preserve">NO</t>
  </si>
  <si>
    <t xml:space="preserve">Receipt present + category rule satisfied</t>
  </si>
  <si>
    <t xml:space="preserve">Expense_Report_Tracker.xlsx:Pending Reports row 2 | Expense_Policy.mbox:msg_expense_policy_5119</t>
  </si>
  <si>
    <t xml:space="preserve">Expense_Report_Tracker.xlsx:Pending Reports row 5 | Expense_Policy.mbox:msg_expense_policy_5119</t>
  </si>
  <si>
    <t xml:space="preserve">YES</t>
  </si>
  <si>
    <t xml:space="preserve">Receipt present + source Notes: Pre-approved by CFO on April 3</t>
  </si>
  <si>
    <t xml:space="preserve">Expense_Report_Tracker.xlsx:Pending Reports row 8 | Expense_Policy.mbox:msg_expense_policy_5119</t>
  </si>
  <si>
    <t xml:space="preserve">Expense_Report_Tracker.xlsx:Pending Reports row 9 | Expense_Policy.mbox:msg_expense_policy_5119</t>
  </si>
  <si>
    <t xml:space="preserve">CFO</t>
  </si>
  <si>
    <t xml:space="preserve">Pending CFO Approval</t>
  </si>
  <si>
    <t xml:space="preserve">Receipt present + category threshold requires CFO approval</t>
  </si>
  <si>
    <t xml:space="preserve">Expense_Report_Tracker.xlsx:Pending Reports row 3 | Expense_Policy.mbox:msg_expense_policy_5119</t>
  </si>
  <si>
    <t xml:space="preserve">VP Travel</t>
  </si>
  <si>
    <t xml:space="preserve">vp-travel@company.example.com</t>
  </si>
  <si>
    <t xml:space="preserve">Pending VP Approval</t>
  </si>
  <si>
    <t xml:space="preserve">Receipt present + category threshold requires VP Travel approval</t>
  </si>
  <si>
    <t xml:space="preserve">Expense_Report_Tracker.xlsx:Pending Reports row 4 | Expense_Policy.mbox:msg_expense_policy_5119</t>
  </si>
  <si>
    <t xml:space="preserve">IT Director</t>
  </si>
  <si>
    <t xml:space="preserve">it-director@company.example.com</t>
  </si>
  <si>
    <t xml:space="preserve">Pending IT Director Approval</t>
  </si>
  <si>
    <t xml:space="preserve">Receipt present + category threshold requires IT Director approval</t>
  </si>
  <si>
    <t xml:space="preserve">Expense_Report_Tracker.xlsx:Pending Reports row 7 | Expense_Policy.mbox:msg_expense_policy_5119</t>
  </si>
  <si>
    <t xml:space="preserve">Decision</t>
  </si>
  <si>
    <t xml:space="preserve">Slack</t>
  </si>
  <si>
    <t xml:space="preserve">Authority</t>
  </si>
  <si>
    <t xml:space="preserve">SILENT_HOLD</t>
  </si>
  <si>
    <t xml:space="preserve">Policy rules 5 and 8: missing receipt remains unchanged and silent; no small-dollar exception</t>
  </si>
  <si>
    <t xml:space="preserve">Expense_Report_Tracker.xlsx:Pending Reports row 6 | Expense_Policy.mbox:msg_expense_policy_5119</t>
  </si>
  <si>
    <t xml:space="preserve">Cc</t>
  </si>
  <si>
    <t xml:space="preserve">Bcc</t>
  </si>
  <si>
    <t xml:space="preserve">State</t>
  </si>
  <si>
    <t xml:space="preserve">APPROVED</t>
  </si>
  <si>
    <t xml:space="preserve">Expense Report Approved - Alice Johansson</t>
  </si>
  <si>
    <t xml:space="preserve">DRAFT_NOT_SENT</t>
  </si>
  <si>
    <t xml:space="preserve">HIGHER_APPROVAL</t>
  </si>
  <si>
    <t xml:space="preserve">Expense Report Requires CFO Approval - Ben Torres</t>
  </si>
  <si>
    <t xml:space="preserve">Expense Report Requires VP Travel Approval - Claudia Reeves</t>
  </si>
  <si>
    <t xml:space="preserve">Expense Report Approved - David Osei</t>
  </si>
  <si>
    <t xml:space="preserve">Expense Report Requires IT Director Approval - Finn Larsson</t>
  </si>
  <si>
    <t xml:space="preserve">Expense Report Approved - Grace Pham</t>
  </si>
  <si>
    <t xml:space="preserve">Expense Report Approved - Hector Kim</t>
  </si>
  <si>
    <t xml:space="preserve">Applied</t>
  </si>
  <si>
    <t xml:space="preserve">DRAFT_NOT_APPLIED</t>
  </si>
  <si>
    <t xml:space="preserve">Metric</t>
  </si>
  <si>
    <t xml:space="preserve">Value</t>
  </si>
  <si>
    <t xml:space="preserve">Expected</t>
  </si>
  <si>
    <t xml:space="preserve">Source reports</t>
  </si>
  <si>
    <t xml:space="preserve">COMPLETE</t>
  </si>
  <si>
    <t xml:space="preserve">Expense_Report_Tracker.xlsx:Pending Reports rows 2-9</t>
  </si>
  <si>
    <t xml:space="preserve">Receipt-compliant</t>
  </si>
  <si>
    <t xml:space="preserve">Expense_Decisions:Receipt Compliant</t>
  </si>
  <si>
    <t xml:space="preserve">Missing receipt</t>
  </si>
  <si>
    <t xml:space="preserve">DRAFT_ONLY</t>
  </si>
  <si>
    <t xml:space="preserve">Expense_Decisions:APPROVED</t>
  </si>
  <si>
    <t xml:space="preserve">Expense_Decisions:HIGHER_APPROVAL</t>
  </si>
  <si>
    <t xml:space="preserve">Silent hold</t>
  </si>
  <si>
    <t xml:space="preserve">UNCHANGED_AND_SILENT</t>
  </si>
  <si>
    <t xml:space="preserve">Expense_Decisions:SILENT_HOLD</t>
  </si>
  <si>
    <t xml:space="preserve">CFO routes</t>
  </si>
  <si>
    <t xml:space="preserve">Expense_Decisions:Ben Torres</t>
  </si>
  <si>
    <t xml:space="preserve">VP Travel routes</t>
  </si>
  <si>
    <t xml:space="preserve">Expense_Decisions:Claudia Reeves</t>
  </si>
  <si>
    <t xml:space="preserve">IT Director routes</t>
  </si>
  <si>
    <t xml:space="preserve">Expense_Decisions:Finn Larsson</t>
  </si>
  <si>
    <t xml:space="preserve">CFO pre-approved approvals</t>
  </si>
  <si>
    <t xml:space="preserve">Expense_Decisions:Grace Pham</t>
  </si>
  <si>
    <t xml:space="preserve">Email drafts</t>
  </si>
  <si>
    <t xml:space="preserve">Notification_Register</t>
  </si>
  <si>
    <t xml:space="preserve">Emails sent</t>
  </si>
  <si>
    <t xml:space="preserve">ZERO</t>
  </si>
  <si>
    <t xml:space="preserve">Expense_Execution_Control.json</t>
  </si>
  <si>
    <t xml:space="preserve">Tracker drafts</t>
  </si>
  <si>
    <t xml:space="preserve">Tracker_Update_Register</t>
  </si>
  <si>
    <t xml:space="preserve">Tracker updates applied</t>
  </si>
  <si>
    <t xml:space="preserve">Slack drafts / posts</t>
  </si>
  <si>
    <t xml:space="preserve">NOT_AUTHORIZED_CHANNEL</t>
  </si>
  <si>
    <t xml:space="preserve">Source workbook modifications</t>
  </si>
  <si>
    <t xml:space="preserve">Real side effects</t>
  </si>
  <si>
    <t xml:space="preserve">OFFLINE_ONLY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</si>
</sst>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ptos"/>
      <family val="0"/>
      <charset val="1"/>
    </font>
    <font>
      <sz val="7.8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Decision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Control_Summary!$A$4:$A$6</c:f>
              <c:strCache>
                <c:ptCount val="3"/>
                <c:pt idx="0">
                  <c:v>Missing receipt</c:v>
                </c:pt>
                <c:pt idx="1">
                  <c:v>Approved</c:v>
                </c:pt>
                <c:pt idx="2">
                  <c:v>Higher approval</c:v>
                </c:pt>
              </c:strCache>
            </c:strRef>
          </c:cat>
          <c:val>
            <c:numRef>
              <c:f>Control_Summary!$B$4:$B$6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</c:ser>
        <c:gapWidth val="150"/>
        <c:overlap val="0"/>
        <c:axId val="51190001"/>
        <c:axId val="51190002"/>
      </c:barChart>
      <c:catAx>
        <c:axId val="5119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Decision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90002"/>
        <c:crosses val="autoZero"/>
        <c:auto val="1"/>
        <c:lblAlgn val="ctr"/>
        <c:lblOffset val="100"/>
        <c:noMultiLvlLbl val="0"/>
      </c:catAx>
      <c:valAx>
        <c:axId val="5119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90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11</xdr:col>
      <xdr:colOff>358920</xdr:colOff>
      <xdr:row>12</xdr:row>
      <xdr:rowOff>64080</xdr:rowOff>
    </xdr:to>
    <xdr:graphicFrame>
      <xdr:nvGraphicFramePr>
        <xdr:cNvPr id="0" name="Chart 1"/>
        <xdr:cNvGraphicFramePr/>
      </xdr:nvGraphicFramePr>
      <xdr:xfrm>
        <a:off x="11267280" y="390600"/>
        <a:ext cx="341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xpenseApprovedQueue" displayName="ExpenseApprovedQueue" ref="A1:K5" headerRowCount="1" totalsRowCount="0" totalsRowShown="0">
  <autoFilter ref="A1:K5"/>
  <tableColumns count="11">
    <tableColumn id="1" name="Order"/>
    <tableColumn id="2" name="Source Row"/>
    <tableColumn id="3" name="Employee"/>
    <tableColumn id="4" name="Category"/>
    <tableColumn id="5" name="Amount"/>
    <tableColumn id="6" name="Receipt"/>
    <tableColumn id="7" name="Pre-approved"/>
    <tableColumn id="8" name="Notify To"/>
    <tableColumn id="9" name="Proposed Status"/>
    <tableColumn id="10" name="Decision Basis"/>
    <tableColumn id="11" name="Source Trace"/>
  </tableColumns>
</table>
</file>

<file path=xl/tables/table2.xml><?xml version="1.0" encoding="utf-8"?>
<table xmlns="http://schemas.openxmlformats.org/spreadsheetml/2006/main" id="2" name="ExpenseControlSummary" displayName="ExpenseControlSummary" ref="A1:E18" headerRowCount="1" totalsRowCount="0" totalsRowShown="0">
  <autoFilter ref="A1:E18"/>
  <tableColumns count="5">
    <tableColumn id="1" name="Metric"/>
    <tableColumn id="2" name="Value"/>
    <tableColumn id="3" name="Expected"/>
    <tableColumn id="4" name="State"/>
    <tableColumn id="5" name="Source Trace"/>
  </tableColumns>
</table>
</file>

<file path=xl/tables/table3.xml><?xml version="1.0" encoding="utf-8"?>
<table xmlns="http://schemas.openxmlformats.org/spreadsheetml/2006/main" id="3" name="ExpenseDecisionMatrix" displayName="ExpenseDecisionMatrix" ref="A1:V9" headerRowCount="1" totalsRowCount="0" totalsRowShown="0">
  <autoFilter ref="A1:V9"/>
  <tableColumns count="22">
    <tableColumn id="1" name="Source Row"/>
    <tableColumn id="2" name="Employee"/>
    <tableColumn id="3" name="Employee Email"/>
    <tableColumn id="4" name="Category"/>
    <tableColumn id="5" name="Source Amount"/>
    <tableColumn id="6" name="Amount Numeric"/>
    <tableColumn id="7" name="Description"/>
    <tableColumn id="8" name="Receipt"/>
    <tableColumn id="9" name="Source Status"/>
    <tableColumn id="10" name="Notes"/>
    <tableColumn id="11" name="Receipt Compliant"/>
    <tableColumn id="12" name="Pre-approved"/>
    <tableColumn id="13" name="Category Rule Triggered"/>
    <tableColumn id="14" name="Approval Role"/>
    <tableColumn id="15" name="Final Decision"/>
    <tableColumn id="16" name="Proposed Status"/>
    <tableColumn id="17" name="Notify To"/>
    <tableColumn id="18" name="Email Draft"/>
    <tableColumn id="19" name="Tracker Update"/>
    <tableColumn id="20" name="Silent Hold"/>
    <tableColumn id="21" name="Decision Basis"/>
    <tableColumn id="22" name="Source Trace"/>
  </tableColumns>
</table>
</file>

<file path=xl/tables/table4.xml><?xml version="1.0" encoding="utf-8"?>
<table xmlns="http://schemas.openxmlformats.org/spreadsheetml/2006/main" id="4" name="ExpenseEvidenceRegister" displayName="ExpenseEvidenceRegister" ref="A1:E20" headerRowCount="1" totalsRowCount="0" totalsRowShown="0">
  <autoFilter ref="A1:E20"/>
  <tableColumns count="5">
    <tableColumn id="1" name="Evidence ID"/>
    <tableColumn id="2" name="Type"/>
    <tableColumn id="3" name="Subject"/>
    <tableColumn id="4" name="Exact Fact"/>
    <tableColumn id="5" name="Source Trace"/>
  </tableColumns>
</table>
</file>

<file path=xl/tables/table5.xml><?xml version="1.0" encoding="utf-8"?>
<table xmlns="http://schemas.openxmlformats.org/spreadsheetml/2006/main" id="5" name="ExpenseHigherApprovalQueue" displayName="ExpenseHigherApprovalQueue" ref="A1:L4" headerRowCount="1" totalsRowCount="0" totalsRowShown="0">
  <autoFilter ref="A1:L4"/>
  <tableColumns count="12">
    <tableColumn id="1" name="Order"/>
    <tableColumn id="2" name="Source Row"/>
    <tableColumn id="3" name="Employee"/>
    <tableColumn id="4" name="Category"/>
    <tableColumn id="5" name="Amount"/>
    <tableColumn id="6" name="Description"/>
    <tableColumn id="7" name="Receipt"/>
    <tableColumn id="8" name="Approval Role"/>
    <tableColumn id="9" name="Notify To"/>
    <tableColumn id="10" name="Proposed Status"/>
    <tableColumn id="11" name="Decision Basis"/>
    <tableColumn id="12" name="Source Trace"/>
  </tableColumns>
</table>
</file>

<file path=xl/tables/table6.xml><?xml version="1.0" encoding="utf-8"?>
<table xmlns="http://schemas.openxmlformats.org/spreadsheetml/2006/main" id="6" name="ExpenseNotificationRegister" displayName="ExpenseNotificationRegister" ref="A1:J8" headerRowCount="1" totalsRowCount="0" totalsRowShown="0">
  <autoFilter ref="A1:J8"/>
  <tableColumns count="10">
    <tableColumn id="1" name="Order"/>
    <tableColumn id="2" name="Source Row"/>
    <tableColumn id="3" name="Employee"/>
    <tableColumn id="4" name="Decision"/>
    <tableColumn id="5" name="To"/>
    <tableColumn id="6" name="Cc"/>
    <tableColumn id="7" name="Bcc"/>
    <tableColumn id="8" name="Subject"/>
    <tableColumn id="9" name="State"/>
    <tableColumn id="10" name="Source Trace"/>
  </tableColumns>
</table>
</file>

<file path=xl/tables/table7.xml><?xml version="1.0" encoding="utf-8"?>
<table xmlns="http://schemas.openxmlformats.org/spreadsheetml/2006/main" id="7" name="ExpensePolicySource" displayName="ExpensePolicySource" ref="A1:G2" headerRowCount="1" totalsRowCount="0" totalsRowShown="0">
  <autoFilter ref="A1:G2"/>
  <tableColumns count="7">
    <tableColumn id="1" name="Message ID"/>
    <tableColumn id="2" name="From"/>
    <tableColumn id="3" name="To"/>
    <tableColumn id="4" name="Subject"/>
    <tableColumn id="5" name="Date"/>
    <tableColumn id="6" name="Full Body"/>
    <tableColumn id="7" name="Source Trace"/>
  </tableColumns>
</table>
</file>

<file path=xl/tables/table8.xml><?xml version="1.0" encoding="utf-8"?>
<table xmlns="http://schemas.openxmlformats.org/spreadsheetml/2006/main" id="8" name="ExpenseSilentHold" displayName="ExpenseSilentHold" ref="A1:M2" headerRowCount="1" totalsRowCount="0" totalsRowShown="0">
  <autoFilter ref="A1:M2"/>
  <tableColumns count="13">
    <tableColumn id="1" name="Source Row"/>
    <tableColumn id="2" name="Employee"/>
    <tableColumn id="3" name="Category"/>
    <tableColumn id="4" name="Amount"/>
    <tableColumn id="5" name="Receipt"/>
    <tableColumn id="6" name="Source Status"/>
    <tableColumn id="7" name="Decision"/>
    <tableColumn id="8" name="Proposed Status"/>
    <tableColumn id="9" name="Email Draft"/>
    <tableColumn id="10" name="Tracker Update"/>
    <tableColumn id="11" name="Slack"/>
    <tableColumn id="12" name="Authority"/>
    <tableColumn id="13" name="Source Trace"/>
  </tableColumns>
</table>
</file>

<file path=xl/tables/table9.xml><?xml version="1.0" encoding="utf-8"?>
<table xmlns="http://schemas.openxmlformats.org/spreadsheetml/2006/main" id="9" name="ExpenseSourceRows" displayName="ExpenseSourceRows" ref="A1:I9" headerRowCount="1" totalsRowCount="0" totalsRowShown="0">
  <autoFilter ref="A1:I9"/>
  <tableColumns count="9">
    <tableColumn id="1" name="Source Row"/>
    <tableColumn id="2" name="Employee"/>
    <tableColumn id="3" name="Employee Email"/>
    <tableColumn id="4" name="Category"/>
    <tableColumn id="5" name="Amount"/>
    <tableColumn id="6" name="Description"/>
    <tableColumn id="7" name="Receipt"/>
    <tableColumn id="8" name="Status"/>
    <tableColumn id="9" name="Notes"/>
  </tableColumns>
</table>
</file>

<file path=xl/tables/table10.xml><?xml version="1.0" encoding="utf-8"?>
<table xmlns="http://schemas.openxmlformats.org/spreadsheetml/2006/main" id="10" name="ExpenseTrackerUpdateRegister" displayName="ExpenseTrackerUpdateRegister" ref="A1:I8" headerRowCount="1" totalsRowCount="0" totalsRowShown="0">
  <autoFilter ref="A1:I8"/>
  <tableColumns count="9">
    <tableColumn id="1" name="Order"/>
    <tableColumn id="2" name="Source Row"/>
    <tableColumn id="3" name="Employee"/>
    <tableColumn id="4" name="Source Status"/>
    <tableColumn id="5" name="Decision"/>
    <tableColumn id="6" name="Proposed Status"/>
    <tableColumn id="7" name="Applied"/>
    <tableColumn id="8" name="State"/>
    <tableColumn id="9" name="Source Trac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1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4"/>
    <col collapsed="false" customWidth="true" hidden="false" outlineLevel="0" max="3" min="3" style="0" width="37.99"/>
    <col collapsed="false" customWidth="true" hidden="false" outlineLevel="0" max="4" min="4" style="0" width="18"/>
    <col collapsed="false" customWidth="true" hidden="false" outlineLevel="0" max="5" min="5" style="0" width="14.01"/>
    <col collapsed="false" customWidth="true" hidden="false" outlineLevel="0" max="6" min="6" style="0" width="36.99"/>
    <col collapsed="false" customWidth="true" hidden="false" outlineLevel="0" max="7" min="7" style="0" width="11.99"/>
    <col collapsed="false" customWidth="true" hidden="false" outlineLevel="0" max="8" min="8" style="0" width="14.01"/>
    <col collapsed="false" customWidth="true" hidden="false" outlineLevel="0" max="9" min="9" style="0" width="34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2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customFormat="false" ht="15" hidden="false" customHeight="false" outlineLevel="0" collapsed="false">
      <c r="A3" s="2" t="n">
        <v>3</v>
      </c>
      <c r="B3" s="2" t="s">
        <v>16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14</v>
      </c>
      <c r="H3" s="2" t="s">
        <v>15</v>
      </c>
      <c r="I3" s="2"/>
    </row>
    <row r="4" customFormat="false" ht="15" hidden="false" customHeight="false" outlineLevel="0" collapsed="false">
      <c r="A4" s="2" t="n">
        <v>4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14</v>
      </c>
      <c r="H4" s="2" t="s">
        <v>15</v>
      </c>
      <c r="I4" s="2"/>
    </row>
    <row r="5" customFormat="false" ht="15" hidden="false" customHeight="false" outlineLevel="0" collapsed="false">
      <c r="A5" s="2" t="n">
        <v>5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14</v>
      </c>
      <c r="H5" s="2" t="s">
        <v>15</v>
      </c>
      <c r="I5" s="2"/>
    </row>
    <row r="6" customFormat="false" ht="15" hidden="false" customHeight="false" outlineLevel="0" collapsed="false">
      <c r="A6" s="2" t="n">
        <v>6</v>
      </c>
      <c r="B6" s="2" t="s">
        <v>30</v>
      </c>
      <c r="C6" s="2" t="s">
        <v>31</v>
      </c>
      <c r="D6" s="2" t="s">
        <v>22</v>
      </c>
      <c r="E6" s="2" t="s">
        <v>32</v>
      </c>
      <c r="F6" s="2" t="s">
        <v>33</v>
      </c>
      <c r="G6" s="2" t="s">
        <v>34</v>
      </c>
      <c r="H6" s="2" t="s">
        <v>15</v>
      </c>
      <c r="I6" s="2"/>
    </row>
    <row r="7" customFormat="false" ht="15" hidden="false" customHeight="false" outlineLevel="0" collapsed="false">
      <c r="A7" s="2" t="n">
        <v>7</v>
      </c>
      <c r="B7" s="2" t="s">
        <v>35</v>
      </c>
      <c r="C7" s="2" t="s">
        <v>36</v>
      </c>
      <c r="D7" s="2" t="s">
        <v>27</v>
      </c>
      <c r="E7" s="2" t="s">
        <v>37</v>
      </c>
      <c r="F7" s="2" t="s">
        <v>38</v>
      </c>
      <c r="G7" s="2" t="s">
        <v>14</v>
      </c>
      <c r="H7" s="2" t="s">
        <v>15</v>
      </c>
      <c r="I7" s="2"/>
    </row>
    <row r="8" customFormat="false" ht="15" hidden="false" customHeight="false" outlineLevel="0" collapsed="false">
      <c r="A8" s="2" t="n">
        <v>8</v>
      </c>
      <c r="B8" s="2" t="s">
        <v>39</v>
      </c>
      <c r="C8" s="2" t="s">
        <v>40</v>
      </c>
      <c r="D8" s="2" t="s">
        <v>11</v>
      </c>
      <c r="E8" s="2" t="s">
        <v>41</v>
      </c>
      <c r="F8" s="2" t="s">
        <v>42</v>
      </c>
      <c r="G8" s="2" t="s">
        <v>14</v>
      </c>
      <c r="H8" s="2" t="s">
        <v>15</v>
      </c>
      <c r="I8" s="2" t="s">
        <v>43</v>
      </c>
    </row>
    <row r="9" customFormat="false" ht="15" hidden="false" customHeight="false" outlineLevel="0" collapsed="false">
      <c r="A9" s="2" t="n">
        <v>9</v>
      </c>
      <c r="B9" s="2" t="s">
        <v>44</v>
      </c>
      <c r="C9" s="2" t="s">
        <v>45</v>
      </c>
      <c r="D9" s="2" t="s">
        <v>22</v>
      </c>
      <c r="E9" s="2" t="s">
        <v>46</v>
      </c>
      <c r="F9" s="2" t="s">
        <v>47</v>
      </c>
      <c r="G9" s="2" t="s">
        <v>14</v>
      </c>
      <c r="H9" s="2" t="s">
        <v>15</v>
      </c>
      <c r="I9" s="2"/>
    </row>
  </sheetData>
  <autoFilter ref="A1:I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&amp;CRESTRICTED · AutomationBench 5119 source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.99"/>
    <col collapsed="false" customWidth="true" hidden="false" outlineLevel="0" max="3" min="3" style="0" width="35"/>
    <col collapsed="false" customWidth="true" hidden="false" outlineLevel="0" max="4" min="4" style="0" width="32"/>
    <col collapsed="false" customWidth="true" hidden="false" outlineLevel="0" max="5" min="5" style="0" width="30.01"/>
    <col collapsed="false" customWidth="true" hidden="false" outlineLevel="0" max="6" min="6" style="0" width="128"/>
    <col collapsed="false" customWidth="true" hidden="false" outlineLevel="0" max="7" min="7" style="0" width="61.99"/>
  </cols>
  <sheetData>
    <row r="1" customFormat="false" ht="30.75" hidden="false" customHeight="true" outlineLevel="0" collapsed="false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customFormat="false" ht="219.75" hidden="false" customHeight="true" outlineLevel="0" collapsed="false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</row>
  </sheetData>
  <autoFilter ref="A1:G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&amp;CExact 2026 Expense Policy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9"/>
    <col collapsed="false" customWidth="true" hidden="false" outlineLevel="0" max="3" min="3" style="0" width="31.01"/>
    <col collapsed="false" customWidth="true" hidden="false" outlineLevel="0" max="4" min="4" style="0" width="104.99"/>
    <col collapsed="false" customWidth="true" hidden="false" outlineLevel="0" max="5" min="5" style="0" width="61.99"/>
  </cols>
  <sheetData>
    <row r="1" customFormat="false" ht="30.75" hidden="false" customHeight="true" outlineLevel="0" collapsed="false">
      <c r="A1" s="1" t="s">
        <v>62</v>
      </c>
      <c r="B1" s="1" t="s">
        <v>63</v>
      </c>
      <c r="C1" s="1" t="s">
        <v>51</v>
      </c>
      <c r="D1" s="1" t="s">
        <v>64</v>
      </c>
      <c r="E1" s="1" t="s">
        <v>54</v>
      </c>
    </row>
    <row r="2" customFormat="false" ht="15" hidden="false" customHeight="false" outlineLevel="0" collapsed="false">
      <c r="A2" s="2" t="s">
        <v>65</v>
      </c>
      <c r="B2" s="2" t="s">
        <v>66</v>
      </c>
      <c r="C2" s="2" t="s">
        <v>9</v>
      </c>
      <c r="D2" s="2" t="s">
        <v>67</v>
      </c>
      <c r="E2" s="2" t="s">
        <v>68</v>
      </c>
    </row>
    <row r="3" customFormat="false" ht="15" hidden="false" customHeight="false" outlineLevel="0" collapsed="false">
      <c r="A3" s="2" t="s">
        <v>69</v>
      </c>
      <c r="B3" s="2" t="s">
        <v>66</v>
      </c>
      <c r="C3" s="2" t="s">
        <v>16</v>
      </c>
      <c r="D3" s="2" t="s">
        <v>70</v>
      </c>
      <c r="E3" s="2" t="s">
        <v>71</v>
      </c>
    </row>
    <row r="4" customFormat="false" ht="15" hidden="false" customHeight="false" outlineLevel="0" collapsed="false">
      <c r="A4" s="2" t="s">
        <v>72</v>
      </c>
      <c r="B4" s="2" t="s">
        <v>66</v>
      </c>
      <c r="C4" s="2" t="s">
        <v>20</v>
      </c>
      <c r="D4" s="2" t="s">
        <v>73</v>
      </c>
      <c r="E4" s="2" t="s">
        <v>74</v>
      </c>
    </row>
    <row r="5" customFormat="false" ht="15" hidden="false" customHeight="false" outlineLevel="0" collapsed="false">
      <c r="A5" s="2" t="s">
        <v>75</v>
      </c>
      <c r="B5" s="2" t="s">
        <v>66</v>
      </c>
      <c r="C5" s="2" t="s">
        <v>25</v>
      </c>
      <c r="D5" s="2" t="s">
        <v>76</v>
      </c>
      <c r="E5" s="2" t="s">
        <v>77</v>
      </c>
    </row>
    <row r="6" customFormat="false" ht="15" hidden="false" customHeight="false" outlineLevel="0" collapsed="false">
      <c r="A6" s="2" t="s">
        <v>78</v>
      </c>
      <c r="B6" s="2" t="s">
        <v>66</v>
      </c>
      <c r="C6" s="2" t="s">
        <v>30</v>
      </c>
      <c r="D6" s="2" t="s">
        <v>79</v>
      </c>
      <c r="E6" s="2" t="s">
        <v>80</v>
      </c>
    </row>
    <row r="7" customFormat="false" ht="15" hidden="false" customHeight="false" outlineLevel="0" collapsed="false">
      <c r="A7" s="2" t="s">
        <v>81</v>
      </c>
      <c r="B7" s="2" t="s">
        <v>66</v>
      </c>
      <c r="C7" s="2" t="s">
        <v>35</v>
      </c>
      <c r="D7" s="2" t="s">
        <v>82</v>
      </c>
      <c r="E7" s="2" t="s">
        <v>83</v>
      </c>
    </row>
    <row r="8" customFormat="false" ht="15" hidden="false" customHeight="false" outlineLevel="0" collapsed="false">
      <c r="A8" s="2" t="s">
        <v>84</v>
      </c>
      <c r="B8" s="2" t="s">
        <v>66</v>
      </c>
      <c r="C8" s="2" t="s">
        <v>39</v>
      </c>
      <c r="D8" s="2" t="s">
        <v>85</v>
      </c>
      <c r="E8" s="2" t="s">
        <v>86</v>
      </c>
    </row>
    <row r="9" customFormat="false" ht="15" hidden="false" customHeight="false" outlineLevel="0" collapsed="false">
      <c r="A9" s="2" t="s">
        <v>87</v>
      </c>
      <c r="B9" s="2" t="s">
        <v>66</v>
      </c>
      <c r="C9" s="2" t="s">
        <v>44</v>
      </c>
      <c r="D9" s="2" t="s">
        <v>88</v>
      </c>
      <c r="E9" s="2" t="s">
        <v>89</v>
      </c>
    </row>
    <row r="10" customFormat="false" ht="15" hidden="false" customHeight="false" outlineLevel="0" collapsed="false">
      <c r="A10" s="2" t="s">
        <v>90</v>
      </c>
      <c r="B10" s="2" t="s">
        <v>91</v>
      </c>
      <c r="C10" s="2" t="s">
        <v>11</v>
      </c>
      <c r="D10" s="2" t="s">
        <v>92</v>
      </c>
      <c r="E10" s="2" t="s">
        <v>61</v>
      </c>
    </row>
    <row r="11" customFormat="false" ht="15" hidden="false" customHeight="false" outlineLevel="0" collapsed="false">
      <c r="A11" s="2" t="s">
        <v>93</v>
      </c>
      <c r="B11" s="2" t="s">
        <v>91</v>
      </c>
      <c r="C11" s="2" t="s">
        <v>22</v>
      </c>
      <c r="D11" s="2" t="s">
        <v>94</v>
      </c>
      <c r="E11" s="2" t="s">
        <v>61</v>
      </c>
    </row>
    <row r="12" customFormat="false" ht="15" hidden="false" customHeight="false" outlineLevel="0" collapsed="false">
      <c r="A12" s="2" t="s">
        <v>95</v>
      </c>
      <c r="B12" s="2" t="s">
        <v>91</v>
      </c>
      <c r="C12" s="2" t="s">
        <v>27</v>
      </c>
      <c r="D12" s="2" t="s">
        <v>96</v>
      </c>
      <c r="E12" s="2" t="s">
        <v>61</v>
      </c>
    </row>
    <row r="13" customFormat="false" ht="15" hidden="false" customHeight="false" outlineLevel="0" collapsed="false">
      <c r="A13" s="2" t="s">
        <v>97</v>
      </c>
      <c r="B13" s="2" t="s">
        <v>91</v>
      </c>
      <c r="C13" s="2" t="s">
        <v>98</v>
      </c>
      <c r="D13" s="2" t="s">
        <v>99</v>
      </c>
      <c r="E13" s="2" t="s">
        <v>61</v>
      </c>
    </row>
    <row r="14" customFormat="false" ht="15" hidden="false" customHeight="false" outlineLevel="0" collapsed="false">
      <c r="A14" s="2" t="s">
        <v>100</v>
      </c>
      <c r="B14" s="2" t="s">
        <v>91</v>
      </c>
      <c r="C14" s="2" t="s">
        <v>101</v>
      </c>
      <c r="D14" s="2" t="s">
        <v>102</v>
      </c>
      <c r="E14" s="2" t="s">
        <v>61</v>
      </c>
    </row>
    <row r="15" customFormat="false" ht="15" hidden="false" customHeight="false" outlineLevel="0" collapsed="false">
      <c r="A15" s="2" t="s">
        <v>103</v>
      </c>
      <c r="B15" s="2" t="s">
        <v>91</v>
      </c>
      <c r="C15" s="2" t="s">
        <v>104</v>
      </c>
      <c r="D15" s="2" t="s">
        <v>105</v>
      </c>
      <c r="E15" s="2" t="s">
        <v>61</v>
      </c>
    </row>
    <row r="16" customFormat="false" ht="15" hidden="false" customHeight="false" outlineLevel="0" collapsed="false">
      <c r="A16" s="2" t="s">
        <v>106</v>
      </c>
      <c r="B16" s="2" t="s">
        <v>91</v>
      </c>
      <c r="C16" s="2" t="s">
        <v>107</v>
      </c>
      <c r="D16" s="2" t="s">
        <v>108</v>
      </c>
      <c r="E16" s="2" t="s">
        <v>61</v>
      </c>
    </row>
    <row r="17" customFormat="false" ht="15" hidden="false" customHeight="false" outlineLevel="0" collapsed="false">
      <c r="A17" s="2" t="s">
        <v>109</v>
      </c>
      <c r="B17" s="2" t="s">
        <v>91</v>
      </c>
      <c r="C17" s="2" t="s">
        <v>110</v>
      </c>
      <c r="D17" s="2" t="s">
        <v>111</v>
      </c>
      <c r="E17" s="2" t="s">
        <v>61</v>
      </c>
    </row>
    <row r="18" customFormat="false" ht="15" hidden="false" customHeight="false" outlineLevel="0" collapsed="false">
      <c r="A18" s="2" t="s">
        <v>112</v>
      </c>
      <c r="B18" s="2" t="s">
        <v>113</v>
      </c>
      <c r="C18" s="2" t="s">
        <v>114</v>
      </c>
      <c r="D18" s="2" t="s">
        <v>115</v>
      </c>
      <c r="E18" s="2" t="s">
        <v>116</v>
      </c>
    </row>
    <row r="19" customFormat="false" ht="15" hidden="false" customHeight="false" outlineLevel="0" collapsed="false">
      <c r="A19" s="2" t="s">
        <v>117</v>
      </c>
      <c r="B19" s="2" t="s">
        <v>118</v>
      </c>
      <c r="C19" s="2" t="s">
        <v>119</v>
      </c>
      <c r="D19" s="2" t="s">
        <v>120</v>
      </c>
      <c r="E19" s="2" t="s">
        <v>121</v>
      </c>
    </row>
    <row r="20" customFormat="false" ht="15" hidden="false" customHeight="false" outlineLevel="0" collapsed="false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</row>
  </sheetData>
  <autoFilter ref="A1:E20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&amp;C19 source-backed evidence records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V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.01"/>
    <col collapsed="false" customWidth="true" hidden="false" outlineLevel="0" max="3" min="3" style="0" width="36"/>
    <col collapsed="false" customWidth="true" hidden="false" outlineLevel="0" max="4" min="4" style="0" width="17"/>
    <col collapsed="false" customWidth="true" hidden="false" outlineLevel="0" max="6" min="5" style="0" width="14.01"/>
    <col collapsed="false" customWidth="true" hidden="false" outlineLevel="0" max="7" min="7" style="0" width="35"/>
    <col collapsed="false" customWidth="true" hidden="false" outlineLevel="0" max="8" min="8" style="0" width="10.99"/>
    <col collapsed="false" customWidth="true" hidden="false" outlineLevel="0" max="9" min="9" style="0" width="13.01"/>
    <col collapsed="false" customWidth="true" hidden="false" outlineLevel="0" max="10" min="10" style="0" width="31.01"/>
    <col collapsed="false" customWidth="true" hidden="false" outlineLevel="0" max="11" min="11" style="0" width="15"/>
    <col collapsed="false" customWidth="true" hidden="false" outlineLevel="0" max="12" min="12" style="0" width="14.01"/>
    <col collapsed="false" customWidth="true" hidden="false" outlineLevel="0" max="13" min="13" style="0" width="18"/>
    <col collapsed="false" customWidth="true" hidden="false" outlineLevel="0" max="14" min="14" style="0" width="17"/>
    <col collapsed="false" customWidth="true" hidden="false" outlineLevel="0" max="15" min="15" style="0" width="19"/>
    <col collapsed="false" customWidth="true" hidden="false" outlineLevel="0" max="16" min="16" style="0" width="30.01"/>
    <col collapsed="false" customWidth="true" hidden="false" outlineLevel="0" max="17" min="17" style="0" width="37.99"/>
    <col collapsed="false" customWidth="true" hidden="false" outlineLevel="0" max="18" min="18" style="0" width="13.01"/>
    <col collapsed="false" customWidth="true" hidden="false" outlineLevel="0" max="19" min="19" style="0" width="15"/>
    <col collapsed="false" customWidth="true" hidden="false" outlineLevel="0" max="20" min="20" style="0" width="13.01"/>
    <col collapsed="false" customWidth="true" hidden="false" outlineLevel="0" max="21" min="21" style="0" width="61.99"/>
    <col collapsed="false" customWidth="true" hidden="false" outlineLevel="0" max="22" min="22" style="0" width="66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127</v>
      </c>
      <c r="F1" s="1" t="s">
        <v>128</v>
      </c>
      <c r="G1" s="1" t="s">
        <v>5</v>
      </c>
      <c r="H1" s="1" t="s">
        <v>6</v>
      </c>
      <c r="I1" s="1" t="s">
        <v>129</v>
      </c>
      <c r="J1" s="1" t="s">
        <v>8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54</v>
      </c>
    </row>
    <row r="2" customFormat="false" ht="15" hidden="false" customHeight="false" outlineLevel="0" collapsed="false">
      <c r="A2" s="2" t="n">
        <f aca="false">Source_Reports!A2</f>
        <v>2</v>
      </c>
      <c r="B2" s="2" t="str">
        <f aca="false">Source_Reports!B2</f>
        <v>Alice Johansson</v>
      </c>
      <c r="C2" s="2" t="str">
        <f aca="false">Source_Reports!C2</f>
        <v>alice.johansson@company.example.com</v>
      </c>
      <c r="D2" s="2" t="str">
        <f aca="false">Source_Reports!D2</f>
        <v>Meals</v>
      </c>
      <c r="E2" s="2" t="str">
        <f aca="false">Source_Reports!E2</f>
        <v>$62.00</v>
      </c>
      <c r="F2" s="3" t="n">
        <f aca="false">VALUE(SUBSTITUTE(SUBSTITUTE(E2,"$",""),",",""))</f>
        <v>62</v>
      </c>
      <c r="G2" s="2" t="str">
        <f aca="false">Source_Reports!F2</f>
        <v>Client dinner</v>
      </c>
      <c r="H2" s="2" t="str">
        <f aca="false">Source_Reports!G2</f>
        <v>Yes</v>
      </c>
      <c r="I2" s="2" t="str">
        <f aca="false">Source_Reports!H2</f>
        <v>Pending</v>
      </c>
      <c r="J2" s="2" t="n">
        <f aca="false">Source_Reports!I2</f>
        <v>0</v>
      </c>
      <c r="K2" s="2" t="str">
        <f aca="false">IF(H2="Yes","YES","NO")</f>
        <v>YES</v>
      </c>
      <c r="L2" s="2" t="str">
        <f aca="false">IF(ISNUMBER(SEARCH("Pre-approved by CFO",J2)),"YES","NO")</f>
        <v>NO</v>
      </c>
      <c r="M2" s="2" t="str">
        <f aca="false">IF(D2="Meals",IF(F2&gt;75,"YES","NO"),IF(D2="Travel",IF(ISNUMBER(SEARCH("business class",G2)),"YES","NO"),IF(D2="Software/Tools",IF(F2&gt;500,"YES","NO"),"NO")))</f>
        <v>NO</v>
      </c>
      <c r="N2" s="2" t="str">
        <f aca="false">IF(M2="NO","",IF(D2="Meals","CFO",IF(D2="Travel","VP Travel",IF(D2="Software/Tools","IT Director",""))))</f>
        <v/>
      </c>
      <c r="O2" s="2" t="str">
        <f aca="false">IF(K2="NO","SILENT_HOLD",IF(L2="YES","APPROVED",IF(M2="YES","HIGHER_APPROVAL","APPROVED")))</f>
        <v>APPROVED</v>
      </c>
      <c r="P2" s="2" t="str">
        <f aca="false">IF(O2="SILENT_HOLD",I2,IF(O2="APPROVED","Approved",IF(N2="CFO","Pending CFO Approval",IF(N2="VP Travel","Pending VP Approval",IF(N2="IT Director","Pending IT Director Approval","")))))</f>
        <v>Approved</v>
      </c>
      <c r="Q2" s="2" t="str">
        <f aca="false">IF(O2="SILENT_HOLD","",IF(O2="APPROVED",C2,IF(N2="CFO","cfo@company.example.com",IF(N2="VP Travel","vp-travel@company.example.com",IF(N2="IT Director","it-director@company.example.com","")))))</f>
        <v>alice.johansson@company.example.com</v>
      </c>
      <c r="R2" s="2" t="str">
        <f aca="false">IF(O2="SILENT_HOLD","NO","YES")</f>
        <v>YES</v>
      </c>
      <c r="S2" s="2" t="str">
        <f aca="false">IF(O2="SILENT_HOLD","NO","YES")</f>
        <v>YES</v>
      </c>
      <c r="T2" s="2" t="str">
        <f aca="false">IF(O2="SILENT_HOLD","YES","NO")</f>
        <v>NO</v>
      </c>
      <c r="U2" s="2" t="str">
        <f aca="false">IF(O2="SILENT_HOLD","Policy rules 5 and 8: missing receipt remains unchanged and silent; no small-dollar exception",IF(L2="YES","Receipt present + source Notes: Pre-approved by CFO on April 3",IF(M2="YES","Receipt present + category threshold requires "&amp;N2&amp;" approval","Receipt present + category rule satisfied")))</f>
        <v>Receipt present + category rule satisfied</v>
      </c>
      <c r="V2" s="2" t="str">
        <f aca="false">"Expense_Report_Tracker.xlsx:Pending Reports row "&amp;A2&amp;" | Expense_Policy.mbox:msg_expense_policy_5119"</f>
        <v>Expense_Report_Tracker.xlsx:Pending Reports row 2 | Expense_Policy.mbox:msg_expense_policy_5119</v>
      </c>
    </row>
    <row r="3" customFormat="false" ht="15" hidden="false" customHeight="false" outlineLevel="0" collapsed="false">
      <c r="A3" s="2" t="n">
        <f aca="false">Source_Reports!A3</f>
        <v>3</v>
      </c>
      <c r="B3" s="2" t="str">
        <f aca="false">Source_Reports!B3</f>
        <v>Ben Torres</v>
      </c>
      <c r="C3" s="2" t="str">
        <f aca="false">Source_Reports!C3</f>
        <v>ben.torres@company.example.com</v>
      </c>
      <c r="D3" s="2" t="str">
        <f aca="false">Source_Reports!D3</f>
        <v>Meals</v>
      </c>
      <c r="E3" s="2" t="str">
        <f aca="false">Source_Reports!E3</f>
        <v>$120.00</v>
      </c>
      <c r="F3" s="3" t="n">
        <f aca="false">VALUE(SUBSTITUTE(SUBSTITUTE(E3,"$",""),",",""))</f>
        <v>120</v>
      </c>
      <c r="G3" s="2" t="str">
        <f aca="false">Source_Reports!F3</f>
        <v>Team celebration dinner</v>
      </c>
      <c r="H3" s="2" t="str">
        <f aca="false">Source_Reports!G3</f>
        <v>Yes</v>
      </c>
      <c r="I3" s="2" t="str">
        <f aca="false">Source_Reports!H3</f>
        <v>Pending</v>
      </c>
      <c r="J3" s="2" t="n">
        <f aca="false">Source_Reports!I3</f>
        <v>0</v>
      </c>
      <c r="K3" s="2" t="str">
        <f aca="false">IF(H3="Yes","YES","NO")</f>
        <v>YES</v>
      </c>
      <c r="L3" s="2" t="str">
        <f aca="false">IF(ISNUMBER(SEARCH("Pre-approved by CFO",J3)),"YES","NO")</f>
        <v>NO</v>
      </c>
      <c r="M3" s="2" t="str">
        <f aca="false">IF(D3="Meals",IF(F3&gt;75,"YES","NO"),IF(D3="Travel",IF(ISNUMBER(SEARCH("business class",G3)),"YES","NO"),IF(D3="Software/Tools",IF(F3&gt;500,"YES","NO"),"NO")))</f>
        <v>YES</v>
      </c>
      <c r="N3" s="2" t="str">
        <f aca="false">IF(M3="NO","",IF(D3="Meals","CFO",IF(D3="Travel","VP Travel",IF(D3="Software/Tools","IT Director",""))))</f>
        <v>CFO</v>
      </c>
      <c r="O3" s="2" t="str">
        <f aca="false">IF(K3="NO","SILENT_HOLD",IF(L3="YES","APPROVED",IF(M3="YES","HIGHER_APPROVAL","APPROVED")))</f>
        <v>HIGHER_APPROVAL</v>
      </c>
      <c r="P3" s="2" t="str">
        <f aca="false">IF(O3="SILENT_HOLD",I3,IF(O3="APPROVED","Approved",IF(N3="CFO","Pending CFO Approval",IF(N3="VP Travel","Pending VP Approval",IF(N3="IT Director","Pending IT Director Approval","")))))</f>
        <v>Pending CFO Approval</v>
      </c>
      <c r="Q3" s="2" t="str">
        <f aca="false">IF(O3="SILENT_HOLD","",IF(O3="APPROVED",C3,IF(N3="CFO","cfo@company.example.com",IF(N3="VP Travel","vp-travel@company.example.com",IF(N3="IT Director","it-director@company.example.com","")))))</f>
        <v>cfo@company.example.com</v>
      </c>
      <c r="R3" s="2" t="str">
        <f aca="false">IF(O3="SILENT_HOLD","NO","YES")</f>
        <v>YES</v>
      </c>
      <c r="S3" s="2" t="str">
        <f aca="false">IF(O3="SILENT_HOLD","NO","YES")</f>
        <v>YES</v>
      </c>
      <c r="T3" s="2" t="str">
        <f aca="false">IF(O3="SILENT_HOLD","YES","NO")</f>
        <v>NO</v>
      </c>
      <c r="U3" s="2" t="str">
        <f aca="false">IF(O3="SILENT_HOLD","Policy rules 5 and 8: missing receipt remains unchanged and silent; no small-dollar exception",IF(L3="YES","Receipt present + source Notes: Pre-approved by CFO on April 3",IF(M3="YES","Receipt present + category threshold requires "&amp;N3&amp;" approval","Receipt present + category rule satisfied")))</f>
        <v>Receipt present + category threshold requires CFO approval</v>
      </c>
      <c r="V3" s="2" t="str">
        <f aca="false">"Expense_Report_Tracker.xlsx:Pending Reports row "&amp;A3&amp;" | Expense_Policy.mbox:msg_expense_policy_5119"</f>
        <v>Expense_Report_Tracker.xlsx:Pending Reports row 3 | Expense_Policy.mbox:msg_expense_policy_5119</v>
      </c>
    </row>
    <row r="4" customFormat="false" ht="15" hidden="false" customHeight="false" outlineLevel="0" collapsed="false">
      <c r="A4" s="2" t="n">
        <f aca="false">Source_Reports!A4</f>
        <v>4</v>
      </c>
      <c r="B4" s="2" t="str">
        <f aca="false">Source_Reports!B4</f>
        <v>Claudia Reeves</v>
      </c>
      <c r="C4" s="2" t="str">
        <f aca="false">Source_Reports!C4</f>
        <v>claudia.reeves@company.example.com</v>
      </c>
      <c r="D4" s="2" t="str">
        <f aca="false">Source_Reports!D4</f>
        <v>Travel</v>
      </c>
      <c r="E4" s="2" t="str">
        <f aca="false">Source_Reports!E4</f>
        <v>$2,400.00</v>
      </c>
      <c r="F4" s="3" t="n">
        <f aca="false">VALUE(SUBSTITUTE(SUBSTITUTE(E4,"$",""),",",""))</f>
        <v>2400</v>
      </c>
      <c r="G4" s="2" t="str">
        <f aca="false">Source_Reports!F4</f>
        <v>Flight to NYC - business class</v>
      </c>
      <c r="H4" s="2" t="str">
        <f aca="false">Source_Reports!G4</f>
        <v>Yes</v>
      </c>
      <c r="I4" s="2" t="str">
        <f aca="false">Source_Reports!H4</f>
        <v>Pending</v>
      </c>
      <c r="J4" s="2" t="n">
        <f aca="false">Source_Reports!I4</f>
        <v>0</v>
      </c>
      <c r="K4" s="2" t="str">
        <f aca="false">IF(H4="Yes","YES","NO")</f>
        <v>YES</v>
      </c>
      <c r="L4" s="2" t="str">
        <f aca="false">IF(ISNUMBER(SEARCH("Pre-approved by CFO",J4)),"YES","NO")</f>
        <v>NO</v>
      </c>
      <c r="M4" s="2" t="str">
        <f aca="false">IF(D4="Meals",IF(F4&gt;75,"YES","NO"),IF(D4="Travel",IF(ISNUMBER(SEARCH("business class",G4)),"YES","NO"),IF(D4="Software/Tools",IF(F4&gt;500,"YES","NO"),"NO")))</f>
        <v>YES</v>
      </c>
      <c r="N4" s="2" t="str">
        <f aca="false">IF(M4="NO","",IF(D4="Meals","CFO",IF(D4="Travel","VP Travel",IF(D4="Software/Tools","IT Director",""))))</f>
        <v>VP Travel</v>
      </c>
      <c r="O4" s="2" t="str">
        <f aca="false">IF(K4="NO","SILENT_HOLD",IF(L4="YES","APPROVED",IF(M4="YES","HIGHER_APPROVAL","APPROVED")))</f>
        <v>HIGHER_APPROVAL</v>
      </c>
      <c r="P4" s="2" t="str">
        <f aca="false">IF(O4="SILENT_HOLD",I4,IF(O4="APPROVED","Approved",IF(N4="CFO","Pending CFO Approval",IF(N4="VP Travel","Pending VP Approval",IF(N4="IT Director","Pending IT Director Approval","")))))</f>
        <v>Pending VP Approval</v>
      </c>
      <c r="Q4" s="2" t="str">
        <f aca="false">IF(O4="SILENT_HOLD","",IF(O4="APPROVED",C4,IF(N4="CFO","cfo@company.example.com",IF(N4="VP Travel","vp-travel@company.example.com",IF(N4="IT Director","it-director@company.example.com","")))))</f>
        <v>vp-travel@company.example.com</v>
      </c>
      <c r="R4" s="2" t="str">
        <f aca="false">IF(O4="SILENT_HOLD","NO","YES")</f>
        <v>YES</v>
      </c>
      <c r="S4" s="2" t="str">
        <f aca="false">IF(O4="SILENT_HOLD","NO","YES")</f>
        <v>YES</v>
      </c>
      <c r="T4" s="2" t="str">
        <f aca="false">IF(O4="SILENT_HOLD","YES","NO")</f>
        <v>NO</v>
      </c>
      <c r="U4" s="2" t="str">
        <f aca="false">IF(O4="SILENT_HOLD","Policy rules 5 and 8: missing receipt remains unchanged and silent; no small-dollar exception",IF(L4="YES","Receipt present + source Notes: Pre-approved by CFO on April 3",IF(M4="YES","Receipt present + category threshold requires "&amp;N4&amp;" approval","Receipt present + category rule satisfied")))</f>
        <v>Receipt present + category threshold requires VP Travel approval</v>
      </c>
      <c r="V4" s="2" t="str">
        <f aca="false">"Expense_Report_Tracker.xlsx:Pending Reports row "&amp;A4&amp;" | Expense_Policy.mbox:msg_expense_policy_5119"</f>
        <v>Expense_Report_Tracker.xlsx:Pending Reports row 4 | Expense_Policy.mbox:msg_expense_policy_5119</v>
      </c>
    </row>
    <row r="5" customFormat="false" ht="15" hidden="false" customHeight="false" outlineLevel="0" collapsed="false">
      <c r="A5" s="2" t="n">
        <f aca="false">Source_Reports!A5</f>
        <v>5</v>
      </c>
      <c r="B5" s="2" t="str">
        <f aca="false">Source_Reports!B5</f>
        <v>David Osei</v>
      </c>
      <c r="C5" s="2" t="str">
        <f aca="false">Source_Reports!C5</f>
        <v>david.osei@company.example.com</v>
      </c>
      <c r="D5" s="2" t="str">
        <f aca="false">Source_Reports!D5</f>
        <v>Software/Tools</v>
      </c>
      <c r="E5" s="2" t="str">
        <f aca="false">Source_Reports!E5</f>
        <v>$350.00</v>
      </c>
      <c r="F5" s="3" t="n">
        <f aca="false">VALUE(SUBSTITUTE(SUBSTITUTE(E5,"$",""),",",""))</f>
        <v>350</v>
      </c>
      <c r="G5" s="2" t="str">
        <f aca="false">Source_Reports!F5</f>
        <v>Annual IDE license</v>
      </c>
      <c r="H5" s="2" t="str">
        <f aca="false">Source_Reports!G5</f>
        <v>Yes</v>
      </c>
      <c r="I5" s="2" t="str">
        <f aca="false">Source_Reports!H5</f>
        <v>Pending</v>
      </c>
      <c r="J5" s="2" t="n">
        <f aca="false">Source_Reports!I5</f>
        <v>0</v>
      </c>
      <c r="K5" s="2" t="str">
        <f aca="false">IF(H5="Yes","YES","NO")</f>
        <v>YES</v>
      </c>
      <c r="L5" s="2" t="str">
        <f aca="false">IF(ISNUMBER(SEARCH("Pre-approved by CFO",J5)),"YES","NO")</f>
        <v>NO</v>
      </c>
      <c r="M5" s="2" t="str">
        <f aca="false">IF(D5="Meals",IF(F5&gt;75,"YES","NO"),IF(D5="Travel",IF(ISNUMBER(SEARCH("business class",G5)),"YES","NO"),IF(D5="Software/Tools",IF(F5&gt;500,"YES","NO"),"NO")))</f>
        <v>NO</v>
      </c>
      <c r="N5" s="2" t="str">
        <f aca="false">IF(M5="NO","",IF(D5="Meals","CFO",IF(D5="Travel","VP Travel",IF(D5="Software/Tools","IT Director",""))))</f>
        <v/>
      </c>
      <c r="O5" s="2" t="str">
        <f aca="false">IF(K5="NO","SILENT_HOLD",IF(L5="YES","APPROVED",IF(M5="YES","HIGHER_APPROVAL","APPROVED")))</f>
        <v>APPROVED</v>
      </c>
      <c r="P5" s="2" t="str">
        <f aca="false">IF(O5="SILENT_HOLD",I5,IF(O5="APPROVED","Approved",IF(N5="CFO","Pending CFO Approval",IF(N5="VP Travel","Pending VP Approval",IF(N5="IT Director","Pending IT Director Approval","")))))</f>
        <v>Approved</v>
      </c>
      <c r="Q5" s="2" t="str">
        <f aca="false">IF(O5="SILENT_HOLD","",IF(O5="APPROVED",C5,IF(N5="CFO","cfo@company.example.com",IF(N5="VP Travel","vp-travel@company.example.com",IF(N5="IT Director","it-director@company.example.com","")))))</f>
        <v>david.osei@company.example.com</v>
      </c>
      <c r="R5" s="2" t="str">
        <f aca="false">IF(O5="SILENT_HOLD","NO","YES")</f>
        <v>YES</v>
      </c>
      <c r="S5" s="2" t="str">
        <f aca="false">IF(O5="SILENT_HOLD","NO","YES")</f>
        <v>YES</v>
      </c>
      <c r="T5" s="2" t="str">
        <f aca="false">IF(O5="SILENT_HOLD","YES","NO")</f>
        <v>NO</v>
      </c>
      <c r="U5" s="2" t="str">
        <f aca="false">IF(O5="SILENT_HOLD","Policy rules 5 and 8: missing receipt remains unchanged and silent; no small-dollar exception",IF(L5="YES","Receipt present + source Notes: Pre-approved by CFO on April 3",IF(M5="YES","Receipt present + category threshold requires "&amp;N5&amp;" approval","Receipt present + category rule satisfied")))</f>
        <v>Receipt present + category rule satisfied</v>
      </c>
      <c r="V5" s="2" t="str">
        <f aca="false">"Expense_Report_Tracker.xlsx:Pending Reports row "&amp;A5&amp;" | Expense_Policy.mbox:msg_expense_policy_5119"</f>
        <v>Expense_Report_Tracker.xlsx:Pending Reports row 5 | Expense_Policy.mbox:msg_expense_policy_5119</v>
      </c>
    </row>
    <row r="6" customFormat="false" ht="15" hidden="false" customHeight="false" outlineLevel="0" collapsed="false">
      <c r="A6" s="2" t="n">
        <f aca="false">Source_Reports!A6</f>
        <v>6</v>
      </c>
      <c r="B6" s="2" t="str">
        <f aca="false">Source_Reports!B6</f>
        <v>Elena Marchetti</v>
      </c>
      <c r="C6" s="2" t="str">
        <f aca="false">Source_Reports!C6</f>
        <v>elena.marchetti@company.example.com</v>
      </c>
      <c r="D6" s="2" t="str">
        <f aca="false">Source_Reports!D6</f>
        <v>Travel</v>
      </c>
      <c r="E6" s="2" t="str">
        <f aca="false">Source_Reports!E6</f>
        <v>$1,800.00</v>
      </c>
      <c r="F6" s="3" t="n">
        <f aca="false">VALUE(SUBSTITUTE(SUBSTITUTE(E6,"$",""),",",""))</f>
        <v>1800</v>
      </c>
      <c r="G6" s="2" t="str">
        <f aca="false">Source_Reports!F6</f>
        <v>Conference flights + hotel</v>
      </c>
      <c r="H6" s="2" t="str">
        <f aca="false">Source_Reports!G6</f>
        <v>No</v>
      </c>
      <c r="I6" s="2" t="str">
        <f aca="false">Source_Reports!H6</f>
        <v>Pending</v>
      </c>
      <c r="J6" s="2" t="n">
        <f aca="false">Source_Reports!I6</f>
        <v>0</v>
      </c>
      <c r="K6" s="2" t="str">
        <f aca="false">IF(H6="Yes","YES","NO")</f>
        <v>NO</v>
      </c>
      <c r="L6" s="2" t="str">
        <f aca="false">IF(ISNUMBER(SEARCH("Pre-approved by CFO",J6)),"YES","NO")</f>
        <v>NO</v>
      </c>
      <c r="M6" s="2" t="str">
        <f aca="false">IF(D6="Meals",IF(F6&gt;75,"YES","NO"),IF(D6="Travel",IF(ISNUMBER(SEARCH("business class",G6)),"YES","NO"),IF(D6="Software/Tools",IF(F6&gt;500,"YES","NO"),"NO")))</f>
        <v>NO</v>
      </c>
      <c r="N6" s="2" t="str">
        <f aca="false">IF(M6="NO","",IF(D6="Meals","CFO",IF(D6="Travel","VP Travel",IF(D6="Software/Tools","IT Director",""))))</f>
        <v/>
      </c>
      <c r="O6" s="2" t="str">
        <f aca="false">IF(K6="NO","SILENT_HOLD",IF(L6="YES","APPROVED",IF(M6="YES","HIGHER_APPROVAL","APPROVED")))</f>
        <v>SILENT_HOLD</v>
      </c>
      <c r="P6" s="2" t="str">
        <f aca="false">IF(O6="SILENT_HOLD",I6,IF(O6="APPROVED","Approved",IF(N6="CFO","Pending CFO Approval",IF(N6="VP Travel","Pending VP Approval",IF(N6="IT Director","Pending IT Director Approval","")))))</f>
        <v>Pending</v>
      </c>
      <c r="Q6" s="2" t="str">
        <f aca="false">IF(O6="SILENT_HOLD","",IF(O6="APPROVED",C6,IF(N6="CFO","cfo@company.example.com",IF(N6="VP Travel","vp-travel@company.example.com",IF(N6="IT Director","it-director@company.example.com","")))))</f>
        <v/>
      </c>
      <c r="R6" s="2" t="str">
        <f aca="false">IF(O6="SILENT_HOLD","NO","YES")</f>
        <v>NO</v>
      </c>
      <c r="S6" s="2" t="str">
        <f aca="false">IF(O6="SILENT_HOLD","NO","YES")</f>
        <v>NO</v>
      </c>
      <c r="T6" s="2" t="str">
        <f aca="false">IF(O6="SILENT_HOLD","YES","NO")</f>
        <v>YES</v>
      </c>
      <c r="U6" s="2" t="str">
        <f aca="false">IF(O6="SILENT_HOLD","Policy rules 5 and 8: missing receipt remains unchanged and silent; no small-dollar exception",IF(L6="YES","Receipt present + source Notes: Pre-approved by CFO on April 3",IF(M6="YES","Receipt present + category threshold requires "&amp;N6&amp;" approval","Receipt present + category rule satisfied")))</f>
        <v>Policy rules 5 and 8: missing receipt remains unchanged and silent; no small-dollar exception</v>
      </c>
      <c r="V6" s="2" t="str">
        <f aca="false">"Expense_Report_Tracker.xlsx:Pending Reports row "&amp;A6&amp;" | Expense_Policy.mbox:msg_expense_policy_5119"</f>
        <v>Expense_Report_Tracker.xlsx:Pending Reports row 6 | Expense_Policy.mbox:msg_expense_policy_5119</v>
      </c>
    </row>
    <row r="7" customFormat="false" ht="15" hidden="false" customHeight="false" outlineLevel="0" collapsed="false">
      <c r="A7" s="2" t="n">
        <f aca="false">Source_Reports!A7</f>
        <v>7</v>
      </c>
      <c r="B7" s="2" t="str">
        <f aca="false">Source_Reports!B7</f>
        <v>Finn Larsson</v>
      </c>
      <c r="C7" s="2" t="str">
        <f aca="false">Source_Reports!C7</f>
        <v>finn.larsson@company.example.com</v>
      </c>
      <c r="D7" s="2" t="str">
        <f aca="false">Source_Reports!D7</f>
        <v>Software/Tools</v>
      </c>
      <c r="E7" s="2" t="str">
        <f aca="false">Source_Reports!E7</f>
        <v>$799.00</v>
      </c>
      <c r="F7" s="3" t="n">
        <f aca="false">VALUE(SUBSTITUTE(SUBSTITUTE(E7,"$",""),",",""))</f>
        <v>799</v>
      </c>
      <c r="G7" s="2" t="str">
        <f aca="false">Source_Reports!F7</f>
        <v>Design software license</v>
      </c>
      <c r="H7" s="2" t="str">
        <f aca="false">Source_Reports!G7</f>
        <v>Yes</v>
      </c>
      <c r="I7" s="2" t="str">
        <f aca="false">Source_Reports!H7</f>
        <v>Pending</v>
      </c>
      <c r="J7" s="2" t="n">
        <f aca="false">Source_Reports!I7</f>
        <v>0</v>
      </c>
      <c r="K7" s="2" t="str">
        <f aca="false">IF(H7="Yes","YES","NO")</f>
        <v>YES</v>
      </c>
      <c r="L7" s="2" t="str">
        <f aca="false">IF(ISNUMBER(SEARCH("Pre-approved by CFO",J7)),"YES","NO")</f>
        <v>NO</v>
      </c>
      <c r="M7" s="2" t="str">
        <f aca="false">IF(D7="Meals",IF(F7&gt;75,"YES","NO"),IF(D7="Travel",IF(ISNUMBER(SEARCH("business class",G7)),"YES","NO"),IF(D7="Software/Tools",IF(F7&gt;500,"YES","NO"),"NO")))</f>
        <v>YES</v>
      </c>
      <c r="N7" s="2" t="str">
        <f aca="false">IF(M7="NO","",IF(D7="Meals","CFO",IF(D7="Travel","VP Travel",IF(D7="Software/Tools","IT Director",""))))</f>
        <v>IT Director</v>
      </c>
      <c r="O7" s="2" t="str">
        <f aca="false">IF(K7="NO","SILENT_HOLD",IF(L7="YES","APPROVED",IF(M7="YES","HIGHER_APPROVAL","APPROVED")))</f>
        <v>HIGHER_APPROVAL</v>
      </c>
      <c r="P7" s="2" t="str">
        <f aca="false">IF(O7="SILENT_HOLD",I7,IF(O7="APPROVED","Approved",IF(N7="CFO","Pending CFO Approval",IF(N7="VP Travel","Pending VP Approval",IF(N7="IT Director","Pending IT Director Approval","")))))</f>
        <v>Pending IT Director Approval</v>
      </c>
      <c r="Q7" s="2" t="str">
        <f aca="false">IF(O7="SILENT_HOLD","",IF(O7="APPROVED",C7,IF(N7="CFO","cfo@company.example.com",IF(N7="VP Travel","vp-travel@company.example.com",IF(N7="IT Director","it-director@company.example.com","")))))</f>
        <v>it-director@company.example.com</v>
      </c>
      <c r="R7" s="2" t="str">
        <f aca="false">IF(O7="SILENT_HOLD","NO","YES")</f>
        <v>YES</v>
      </c>
      <c r="S7" s="2" t="str">
        <f aca="false">IF(O7="SILENT_HOLD","NO","YES")</f>
        <v>YES</v>
      </c>
      <c r="T7" s="2" t="str">
        <f aca="false">IF(O7="SILENT_HOLD","YES","NO")</f>
        <v>NO</v>
      </c>
      <c r="U7" s="2" t="str">
        <f aca="false">IF(O7="SILENT_HOLD","Policy rules 5 and 8: missing receipt remains unchanged and silent; no small-dollar exception",IF(L7="YES","Receipt present + source Notes: Pre-approved by CFO on April 3",IF(M7="YES","Receipt present + category threshold requires "&amp;N7&amp;" approval","Receipt present + category rule satisfied")))</f>
        <v>Receipt present + category threshold requires IT Director approval</v>
      </c>
      <c r="V7" s="2" t="str">
        <f aca="false">"Expense_Report_Tracker.xlsx:Pending Reports row "&amp;A7&amp;" | Expense_Policy.mbox:msg_expense_policy_5119"</f>
        <v>Expense_Report_Tracker.xlsx:Pending Reports row 7 | Expense_Policy.mbox:msg_expense_policy_5119</v>
      </c>
    </row>
    <row r="8" customFormat="false" ht="15" hidden="false" customHeight="false" outlineLevel="0" collapsed="false">
      <c r="A8" s="2" t="n">
        <f aca="false">Source_Reports!A8</f>
        <v>8</v>
      </c>
      <c r="B8" s="2" t="str">
        <f aca="false">Source_Reports!B8</f>
        <v>Grace Pham</v>
      </c>
      <c r="C8" s="2" t="str">
        <f aca="false">Source_Reports!C8</f>
        <v>grace.pham@company.example.com</v>
      </c>
      <c r="D8" s="2" t="str">
        <f aca="false">Source_Reports!D8</f>
        <v>Meals</v>
      </c>
      <c r="E8" s="2" t="str">
        <f aca="false">Source_Reports!E8</f>
        <v>$95.00</v>
      </c>
      <c r="F8" s="3" t="n">
        <f aca="false">VALUE(SUBSTITUTE(SUBSTITUTE(E8,"$",""),",",""))</f>
        <v>95</v>
      </c>
      <c r="G8" s="2" t="str">
        <f aca="false">Source_Reports!F8</f>
        <v>Client lunch</v>
      </c>
      <c r="H8" s="2" t="str">
        <f aca="false">Source_Reports!G8</f>
        <v>Yes</v>
      </c>
      <c r="I8" s="2" t="str">
        <f aca="false">Source_Reports!H8</f>
        <v>Pending</v>
      </c>
      <c r="J8" s="2" t="str">
        <f aca="false">Source_Reports!I8</f>
        <v>Pre-approved by CFO on April 3</v>
      </c>
      <c r="K8" s="2" t="str">
        <f aca="false">IF(H8="Yes","YES","NO")</f>
        <v>YES</v>
      </c>
      <c r="L8" s="2" t="str">
        <f aca="false">IF(ISNUMBER(SEARCH("Pre-approved by CFO",J8)),"YES","NO")</f>
        <v>YES</v>
      </c>
      <c r="M8" s="2" t="str">
        <f aca="false">IF(D8="Meals",IF(F8&gt;75,"YES","NO"),IF(D8="Travel",IF(ISNUMBER(SEARCH("business class",G8)),"YES","NO"),IF(D8="Software/Tools",IF(F8&gt;500,"YES","NO"),"NO")))</f>
        <v>YES</v>
      </c>
      <c r="N8" s="2" t="str">
        <f aca="false">IF(M8="NO","",IF(D8="Meals","CFO",IF(D8="Travel","VP Travel",IF(D8="Software/Tools","IT Director",""))))</f>
        <v>CFO</v>
      </c>
      <c r="O8" s="2" t="str">
        <f aca="false">IF(K8="NO","SILENT_HOLD",IF(L8="YES","APPROVED",IF(M8="YES","HIGHER_APPROVAL","APPROVED")))</f>
        <v>APPROVED</v>
      </c>
      <c r="P8" s="2" t="str">
        <f aca="false">IF(O8="SILENT_HOLD",I8,IF(O8="APPROVED","Approved",IF(N8="CFO","Pending CFO Approval",IF(N8="VP Travel","Pending VP Approval",IF(N8="IT Director","Pending IT Director Approval","")))))</f>
        <v>Approved</v>
      </c>
      <c r="Q8" s="2" t="str">
        <f aca="false">IF(O8="SILENT_HOLD","",IF(O8="APPROVED",C8,IF(N8="CFO","cfo@company.example.com",IF(N8="VP Travel","vp-travel@company.example.com",IF(N8="IT Director","it-director@company.example.com","")))))</f>
        <v>grace.pham@company.example.com</v>
      </c>
      <c r="R8" s="2" t="str">
        <f aca="false">IF(O8="SILENT_HOLD","NO","YES")</f>
        <v>YES</v>
      </c>
      <c r="S8" s="2" t="str">
        <f aca="false">IF(O8="SILENT_HOLD","NO","YES")</f>
        <v>YES</v>
      </c>
      <c r="T8" s="2" t="str">
        <f aca="false">IF(O8="SILENT_HOLD","YES","NO")</f>
        <v>NO</v>
      </c>
      <c r="U8" s="2" t="str">
        <f aca="false">IF(O8="SILENT_HOLD","Policy rules 5 and 8: missing receipt remains unchanged and silent; no small-dollar exception",IF(L8="YES","Receipt present + source Notes: Pre-approved by CFO on April 3",IF(M8="YES","Receipt present + category threshold requires "&amp;N8&amp;" approval","Receipt present + category rule satisfied")))</f>
        <v>Receipt present + source Notes: Pre-approved by CFO on April 3</v>
      </c>
      <c r="V8" s="2" t="str">
        <f aca="false">"Expense_Report_Tracker.xlsx:Pending Reports row "&amp;A8&amp;" | Expense_Policy.mbox:msg_expense_policy_5119"</f>
        <v>Expense_Report_Tracker.xlsx:Pending Reports row 8 | Expense_Policy.mbox:msg_expense_policy_5119</v>
      </c>
    </row>
    <row r="9" customFormat="false" ht="15" hidden="false" customHeight="false" outlineLevel="0" collapsed="false">
      <c r="A9" s="2" t="n">
        <f aca="false">Source_Reports!A9</f>
        <v>9</v>
      </c>
      <c r="B9" s="2" t="str">
        <f aca="false">Source_Reports!B9</f>
        <v>Hector Kim</v>
      </c>
      <c r="C9" s="2" t="str">
        <f aca="false">Source_Reports!C9</f>
        <v>hector.kim@company.example.com</v>
      </c>
      <c r="D9" s="2" t="str">
        <f aca="false">Source_Reports!D9</f>
        <v>Travel</v>
      </c>
      <c r="E9" s="2" t="str">
        <f aca="false">Source_Reports!E9</f>
        <v>$450.00</v>
      </c>
      <c r="F9" s="3" t="n">
        <f aca="false">VALUE(SUBSTITUTE(SUBSTITUTE(E9,"$",""),",",""))</f>
        <v>450</v>
      </c>
      <c r="G9" s="2" t="str">
        <f aca="false">Source_Reports!F9</f>
        <v>Economy flight to Chicago</v>
      </c>
      <c r="H9" s="2" t="str">
        <f aca="false">Source_Reports!G9</f>
        <v>Yes</v>
      </c>
      <c r="I9" s="2" t="str">
        <f aca="false">Source_Reports!H9</f>
        <v>Pending</v>
      </c>
      <c r="J9" s="2" t="n">
        <f aca="false">Source_Reports!I9</f>
        <v>0</v>
      </c>
      <c r="K9" s="2" t="str">
        <f aca="false">IF(H9="Yes","YES","NO")</f>
        <v>YES</v>
      </c>
      <c r="L9" s="2" t="str">
        <f aca="false">IF(ISNUMBER(SEARCH("Pre-approved by CFO",J9)),"YES","NO")</f>
        <v>NO</v>
      </c>
      <c r="M9" s="2" t="str">
        <f aca="false">IF(D9="Meals",IF(F9&gt;75,"YES","NO"),IF(D9="Travel",IF(ISNUMBER(SEARCH("business class",G9)),"YES","NO"),IF(D9="Software/Tools",IF(F9&gt;500,"YES","NO"),"NO")))</f>
        <v>NO</v>
      </c>
      <c r="N9" s="2" t="str">
        <f aca="false">IF(M9="NO","",IF(D9="Meals","CFO",IF(D9="Travel","VP Travel",IF(D9="Software/Tools","IT Director",""))))</f>
        <v/>
      </c>
      <c r="O9" s="2" t="str">
        <f aca="false">IF(K9="NO","SILENT_HOLD",IF(L9="YES","APPROVED",IF(M9="YES","HIGHER_APPROVAL","APPROVED")))</f>
        <v>APPROVED</v>
      </c>
      <c r="P9" s="2" t="str">
        <f aca="false">IF(O9="SILENT_HOLD",I9,IF(O9="APPROVED","Approved",IF(N9="CFO","Pending CFO Approval",IF(N9="VP Travel","Pending VP Approval",IF(N9="IT Director","Pending IT Director Approval","")))))</f>
        <v>Approved</v>
      </c>
      <c r="Q9" s="2" t="str">
        <f aca="false">IF(O9="SILENT_HOLD","",IF(O9="APPROVED",C9,IF(N9="CFO","cfo@company.example.com",IF(N9="VP Travel","vp-travel@company.example.com",IF(N9="IT Director","it-director@company.example.com","")))))</f>
        <v>hector.kim@company.example.com</v>
      </c>
      <c r="R9" s="2" t="str">
        <f aca="false">IF(O9="SILENT_HOLD","NO","YES")</f>
        <v>YES</v>
      </c>
      <c r="S9" s="2" t="str">
        <f aca="false">IF(O9="SILENT_HOLD","NO","YES")</f>
        <v>YES</v>
      </c>
      <c r="T9" s="2" t="str">
        <f aca="false">IF(O9="SILENT_HOLD","YES","NO")</f>
        <v>NO</v>
      </c>
      <c r="U9" s="2" t="str">
        <f aca="false">IF(O9="SILENT_HOLD","Policy rules 5 and 8: missing receipt remains unchanged and silent; no small-dollar exception",IF(L9="YES","Receipt present + source Notes: Pre-approved by CFO on April 3",IF(M9="YES","Receipt present + category threshold requires "&amp;N9&amp;" approval","Receipt present + category rule satisfied")))</f>
        <v>Receipt present + category rule satisfied</v>
      </c>
      <c r="V9" s="2" t="str">
        <f aca="false">"Expense_Report_Tracker.xlsx:Pending Reports row "&amp;A9&amp;" | Expense_Policy.mbox:msg_expense_policy_5119"</f>
        <v>Expense_Report_Tracker.xlsx:Pending Reports row 9 | Expense_Policy.mbox:msg_expense_policy_5119</v>
      </c>
    </row>
  </sheetData>
  <autoFilter ref="A1:V9"/>
  <conditionalFormatting sqref="O2:O9">
    <cfRule type="expression" priority="2" aboveAverage="0" equalAverage="0" bottom="0" percent="0" rank="0" text="" dxfId="6">
      <formula>O2="APPROVED"</formula>
    </cfRule>
    <cfRule type="expression" priority="3" aboveAverage="0" equalAverage="0" bottom="0" percent="0" rank="0" text="" dxfId="7">
      <formula>O2="HIGHER_APPROVAL"</formula>
    </cfRule>
    <cfRule type="expression" priority="4" aboveAverage="0" equalAverage="0" bottom="0" percent="0" rank="0" text="" dxfId="8">
      <formula>O2="SILENT_HOLD"</formula>
    </cfRule>
  </conditionalFormatting>
  <conditionalFormatting sqref="K2:K9">
    <cfRule type="expression" priority="5" aboveAverage="0" equalAverage="0" bottom="0" percent="0" rank="0" text="" dxfId="8">
      <formula>K2="NO"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&amp;CFormula-derived expense decisions · receipt-first precedence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3.01"/>
    <col collapsed="false" customWidth="true" hidden="false" outlineLevel="0" max="6" min="6" style="0" width="10.99"/>
    <col collapsed="false" customWidth="true" hidden="false" outlineLevel="0" max="7" min="7" style="0" width="14.01"/>
    <col collapsed="false" customWidth="true" hidden="false" outlineLevel="0" max="8" min="8" style="0" width="37.99"/>
    <col collapsed="false" customWidth="true" hidden="false" outlineLevel="0" max="9" min="9" style="0" width="17"/>
    <col collapsed="false" customWidth="true" hidden="false" outlineLevel="0" max="10" min="10" style="0" width="58"/>
    <col collapsed="false" customWidth="true" hidden="false" outlineLevel="0" max="11" min="11" style="0" width="64.01"/>
  </cols>
  <sheetData>
    <row r="1" customFormat="false" ht="30.75" hidden="false" customHeight="true" outlineLevel="0" collapsed="false">
      <c r="A1" s="1" t="s">
        <v>141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131</v>
      </c>
      <c r="H1" s="1" t="s">
        <v>136</v>
      </c>
      <c r="I1" s="1" t="s">
        <v>135</v>
      </c>
      <c r="J1" s="1" t="s">
        <v>140</v>
      </c>
      <c r="K1" s="1" t="s">
        <v>54</v>
      </c>
    </row>
    <row r="2" customFormat="false" ht="15" hidden="false" customHeight="false" outlineLevel="0" collapsed="false">
      <c r="A2" s="2" t="n">
        <v>1</v>
      </c>
      <c r="B2" s="2" t="n">
        <v>2</v>
      </c>
      <c r="C2" s="2" t="s">
        <v>9</v>
      </c>
      <c r="D2" s="2" t="s">
        <v>11</v>
      </c>
      <c r="E2" s="3" t="n">
        <v>62</v>
      </c>
      <c r="F2" s="2" t="s">
        <v>14</v>
      </c>
      <c r="G2" s="2" t="s">
        <v>142</v>
      </c>
      <c r="H2" s="2" t="s">
        <v>10</v>
      </c>
      <c r="I2" s="2" t="s">
        <v>104</v>
      </c>
      <c r="J2" s="2" t="s">
        <v>143</v>
      </c>
      <c r="K2" s="2" t="s">
        <v>144</v>
      </c>
    </row>
    <row r="3" customFormat="false" ht="15" hidden="false" customHeight="false" outlineLevel="0" collapsed="false">
      <c r="A3" s="2" t="n">
        <v>2</v>
      </c>
      <c r="B3" s="2" t="n">
        <v>5</v>
      </c>
      <c r="C3" s="2" t="s">
        <v>25</v>
      </c>
      <c r="D3" s="2" t="s">
        <v>27</v>
      </c>
      <c r="E3" s="3" t="n">
        <v>350</v>
      </c>
      <c r="F3" s="2" t="s">
        <v>14</v>
      </c>
      <c r="G3" s="2" t="s">
        <v>142</v>
      </c>
      <c r="H3" s="2" t="s">
        <v>26</v>
      </c>
      <c r="I3" s="2" t="s">
        <v>104</v>
      </c>
      <c r="J3" s="2" t="s">
        <v>143</v>
      </c>
      <c r="K3" s="2" t="s">
        <v>145</v>
      </c>
    </row>
    <row r="4" customFormat="false" ht="15" hidden="false" customHeight="false" outlineLevel="0" collapsed="false">
      <c r="A4" s="2" t="n">
        <v>3</v>
      </c>
      <c r="B4" s="2" t="n">
        <v>8</v>
      </c>
      <c r="C4" s="2" t="s">
        <v>39</v>
      </c>
      <c r="D4" s="2" t="s">
        <v>11</v>
      </c>
      <c r="E4" s="3" t="n">
        <v>95</v>
      </c>
      <c r="F4" s="2" t="s">
        <v>14</v>
      </c>
      <c r="G4" s="2" t="s">
        <v>146</v>
      </c>
      <c r="H4" s="2" t="s">
        <v>40</v>
      </c>
      <c r="I4" s="2" t="s">
        <v>104</v>
      </c>
      <c r="J4" s="2" t="s">
        <v>147</v>
      </c>
      <c r="K4" s="2" t="s">
        <v>148</v>
      </c>
    </row>
    <row r="5" customFormat="false" ht="15" hidden="false" customHeight="false" outlineLevel="0" collapsed="false">
      <c r="A5" s="2" t="n">
        <v>4</v>
      </c>
      <c r="B5" s="2" t="n">
        <v>9</v>
      </c>
      <c r="C5" s="2" t="s">
        <v>44</v>
      </c>
      <c r="D5" s="2" t="s">
        <v>22</v>
      </c>
      <c r="E5" s="3" t="n">
        <v>450</v>
      </c>
      <c r="F5" s="2" t="s">
        <v>14</v>
      </c>
      <c r="G5" s="2" t="s">
        <v>142</v>
      </c>
      <c r="H5" s="2" t="s">
        <v>45</v>
      </c>
      <c r="I5" s="2" t="s">
        <v>104</v>
      </c>
      <c r="J5" s="2" t="s">
        <v>143</v>
      </c>
      <c r="K5" s="2" t="s">
        <v>149</v>
      </c>
    </row>
  </sheetData>
  <autoFilter ref="A1:K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&amp;C4 approved reports · draft only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3.01"/>
    <col collapsed="false" customWidth="true" hidden="false" outlineLevel="0" max="6" min="6" style="0" width="37.99"/>
    <col collapsed="false" customWidth="true" hidden="false" outlineLevel="0" max="7" min="7" style="0" width="10.99"/>
    <col collapsed="false" customWidth="true" hidden="false" outlineLevel="0" max="8" min="8" style="0" width="17"/>
    <col collapsed="false" customWidth="true" hidden="false" outlineLevel="0" max="9" min="9" style="0" width="37.99"/>
    <col collapsed="false" customWidth="true" hidden="false" outlineLevel="0" max="10" min="10" style="0" width="30.01"/>
    <col collapsed="false" customWidth="true" hidden="false" outlineLevel="0" max="11" min="11" style="0" width="58"/>
    <col collapsed="false" customWidth="true" hidden="false" outlineLevel="0" max="12" min="12" style="0" width="64.01"/>
  </cols>
  <sheetData>
    <row r="1" customFormat="false" ht="30.75" hidden="false" customHeight="true" outlineLevel="0" collapsed="false">
      <c r="A1" s="1" t="s">
        <v>141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133</v>
      </c>
      <c r="I1" s="1" t="s">
        <v>136</v>
      </c>
      <c r="J1" s="1" t="s">
        <v>135</v>
      </c>
      <c r="K1" s="1" t="s">
        <v>140</v>
      </c>
      <c r="L1" s="1" t="s">
        <v>54</v>
      </c>
    </row>
    <row r="2" customFormat="false" ht="15" hidden="false" customHeight="false" outlineLevel="0" collapsed="false">
      <c r="A2" s="2" t="n">
        <v>1</v>
      </c>
      <c r="B2" s="2" t="n">
        <v>3</v>
      </c>
      <c r="C2" s="2" t="s">
        <v>16</v>
      </c>
      <c r="D2" s="2" t="s">
        <v>11</v>
      </c>
      <c r="E2" s="3" t="n">
        <v>120</v>
      </c>
      <c r="F2" s="2" t="s">
        <v>19</v>
      </c>
      <c r="G2" s="2" t="s">
        <v>14</v>
      </c>
      <c r="H2" s="2" t="s">
        <v>150</v>
      </c>
      <c r="I2" s="2" t="s">
        <v>56</v>
      </c>
      <c r="J2" s="2" t="s">
        <v>151</v>
      </c>
      <c r="K2" s="2" t="s">
        <v>152</v>
      </c>
      <c r="L2" s="2" t="s">
        <v>153</v>
      </c>
    </row>
    <row r="3" customFormat="false" ht="15" hidden="false" customHeight="false" outlineLevel="0" collapsed="false">
      <c r="A3" s="2" t="n">
        <v>2</v>
      </c>
      <c r="B3" s="2" t="n">
        <v>4</v>
      </c>
      <c r="C3" s="2" t="s">
        <v>20</v>
      </c>
      <c r="D3" s="2" t="s">
        <v>22</v>
      </c>
      <c r="E3" s="3" t="n">
        <v>2400</v>
      </c>
      <c r="F3" s="2" t="s">
        <v>24</v>
      </c>
      <c r="G3" s="2" t="s">
        <v>14</v>
      </c>
      <c r="H3" s="2" t="s">
        <v>154</v>
      </c>
      <c r="I3" s="2" t="s">
        <v>155</v>
      </c>
      <c r="J3" s="2" t="s">
        <v>156</v>
      </c>
      <c r="K3" s="2" t="s">
        <v>157</v>
      </c>
      <c r="L3" s="2" t="s">
        <v>158</v>
      </c>
    </row>
    <row r="4" customFormat="false" ht="15" hidden="false" customHeight="false" outlineLevel="0" collapsed="false">
      <c r="A4" s="2" t="n">
        <v>3</v>
      </c>
      <c r="B4" s="2" t="n">
        <v>7</v>
      </c>
      <c r="C4" s="2" t="s">
        <v>35</v>
      </c>
      <c r="D4" s="2" t="s">
        <v>27</v>
      </c>
      <c r="E4" s="3" t="n">
        <v>799</v>
      </c>
      <c r="F4" s="2" t="s">
        <v>38</v>
      </c>
      <c r="G4" s="2" t="s">
        <v>14</v>
      </c>
      <c r="H4" s="2" t="s">
        <v>159</v>
      </c>
      <c r="I4" s="2" t="s">
        <v>160</v>
      </c>
      <c r="J4" s="2" t="s">
        <v>161</v>
      </c>
      <c r="K4" s="2" t="s">
        <v>162</v>
      </c>
      <c r="L4" s="2" t="s">
        <v>163</v>
      </c>
    </row>
  </sheetData>
  <autoFilter ref="A1:L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&amp;C3 higher-approval routes · draft only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3.01"/>
    <col collapsed="false" customWidth="true" hidden="false" outlineLevel="0" max="5" min="5" style="0" width="10.99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13.01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64.01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129</v>
      </c>
      <c r="G1" s="1" t="s">
        <v>164</v>
      </c>
      <c r="H1" s="1" t="s">
        <v>135</v>
      </c>
      <c r="I1" s="1" t="s">
        <v>137</v>
      </c>
      <c r="J1" s="1" t="s">
        <v>138</v>
      </c>
      <c r="K1" s="1" t="s">
        <v>165</v>
      </c>
      <c r="L1" s="1" t="s">
        <v>166</v>
      </c>
      <c r="M1" s="1" t="s">
        <v>54</v>
      </c>
    </row>
    <row r="2" customFormat="false" ht="15" hidden="false" customHeight="false" outlineLevel="0" collapsed="false">
      <c r="A2" s="2" t="n">
        <v>6</v>
      </c>
      <c r="B2" s="2" t="s">
        <v>30</v>
      </c>
      <c r="C2" s="2" t="s">
        <v>22</v>
      </c>
      <c r="D2" s="3" t="n">
        <v>1800</v>
      </c>
      <c r="E2" s="2" t="s">
        <v>34</v>
      </c>
      <c r="F2" s="2" t="s">
        <v>15</v>
      </c>
      <c r="G2" s="2" t="s">
        <v>167</v>
      </c>
      <c r="H2" s="2" t="s">
        <v>15</v>
      </c>
      <c r="I2" s="2" t="s">
        <v>142</v>
      </c>
      <c r="J2" s="2" t="s">
        <v>142</v>
      </c>
      <c r="K2" s="2" t="s">
        <v>142</v>
      </c>
      <c r="L2" s="2" t="s">
        <v>168</v>
      </c>
      <c r="M2" s="2" t="s">
        <v>169</v>
      </c>
    </row>
  </sheetData>
  <autoFilter ref="A1:M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&amp;CElena remains Pending · no notification or update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24"/>
    <col collapsed="false" customWidth="true" hidden="false" outlineLevel="0" max="4" min="4" style="0" width="19.99"/>
    <col collapsed="false" customWidth="true" hidden="false" outlineLevel="0" max="5" min="5" style="0" width="39.01"/>
    <col collapsed="false" customWidth="true" hidden="false" outlineLevel="0" max="7" min="6" style="0" width="8"/>
    <col collapsed="false" customWidth="true" hidden="false" outlineLevel="0" max="8" min="8" style="0" width="61.99"/>
    <col collapsed="false" customWidth="true" hidden="false" outlineLevel="0" max="9" min="9" style="0" width="19.99"/>
    <col collapsed="false" customWidth="true" hidden="false" outlineLevel="0" max="10" min="10" style="0" width="64.01"/>
  </cols>
  <sheetData>
    <row r="1" customFormat="false" ht="30.75" hidden="false" customHeight="true" outlineLevel="0" collapsed="false">
      <c r="A1" s="1" t="s">
        <v>141</v>
      </c>
      <c r="B1" s="1" t="s">
        <v>0</v>
      </c>
      <c r="C1" s="1" t="s">
        <v>1</v>
      </c>
      <c r="D1" s="1" t="s">
        <v>164</v>
      </c>
      <c r="E1" s="1" t="s">
        <v>50</v>
      </c>
      <c r="F1" s="1" t="s">
        <v>170</v>
      </c>
      <c r="G1" s="1" t="s">
        <v>171</v>
      </c>
      <c r="H1" s="1" t="s">
        <v>51</v>
      </c>
      <c r="I1" s="1" t="s">
        <v>172</v>
      </c>
      <c r="J1" s="1" t="s">
        <v>54</v>
      </c>
    </row>
    <row r="2" customFormat="false" ht="15" hidden="false" customHeight="false" outlineLevel="0" collapsed="false">
      <c r="A2" s="2" t="n">
        <v>1</v>
      </c>
      <c r="B2" s="2" t="n">
        <v>2</v>
      </c>
      <c r="C2" s="2" t="s">
        <v>9</v>
      </c>
      <c r="D2" s="2" t="s">
        <v>173</v>
      </c>
      <c r="E2" s="2" t="s">
        <v>10</v>
      </c>
      <c r="F2" s="2"/>
      <c r="G2" s="2"/>
      <c r="H2" s="2" t="s">
        <v>174</v>
      </c>
      <c r="I2" s="2" t="s">
        <v>175</v>
      </c>
      <c r="J2" s="2" t="s">
        <v>144</v>
      </c>
    </row>
    <row r="3" customFormat="false" ht="15" hidden="false" customHeight="false" outlineLevel="0" collapsed="false">
      <c r="A3" s="2" t="n">
        <v>2</v>
      </c>
      <c r="B3" s="2" t="n">
        <v>3</v>
      </c>
      <c r="C3" s="2" t="s">
        <v>16</v>
      </c>
      <c r="D3" s="2" t="s">
        <v>176</v>
      </c>
      <c r="E3" s="2" t="s">
        <v>56</v>
      </c>
      <c r="F3" s="2"/>
      <c r="G3" s="2"/>
      <c r="H3" s="2" t="s">
        <v>177</v>
      </c>
      <c r="I3" s="2" t="s">
        <v>175</v>
      </c>
      <c r="J3" s="2" t="s">
        <v>153</v>
      </c>
    </row>
    <row r="4" customFormat="false" ht="15" hidden="false" customHeight="false" outlineLevel="0" collapsed="false">
      <c r="A4" s="2" t="n">
        <v>3</v>
      </c>
      <c r="B4" s="2" t="n">
        <v>4</v>
      </c>
      <c r="C4" s="2" t="s">
        <v>20</v>
      </c>
      <c r="D4" s="2" t="s">
        <v>176</v>
      </c>
      <c r="E4" s="2" t="s">
        <v>155</v>
      </c>
      <c r="F4" s="2"/>
      <c r="G4" s="2"/>
      <c r="H4" s="2" t="s">
        <v>178</v>
      </c>
      <c r="I4" s="2" t="s">
        <v>175</v>
      </c>
      <c r="J4" s="2" t="s">
        <v>158</v>
      </c>
    </row>
    <row r="5" customFormat="false" ht="15" hidden="false" customHeight="false" outlineLevel="0" collapsed="false">
      <c r="A5" s="2" t="n">
        <v>4</v>
      </c>
      <c r="B5" s="2" t="n">
        <v>5</v>
      </c>
      <c r="C5" s="2" t="s">
        <v>25</v>
      </c>
      <c r="D5" s="2" t="s">
        <v>173</v>
      </c>
      <c r="E5" s="2" t="s">
        <v>26</v>
      </c>
      <c r="F5" s="2"/>
      <c r="G5" s="2"/>
      <c r="H5" s="2" t="s">
        <v>179</v>
      </c>
      <c r="I5" s="2" t="s">
        <v>175</v>
      </c>
      <c r="J5" s="2" t="s">
        <v>145</v>
      </c>
    </row>
    <row r="6" customFormat="false" ht="15" hidden="false" customHeight="false" outlineLevel="0" collapsed="false">
      <c r="A6" s="2" t="n">
        <v>5</v>
      </c>
      <c r="B6" s="2" t="n">
        <v>7</v>
      </c>
      <c r="C6" s="2" t="s">
        <v>35</v>
      </c>
      <c r="D6" s="2" t="s">
        <v>176</v>
      </c>
      <c r="E6" s="2" t="s">
        <v>160</v>
      </c>
      <c r="F6" s="2"/>
      <c r="G6" s="2"/>
      <c r="H6" s="2" t="s">
        <v>180</v>
      </c>
      <c r="I6" s="2" t="s">
        <v>175</v>
      </c>
      <c r="J6" s="2" t="s">
        <v>163</v>
      </c>
    </row>
    <row r="7" customFormat="false" ht="15" hidden="false" customHeight="false" outlineLevel="0" collapsed="false">
      <c r="A7" s="2" t="n">
        <v>6</v>
      </c>
      <c r="B7" s="2" t="n">
        <v>8</v>
      </c>
      <c r="C7" s="2" t="s">
        <v>39</v>
      </c>
      <c r="D7" s="2" t="s">
        <v>173</v>
      </c>
      <c r="E7" s="2" t="s">
        <v>40</v>
      </c>
      <c r="F7" s="2"/>
      <c r="G7" s="2"/>
      <c r="H7" s="2" t="s">
        <v>181</v>
      </c>
      <c r="I7" s="2" t="s">
        <v>175</v>
      </c>
      <c r="J7" s="2" t="s">
        <v>148</v>
      </c>
    </row>
    <row r="8" customFormat="false" ht="15" hidden="false" customHeight="false" outlineLevel="0" collapsed="false">
      <c r="A8" s="2" t="n">
        <v>7</v>
      </c>
      <c r="B8" s="2" t="n">
        <v>9</v>
      </c>
      <c r="C8" s="2" t="s">
        <v>44</v>
      </c>
      <c r="D8" s="2" t="s">
        <v>173</v>
      </c>
      <c r="E8" s="2" t="s">
        <v>45</v>
      </c>
      <c r="F8" s="2"/>
      <c r="G8" s="2"/>
      <c r="H8" s="2" t="s">
        <v>182</v>
      </c>
      <c r="I8" s="2" t="s">
        <v>175</v>
      </c>
      <c r="J8" s="2" t="s">
        <v>149</v>
      </c>
    </row>
  </sheetData>
  <autoFilter ref="A1:J8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&amp;C7 source-ordered email drafts · 0 sent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24"/>
    <col collapsed="false" customWidth="true" hidden="false" outlineLevel="0" max="4" min="4" style="0" width="17"/>
    <col collapsed="false" customWidth="true" hidden="false" outlineLevel="0" max="5" min="5" style="0" width="19.99"/>
    <col collapsed="false" customWidth="true" hidden="false" outlineLevel="0" max="6" min="6" style="0" width="31.01"/>
    <col collapsed="false" customWidth="true" hidden="false" outlineLevel="0" max="7" min="7" style="0" width="11.99"/>
    <col collapsed="false" customWidth="true" hidden="false" outlineLevel="0" max="8" min="8" style="0" width="22.01"/>
    <col collapsed="false" customWidth="true" hidden="false" outlineLevel="0" max="9" min="9" style="0" width="66"/>
  </cols>
  <sheetData>
    <row r="1" customFormat="false" ht="30.75" hidden="false" customHeight="true" outlineLevel="0" collapsed="false">
      <c r="A1" s="1" t="s">
        <v>141</v>
      </c>
      <c r="B1" s="1" t="s">
        <v>0</v>
      </c>
      <c r="C1" s="1" t="s">
        <v>1</v>
      </c>
      <c r="D1" s="1" t="s">
        <v>129</v>
      </c>
      <c r="E1" s="1" t="s">
        <v>164</v>
      </c>
      <c r="F1" s="1" t="s">
        <v>135</v>
      </c>
      <c r="G1" s="1" t="s">
        <v>183</v>
      </c>
      <c r="H1" s="1" t="s">
        <v>172</v>
      </c>
      <c r="I1" s="1" t="s">
        <v>54</v>
      </c>
    </row>
    <row r="2" customFormat="false" ht="15" hidden="false" customHeight="false" outlineLevel="0" collapsed="false">
      <c r="A2" s="2" t="n">
        <v>1</v>
      </c>
      <c r="B2" s="2" t="n">
        <v>2</v>
      </c>
      <c r="C2" s="2" t="s">
        <v>9</v>
      </c>
      <c r="D2" s="2" t="s">
        <v>15</v>
      </c>
      <c r="E2" s="2" t="s">
        <v>173</v>
      </c>
      <c r="F2" s="2" t="s">
        <v>104</v>
      </c>
      <c r="G2" s="4" t="b">
        <f aca="false">FALSE()</f>
        <v>0</v>
      </c>
      <c r="H2" s="2" t="s">
        <v>184</v>
      </c>
      <c r="I2" s="2" t="s">
        <v>144</v>
      </c>
    </row>
    <row r="3" customFormat="false" ht="15" hidden="false" customHeight="false" outlineLevel="0" collapsed="false">
      <c r="A3" s="2" t="n">
        <v>2</v>
      </c>
      <c r="B3" s="2" t="n">
        <v>3</v>
      </c>
      <c r="C3" s="2" t="s">
        <v>16</v>
      </c>
      <c r="D3" s="2" t="s">
        <v>15</v>
      </c>
      <c r="E3" s="2" t="s">
        <v>176</v>
      </c>
      <c r="F3" s="2" t="s">
        <v>151</v>
      </c>
      <c r="G3" s="4" t="b">
        <f aca="false">FALSE()</f>
        <v>0</v>
      </c>
      <c r="H3" s="2" t="s">
        <v>184</v>
      </c>
      <c r="I3" s="2" t="s">
        <v>153</v>
      </c>
    </row>
    <row r="4" customFormat="false" ht="15" hidden="false" customHeight="false" outlineLevel="0" collapsed="false">
      <c r="A4" s="2" t="n">
        <v>3</v>
      </c>
      <c r="B4" s="2" t="n">
        <v>4</v>
      </c>
      <c r="C4" s="2" t="s">
        <v>20</v>
      </c>
      <c r="D4" s="2" t="s">
        <v>15</v>
      </c>
      <c r="E4" s="2" t="s">
        <v>176</v>
      </c>
      <c r="F4" s="2" t="s">
        <v>156</v>
      </c>
      <c r="G4" s="4" t="b">
        <f aca="false">FALSE()</f>
        <v>0</v>
      </c>
      <c r="H4" s="2" t="s">
        <v>184</v>
      </c>
      <c r="I4" s="2" t="s">
        <v>158</v>
      </c>
    </row>
    <row r="5" customFormat="false" ht="15" hidden="false" customHeight="false" outlineLevel="0" collapsed="false">
      <c r="A5" s="2" t="n">
        <v>4</v>
      </c>
      <c r="B5" s="2" t="n">
        <v>5</v>
      </c>
      <c r="C5" s="2" t="s">
        <v>25</v>
      </c>
      <c r="D5" s="2" t="s">
        <v>15</v>
      </c>
      <c r="E5" s="2" t="s">
        <v>173</v>
      </c>
      <c r="F5" s="2" t="s">
        <v>104</v>
      </c>
      <c r="G5" s="4" t="b">
        <f aca="false">FALSE()</f>
        <v>0</v>
      </c>
      <c r="H5" s="2" t="s">
        <v>184</v>
      </c>
      <c r="I5" s="2" t="s">
        <v>145</v>
      </c>
    </row>
    <row r="6" customFormat="false" ht="15" hidden="false" customHeight="false" outlineLevel="0" collapsed="false">
      <c r="A6" s="2" t="n">
        <v>5</v>
      </c>
      <c r="B6" s="2" t="n">
        <v>7</v>
      </c>
      <c r="C6" s="2" t="s">
        <v>35</v>
      </c>
      <c r="D6" s="2" t="s">
        <v>15</v>
      </c>
      <c r="E6" s="2" t="s">
        <v>176</v>
      </c>
      <c r="F6" s="2" t="s">
        <v>161</v>
      </c>
      <c r="G6" s="4" t="b">
        <f aca="false">FALSE()</f>
        <v>0</v>
      </c>
      <c r="H6" s="2" t="s">
        <v>184</v>
      </c>
      <c r="I6" s="2" t="s">
        <v>163</v>
      </c>
    </row>
    <row r="7" customFormat="false" ht="15" hidden="false" customHeight="false" outlineLevel="0" collapsed="false">
      <c r="A7" s="2" t="n">
        <v>6</v>
      </c>
      <c r="B7" s="2" t="n">
        <v>8</v>
      </c>
      <c r="C7" s="2" t="s">
        <v>39</v>
      </c>
      <c r="D7" s="2" t="s">
        <v>15</v>
      </c>
      <c r="E7" s="2" t="s">
        <v>173</v>
      </c>
      <c r="F7" s="2" t="s">
        <v>104</v>
      </c>
      <c r="G7" s="4" t="b">
        <f aca="false">FALSE()</f>
        <v>0</v>
      </c>
      <c r="H7" s="2" t="s">
        <v>184</v>
      </c>
      <c r="I7" s="2" t="s">
        <v>148</v>
      </c>
    </row>
    <row r="8" customFormat="false" ht="15" hidden="false" customHeight="false" outlineLevel="0" collapsed="false">
      <c r="A8" s="2" t="n">
        <v>7</v>
      </c>
      <c r="B8" s="2" t="n">
        <v>9</v>
      </c>
      <c r="C8" s="2" t="s">
        <v>44</v>
      </c>
      <c r="D8" s="2" t="s">
        <v>15</v>
      </c>
      <c r="E8" s="2" t="s">
        <v>173</v>
      </c>
      <c r="F8" s="2" t="s">
        <v>104</v>
      </c>
      <c r="G8" s="4" t="b">
        <f aca="false">FALSE()</f>
        <v>0</v>
      </c>
      <c r="H8" s="2" t="s">
        <v>184</v>
      </c>
      <c r="I8" s="2" t="s">
        <v>149</v>
      </c>
    </row>
  </sheetData>
  <autoFilter ref="A1:I8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&amp;C7 source-ordered tracker drafts · 0 applied</oddFooter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3" min="2" style="0" width="13.01"/>
    <col collapsed="false" customWidth="true" hidden="false" outlineLevel="0" max="4" min="4" style="0" width="30.01"/>
    <col collapsed="false" customWidth="true" hidden="false" outlineLevel="0" max="5" min="5" style="0" width="61.99"/>
  </cols>
  <sheetData>
    <row r="1" customFormat="false" ht="30.75" hidden="false" customHeight="true" outlineLevel="0" collapsed="false">
      <c r="A1" s="1" t="s">
        <v>185</v>
      </c>
      <c r="B1" s="1" t="s">
        <v>186</v>
      </c>
      <c r="C1" s="1" t="s">
        <v>187</v>
      </c>
      <c r="D1" s="1" t="s">
        <v>172</v>
      </c>
      <c r="E1" s="1" t="s">
        <v>54</v>
      </c>
    </row>
    <row r="2" customFormat="false" ht="15" hidden="false" customHeight="false" outlineLevel="0" collapsed="false">
      <c r="A2" s="2" t="s">
        <v>188</v>
      </c>
      <c r="B2" s="2" t="n">
        <v>8</v>
      </c>
      <c r="C2" s="2" t="n">
        <v>8</v>
      </c>
      <c r="D2" s="2" t="s">
        <v>189</v>
      </c>
      <c r="E2" s="2" t="s">
        <v>190</v>
      </c>
    </row>
    <row r="3" customFormat="false" ht="15" hidden="false" customHeight="false" outlineLevel="0" collapsed="false">
      <c r="A3" s="2" t="s">
        <v>191</v>
      </c>
      <c r="B3" s="2" t="n">
        <v>7</v>
      </c>
      <c r="C3" s="2" t="n">
        <v>7</v>
      </c>
      <c r="D3" s="2" t="s">
        <v>189</v>
      </c>
      <c r="E3" s="2" t="s">
        <v>192</v>
      </c>
    </row>
    <row r="4" customFormat="false" ht="15" hidden="false" customHeight="false" outlineLevel="0" collapsed="false">
      <c r="A4" s="2" t="s">
        <v>193</v>
      </c>
      <c r="B4" s="2" t="n">
        <v>1</v>
      </c>
      <c r="C4" s="2" t="n">
        <v>1</v>
      </c>
      <c r="D4" s="2" t="s">
        <v>167</v>
      </c>
      <c r="E4" s="2" t="s">
        <v>80</v>
      </c>
    </row>
    <row r="5" customFormat="false" ht="15" hidden="false" customHeight="false" outlineLevel="0" collapsed="false">
      <c r="A5" s="2" t="s">
        <v>104</v>
      </c>
      <c r="B5" s="2" t="n">
        <v>4</v>
      </c>
      <c r="C5" s="2" t="n">
        <v>4</v>
      </c>
      <c r="D5" s="2" t="s">
        <v>194</v>
      </c>
      <c r="E5" s="2" t="s">
        <v>195</v>
      </c>
    </row>
    <row r="6" customFormat="false" ht="15" hidden="false" customHeight="false" outlineLevel="0" collapsed="false">
      <c r="A6" s="2" t="s">
        <v>107</v>
      </c>
      <c r="B6" s="2" t="n">
        <v>3</v>
      </c>
      <c r="C6" s="2" t="n">
        <v>3</v>
      </c>
      <c r="D6" s="2" t="s">
        <v>194</v>
      </c>
      <c r="E6" s="2" t="s">
        <v>196</v>
      </c>
    </row>
    <row r="7" customFormat="false" ht="15" hidden="false" customHeight="false" outlineLevel="0" collapsed="false">
      <c r="A7" s="2" t="s">
        <v>197</v>
      </c>
      <c r="B7" s="2" t="n">
        <v>1</v>
      </c>
      <c r="C7" s="2" t="n">
        <v>1</v>
      </c>
      <c r="D7" s="2" t="s">
        <v>198</v>
      </c>
      <c r="E7" s="2" t="s">
        <v>199</v>
      </c>
    </row>
    <row r="8" customFormat="false" ht="15" hidden="false" customHeight="false" outlineLevel="0" collapsed="false">
      <c r="A8" s="2" t="s">
        <v>200</v>
      </c>
      <c r="B8" s="2" t="n">
        <v>1</v>
      </c>
      <c r="C8" s="2" t="n">
        <v>1</v>
      </c>
      <c r="D8" s="2" t="s">
        <v>194</v>
      </c>
      <c r="E8" s="2" t="s">
        <v>201</v>
      </c>
    </row>
    <row r="9" customFormat="false" ht="15" hidden="false" customHeight="false" outlineLevel="0" collapsed="false">
      <c r="A9" s="2" t="s">
        <v>202</v>
      </c>
      <c r="B9" s="2" t="n">
        <v>1</v>
      </c>
      <c r="C9" s="2" t="n">
        <v>1</v>
      </c>
      <c r="D9" s="2" t="s">
        <v>194</v>
      </c>
      <c r="E9" s="2" t="s">
        <v>203</v>
      </c>
    </row>
    <row r="10" customFormat="false" ht="15" hidden="false" customHeight="false" outlineLevel="0" collapsed="false">
      <c r="A10" s="2" t="s">
        <v>204</v>
      </c>
      <c r="B10" s="2" t="n">
        <v>1</v>
      </c>
      <c r="C10" s="2" t="n">
        <v>1</v>
      </c>
      <c r="D10" s="2" t="s">
        <v>194</v>
      </c>
      <c r="E10" s="2" t="s">
        <v>205</v>
      </c>
    </row>
    <row r="11" customFormat="false" ht="15" hidden="false" customHeight="false" outlineLevel="0" collapsed="false">
      <c r="A11" s="2" t="s">
        <v>206</v>
      </c>
      <c r="B11" s="2" t="n">
        <v>1</v>
      </c>
      <c r="C11" s="2" t="n">
        <v>1</v>
      </c>
      <c r="D11" s="2" t="s">
        <v>173</v>
      </c>
      <c r="E11" s="2" t="s">
        <v>207</v>
      </c>
    </row>
    <row r="12" customFormat="false" ht="15" hidden="false" customHeight="false" outlineLevel="0" collapsed="false">
      <c r="A12" s="2" t="s">
        <v>208</v>
      </c>
      <c r="B12" s="2" t="n">
        <v>7</v>
      </c>
      <c r="C12" s="2" t="n">
        <v>7</v>
      </c>
      <c r="D12" s="2" t="s">
        <v>175</v>
      </c>
      <c r="E12" s="2" t="s">
        <v>209</v>
      </c>
    </row>
    <row r="13" customFormat="false" ht="15" hidden="false" customHeight="false" outlineLevel="0" collapsed="false">
      <c r="A13" s="2" t="s">
        <v>210</v>
      </c>
      <c r="B13" s="2" t="n">
        <v>0</v>
      </c>
      <c r="C13" s="2" t="n">
        <v>0</v>
      </c>
      <c r="D13" s="2" t="s">
        <v>211</v>
      </c>
      <c r="E13" s="2" t="s">
        <v>212</v>
      </c>
    </row>
    <row r="14" customFormat="false" ht="15" hidden="false" customHeight="false" outlineLevel="0" collapsed="false">
      <c r="A14" s="2" t="s">
        <v>213</v>
      </c>
      <c r="B14" s="2" t="n">
        <v>7</v>
      </c>
      <c r="C14" s="2" t="n">
        <v>7</v>
      </c>
      <c r="D14" s="2" t="s">
        <v>184</v>
      </c>
      <c r="E14" s="2" t="s">
        <v>214</v>
      </c>
    </row>
    <row r="15" customFormat="false" ht="15" hidden="false" customHeight="false" outlineLevel="0" collapsed="false">
      <c r="A15" s="2" t="s">
        <v>215</v>
      </c>
      <c r="B15" s="2" t="n">
        <v>0</v>
      </c>
      <c r="C15" s="2" t="n">
        <v>0</v>
      </c>
      <c r="D15" s="2" t="s">
        <v>211</v>
      </c>
      <c r="E15" s="2" t="s">
        <v>212</v>
      </c>
    </row>
    <row r="16" customFormat="false" ht="15" hidden="false" customHeight="false" outlineLevel="0" collapsed="false">
      <c r="A16" s="2" t="s">
        <v>216</v>
      </c>
      <c r="B16" s="2" t="n">
        <v>0</v>
      </c>
      <c r="C16" s="2" t="n">
        <v>0</v>
      </c>
      <c r="D16" s="2" t="s">
        <v>217</v>
      </c>
      <c r="E16" s="2" t="s">
        <v>126</v>
      </c>
    </row>
    <row r="17" customFormat="false" ht="15" hidden="false" customHeight="false" outlineLevel="0" collapsed="false">
      <c r="A17" s="2" t="s">
        <v>218</v>
      </c>
      <c r="B17" s="2" t="n">
        <v>0</v>
      </c>
      <c r="C17" s="2" t="n">
        <v>0</v>
      </c>
      <c r="D17" s="2" t="s">
        <v>211</v>
      </c>
      <c r="E17" s="2" t="s">
        <v>212</v>
      </c>
    </row>
    <row r="18" customFormat="false" ht="15" hidden="false" customHeight="false" outlineLevel="0" collapsed="false">
      <c r="A18" s="2" t="s">
        <v>219</v>
      </c>
      <c r="B18" s="2" t="n">
        <v>0</v>
      </c>
      <c r="C18" s="2" t="n">
        <v>0</v>
      </c>
      <c r="D18" s="2" t="s">
        <v>220</v>
      </c>
      <c r="E18" s="2" t="s">
        <v>212</v>
      </c>
    </row>
  </sheetData>
  <autoFilter ref="A1:E18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&amp;CReceipt-first control summary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