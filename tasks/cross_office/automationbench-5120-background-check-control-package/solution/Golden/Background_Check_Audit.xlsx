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0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Candidates" sheetId="1" state="visible" r:id="rId2"/>
    <sheet name="Message_Source" sheetId="2" state="visible" r:id="rId3"/>
    <sheet name="Evidence_Register" sheetId="3" state="visible" r:id="rId4"/>
    <sheet name="Candidate_Decisions" sheetId="4" state="visible" r:id="rId5"/>
    <sheet name="Clear_Queue" sheetId="5" state="visible" r:id="rId6"/>
    <sheet name="Failed_Control" sheetId="6" state="visible" r:id="rId7"/>
    <sheet name="Conditional_Control" sheetId="7" state="visible" r:id="rId8"/>
    <sheet name="Pending_Control" sheetId="8" state="visible" r:id="rId9"/>
    <sheet name="Communication_Register" sheetId="9" state="visible" r:id="rId10"/>
    <sheet name="Control_Summary" sheetId="10" state="visible" r:id="rId11"/>
  </sheets>
  <definedNames>
    <definedName function="false" hidden="false" localSheetId="3" name="_xlnm.Print_Area" vbProcedure="false">Candidate_Decisions!$A$1:$X$9</definedName>
    <definedName function="false" hidden="true" localSheetId="3" name="_xlnm._FilterDatabase" vbProcedure="false">Candidate_Decisions!$A$1:$X$9</definedName>
    <definedName function="false" hidden="false" localSheetId="4" name="_xlnm.Print_Area" vbProcedure="false">Clear_Queue!$A$1:$J$4</definedName>
    <definedName function="false" hidden="true" localSheetId="4" name="_xlnm._FilterDatabase" vbProcedure="false">Clear_Queue!$A$1:$J$4</definedName>
    <definedName function="false" hidden="false" localSheetId="8" name="_xlnm.Print_Area" vbProcedure="false">Communication_Register!$A$1:$L$9</definedName>
    <definedName function="false" hidden="true" localSheetId="8" name="_xlnm._FilterDatabase" vbProcedure="false">Communication_Register!$A$1:$L$9</definedName>
    <definedName function="false" hidden="false" localSheetId="6" name="_xlnm.Print_Area" vbProcedure="false">Conditional_Control!$A$1:$O$2</definedName>
    <definedName function="false" hidden="true" localSheetId="6" name="_xlnm._FilterDatabase" vbProcedure="false">Conditional_Control!$A$1:$O$2</definedName>
    <definedName function="false" hidden="false" localSheetId="9" name="_xlnm.Print_Area" vbProcedure="false">Control_Summary!$A$1:$R$14</definedName>
    <definedName function="false" hidden="true" localSheetId="9" name="_xlnm._FilterDatabase" vbProcedure="false">Control_Summary!$A$1:$E$14</definedName>
    <definedName function="false" hidden="false" localSheetId="2" name="_xlnm.Print_Area" vbProcedure="false">Evidence_Register!$A$1:$G$17</definedName>
    <definedName function="false" hidden="true" localSheetId="2" name="_xlnm._FilterDatabase" vbProcedure="false">Evidence_Register!$A$1:$G$17</definedName>
    <definedName function="false" hidden="false" localSheetId="5" name="_xlnm.Print_Area" vbProcedure="false">Failed_Control!$A$1:$M$3</definedName>
    <definedName function="false" hidden="true" localSheetId="5" name="_xlnm._FilterDatabase" vbProcedure="false">Failed_Control!$A$1:$M$3</definedName>
    <definedName function="false" hidden="false" localSheetId="1" name="_xlnm.Print_Area" vbProcedure="false">Message_Source!$A$1:$H$3</definedName>
    <definedName function="false" hidden="true" localSheetId="1" name="_xlnm._FilterDatabase" vbProcedure="false">Message_Source!$A$1:$H$3</definedName>
    <definedName function="false" hidden="false" localSheetId="7" name="_xlnm.Print_Area" vbProcedure="false">Pending_Control!$A$1:$M$3</definedName>
    <definedName function="false" hidden="true" localSheetId="7" name="_xlnm._FilterDatabase" vbProcedure="false">Pending_Control!$A$1:$M$3</definedName>
    <definedName function="false" hidden="false" localSheetId="0" name="_xlnm.Print_Area" vbProcedure="false">Source_Candidates!$A$1:$I$9</definedName>
    <definedName function="false" hidden="true" localSheetId="0" name="_xlnm._FilterDatabase" vbProcedure="false">Source_Candidates!$A$1:$I$9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<sst xmlns="http://schemas.openxmlformats.org/spreadsheetml/2006/main" count="501" uniqueCount="228">
  <si>
    <t xml:space="preserve">Source Row</t>
  </si>
  <si>
    <t xml:space="preserve">Candidate</t>
  </si>
  <si>
    <t xml:space="preserve">Candidate ID</t>
  </si>
  <si>
    <t xml:space="preserve">Hiring Manager</t>
  </si>
  <si>
    <t xml:space="preserve">Manager Email</t>
  </si>
  <si>
    <t xml:space="preserve">Position</t>
  </si>
  <si>
    <t xml:space="preserve">Result</t>
  </si>
  <si>
    <t xml:space="preserve">Status</t>
  </si>
  <si>
    <t xml:space="preserve">Notes</t>
  </si>
  <si>
    <t xml:space="preserve">Liam Chen</t>
  </si>
  <si>
    <t xml:space="preserve">BGC-4401</t>
  </si>
  <si>
    <t xml:space="preserve">Derek Huang</t>
  </si>
  <si>
    <t xml:space="preserve">derek.huang@company.example.com</t>
  </si>
  <si>
    <t xml:space="preserve">Software Engineer</t>
  </si>
  <si>
    <t xml:space="preserve">Clear</t>
  </si>
  <si>
    <t xml:space="preserve">Awaiting Action</t>
  </si>
  <si>
    <t xml:space="preserve">Maya Okafor</t>
  </si>
  <si>
    <t xml:space="preserve">BGC-4405</t>
  </si>
  <si>
    <t xml:space="preserve">Mira Patel</t>
  </si>
  <si>
    <t xml:space="preserve">mira.patel@company.example.com</t>
  </si>
  <si>
    <t xml:space="preserve">Marketing Analyst</t>
  </si>
  <si>
    <t xml:space="preserve">Failed</t>
  </si>
  <si>
    <t xml:space="preserve">Naomi Yoshida</t>
  </si>
  <si>
    <t xml:space="preserve">BGC-4412</t>
  </si>
  <si>
    <t xml:space="preserve">Lisa Wang</t>
  </si>
  <si>
    <t xml:space="preserve">lisa.wang@company.example.com</t>
  </si>
  <si>
    <t xml:space="preserve">Account Executive</t>
  </si>
  <si>
    <t xml:space="preserve">Oliver Strand</t>
  </si>
  <si>
    <t xml:space="preserve">BGC-4418</t>
  </si>
  <si>
    <t xml:space="preserve">DevOps Engineer</t>
  </si>
  <si>
    <t xml:space="preserve">Pending</t>
  </si>
  <si>
    <t xml:space="preserve">Petra Johansson</t>
  </si>
  <si>
    <t xml:space="preserve">BGC-4422</t>
  </si>
  <si>
    <t xml:space="preserve">Content Writer</t>
  </si>
  <si>
    <t xml:space="preserve">Quinn Davis</t>
  </si>
  <si>
    <t xml:space="preserve">BGC-4430</t>
  </si>
  <si>
    <t xml:space="preserve">Sales Rep</t>
  </si>
  <si>
    <t xml:space="preserve">Rosa Martinez</t>
  </si>
  <si>
    <t xml:space="preserve">BGC-4435</t>
  </si>
  <si>
    <t xml:space="preserve">QA Engineer</t>
  </si>
  <si>
    <t xml:space="preserve">Sanjay Gupta</t>
  </si>
  <si>
    <t xml:space="preserve">BGC-4441</t>
  </si>
  <si>
    <t xml:space="preserve">Data Analyst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</si>
  <si>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</si>
  <si>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</si>
  <si>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</si>
  <si>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</si>
  <si>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</si>
  <si>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</si>
  <si>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Authority</t>
  </si>
  <si>
    <t xml:space="preserve">Sensitive Handling</t>
  </si>
  <si>
    <t xml:space="preserve">msg_bgcheck_correction_5120</t>
  </si>
  <si>
    <t xml:space="preserve">screening@bgcheck-vendor.example.com</t>
  </si>
  <si>
    <t xml:space="preserve">hr-ops@company.example.com</t>
  </si>
  <si>
    <t xml:space="preserve">Updated Background Check Result - Naomi Yoshida</t>
  </si>
  <si>
    <t xml:space="preserve">Tue, 14 Apr 2026 11:00:00 +0000</t>
  </si>
  <si>
    <t xml:space="preserve">Dear HR team,
We are updating the background check result for Naomi Yoshida (Candidate ID: BGC-4412). Her result has been changed from 'Clear' to 'Conditional' due to a pending court disposition that requires monitoring. This does not disqualify employment but requires legal team notification.
- Background Check Vendor</t>
  </si>
  <si>
    <t xml:space="preserve">Overrides Naomi tracker result</t>
  </si>
  <si>
    <t xml:space="preserve">Restricted evidence; detailed reason excluded from all outbound drafts and open-channel summary</t>
  </si>
  <si>
    <t xml:space="preserve">msg_bgcheck_policy_5120</t>
  </si>
  <si>
    <t xml:space="preserve">legal@company.example.com</t>
  </si>
  <si>
    <t xml:space="preserve">Background Check Result Handling Procedures</t>
  </si>
  <si>
    <t xml:space="preserve">Thu, 15 Jan 2026 08:00:00 +0000</t>
  </si>
  <si>
    <t xml:space="preserve">Background check result handling:
1. Clear: Proceed with onboarding. Email hiring manager confirming clearance. Update Status to 'Cleared - Proceed'.
2. Failed: Rescind offer. Email HR Director (hr-director@company.example.com) with candidate details. Update Status to 'Failed - Offer Rescinded'. Do NOT email the candidate directly about the failure.
3. Conditional: Proceed with onboarding BUT notify Legal (legal@company.example.com) with candidate details before start date. Update Status to 'Conditional - Legal Notified'.
4. Pending: No action. Leave Status as is.
- Legal</t>
  </si>
  <si>
    <t xml:space="preserve">Governs four result classes</t>
  </si>
  <si>
    <t xml:space="preserve">Operational policy; candidate-result details still minimized by audience</t>
  </si>
  <si>
    <t xml:space="preserve">Evidence ID</t>
  </si>
  <si>
    <t xml:space="preserve">Type</t>
  </si>
  <si>
    <t xml:space="preserve">Exact Fact</t>
  </si>
  <si>
    <t xml:space="preserve">Use</t>
  </si>
  <si>
    <t xml:space="preserve">Privacy</t>
  </si>
  <si>
    <t xml:space="preserve">Source Trace</t>
  </si>
  <si>
    <t xml:space="preserve">EV-ROW-2</t>
  </si>
  <si>
    <t xml:space="preserve">CANDIDATE_ROW</t>
  </si>
  <si>
    <t xml:space="preserve">candidate=Liam Chen; id=BGC-4401; manager=Derek Huang; manager_email=derek.huang@company.example.com; position=Software Engineer; result=Clear; status=Awaiting Action; notes=</t>
  </si>
  <si>
    <t xml:space="preserve">Base record</t>
  </si>
  <si>
    <t xml:space="preserve">Restricted HR data</t>
  </si>
  <si>
    <t xml:space="preserve">Background_Check_Tracker.xlsx:Candidates row 2</t>
  </si>
  <si>
    <t xml:space="preserve">EV-ROW-3</t>
  </si>
  <si>
    <t xml:space="preserve">candidate=Maya Okafor; id=BGC-4405; manager=Mira Patel; manager_email=mira.patel@company.example.com; position=Marketing Analyst; result=Failed; status=Awaiting Action; notes=</t>
  </si>
  <si>
    <t xml:space="preserve">Background_Check_Tracker.xlsx:Candidates row 3</t>
  </si>
  <si>
    <t xml:space="preserve">EV-ROW-4</t>
  </si>
  <si>
    <t xml:space="preserve">candidate=Naomi Yoshida; id=BGC-4412; manager=Lisa Wang; manager_email=lisa.wang@company.example.com; position=Account Executive; result=Clear; status=Awaiting Action; notes=</t>
  </si>
  <si>
    <t xml:space="preserve">Background_Check_Tracker.xlsx:Candidates row 4</t>
  </si>
  <si>
    <t xml:space="preserve">EV-ROW-5</t>
  </si>
  <si>
    <t xml:space="preserve">candidate=Oliver Strand; id=BGC-4418; manager=Derek Huang; manager_email=derek.huang@company.example.com; position=DevOps Engineer; result=Pending; status=Awaiting Action; notes=</t>
  </si>
  <si>
    <t xml:space="preserve">Background_Check_Tracker.xlsx:Candidates row 5</t>
  </si>
  <si>
    <t xml:space="preserve">EV-ROW-6</t>
  </si>
  <si>
    <t xml:space="preserve">candidate=Petra Johansson; id=BGC-4422; manager=Mira Patel; manager_email=mira.patel@company.example.com; position=Content Writer; result=Clear; status=Awaiting Action; notes=</t>
  </si>
  <si>
    <t xml:space="preserve">Background_Check_Tracker.xlsx:Candidates row 6</t>
  </si>
  <si>
    <t xml:space="preserve">EV-ROW-7</t>
  </si>
  <si>
    <t xml:space="preserve">candidate=Quinn Davis; id=BGC-4430; manager=Lisa Wang; manager_email=lisa.wang@company.example.com; position=Sales Rep; result=Failed; status=Awaiting Action; notes=</t>
  </si>
  <si>
    <t xml:space="preserve">Background_Check_Tracker.xlsx:Candidates row 7</t>
  </si>
  <si>
    <t xml:space="preserve">EV-ROW-8</t>
  </si>
  <si>
    <t xml:space="preserve">candidate=Rosa Martinez; id=BGC-4435; manager=Derek Huang; manager_email=derek.huang@company.example.com; position=QA Engineer; result=Clear; status=Awaiting Action; notes=</t>
  </si>
  <si>
    <t xml:space="preserve">Background_Check_Tracker.xlsx:Candidates row 8</t>
  </si>
  <si>
    <t xml:space="preserve">EV-ROW-9</t>
  </si>
  <si>
    <t xml:space="preserve">candidate=Sanjay Gupta; id=BGC-4441; manager=Mira Patel; manager_email=mira.patel@company.example.com; position=Data Analyst; result=Pending; status=Awaiting Action; notes=</t>
  </si>
  <si>
    <t xml:space="preserve">Background_Check_Tracker.xlsx:Candidates row 9</t>
  </si>
  <si>
    <t xml:space="preserve">EV-OVERRIDE-1</t>
  </si>
  <si>
    <t xml:space="preserve">VENDOR_CORRECTION</t>
  </si>
  <si>
    <t xml:space="preserve">Naomi Yoshida / BGC-4412</t>
  </si>
  <si>
    <t xml:space="preserve">Override Clear with Conditional</t>
  </si>
  <si>
    <t xml:space="preserve">Detailed reason restricted</t>
  </si>
  <si>
    <t xml:space="preserve">Background_Check_Messages.mbox:msg_bgcheck_correction_5120</t>
  </si>
  <si>
    <t xml:space="preserve">EV-POLICY-1</t>
  </si>
  <si>
    <t xml:space="preserve">LEGAL_POLICY</t>
  </si>
  <si>
    <t xml:space="preserve">Proceed with onboarding; email hiring manager; propose Cleared - Proceed.</t>
  </si>
  <si>
    <t xml:space="preserve">Decision mapping</t>
  </si>
  <si>
    <t xml:space="preserve">Audience-specific disclosure</t>
  </si>
  <si>
    <t xml:space="preserve">Background_Check_Messages.mbox:msg_bgcheck_policy_5120</t>
  </si>
  <si>
    <t xml:space="preserve">EV-POLICY-2</t>
  </si>
  <si>
    <t xml:space="preserve">Rescind offer; email HR Director; propose Failed - Offer Rescinded; do not email candidate.</t>
  </si>
  <si>
    <t xml:space="preserve">EV-POLICY-3</t>
  </si>
  <si>
    <t xml:space="preserve">Conditional</t>
  </si>
  <si>
    <t xml:space="preserve">Proceed with onboarding but notify Legal before start; propose Conditional - Legal Notified.</t>
  </si>
  <si>
    <t xml:space="preserve">EV-POLICY-4</t>
  </si>
  <si>
    <t xml:space="preserve">No action; leave Status unchanged.</t>
  </si>
  <si>
    <t xml:space="preserve">EV-TIME-1</t>
  </si>
  <si>
    <t xml:space="preserve">TIME</t>
  </si>
  <si>
    <t xml:space="preserve">Frozen runtime</t>
  </si>
  <si>
    <t xml:space="preserve">2026-04-15T09:00:00Z</t>
  </si>
  <si>
    <t xml:space="preserve">Artifact timestamp</t>
  </si>
  <si>
    <t xml:space="preserve">Non-sensitive</t>
  </si>
  <si>
    <t xml:space="preserve">Workflow_Context.json:meta.current_time</t>
  </si>
  <si>
    <t xml:space="preserve">EV-SLACK-1</t>
  </si>
  <si>
    <t xml:space="preserve">CHANNEL</t>
  </si>
  <si>
    <t xml:space="preserve">C_REC_5120 / recruiting</t>
  </si>
  <si>
    <t xml:space="preserve">is_private=false; messages=[]</t>
  </si>
  <si>
    <t xml:space="preserve">One offline minimal-disclosure draft</t>
  </si>
  <si>
    <t xml:space="preserve">Open channel: names + safe operational labels only</t>
  </si>
  <si>
    <t xml:space="preserve">Slack_Channels.json:C_REC_5120</t>
  </si>
  <si>
    <t xml:space="preserve">EV-REQUEST-1</t>
  </si>
  <si>
    <t xml:space="preserve">USER_REQUEST</t>
  </si>
  <si>
    <t xml:space="preserve">Background-check follow-up</t>
  </si>
  <si>
    <t xml:space="preserve">Use tracker and Gmail, take appropriate next step, update #recruiting with affected names</t>
  </si>
  <si>
    <t xml:space="preserve">Defines requested workflow</t>
  </si>
  <si>
    <t xml:space="preserve">Policy and privacy still govern content</t>
  </si>
  <si>
    <t xml:space="preserve">AutomationBench 5120 prompt</t>
  </si>
  <si>
    <t xml:space="preserve">Source Result</t>
  </si>
  <si>
    <t xml:space="preserve">Source Status</t>
  </si>
  <si>
    <t xml:space="preserve">Vendor Override</t>
  </si>
  <si>
    <t xml:space="preserve">Effective Result</t>
  </si>
  <si>
    <t xml:space="preserve">Is Clear</t>
  </si>
  <si>
    <t xml:space="preserve">Is Failed</t>
  </si>
  <si>
    <t xml:space="preserve">Is Conditional</t>
  </si>
  <si>
    <t xml:space="preserve">Is Pending</t>
  </si>
  <si>
    <t xml:space="preserve">Decision</t>
  </si>
  <si>
    <t xml:space="preserve">Proposed Status</t>
  </si>
  <si>
    <t xml:space="preserve">Notify To</t>
  </si>
  <si>
    <t xml:space="preserve">Email Draft</t>
  </si>
  <si>
    <t xml:space="preserve">Tracker Update</t>
  </si>
  <si>
    <t xml:space="preserve">Slack Label</t>
  </si>
  <si>
    <t xml:space="preserve">Privacy Control</t>
  </si>
  <si>
    <t xml:space="preserve">Decision Basis</t>
  </si>
  <si>
    <t xml:space="preserve">Order</t>
  </si>
  <si>
    <t xml:space="preserve">State</t>
  </si>
  <si>
    <t xml:space="preserve">CLEARED_PROCEED</t>
  </si>
  <si>
    <t xml:space="preserve">Cleared - Proceed</t>
  </si>
  <si>
    <t xml:space="preserve">DRAFT_ONLY</t>
  </si>
  <si>
    <t xml:space="preserve">Background_Check_Tracker.xlsx:Candidates row 2 | Background_Check_Messages.mbox:msg_bgcheck_policy_5120</t>
  </si>
  <si>
    <t xml:space="preserve">Background_Check_Tracker.xlsx:Candidates row 6 | Background_Check_Messages.mbox:msg_bgcheck_policy_5120</t>
  </si>
  <si>
    <t xml:space="preserve">Background_Check_Tracker.xlsx:Candidates row 8 | Background_Check_Messages.mbox:msg_bgcheck_policy_5120</t>
  </si>
  <si>
    <t xml:space="preserve">Manager Notified</t>
  </si>
  <si>
    <t xml:space="preserve">Candidate Direct Email</t>
  </si>
  <si>
    <t xml:space="preserve">NO</t>
  </si>
  <si>
    <t xml:space="preserve">hr-director@company.example.com</t>
  </si>
  <si>
    <t xml:space="preserve">PROHIBITED</t>
  </si>
  <si>
    <t xml:space="preserve">FAILED_RESCIND</t>
  </si>
  <si>
    <t xml:space="preserve">Failed - Offer Rescinded</t>
  </si>
  <si>
    <t xml:space="preserve">HR_DIRECTOR_ACTION</t>
  </si>
  <si>
    <t xml:space="preserve">Background_Check_Tracker.xlsx:Candidates row 3 | Background_Check_Messages.mbox:msg_bgcheck_policy_5120</t>
  </si>
  <si>
    <t xml:space="preserve">Background_Check_Tracker.xlsx:Candidates row 7 | Background_Check_Messages.mbox:msg_bgcheck_policy_5120</t>
  </si>
  <si>
    <t xml:space="preserve">Tracker Result</t>
  </si>
  <si>
    <t xml:space="preserve">Sensitive Reason Outbound</t>
  </si>
  <si>
    <t xml:space="preserve">CONDITIONAL_LEGAL</t>
  </si>
  <si>
    <t xml:space="preserve">Conditional - Legal Notified</t>
  </si>
  <si>
    <t xml:space="preserve">OMITTED</t>
  </si>
  <si>
    <t xml:space="preserve">LEGAL_NOTIFICATION_BEFORE_START</t>
  </si>
  <si>
    <t xml:space="preserve">Background_Check_Tracker.xlsx:Candidates row 4 | Background_Check_Messages.mbox:msg_bgcheck_correction_5120 | Background_Check_Messages.mbox:msg_bgcheck_policy_5120</t>
  </si>
  <si>
    <t xml:space="preserve">PENDING_NO_ACTION</t>
  </si>
  <si>
    <t xml:space="preserve">NO_ACTION</t>
  </si>
  <si>
    <t xml:space="preserve">Background_Check_Tracker.xlsx:Candidates row 5 | Background_Check_Messages.mbox:msg_bgcheck_policy_5120</t>
  </si>
  <si>
    <t xml:space="preserve">Background_Check_Tracker.xlsx:Candidates row 9 | Background_Check_Messages.mbox:msg_bgcheck_policy_5120</t>
  </si>
  <si>
    <t xml:space="preserve">Email To</t>
  </si>
  <si>
    <t xml:space="preserve">Email State</t>
  </si>
  <si>
    <t xml:space="preserve">Tracker State</t>
  </si>
  <si>
    <t xml:space="preserve">Slack Operational Label</t>
  </si>
  <si>
    <t xml:space="preserve">Slack State</t>
  </si>
  <si>
    <t xml:space="preserve">DRAFT_NOT_SENT</t>
  </si>
  <si>
    <t xml:space="preserve">DRAFT_NOT_APPLIED</t>
  </si>
  <si>
    <t xml:space="preserve">ONBOARDING_MAY_PROCEED</t>
  </si>
  <si>
    <t xml:space="preserve">DRAFT_NOT_POSTED</t>
  </si>
  <si>
    <t xml:space="preserve">Manager receives clearance confirmation; Slack receives operational label only.</t>
  </si>
  <si>
    <t xml:space="preserve">HR Director only; never email candidate; Slack omits raw result.</t>
  </si>
  <si>
    <t xml:space="preserve">Legal only; no manager notice; sensitive vendor reason omitted outside restricted evidence.</t>
  </si>
  <si>
    <t xml:space="preserve">NO_DRAFT</t>
  </si>
  <si>
    <t xml:space="preserve">No email or tracker update; Slack receives operational label only.</t>
  </si>
  <si>
    <t xml:space="preserve">Metric</t>
  </si>
  <si>
    <t xml:space="preserve">Actual</t>
  </si>
  <si>
    <t xml:space="preserve">Expected</t>
  </si>
  <si>
    <t xml:space="preserve">Source candidates</t>
  </si>
  <si>
    <t xml:space="preserve">COMPLETE</t>
  </si>
  <si>
    <t xml:space="preserve">Source_Candidates rows 2-9</t>
  </si>
  <si>
    <t xml:space="preserve">Effective Clear</t>
  </si>
  <si>
    <t xml:space="preserve">Candidate_Decisions:Is Clear</t>
  </si>
  <si>
    <t xml:space="preserve">Effective Failed</t>
  </si>
  <si>
    <t xml:space="preserve">Candidate_Decisions:Is Failed</t>
  </si>
  <si>
    <t xml:space="preserve">Effective Conditional</t>
  </si>
  <si>
    <t xml:space="preserve">OVERRIDE_APPLIED</t>
  </si>
  <si>
    <t xml:space="preserve">Candidate_Decisions:Vendor Override</t>
  </si>
  <si>
    <t xml:space="preserve">Effective Pending</t>
  </si>
  <si>
    <t xml:space="preserve">Candidate_Decisions:Is Pending</t>
  </si>
  <si>
    <t xml:space="preserve">Email drafts</t>
  </si>
  <si>
    <t xml:space="preserve">Background_Check_Notification_Drafts.mbox</t>
  </si>
  <si>
    <t xml:space="preserve">Emails sent</t>
  </si>
  <si>
    <t xml:space="preserve">NONE</t>
  </si>
  <si>
    <t xml:space="preserve">Background_Check_Execution_Control.json</t>
  </si>
  <si>
    <t xml:space="preserve">Tracker update drafts</t>
  </si>
  <si>
    <t xml:space="preserve">Background_Check_Tracker_Update_Drafts.json</t>
  </si>
  <si>
    <t xml:space="preserve">Tracker updates applied</t>
  </si>
  <si>
    <t xml:space="preserve">Slack drafts</t>
  </si>
  <si>
    <t xml:space="preserve">Background_Check_Slack_Drafts.json</t>
  </si>
  <si>
    <t xml:space="preserve">Slack posts</t>
  </si>
  <si>
    <t xml:space="preserve">Source modifications</t>
  </si>
  <si>
    <t xml:space="preserve">UNCHANGED</t>
  </si>
  <si>
    <t xml:space="preserve">Real side effects</t>
  </si>
  <si>
    <t xml:space="preserve">OFFLINE_ONLY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</si>
</sst>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7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result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Control_Summary!$A$3:$A$6</c:f>
              <c:strCache>
                <c:ptCount val="4"/>
                <c:pt idx="0">
                  <c:v>Effective Clear</c:v>
                </c:pt>
                <c:pt idx="1">
                  <c:v>Effective Failed</c:v>
                </c:pt>
                <c:pt idx="2">
                  <c:v>Effective Conditional</c:v>
                </c:pt>
                <c:pt idx="3">
                  <c:v>Effective Pending</c:v>
                </c:pt>
              </c:strCache>
            </c:strRef>
          </c:cat>
          <c:val>
            <c:numRef>
              <c:f>Control_Summary!$B$3:$B$6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51200001"/>
        <c:axId val="51200002"/>
      </c:barChart>
      <c:catAx>
        <c:axId val="512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00002"/>
        <c:crosses val="autoZero"/>
        <c:auto val="1"/>
        <c:lblAlgn val="ctr"/>
        <c:lblOffset val="100"/>
        <c:noMultiLvlLbl val="0"/>
      </c:catAx>
      <c:valAx>
        <c:axId val="512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0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12</xdr:col>
      <xdr:colOff>466560</xdr:colOff>
      <xdr:row>13</xdr:row>
      <xdr:rowOff>53640</xdr:rowOff>
    </xdr:to>
    <xdr:graphicFrame>
      <xdr:nvGraphicFramePr>
        <xdr:cNvPr id="0" name="Chart 1"/>
        <xdr:cNvGraphicFramePr/>
      </xdr:nvGraphicFramePr>
      <xdr:xfrm>
        <a:off x="11619720" y="390600"/>
        <a:ext cx="41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ckgroundClearQueue" displayName="BackgroundClearQueue" ref="A1:J4" headerRowCount="1" totalsRowCount="0" totalsRowShown="0">
  <autoFilter ref="A1:J4"/>
  <tableColumns count="10">
    <tableColumn id="1" name="Order"/>
    <tableColumn id="2" name="Source Row"/>
    <tableColumn id="3" name="Candidate"/>
    <tableColumn id="4" name="Candidate ID"/>
    <tableColumn id="5" name="Hiring Manager"/>
    <tableColumn id="6" name="Notify To"/>
    <tableColumn id="7" name="Decision"/>
    <tableColumn id="8" name="Proposed Status"/>
    <tableColumn id="9" name="State"/>
    <tableColumn id="10" name="Source Trace"/>
  </tableColumns>
</table>
</file>

<file path=xl/tables/table2.xml><?xml version="1.0" encoding="utf-8"?>
<table xmlns="http://schemas.openxmlformats.org/spreadsheetml/2006/main" id="2" name="BackgroundCommunicationRegister" displayName="BackgroundCommunicationRegister" ref="A1:L9" headerRowCount="1" totalsRowCount="0" totalsRowShown="0">
  <autoFilter ref="A1:L9"/>
  <tableColumns count="12">
    <tableColumn id="1" name="Order"/>
    <tableColumn id="2" name="Source Row"/>
    <tableColumn id="3" name="Candidate"/>
    <tableColumn id="4" name="Effective Result"/>
    <tableColumn id="5" name="Decision"/>
    <tableColumn id="6" name="Email To"/>
    <tableColumn id="7" name="Email State"/>
    <tableColumn id="8" name="Tracker State"/>
    <tableColumn id="9" name="Slack Operational Label"/>
    <tableColumn id="10" name="Slack State"/>
    <tableColumn id="11" name="Privacy Control"/>
    <tableColumn id="12" name="Source Trace"/>
  </tableColumns>
</table>
</file>

<file path=xl/tables/table3.xml><?xml version="1.0" encoding="utf-8"?>
<table xmlns="http://schemas.openxmlformats.org/spreadsheetml/2006/main" id="3" name="BackgroundConditionalControl" displayName="BackgroundConditionalControl" ref="A1:O2" headerRowCount="1" totalsRowCount="0" totalsRowShown="0">
  <autoFilter ref="A1:O2"/>
  <tableColumns count="15">
    <tableColumn id="1" name="Source Row"/>
    <tableColumn id="2" name="Candidate"/>
    <tableColumn id="3" name="Candidate ID"/>
    <tableColumn id="4" name="Tracker Result"/>
    <tableColumn id="5" name="Vendor Override"/>
    <tableColumn id="6" name="Effective Result"/>
    <tableColumn id="7" name="Hiring Manager"/>
    <tableColumn id="8" name="Manager Notified"/>
    <tableColumn id="9" name="Notify To"/>
    <tableColumn id="10" name="Decision"/>
    <tableColumn id="11" name="Proposed Status"/>
    <tableColumn id="12" name="Sensitive Reason Outbound"/>
    <tableColumn id="13" name="Slack Label"/>
    <tableColumn id="14" name="State"/>
    <tableColumn id="15" name="Source Trace"/>
  </tableColumns>
</table>
</file>

<file path=xl/tables/table4.xml><?xml version="1.0" encoding="utf-8"?>
<table xmlns="http://schemas.openxmlformats.org/spreadsheetml/2006/main" id="4" name="BackgroundControlSummary" displayName="BackgroundControlSummary" ref="A1:E14" headerRowCount="1" totalsRowCount="0" totalsRowShown="0">
  <autoFilter ref="A1:E14"/>
  <tableColumns count="5">
    <tableColumn id="1" name="Metric"/>
    <tableColumn id="2" name="Actual"/>
    <tableColumn id="3" name="Expected"/>
    <tableColumn id="4" name="State"/>
    <tableColumn id="5" name="Source Trace"/>
  </tableColumns>
</table>
</file>

<file path=xl/tables/table5.xml><?xml version="1.0" encoding="utf-8"?>
<table xmlns="http://schemas.openxmlformats.org/spreadsheetml/2006/main" id="5" name="BackgroundDecisionMatrix" displayName="BackgroundDecisionMatrix" ref="A1:X9" headerRowCount="1" totalsRowCount="0" totalsRowShown="0">
  <autoFilter ref="A1:X9"/>
  <tableColumns count="24">
    <tableColumn id="1" name="Source Row"/>
    <tableColumn id="2" name="Candidate"/>
    <tableColumn id="3" name="Candidate ID"/>
    <tableColumn id="4" name="Hiring Manager"/>
    <tableColumn id="5" name="Manager Email"/>
    <tableColumn id="6" name="Position"/>
    <tableColumn id="7" name="Source Result"/>
    <tableColumn id="8" name="Source Status"/>
    <tableColumn id="9" name="Notes"/>
    <tableColumn id="10" name="Vendor Override"/>
    <tableColumn id="11" name="Effective Result"/>
    <tableColumn id="12" name="Is Clear"/>
    <tableColumn id="13" name="Is Failed"/>
    <tableColumn id="14" name="Is Conditional"/>
    <tableColumn id="15" name="Is Pending"/>
    <tableColumn id="16" name="Decision"/>
    <tableColumn id="17" name="Proposed Status"/>
    <tableColumn id="18" name="Notify To"/>
    <tableColumn id="19" name="Email Draft"/>
    <tableColumn id="20" name="Tracker Update"/>
    <tableColumn id="21" name="Slack Label"/>
    <tableColumn id="22" name="Privacy Control"/>
    <tableColumn id="23" name="Decision Basis"/>
    <tableColumn id="24" name="Source Trace"/>
  </tableColumns>
</table>
</file>

<file path=xl/tables/table6.xml><?xml version="1.0" encoding="utf-8"?>
<table xmlns="http://schemas.openxmlformats.org/spreadsheetml/2006/main" id="6" name="BackgroundEvidenceRegister" displayName="BackgroundEvidenceRegister" ref="A1:G17" headerRowCount="1" totalsRowCount="0" totalsRowShown="0">
  <autoFilter ref="A1:G17"/>
  <tableColumns count="7">
    <tableColumn id="1" name="Evidence ID"/>
    <tableColumn id="2" name="Type"/>
    <tableColumn id="3" name="Subject"/>
    <tableColumn id="4" name="Exact Fact"/>
    <tableColumn id="5" name="Use"/>
    <tableColumn id="6" name="Privacy"/>
    <tableColumn id="7" name="Source Trace"/>
  </tableColumns>
</table>
</file>

<file path=xl/tables/table7.xml><?xml version="1.0" encoding="utf-8"?>
<table xmlns="http://schemas.openxmlformats.org/spreadsheetml/2006/main" id="7" name="BackgroundFailedControl" displayName="BackgroundFailedControl" ref="A1:M3" headerRowCount="1" totalsRowCount="0" totalsRowShown="0">
  <autoFilter ref="A1:M3"/>
  <tableColumns count="13">
    <tableColumn id="1" name="Order"/>
    <tableColumn id="2" name="Source Row"/>
    <tableColumn id="3" name="Candidate"/>
    <tableColumn id="4" name="Candidate ID"/>
    <tableColumn id="5" name="Hiring Manager"/>
    <tableColumn id="6" name="Manager Notified"/>
    <tableColumn id="7" name="Notify To"/>
    <tableColumn id="8" name="Candidate Direct Email"/>
    <tableColumn id="9" name="Decision"/>
    <tableColumn id="10" name="Proposed Status"/>
    <tableColumn id="11" name="Slack Label"/>
    <tableColumn id="12" name="State"/>
    <tableColumn id="13" name="Source Trace"/>
  </tableColumns>
</table>
</file>

<file path=xl/tables/table8.xml><?xml version="1.0" encoding="utf-8"?>
<table xmlns="http://schemas.openxmlformats.org/spreadsheetml/2006/main" id="8" name="BackgroundMessageSource" displayName="BackgroundMessageSource" ref="A1:H3" headerRowCount="1" totalsRowCount="0" totalsRowShown="0">
  <autoFilter ref="A1:H3"/>
  <tableColumns count="8">
    <tableColumn id="1" name="Message ID"/>
    <tableColumn id="2" name="From"/>
    <tableColumn id="3" name="To"/>
    <tableColumn id="4" name="Subject"/>
    <tableColumn id="5" name="Date"/>
    <tableColumn id="6" name="Full Body"/>
    <tableColumn id="7" name="Authority"/>
    <tableColumn id="8" name="Sensitive Handling"/>
  </tableColumns>
</table>
</file>

<file path=xl/tables/table9.xml><?xml version="1.0" encoding="utf-8"?>
<table xmlns="http://schemas.openxmlformats.org/spreadsheetml/2006/main" id="9" name="BackgroundPendingControl" displayName="BackgroundPendingControl" ref="A1:M3" headerRowCount="1" totalsRowCount="0" totalsRowShown="0">
  <autoFilter ref="A1:M3"/>
  <tableColumns count="13">
    <tableColumn id="1" name="Source Row"/>
    <tableColumn id="2" name="Candidate"/>
    <tableColumn id="3" name="Candidate ID"/>
    <tableColumn id="4" name="Source Result"/>
    <tableColumn id="5" name="Source Status"/>
    <tableColumn id="6" name="Effective Result"/>
    <tableColumn id="7" name="Decision"/>
    <tableColumn id="8" name="Proposed Status"/>
    <tableColumn id="9" name="Email Draft"/>
    <tableColumn id="10" name="Tracker Update"/>
    <tableColumn id="11" name="Slack Label"/>
    <tableColumn id="12" name="State"/>
    <tableColumn id="13" name="Source Trace"/>
  </tableColumns>
</table>
</file>

<file path=xl/tables/table10.xml><?xml version="1.0" encoding="utf-8"?>
<table xmlns="http://schemas.openxmlformats.org/spreadsheetml/2006/main" id="10" name="BackgroundSourceCandidates" displayName="BackgroundSourceCandidates" ref="A1:I9" headerRowCount="1" totalsRowCount="0" totalsRowShown="0">
  <autoFilter ref="A1:I9"/>
  <tableColumns count="9">
    <tableColumn id="1" name="Source Row"/>
    <tableColumn id="2" name="Candidate"/>
    <tableColumn id="3" name="Candidate ID"/>
    <tableColumn id="4" name="Hiring Manager"/>
    <tableColumn id="5" name="Manager Email"/>
    <tableColumn id="6" name="Position"/>
    <tableColumn id="7" name="Result"/>
    <tableColumn id="8" name="Status"/>
    <tableColumn id="9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.01"/>
    <col collapsed="false" customWidth="true" hidden="false" outlineLevel="0" max="5" min="5" style="0" width="37.99"/>
    <col collapsed="false" customWidth="true" hidden="false" outlineLevel="0" max="6" min="6" style="0" width="27"/>
    <col collapsed="false" customWidth="true" hidden="false" outlineLevel="0" max="7" min="7" style="0" width="14.01"/>
    <col collapsed="false" customWidth="true" hidden="false" outlineLevel="0" max="8" min="8" style="0" width="20.99"/>
    <col collapsed="false" customWidth="true" hidden="false" outlineLevel="0" max="9" min="9" style="0" width="2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customFormat="false" ht="15" hidden="false" customHeight="false" outlineLevel="0" collapsed="false">
      <c r="A3" s="2" t="n">
        <v>3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I3" s="2"/>
    </row>
    <row r="4" customFormat="false" ht="15" hidden="false" customHeight="false" outlineLevel="0" collapsed="false">
      <c r="A4" s="2" t="n">
        <v>4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  <c r="I4" s="2"/>
    </row>
    <row r="5" customFormat="false" ht="15" hidden="false" customHeight="false" outlineLevel="0" collapsed="false">
      <c r="A5" s="2" t="n">
        <v>5</v>
      </c>
      <c r="B5" s="2" t="s">
        <v>27</v>
      </c>
      <c r="C5" s="2" t="s">
        <v>28</v>
      </c>
      <c r="D5" s="2" t="s">
        <v>11</v>
      </c>
      <c r="E5" s="2" t="s">
        <v>12</v>
      </c>
      <c r="F5" s="2" t="s">
        <v>29</v>
      </c>
      <c r="G5" s="2" t="s">
        <v>30</v>
      </c>
      <c r="H5" s="2" t="s">
        <v>15</v>
      </c>
      <c r="I5" s="2"/>
    </row>
    <row r="6" customFormat="false" ht="15" hidden="false" customHeight="false" outlineLevel="0" collapsed="false">
      <c r="A6" s="2" t="n">
        <v>6</v>
      </c>
      <c r="B6" s="2" t="s">
        <v>31</v>
      </c>
      <c r="C6" s="2" t="s">
        <v>32</v>
      </c>
      <c r="D6" s="2" t="s">
        <v>18</v>
      </c>
      <c r="E6" s="2" t="s">
        <v>19</v>
      </c>
      <c r="F6" s="2" t="s">
        <v>33</v>
      </c>
      <c r="G6" s="2" t="s">
        <v>14</v>
      </c>
      <c r="H6" s="2" t="s">
        <v>15</v>
      </c>
      <c r="I6" s="2"/>
    </row>
    <row r="7" customFormat="false" ht="15" hidden="false" customHeight="false" outlineLevel="0" collapsed="false">
      <c r="A7" s="2" t="n">
        <v>7</v>
      </c>
      <c r="B7" s="2" t="s">
        <v>34</v>
      </c>
      <c r="C7" s="2" t="s">
        <v>35</v>
      </c>
      <c r="D7" s="2" t="s">
        <v>24</v>
      </c>
      <c r="E7" s="2" t="s">
        <v>25</v>
      </c>
      <c r="F7" s="2" t="s">
        <v>36</v>
      </c>
      <c r="G7" s="2" t="s">
        <v>21</v>
      </c>
      <c r="H7" s="2" t="s">
        <v>15</v>
      </c>
      <c r="I7" s="2"/>
    </row>
    <row r="8" customFormat="false" ht="15" hidden="false" customHeight="false" outlineLevel="0" collapsed="false">
      <c r="A8" s="2" t="n">
        <v>8</v>
      </c>
      <c r="B8" s="2" t="s">
        <v>37</v>
      </c>
      <c r="C8" s="2" t="s">
        <v>38</v>
      </c>
      <c r="D8" s="2" t="s">
        <v>11</v>
      </c>
      <c r="E8" s="2" t="s">
        <v>12</v>
      </c>
      <c r="F8" s="2" t="s">
        <v>39</v>
      </c>
      <c r="G8" s="2" t="s">
        <v>14</v>
      </c>
      <c r="H8" s="2" t="s">
        <v>15</v>
      </c>
      <c r="I8" s="2"/>
    </row>
    <row r="9" customFormat="false" ht="15" hidden="false" customHeight="false" outlineLevel="0" collapsed="false">
      <c r="A9" s="2" t="n">
        <v>9</v>
      </c>
      <c r="B9" s="2" t="s">
        <v>40</v>
      </c>
      <c r="C9" s="2" t="s">
        <v>41</v>
      </c>
      <c r="D9" s="2" t="s">
        <v>18</v>
      </c>
      <c r="E9" s="2" t="s">
        <v>19</v>
      </c>
      <c r="F9" s="2" t="s">
        <v>42</v>
      </c>
      <c r="G9" s="2" t="s">
        <v>30</v>
      </c>
      <c r="H9" s="2" t="s">
        <v>15</v>
      </c>
      <c r="I9" s="2"/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AutomationBench 5120 source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36.99"/>
    <col collapsed="false" customWidth="true" hidden="false" outlineLevel="0" max="4" min="4" style="0" width="48.01"/>
    <col collapsed="false" customWidth="true" hidden="false" outlineLevel="0" max="5" min="5" style="0" width="30.01"/>
    <col collapsed="false" customWidth="true" hidden="false" outlineLevel="0" max="6" min="6" style="0" width="120"/>
    <col collapsed="false" customWidth="true" hidden="false" outlineLevel="0" max="7" min="7" style="0" width="42"/>
    <col collapsed="false" customWidth="true" hidden="false" outlineLevel="0" max="8" min="8" style="0" width="72.01"/>
  </cols>
  <sheetData>
    <row r="1" customFormat="false" ht="30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customFormat="false" ht="144.75" hidden="false" customHeight="tru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</row>
    <row r="3" customFormat="false" ht="204.75" hidden="false" customHeight="true" outlineLevel="0" collapsed="false">
      <c r="A3" s="2" t="s">
        <v>59</v>
      </c>
      <c r="B3" s="2" t="s">
        <v>60</v>
      </c>
      <c r="C3" s="2" t="s">
        <v>53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</row>
  </sheetData>
  <autoFilter ref="A1:H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vendor correction and Legal procedure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3.01"/>
    <col collapsed="false" customWidth="true" hidden="false" outlineLevel="0" max="3" min="3" style="0" width="34"/>
    <col collapsed="false" customWidth="true" hidden="false" outlineLevel="0" max="4" min="4" style="0" width="112"/>
    <col collapsed="false" customWidth="true" hidden="false" outlineLevel="0" max="5" min="5" style="0" width="42"/>
    <col collapsed="false" customWidth="true" hidden="false" outlineLevel="0" max="6" min="6" style="0" width="48.01"/>
    <col collapsed="false" customWidth="true" hidden="false" outlineLevel="0" max="7" min="7" style="0" width="68"/>
  </cols>
  <sheetData>
    <row r="1" customFormat="false" ht="30.75" hidden="false" customHeight="true" outlineLevel="0" collapsed="false">
      <c r="A1" s="1" t="s">
        <v>66</v>
      </c>
      <c r="B1" s="1" t="s">
        <v>67</v>
      </c>
      <c r="C1" s="1" t="s">
        <v>46</v>
      </c>
      <c r="D1" s="1" t="s">
        <v>68</v>
      </c>
      <c r="E1" s="1" t="s">
        <v>69</v>
      </c>
      <c r="F1" s="1" t="s">
        <v>70</v>
      </c>
      <c r="G1" s="1" t="s">
        <v>71</v>
      </c>
    </row>
    <row r="2" customFormat="false" ht="15" hidden="false" customHeight="false" outlineLevel="0" collapsed="false">
      <c r="A2" s="2" t="s">
        <v>72</v>
      </c>
      <c r="B2" s="2" t="s">
        <v>73</v>
      </c>
      <c r="C2" s="2" t="s">
        <v>9</v>
      </c>
      <c r="D2" s="2" t="s">
        <v>74</v>
      </c>
      <c r="E2" s="2" t="s">
        <v>75</v>
      </c>
      <c r="F2" s="2" t="s">
        <v>76</v>
      </c>
      <c r="G2" s="2" t="s">
        <v>77</v>
      </c>
    </row>
    <row r="3" customFormat="false" ht="15" hidden="false" customHeight="false" outlineLevel="0" collapsed="false">
      <c r="A3" s="2" t="s">
        <v>78</v>
      </c>
      <c r="B3" s="2" t="s">
        <v>73</v>
      </c>
      <c r="C3" s="2" t="s">
        <v>16</v>
      </c>
      <c r="D3" s="2" t="s">
        <v>79</v>
      </c>
      <c r="E3" s="2" t="s">
        <v>75</v>
      </c>
      <c r="F3" s="2" t="s">
        <v>76</v>
      </c>
      <c r="G3" s="2" t="s">
        <v>80</v>
      </c>
    </row>
    <row r="4" customFormat="false" ht="15" hidden="false" customHeight="false" outlineLevel="0" collapsed="false">
      <c r="A4" s="2" t="s">
        <v>81</v>
      </c>
      <c r="B4" s="2" t="s">
        <v>73</v>
      </c>
      <c r="C4" s="2" t="s">
        <v>22</v>
      </c>
      <c r="D4" s="2" t="s">
        <v>82</v>
      </c>
      <c r="E4" s="2" t="s">
        <v>75</v>
      </c>
      <c r="F4" s="2" t="s">
        <v>76</v>
      </c>
      <c r="G4" s="2" t="s">
        <v>83</v>
      </c>
    </row>
    <row r="5" customFormat="false" ht="15" hidden="false" customHeight="false" outlineLevel="0" collapsed="false">
      <c r="A5" s="2" t="s">
        <v>84</v>
      </c>
      <c r="B5" s="2" t="s">
        <v>73</v>
      </c>
      <c r="C5" s="2" t="s">
        <v>27</v>
      </c>
      <c r="D5" s="2" t="s">
        <v>85</v>
      </c>
      <c r="E5" s="2" t="s">
        <v>75</v>
      </c>
      <c r="F5" s="2" t="s">
        <v>76</v>
      </c>
      <c r="G5" s="2" t="s">
        <v>86</v>
      </c>
    </row>
    <row r="6" customFormat="false" ht="15" hidden="false" customHeight="false" outlineLevel="0" collapsed="false">
      <c r="A6" s="2" t="s">
        <v>87</v>
      </c>
      <c r="B6" s="2" t="s">
        <v>73</v>
      </c>
      <c r="C6" s="2" t="s">
        <v>31</v>
      </c>
      <c r="D6" s="2" t="s">
        <v>88</v>
      </c>
      <c r="E6" s="2" t="s">
        <v>75</v>
      </c>
      <c r="F6" s="2" t="s">
        <v>76</v>
      </c>
      <c r="G6" s="2" t="s">
        <v>89</v>
      </c>
    </row>
    <row r="7" customFormat="false" ht="15" hidden="false" customHeight="false" outlineLevel="0" collapsed="false">
      <c r="A7" s="2" t="s">
        <v>90</v>
      </c>
      <c r="B7" s="2" t="s">
        <v>73</v>
      </c>
      <c r="C7" s="2" t="s">
        <v>34</v>
      </c>
      <c r="D7" s="2" t="s">
        <v>91</v>
      </c>
      <c r="E7" s="2" t="s">
        <v>75</v>
      </c>
      <c r="F7" s="2" t="s">
        <v>76</v>
      </c>
      <c r="G7" s="2" t="s">
        <v>92</v>
      </c>
    </row>
    <row r="8" customFormat="false" ht="15" hidden="false" customHeight="false" outlineLevel="0" collapsed="false">
      <c r="A8" s="2" t="s">
        <v>93</v>
      </c>
      <c r="B8" s="2" t="s">
        <v>73</v>
      </c>
      <c r="C8" s="2" t="s">
        <v>37</v>
      </c>
      <c r="D8" s="2" t="s">
        <v>94</v>
      </c>
      <c r="E8" s="2" t="s">
        <v>75</v>
      </c>
      <c r="F8" s="2" t="s">
        <v>76</v>
      </c>
      <c r="G8" s="2" t="s">
        <v>95</v>
      </c>
    </row>
    <row r="9" customFormat="false" ht="15" hidden="false" customHeight="false" outlineLevel="0" collapsed="false">
      <c r="A9" s="2" t="s">
        <v>96</v>
      </c>
      <c r="B9" s="2" t="s">
        <v>73</v>
      </c>
      <c r="C9" s="2" t="s">
        <v>40</v>
      </c>
      <c r="D9" s="2" t="s">
        <v>97</v>
      </c>
      <c r="E9" s="2" t="s">
        <v>75</v>
      </c>
      <c r="F9" s="2" t="s">
        <v>76</v>
      </c>
      <c r="G9" s="2" t="s">
        <v>98</v>
      </c>
    </row>
    <row r="10" customFormat="false" ht="15" hidden="false" customHeight="false" outlineLevel="0" collapsed="false">
      <c r="A10" s="2" t="s">
        <v>99</v>
      </c>
      <c r="B10" s="2" t="s">
        <v>100</v>
      </c>
      <c r="C10" s="2" t="s">
        <v>101</v>
      </c>
      <c r="D10" s="2" t="s">
        <v>56</v>
      </c>
      <c r="E10" s="2" t="s">
        <v>102</v>
      </c>
      <c r="F10" s="2" t="s">
        <v>103</v>
      </c>
      <c r="G10" s="2" t="s">
        <v>104</v>
      </c>
    </row>
    <row r="11" customFormat="false" ht="15" hidden="false" customHeight="false" outlineLevel="0" collapsed="false">
      <c r="A11" s="2" t="s">
        <v>105</v>
      </c>
      <c r="B11" s="2" t="s">
        <v>106</v>
      </c>
      <c r="C11" s="2" t="s">
        <v>14</v>
      </c>
      <c r="D11" s="2" t="s">
        <v>107</v>
      </c>
      <c r="E11" s="2" t="s">
        <v>108</v>
      </c>
      <c r="F11" s="2" t="s">
        <v>109</v>
      </c>
      <c r="G11" s="2" t="s">
        <v>110</v>
      </c>
    </row>
    <row r="12" customFormat="false" ht="15" hidden="false" customHeight="false" outlineLevel="0" collapsed="false">
      <c r="A12" s="2" t="s">
        <v>111</v>
      </c>
      <c r="B12" s="2" t="s">
        <v>106</v>
      </c>
      <c r="C12" s="2" t="s">
        <v>21</v>
      </c>
      <c r="D12" s="2" t="s">
        <v>112</v>
      </c>
      <c r="E12" s="2" t="s">
        <v>108</v>
      </c>
      <c r="F12" s="2" t="s">
        <v>109</v>
      </c>
      <c r="G12" s="2" t="s">
        <v>110</v>
      </c>
    </row>
    <row r="13" customFormat="false" ht="15" hidden="false" customHeight="false" outlineLevel="0" collapsed="false">
      <c r="A13" s="2" t="s">
        <v>113</v>
      </c>
      <c r="B13" s="2" t="s">
        <v>106</v>
      </c>
      <c r="C13" s="2" t="s">
        <v>114</v>
      </c>
      <c r="D13" s="2" t="s">
        <v>115</v>
      </c>
      <c r="E13" s="2" t="s">
        <v>108</v>
      </c>
      <c r="F13" s="2" t="s">
        <v>109</v>
      </c>
      <c r="G13" s="2" t="s">
        <v>110</v>
      </c>
    </row>
    <row r="14" customFormat="false" ht="15" hidden="false" customHeight="false" outlineLevel="0" collapsed="false">
      <c r="A14" s="2" t="s">
        <v>116</v>
      </c>
      <c r="B14" s="2" t="s">
        <v>106</v>
      </c>
      <c r="C14" s="2" t="s">
        <v>30</v>
      </c>
      <c r="D14" s="2" t="s">
        <v>117</v>
      </c>
      <c r="E14" s="2" t="s">
        <v>108</v>
      </c>
      <c r="F14" s="2" t="s">
        <v>109</v>
      </c>
      <c r="G14" s="2" t="s">
        <v>110</v>
      </c>
    </row>
    <row r="15" customFormat="false" ht="15" hidden="false" customHeight="false" outlineLevel="0" collapsed="false">
      <c r="A15" s="2" t="s">
        <v>118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124</v>
      </c>
    </row>
    <row r="16" customFormat="false" ht="15" hidden="false" customHeight="false" outlineLevel="0" collapsed="false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</row>
    <row r="17" customFormat="false" ht="15" hidden="false" customHeight="false" outlineLevel="0" collapsed="false">
      <c r="A17" s="2" t="s">
        <v>132</v>
      </c>
      <c r="B17" s="2" t="s">
        <v>133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</row>
  </sheetData>
  <autoFilter ref="A1:G17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&amp;C16 source-backed evidence records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.01"/>
    <col collapsed="false" customWidth="true" hidden="false" outlineLevel="0" max="3" min="3" style="0" width="16"/>
    <col collapsed="false" customWidth="true" hidden="false" outlineLevel="0" max="4" min="4" style="0" width="20.99"/>
    <col collapsed="false" customWidth="true" hidden="false" outlineLevel="0" max="5" min="5" style="0" width="36.99"/>
    <col collapsed="false" customWidth="true" hidden="false" outlineLevel="0" max="6" min="6" style="0" width="26"/>
    <col collapsed="false" customWidth="true" hidden="false" outlineLevel="0" max="7" min="7" style="0" width="14.01"/>
    <col collapsed="false" customWidth="true" hidden="false" outlineLevel="0" max="8" min="8" style="0" width="19.99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3" min="12" style="0" width="10.99"/>
    <col collapsed="false" customWidth="true" hidden="false" outlineLevel="0" max="14" min="14" style="0" width="15"/>
    <col collapsed="false" customWidth="true" hidden="false" outlineLevel="0" max="15" min="15" style="0" width="11.99"/>
    <col collapsed="false" customWidth="true" hidden="false" outlineLevel="0" max="16" min="16" style="0" width="20.99"/>
    <col collapsed="false" customWidth="true" hidden="false" outlineLevel="0" max="17" min="17" style="0" width="31.01"/>
    <col collapsed="false" customWidth="true" hidden="false" outlineLevel="0" max="18" min="18" style="0" width="39.01"/>
    <col collapsed="false" customWidth="true" hidden="false" outlineLevel="0" max="19" min="19" style="0" width="13.01"/>
    <col collapsed="false" customWidth="true" hidden="false" outlineLevel="0" max="20" min="20" style="0" width="15"/>
    <col collapsed="false" customWidth="true" hidden="false" outlineLevel="0" max="21" min="21" style="0" width="34"/>
    <col collapsed="false" customWidth="true" hidden="false" outlineLevel="0" max="22" min="22" style="0" width="70"/>
    <col collapsed="false" customWidth="true" hidden="false" outlineLevel="0" max="23" min="23" style="0" width="82.01"/>
    <col collapsed="false" customWidth="true" hidden="false" outlineLevel="0" max="24" min="24" style="0" width="90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139</v>
      </c>
      <c r="H1" s="1" t="s">
        <v>140</v>
      </c>
      <c r="I1" s="1" t="s">
        <v>8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71</v>
      </c>
    </row>
    <row r="2" customFormat="false" ht="15" hidden="false" customHeight="false" outlineLevel="0" collapsed="false">
      <c r="A2" s="2" t="n">
        <f aca="false">Source_Candidates!A2</f>
        <v>2</v>
      </c>
      <c r="B2" s="2" t="str">
        <f aca="false">Source_Candidates!B2</f>
        <v>Liam Chen</v>
      </c>
      <c r="C2" s="2" t="str">
        <f aca="false">Source_Candidates!C2</f>
        <v>BGC-4401</v>
      </c>
      <c r="D2" s="2" t="str">
        <f aca="false">Source_Candidates!D2</f>
        <v>Derek Huang</v>
      </c>
      <c r="E2" s="2" t="str">
        <f aca="false">Source_Candidates!E2</f>
        <v>derek.huang@company.example.com</v>
      </c>
      <c r="F2" s="2" t="str">
        <f aca="false">Source_Candidates!F2</f>
        <v>Software Engineer</v>
      </c>
      <c r="G2" s="2" t="str">
        <f aca="false">Source_Candidates!G2</f>
        <v>Clear</v>
      </c>
      <c r="H2" s="2" t="str">
        <f aca="false">Source_Candidates!H2</f>
        <v>Awaiting Action</v>
      </c>
      <c r="I2" s="2" t="n">
        <f aca="false">Source_Candidates!I2</f>
        <v>0</v>
      </c>
      <c r="J2" s="2" t="str">
        <f aca="false">IF(C2="BGC-4412","Conditional","")</f>
        <v/>
      </c>
      <c r="K2" s="2" t="str">
        <f aca="false">IF(J2&lt;&gt;"",J2,G2)</f>
        <v>Clear</v>
      </c>
      <c r="L2" s="2" t="str">
        <f aca="false">IF(K2="Clear","YES","NO")</f>
        <v>YES</v>
      </c>
      <c r="M2" s="2" t="str">
        <f aca="false">IF(K2="Failed","YES","NO")</f>
        <v>NO</v>
      </c>
      <c r="N2" s="2" t="str">
        <f aca="false">IF(K2="Conditional","YES","NO")</f>
        <v>NO</v>
      </c>
      <c r="O2" s="2" t="str">
        <f aca="false">IF(K2="Pending","YES","NO")</f>
        <v>NO</v>
      </c>
      <c r="P2" s="2" t="str">
        <f aca="false">IF(L2="YES","CLEARED_PROCEED",IF(M2="YES","FAILED_RESCIND",IF(N2="YES","CONDITIONAL_LEGAL",IF(O2="YES","PENDING_NO_ACTION","ERROR"))))</f>
        <v>CLEARED_PROCEED</v>
      </c>
      <c r="Q2" s="2" t="str">
        <f aca="false">IF(L2="YES","Cleared - Proceed",IF(M2="YES","Failed - Offer Rescinded",IF(N2="YES","Conditional - Legal Notified",IF(O2="YES",H2,"ERROR"))))</f>
        <v>Cleared - Proceed</v>
      </c>
      <c r="R2" s="2" t="str">
        <f aca="false">IF(L2="YES",E2,IF(M2="YES","hr-director@company.example.com",IF(N2="YES","legal@company.example.com","")))</f>
        <v>derek.huang@company.example.com</v>
      </c>
      <c r="S2" s="2" t="str">
        <f aca="false">IF(O2="YES","NO","YES")</f>
        <v>YES</v>
      </c>
      <c r="T2" s="2" t="str">
        <f aca="false">IF(O2="YES","NO","YES")</f>
        <v>YES</v>
      </c>
      <c r="U2" s="2" t="str">
        <f aca="false">IF(L2="YES","ONBOARDING_MAY_PROCEED",IF(M2="YES","HR_DIRECTOR_ACTION",IF(N2="YES","LEGAL_NOTIFICATION_BEFORE_START","PENDING_NO_ACTION")))</f>
        <v>ONBOARDING_MAY_PROCEED</v>
      </c>
      <c r="V2" s="2" t="str">
        <f aca="false">IF(L2="YES","Manager receives clearance confirmation; Slack receives operational label only.",IF(M2="YES","HR Director only; never email candidate; Slack omits raw result.",IF(N2="YES","Legal only; no manager notice; sensitive vendor reason omitted outside restricted evidence.","No email or tracker update; Slack receives operational label only.")))</f>
        <v>Manager receives clearance confirmation; Slack receives operational label only.</v>
      </c>
      <c r="W2" s="2" t="str">
        <f aca="false">IF(L2="YES","Legal procedure 1: Clear; email the hiring manager and propose Cleared - Proceed.",IF(M2="YES","Legal procedure 2: rescind offer, notify HR Director, and never email the candidate directly.",IF(N2="YES","Vendor correction msg_bgcheck_correction_5120 overrides tracker row 4; Legal procedure 3 applies.","Legal procedure 4: Pending requires no action and source status remains unchanged.")))</f>
        <v>Legal procedure 1: Clear; email the hiring manager and propose Cleared - Proceed.</v>
      </c>
      <c r="X2" s="2" t="str">
        <f aca="false">"Background_Check_Tracker.xlsx:Candidates row "&amp;A2&amp;IF(A2=4," | Background_Check_Messages.mbox:msg_bgcheck_correction_5120","")&amp;" | Background_Check_Messages.mbox:msg_bgcheck_policy_5120"</f>
        <v>Background_Check_Tracker.xlsx:Candidates row 2 | Background_Check_Messages.mbox:msg_bgcheck_policy_5120</v>
      </c>
    </row>
    <row r="3" customFormat="false" ht="15" hidden="false" customHeight="false" outlineLevel="0" collapsed="false">
      <c r="A3" s="2" t="n">
        <f aca="false">Source_Candidates!A3</f>
        <v>3</v>
      </c>
      <c r="B3" s="2" t="str">
        <f aca="false">Source_Candidates!B3</f>
        <v>Maya Okafor</v>
      </c>
      <c r="C3" s="2" t="str">
        <f aca="false">Source_Candidates!C3</f>
        <v>BGC-4405</v>
      </c>
      <c r="D3" s="2" t="str">
        <f aca="false">Source_Candidates!D3</f>
        <v>Mira Patel</v>
      </c>
      <c r="E3" s="2" t="str">
        <f aca="false">Source_Candidates!E3</f>
        <v>mira.patel@company.example.com</v>
      </c>
      <c r="F3" s="2" t="str">
        <f aca="false">Source_Candidates!F3</f>
        <v>Marketing Analyst</v>
      </c>
      <c r="G3" s="2" t="str">
        <f aca="false">Source_Candidates!G3</f>
        <v>Failed</v>
      </c>
      <c r="H3" s="2" t="str">
        <f aca="false">Source_Candidates!H3</f>
        <v>Awaiting Action</v>
      </c>
      <c r="I3" s="2" t="n">
        <f aca="false">Source_Candidates!I3</f>
        <v>0</v>
      </c>
      <c r="J3" s="2" t="str">
        <f aca="false">IF(C3="BGC-4412","Conditional","")</f>
        <v/>
      </c>
      <c r="K3" s="2" t="str">
        <f aca="false">IF(J3&lt;&gt;"",J3,G3)</f>
        <v>Failed</v>
      </c>
      <c r="L3" s="2" t="str">
        <f aca="false">IF(K3="Clear","YES","NO")</f>
        <v>NO</v>
      </c>
      <c r="M3" s="2" t="str">
        <f aca="false">IF(K3="Failed","YES","NO")</f>
        <v>YES</v>
      </c>
      <c r="N3" s="2" t="str">
        <f aca="false">IF(K3="Conditional","YES","NO")</f>
        <v>NO</v>
      </c>
      <c r="O3" s="2" t="str">
        <f aca="false">IF(K3="Pending","YES","NO")</f>
        <v>NO</v>
      </c>
      <c r="P3" s="2" t="str">
        <f aca="false">IF(L3="YES","CLEARED_PROCEED",IF(M3="YES","FAILED_RESCIND",IF(N3="YES","CONDITIONAL_LEGAL",IF(O3="YES","PENDING_NO_ACTION","ERROR"))))</f>
        <v>FAILED_RESCIND</v>
      </c>
      <c r="Q3" s="2" t="str">
        <f aca="false">IF(L3="YES","Cleared - Proceed",IF(M3="YES","Failed - Offer Rescinded",IF(N3="YES","Conditional - Legal Notified",IF(O3="YES",H3,"ERROR"))))</f>
        <v>Failed - Offer Rescinded</v>
      </c>
      <c r="R3" s="2" t="str">
        <f aca="false">IF(L3="YES",E3,IF(M3="YES","hr-director@company.example.com",IF(N3="YES","legal@company.example.com","")))</f>
        <v>hr-director@company.example.com</v>
      </c>
      <c r="S3" s="2" t="str">
        <f aca="false">IF(O3="YES","NO","YES")</f>
        <v>YES</v>
      </c>
      <c r="T3" s="2" t="str">
        <f aca="false">IF(O3="YES","NO","YES")</f>
        <v>YES</v>
      </c>
      <c r="U3" s="2" t="str">
        <f aca="false">IF(L3="YES","ONBOARDING_MAY_PROCEED",IF(M3="YES","HR_DIRECTOR_ACTION",IF(N3="YES","LEGAL_NOTIFICATION_BEFORE_START","PENDING_NO_ACTION")))</f>
        <v>HR_DIRECTOR_ACTION</v>
      </c>
      <c r="V3" s="2" t="str">
        <f aca="false">IF(L3="YES","Manager receives clearance confirmation; Slack receives operational label only.",IF(M3="YES","HR Director only; never email candidate; Slack omits raw result.",IF(N3="YES","Legal only; no manager notice; sensitive vendor reason omitted outside restricted evidence.","No email or tracker update; Slack receives operational label only.")))</f>
        <v>HR Director only; never email candidate; Slack omits raw result.</v>
      </c>
      <c r="W3" s="2" t="str">
        <f aca="false">IF(L3="YES","Legal procedure 1: Clear; email the hiring manager and propose Cleared - Proceed.",IF(M3="YES","Legal procedure 2: rescind offer, notify HR Director, and never email the candidate directly.",IF(N3="YES","Vendor correction msg_bgcheck_correction_5120 overrides tracker row 4; Legal procedure 3 applies.","Legal procedure 4: Pending requires no action and source status remains unchanged.")))</f>
        <v>Legal procedure 2: rescind offer, notify HR Director, and never email the candidate directly.</v>
      </c>
      <c r="X3" s="2" t="str">
        <f aca="false">"Background_Check_Tracker.xlsx:Candidates row "&amp;A3&amp;IF(A3=4," | Background_Check_Messages.mbox:msg_bgcheck_correction_5120","")&amp;" | Background_Check_Messages.mbox:msg_bgcheck_policy_5120"</f>
        <v>Background_Check_Tracker.xlsx:Candidates row 3 | Background_Check_Messages.mbox:msg_bgcheck_policy_5120</v>
      </c>
    </row>
    <row r="4" customFormat="false" ht="15" hidden="false" customHeight="false" outlineLevel="0" collapsed="false">
      <c r="A4" s="2" t="n">
        <f aca="false">Source_Candidates!A4</f>
        <v>4</v>
      </c>
      <c r="B4" s="2" t="str">
        <f aca="false">Source_Candidates!B4</f>
        <v>Naomi Yoshida</v>
      </c>
      <c r="C4" s="2" t="str">
        <f aca="false">Source_Candidates!C4</f>
        <v>BGC-4412</v>
      </c>
      <c r="D4" s="2" t="str">
        <f aca="false">Source_Candidates!D4</f>
        <v>Lisa Wang</v>
      </c>
      <c r="E4" s="2" t="str">
        <f aca="false">Source_Candidates!E4</f>
        <v>lisa.wang@company.example.com</v>
      </c>
      <c r="F4" s="2" t="str">
        <f aca="false">Source_Candidates!F4</f>
        <v>Account Executive</v>
      </c>
      <c r="G4" s="2" t="str">
        <f aca="false">Source_Candidates!G4</f>
        <v>Clear</v>
      </c>
      <c r="H4" s="2" t="str">
        <f aca="false">Source_Candidates!H4</f>
        <v>Awaiting Action</v>
      </c>
      <c r="I4" s="2" t="n">
        <f aca="false">Source_Candidates!I4</f>
        <v>0</v>
      </c>
      <c r="J4" s="2" t="str">
        <f aca="false">IF(C4="BGC-4412","Conditional","")</f>
        <v>Conditional</v>
      </c>
      <c r="K4" s="2" t="str">
        <f aca="false">IF(J4&lt;&gt;"",J4,G4)</f>
        <v>Conditional</v>
      </c>
      <c r="L4" s="2" t="str">
        <f aca="false">IF(K4="Clear","YES","NO")</f>
        <v>NO</v>
      </c>
      <c r="M4" s="2" t="str">
        <f aca="false">IF(K4="Failed","YES","NO")</f>
        <v>NO</v>
      </c>
      <c r="N4" s="2" t="str">
        <f aca="false">IF(K4="Conditional","YES","NO")</f>
        <v>YES</v>
      </c>
      <c r="O4" s="2" t="str">
        <f aca="false">IF(K4="Pending","YES","NO")</f>
        <v>NO</v>
      </c>
      <c r="P4" s="2" t="str">
        <f aca="false">IF(L4="YES","CLEARED_PROCEED",IF(M4="YES","FAILED_RESCIND",IF(N4="YES","CONDITIONAL_LEGAL",IF(O4="YES","PENDING_NO_ACTION","ERROR"))))</f>
        <v>CONDITIONAL_LEGAL</v>
      </c>
      <c r="Q4" s="2" t="str">
        <f aca="false">IF(L4="YES","Cleared - Proceed",IF(M4="YES","Failed - Offer Rescinded",IF(N4="YES","Conditional - Legal Notified",IF(O4="YES",H4,"ERROR"))))</f>
        <v>Conditional - Legal Notified</v>
      </c>
      <c r="R4" s="2" t="str">
        <f aca="false">IF(L4="YES",E4,IF(M4="YES","hr-director@company.example.com",IF(N4="YES","legal@company.example.com","")))</f>
        <v>legal@company.example.com</v>
      </c>
      <c r="S4" s="2" t="str">
        <f aca="false">IF(O4="YES","NO","YES")</f>
        <v>YES</v>
      </c>
      <c r="T4" s="2" t="str">
        <f aca="false">IF(O4="YES","NO","YES")</f>
        <v>YES</v>
      </c>
      <c r="U4" s="2" t="str">
        <f aca="false">IF(L4="YES","ONBOARDING_MAY_PROCEED",IF(M4="YES","HR_DIRECTOR_ACTION",IF(N4="YES","LEGAL_NOTIFICATION_BEFORE_START","PENDING_NO_ACTION")))</f>
        <v>LEGAL_NOTIFICATION_BEFORE_START</v>
      </c>
      <c r="V4" s="2" t="str">
        <f aca="false">IF(L4="YES","Manager receives clearance confirmation; Slack receives operational label only.",IF(M4="YES","HR Director only; never email candidate; Slack omits raw result.",IF(N4="YES","Legal only; no manager notice; sensitive vendor reason omitted outside restricted evidence.","No email or tracker update; Slack receives operational label only.")))</f>
        <v>Legal only; no manager notice; sensitive vendor reason omitted outside restricted evidence.</v>
      </c>
      <c r="W4" s="2" t="str">
        <f aca="false">IF(L4="YES","Legal procedure 1: Clear; email the hiring manager and propose Cleared - Proceed.",IF(M4="YES","Legal procedure 2: rescind offer, notify HR Director, and never email the candidate directly.",IF(N4="YES","Vendor correction msg_bgcheck_correction_5120 overrides tracker row 4; Legal procedure 3 applies.","Legal procedure 4: Pending requires no action and source status remains unchanged.")))</f>
        <v>Vendor correction msg_bgcheck_correction_5120 overrides tracker row 4; Legal procedure 3 applies.</v>
      </c>
      <c r="X4" s="2" t="str">
        <f aca="false">"Background_Check_Tracker.xlsx:Candidates row "&amp;A4&amp;IF(A4=4," | Background_Check_Messages.mbox:msg_bgcheck_correction_5120","")&amp;" | Background_Check_Messages.mbox:msg_bgcheck_policy_5120"</f>
        <v>Background_Check_Tracker.xlsx:Candidates row 4 | Background_Check_Messages.mbox:msg_bgcheck_correction_5120 | Background_Check_Messages.mbox:msg_bgcheck_policy_5120</v>
      </c>
    </row>
    <row r="5" customFormat="false" ht="15" hidden="false" customHeight="false" outlineLevel="0" collapsed="false">
      <c r="A5" s="2" t="n">
        <f aca="false">Source_Candidates!A5</f>
        <v>5</v>
      </c>
      <c r="B5" s="2" t="str">
        <f aca="false">Source_Candidates!B5</f>
        <v>Oliver Strand</v>
      </c>
      <c r="C5" s="2" t="str">
        <f aca="false">Source_Candidates!C5</f>
        <v>BGC-4418</v>
      </c>
      <c r="D5" s="2" t="str">
        <f aca="false">Source_Candidates!D5</f>
        <v>Derek Huang</v>
      </c>
      <c r="E5" s="2" t="str">
        <f aca="false">Source_Candidates!E5</f>
        <v>derek.huang@company.example.com</v>
      </c>
      <c r="F5" s="2" t="str">
        <f aca="false">Source_Candidates!F5</f>
        <v>DevOps Engineer</v>
      </c>
      <c r="G5" s="2" t="str">
        <f aca="false">Source_Candidates!G5</f>
        <v>Pending</v>
      </c>
      <c r="H5" s="2" t="str">
        <f aca="false">Source_Candidates!H5</f>
        <v>Awaiting Action</v>
      </c>
      <c r="I5" s="2" t="n">
        <f aca="false">Source_Candidates!I5</f>
        <v>0</v>
      </c>
      <c r="J5" s="2" t="str">
        <f aca="false">IF(C5="BGC-4412","Conditional","")</f>
        <v/>
      </c>
      <c r="K5" s="2" t="str">
        <f aca="false">IF(J5&lt;&gt;"",J5,G5)</f>
        <v>Pending</v>
      </c>
      <c r="L5" s="2" t="str">
        <f aca="false">IF(K5="Clear","YES","NO")</f>
        <v>NO</v>
      </c>
      <c r="M5" s="2" t="str">
        <f aca="false">IF(K5="Failed","YES","NO")</f>
        <v>NO</v>
      </c>
      <c r="N5" s="2" t="str">
        <f aca="false">IF(K5="Conditional","YES","NO")</f>
        <v>NO</v>
      </c>
      <c r="O5" s="2" t="str">
        <f aca="false">IF(K5="Pending","YES","NO")</f>
        <v>YES</v>
      </c>
      <c r="P5" s="2" t="str">
        <f aca="false">IF(L5="YES","CLEARED_PROCEED",IF(M5="YES","FAILED_RESCIND",IF(N5="YES","CONDITIONAL_LEGAL",IF(O5="YES","PENDING_NO_ACTION","ERROR"))))</f>
        <v>PENDING_NO_ACTION</v>
      </c>
      <c r="Q5" s="2" t="str">
        <f aca="false">IF(L5="YES","Cleared - Proceed",IF(M5="YES","Failed - Offer Rescinded",IF(N5="YES","Conditional - Legal Notified",IF(O5="YES",H5,"ERROR"))))</f>
        <v>Awaiting Action</v>
      </c>
      <c r="R5" s="2" t="str">
        <f aca="false">IF(L5="YES",E5,IF(M5="YES","hr-director@company.example.com",IF(N5="YES","legal@company.example.com","")))</f>
        <v/>
      </c>
      <c r="S5" s="2" t="str">
        <f aca="false">IF(O5="YES","NO","YES")</f>
        <v>NO</v>
      </c>
      <c r="T5" s="2" t="str">
        <f aca="false">IF(O5="YES","NO","YES")</f>
        <v>NO</v>
      </c>
      <c r="U5" s="2" t="str">
        <f aca="false">IF(L5="YES","ONBOARDING_MAY_PROCEED",IF(M5="YES","HR_DIRECTOR_ACTION",IF(N5="YES","LEGAL_NOTIFICATION_BEFORE_START","PENDING_NO_ACTION")))</f>
        <v>PENDING_NO_ACTION</v>
      </c>
      <c r="V5" s="2" t="str">
        <f aca="false">IF(L5="YES","Manager receives clearance confirmation; Slack receives operational label only.",IF(M5="YES","HR Director only; never email candidate; Slack omits raw result.",IF(N5="YES","Legal only; no manager notice; sensitive vendor reason omitted outside restricted evidence.","No email or tracker update; Slack receives operational label only.")))</f>
        <v>No email or tracker update; Slack receives operational label only.</v>
      </c>
      <c r="W5" s="2" t="str">
        <f aca="false">IF(L5="YES","Legal procedure 1: Clear; email the hiring manager and propose Cleared - Proceed.",IF(M5="YES","Legal procedure 2: rescind offer, notify HR Director, and never email the candidate directly.",IF(N5="YES","Vendor correction msg_bgcheck_correction_5120 overrides tracker row 4; Legal procedure 3 applies.","Legal procedure 4: Pending requires no action and source status remains unchanged.")))</f>
        <v>Legal procedure 4: Pending requires no action and source status remains unchanged.</v>
      </c>
      <c r="X5" s="2" t="str">
        <f aca="false">"Background_Check_Tracker.xlsx:Candidates row "&amp;A5&amp;IF(A5=4," | Background_Check_Messages.mbox:msg_bgcheck_correction_5120","")&amp;" | Background_Check_Messages.mbox:msg_bgcheck_policy_5120"</f>
        <v>Background_Check_Tracker.xlsx:Candidates row 5 | Background_Check_Messages.mbox:msg_bgcheck_policy_5120</v>
      </c>
    </row>
    <row r="6" customFormat="false" ht="15" hidden="false" customHeight="false" outlineLevel="0" collapsed="false">
      <c r="A6" s="2" t="n">
        <f aca="false">Source_Candidates!A6</f>
        <v>6</v>
      </c>
      <c r="B6" s="2" t="str">
        <f aca="false">Source_Candidates!B6</f>
        <v>Petra Johansson</v>
      </c>
      <c r="C6" s="2" t="str">
        <f aca="false">Source_Candidates!C6</f>
        <v>BGC-4422</v>
      </c>
      <c r="D6" s="2" t="str">
        <f aca="false">Source_Candidates!D6</f>
        <v>Mira Patel</v>
      </c>
      <c r="E6" s="2" t="str">
        <f aca="false">Source_Candidates!E6</f>
        <v>mira.patel@company.example.com</v>
      </c>
      <c r="F6" s="2" t="str">
        <f aca="false">Source_Candidates!F6</f>
        <v>Content Writer</v>
      </c>
      <c r="G6" s="2" t="str">
        <f aca="false">Source_Candidates!G6</f>
        <v>Clear</v>
      </c>
      <c r="H6" s="2" t="str">
        <f aca="false">Source_Candidates!H6</f>
        <v>Awaiting Action</v>
      </c>
      <c r="I6" s="2" t="n">
        <f aca="false">Source_Candidates!I6</f>
        <v>0</v>
      </c>
      <c r="J6" s="2" t="str">
        <f aca="false">IF(C6="BGC-4412","Conditional","")</f>
        <v/>
      </c>
      <c r="K6" s="2" t="str">
        <f aca="false">IF(J6&lt;&gt;"",J6,G6)</f>
        <v>Clear</v>
      </c>
      <c r="L6" s="2" t="str">
        <f aca="false">IF(K6="Clear","YES","NO")</f>
        <v>YES</v>
      </c>
      <c r="M6" s="2" t="str">
        <f aca="false">IF(K6="Failed","YES","NO")</f>
        <v>NO</v>
      </c>
      <c r="N6" s="2" t="str">
        <f aca="false">IF(K6="Conditional","YES","NO")</f>
        <v>NO</v>
      </c>
      <c r="O6" s="2" t="str">
        <f aca="false">IF(K6="Pending","YES","NO")</f>
        <v>NO</v>
      </c>
      <c r="P6" s="2" t="str">
        <f aca="false">IF(L6="YES","CLEARED_PROCEED",IF(M6="YES","FAILED_RESCIND",IF(N6="YES","CONDITIONAL_LEGAL",IF(O6="YES","PENDING_NO_ACTION","ERROR"))))</f>
        <v>CLEARED_PROCEED</v>
      </c>
      <c r="Q6" s="2" t="str">
        <f aca="false">IF(L6="YES","Cleared - Proceed",IF(M6="YES","Failed - Offer Rescinded",IF(N6="YES","Conditional - Legal Notified",IF(O6="YES",H6,"ERROR"))))</f>
        <v>Cleared - Proceed</v>
      </c>
      <c r="R6" s="2" t="str">
        <f aca="false">IF(L6="YES",E6,IF(M6="YES","hr-director@company.example.com",IF(N6="YES","legal@company.example.com","")))</f>
        <v>mira.patel@company.example.com</v>
      </c>
      <c r="S6" s="2" t="str">
        <f aca="false">IF(O6="YES","NO","YES")</f>
        <v>YES</v>
      </c>
      <c r="T6" s="2" t="str">
        <f aca="false">IF(O6="YES","NO","YES")</f>
        <v>YES</v>
      </c>
      <c r="U6" s="2" t="str">
        <f aca="false">IF(L6="YES","ONBOARDING_MAY_PROCEED",IF(M6="YES","HR_DIRECTOR_ACTION",IF(N6="YES","LEGAL_NOTIFICATION_BEFORE_START","PENDING_NO_ACTION")))</f>
        <v>ONBOARDING_MAY_PROCEED</v>
      </c>
      <c r="V6" s="2" t="str">
        <f aca="false">IF(L6="YES","Manager receives clearance confirmation; Slack receives operational label only.",IF(M6="YES","HR Director only; never email candidate; Slack omits raw result.",IF(N6="YES","Legal only; no manager notice; sensitive vendor reason omitted outside restricted evidence.","No email or tracker update; Slack receives operational label only.")))</f>
        <v>Manager receives clearance confirmation; Slack receives operational label only.</v>
      </c>
      <c r="W6" s="2" t="str">
        <f aca="false">IF(L6="YES","Legal procedure 1: Clear; email the hiring manager and propose Cleared - Proceed.",IF(M6="YES","Legal procedure 2: rescind offer, notify HR Director, and never email the candidate directly.",IF(N6="YES","Vendor correction msg_bgcheck_correction_5120 overrides tracker row 4; Legal procedure 3 applies.","Legal procedure 4: Pending requires no action and source status remains unchanged.")))</f>
        <v>Legal procedure 1: Clear; email the hiring manager and propose Cleared - Proceed.</v>
      </c>
      <c r="X6" s="2" t="str">
        <f aca="false">"Background_Check_Tracker.xlsx:Candidates row "&amp;A6&amp;IF(A6=4," | Background_Check_Messages.mbox:msg_bgcheck_correction_5120","")&amp;" | Background_Check_Messages.mbox:msg_bgcheck_policy_5120"</f>
        <v>Background_Check_Tracker.xlsx:Candidates row 6 | Background_Check_Messages.mbox:msg_bgcheck_policy_5120</v>
      </c>
    </row>
    <row r="7" customFormat="false" ht="15" hidden="false" customHeight="false" outlineLevel="0" collapsed="false">
      <c r="A7" s="2" t="n">
        <f aca="false">Source_Candidates!A7</f>
        <v>7</v>
      </c>
      <c r="B7" s="2" t="str">
        <f aca="false">Source_Candidates!B7</f>
        <v>Quinn Davis</v>
      </c>
      <c r="C7" s="2" t="str">
        <f aca="false">Source_Candidates!C7</f>
        <v>BGC-4430</v>
      </c>
      <c r="D7" s="2" t="str">
        <f aca="false">Source_Candidates!D7</f>
        <v>Lisa Wang</v>
      </c>
      <c r="E7" s="2" t="str">
        <f aca="false">Source_Candidates!E7</f>
        <v>lisa.wang@company.example.com</v>
      </c>
      <c r="F7" s="2" t="str">
        <f aca="false">Source_Candidates!F7</f>
        <v>Sales Rep</v>
      </c>
      <c r="G7" s="2" t="str">
        <f aca="false">Source_Candidates!G7</f>
        <v>Failed</v>
      </c>
      <c r="H7" s="2" t="str">
        <f aca="false">Source_Candidates!H7</f>
        <v>Awaiting Action</v>
      </c>
      <c r="I7" s="2" t="n">
        <f aca="false">Source_Candidates!I7</f>
        <v>0</v>
      </c>
      <c r="J7" s="2" t="str">
        <f aca="false">IF(C7="BGC-4412","Conditional","")</f>
        <v/>
      </c>
      <c r="K7" s="2" t="str">
        <f aca="false">IF(J7&lt;&gt;"",J7,G7)</f>
        <v>Failed</v>
      </c>
      <c r="L7" s="2" t="str">
        <f aca="false">IF(K7="Clear","YES","NO")</f>
        <v>NO</v>
      </c>
      <c r="M7" s="2" t="str">
        <f aca="false">IF(K7="Failed","YES","NO")</f>
        <v>YES</v>
      </c>
      <c r="N7" s="2" t="str">
        <f aca="false">IF(K7="Conditional","YES","NO")</f>
        <v>NO</v>
      </c>
      <c r="O7" s="2" t="str">
        <f aca="false">IF(K7="Pending","YES","NO")</f>
        <v>NO</v>
      </c>
      <c r="P7" s="2" t="str">
        <f aca="false">IF(L7="YES","CLEARED_PROCEED",IF(M7="YES","FAILED_RESCIND",IF(N7="YES","CONDITIONAL_LEGAL",IF(O7="YES","PENDING_NO_ACTION","ERROR"))))</f>
        <v>FAILED_RESCIND</v>
      </c>
      <c r="Q7" s="2" t="str">
        <f aca="false">IF(L7="YES","Cleared - Proceed",IF(M7="YES","Failed - Offer Rescinded",IF(N7="YES","Conditional - Legal Notified",IF(O7="YES",H7,"ERROR"))))</f>
        <v>Failed - Offer Rescinded</v>
      </c>
      <c r="R7" s="2" t="str">
        <f aca="false">IF(L7="YES",E7,IF(M7="YES","hr-director@company.example.com",IF(N7="YES","legal@company.example.com","")))</f>
        <v>hr-director@company.example.com</v>
      </c>
      <c r="S7" s="2" t="str">
        <f aca="false">IF(O7="YES","NO","YES")</f>
        <v>YES</v>
      </c>
      <c r="T7" s="2" t="str">
        <f aca="false">IF(O7="YES","NO","YES")</f>
        <v>YES</v>
      </c>
      <c r="U7" s="2" t="str">
        <f aca="false">IF(L7="YES","ONBOARDING_MAY_PROCEED",IF(M7="YES","HR_DIRECTOR_ACTION",IF(N7="YES","LEGAL_NOTIFICATION_BEFORE_START","PENDING_NO_ACTION")))</f>
        <v>HR_DIRECTOR_ACTION</v>
      </c>
      <c r="V7" s="2" t="str">
        <f aca="false">IF(L7="YES","Manager receives clearance confirmation; Slack receives operational label only.",IF(M7="YES","HR Director only; never email candidate; Slack omits raw result.",IF(N7="YES","Legal only; no manager notice; sensitive vendor reason omitted outside restricted evidence.","No email or tracker update; Slack receives operational label only.")))</f>
        <v>HR Director only; never email candidate; Slack omits raw result.</v>
      </c>
      <c r="W7" s="2" t="str">
        <f aca="false">IF(L7="YES","Legal procedure 1: Clear; email the hiring manager and propose Cleared - Proceed.",IF(M7="YES","Legal procedure 2: rescind offer, notify HR Director, and never email the candidate directly.",IF(N7="YES","Vendor correction msg_bgcheck_correction_5120 overrides tracker row 4; Legal procedure 3 applies.","Legal procedure 4: Pending requires no action and source status remains unchanged.")))</f>
        <v>Legal procedure 2: rescind offer, notify HR Director, and never email the candidate directly.</v>
      </c>
      <c r="X7" s="2" t="str">
        <f aca="false">"Background_Check_Tracker.xlsx:Candidates row "&amp;A7&amp;IF(A7=4," | Background_Check_Messages.mbox:msg_bgcheck_correction_5120","")&amp;" | Background_Check_Messages.mbox:msg_bgcheck_policy_5120"</f>
        <v>Background_Check_Tracker.xlsx:Candidates row 7 | Background_Check_Messages.mbox:msg_bgcheck_policy_5120</v>
      </c>
    </row>
    <row r="8" customFormat="false" ht="15" hidden="false" customHeight="false" outlineLevel="0" collapsed="false">
      <c r="A8" s="2" t="n">
        <f aca="false">Source_Candidates!A8</f>
        <v>8</v>
      </c>
      <c r="B8" s="2" t="str">
        <f aca="false">Source_Candidates!B8</f>
        <v>Rosa Martinez</v>
      </c>
      <c r="C8" s="2" t="str">
        <f aca="false">Source_Candidates!C8</f>
        <v>BGC-4435</v>
      </c>
      <c r="D8" s="2" t="str">
        <f aca="false">Source_Candidates!D8</f>
        <v>Derek Huang</v>
      </c>
      <c r="E8" s="2" t="str">
        <f aca="false">Source_Candidates!E8</f>
        <v>derek.huang@company.example.com</v>
      </c>
      <c r="F8" s="2" t="str">
        <f aca="false">Source_Candidates!F8</f>
        <v>QA Engineer</v>
      </c>
      <c r="G8" s="2" t="str">
        <f aca="false">Source_Candidates!G8</f>
        <v>Clear</v>
      </c>
      <c r="H8" s="2" t="str">
        <f aca="false">Source_Candidates!H8</f>
        <v>Awaiting Action</v>
      </c>
      <c r="I8" s="2" t="n">
        <f aca="false">Source_Candidates!I8</f>
        <v>0</v>
      </c>
      <c r="J8" s="2" t="str">
        <f aca="false">IF(C8="BGC-4412","Conditional","")</f>
        <v/>
      </c>
      <c r="K8" s="2" t="str">
        <f aca="false">IF(J8&lt;&gt;"",J8,G8)</f>
        <v>Clear</v>
      </c>
      <c r="L8" s="2" t="str">
        <f aca="false">IF(K8="Clear","YES","NO")</f>
        <v>YES</v>
      </c>
      <c r="M8" s="2" t="str">
        <f aca="false">IF(K8="Failed","YES","NO")</f>
        <v>NO</v>
      </c>
      <c r="N8" s="2" t="str">
        <f aca="false">IF(K8="Conditional","YES","NO")</f>
        <v>NO</v>
      </c>
      <c r="O8" s="2" t="str">
        <f aca="false">IF(K8="Pending","YES","NO")</f>
        <v>NO</v>
      </c>
      <c r="P8" s="2" t="str">
        <f aca="false">IF(L8="YES","CLEARED_PROCEED",IF(M8="YES","FAILED_RESCIND",IF(N8="YES","CONDITIONAL_LEGAL",IF(O8="YES","PENDING_NO_ACTION","ERROR"))))</f>
        <v>CLEARED_PROCEED</v>
      </c>
      <c r="Q8" s="2" t="str">
        <f aca="false">IF(L8="YES","Cleared - Proceed",IF(M8="YES","Failed - Offer Rescinded",IF(N8="YES","Conditional - Legal Notified",IF(O8="YES",H8,"ERROR"))))</f>
        <v>Cleared - Proceed</v>
      </c>
      <c r="R8" s="2" t="str">
        <f aca="false">IF(L8="YES",E8,IF(M8="YES","hr-director@company.example.com",IF(N8="YES","legal@company.example.com","")))</f>
        <v>derek.huang@company.example.com</v>
      </c>
      <c r="S8" s="2" t="str">
        <f aca="false">IF(O8="YES","NO","YES")</f>
        <v>YES</v>
      </c>
      <c r="T8" s="2" t="str">
        <f aca="false">IF(O8="YES","NO","YES")</f>
        <v>YES</v>
      </c>
      <c r="U8" s="2" t="str">
        <f aca="false">IF(L8="YES","ONBOARDING_MAY_PROCEED",IF(M8="YES","HR_DIRECTOR_ACTION",IF(N8="YES","LEGAL_NOTIFICATION_BEFORE_START","PENDING_NO_ACTION")))</f>
        <v>ONBOARDING_MAY_PROCEED</v>
      </c>
      <c r="V8" s="2" t="str">
        <f aca="false">IF(L8="YES","Manager receives clearance confirmation; Slack receives operational label only.",IF(M8="YES","HR Director only; never email candidate; Slack omits raw result.",IF(N8="YES","Legal only; no manager notice; sensitive vendor reason omitted outside restricted evidence.","No email or tracker update; Slack receives operational label only.")))</f>
        <v>Manager receives clearance confirmation; Slack receives operational label only.</v>
      </c>
      <c r="W8" s="2" t="str">
        <f aca="false">IF(L8="YES","Legal procedure 1: Clear; email the hiring manager and propose Cleared - Proceed.",IF(M8="YES","Legal procedure 2: rescind offer, notify HR Director, and never email the candidate directly.",IF(N8="YES","Vendor correction msg_bgcheck_correction_5120 overrides tracker row 4; Legal procedure 3 applies.","Legal procedure 4: Pending requires no action and source status remains unchanged.")))</f>
        <v>Legal procedure 1: Clear; email the hiring manager and propose Cleared - Proceed.</v>
      </c>
      <c r="X8" s="2" t="str">
        <f aca="false">"Background_Check_Tracker.xlsx:Candidates row "&amp;A8&amp;IF(A8=4," | Background_Check_Messages.mbox:msg_bgcheck_correction_5120","")&amp;" | Background_Check_Messages.mbox:msg_bgcheck_policy_5120"</f>
        <v>Background_Check_Tracker.xlsx:Candidates row 8 | Background_Check_Messages.mbox:msg_bgcheck_policy_5120</v>
      </c>
    </row>
    <row r="9" customFormat="false" ht="15" hidden="false" customHeight="false" outlineLevel="0" collapsed="false">
      <c r="A9" s="2" t="n">
        <f aca="false">Source_Candidates!A9</f>
        <v>9</v>
      </c>
      <c r="B9" s="2" t="str">
        <f aca="false">Source_Candidates!B9</f>
        <v>Sanjay Gupta</v>
      </c>
      <c r="C9" s="2" t="str">
        <f aca="false">Source_Candidates!C9</f>
        <v>BGC-4441</v>
      </c>
      <c r="D9" s="2" t="str">
        <f aca="false">Source_Candidates!D9</f>
        <v>Mira Patel</v>
      </c>
      <c r="E9" s="2" t="str">
        <f aca="false">Source_Candidates!E9</f>
        <v>mira.patel@company.example.com</v>
      </c>
      <c r="F9" s="2" t="str">
        <f aca="false">Source_Candidates!F9</f>
        <v>Data Analyst</v>
      </c>
      <c r="G9" s="2" t="str">
        <f aca="false">Source_Candidates!G9</f>
        <v>Pending</v>
      </c>
      <c r="H9" s="2" t="str">
        <f aca="false">Source_Candidates!H9</f>
        <v>Awaiting Action</v>
      </c>
      <c r="I9" s="2" t="n">
        <f aca="false">Source_Candidates!I9</f>
        <v>0</v>
      </c>
      <c r="J9" s="2" t="str">
        <f aca="false">IF(C9="BGC-4412","Conditional","")</f>
        <v/>
      </c>
      <c r="K9" s="2" t="str">
        <f aca="false">IF(J9&lt;&gt;"",J9,G9)</f>
        <v>Pending</v>
      </c>
      <c r="L9" s="2" t="str">
        <f aca="false">IF(K9="Clear","YES","NO")</f>
        <v>NO</v>
      </c>
      <c r="M9" s="2" t="str">
        <f aca="false">IF(K9="Failed","YES","NO")</f>
        <v>NO</v>
      </c>
      <c r="N9" s="2" t="str">
        <f aca="false">IF(K9="Conditional","YES","NO")</f>
        <v>NO</v>
      </c>
      <c r="O9" s="2" t="str">
        <f aca="false">IF(K9="Pending","YES","NO")</f>
        <v>YES</v>
      </c>
      <c r="P9" s="2" t="str">
        <f aca="false">IF(L9="YES","CLEARED_PROCEED",IF(M9="YES","FAILED_RESCIND",IF(N9="YES","CONDITIONAL_LEGAL",IF(O9="YES","PENDING_NO_ACTION","ERROR"))))</f>
        <v>PENDING_NO_ACTION</v>
      </c>
      <c r="Q9" s="2" t="str">
        <f aca="false">IF(L9="YES","Cleared - Proceed",IF(M9="YES","Failed - Offer Rescinded",IF(N9="YES","Conditional - Legal Notified",IF(O9="YES",H9,"ERROR"))))</f>
        <v>Awaiting Action</v>
      </c>
      <c r="R9" s="2" t="str">
        <f aca="false">IF(L9="YES",E9,IF(M9="YES","hr-director@company.example.com",IF(N9="YES","legal@company.example.com","")))</f>
        <v/>
      </c>
      <c r="S9" s="2" t="str">
        <f aca="false">IF(O9="YES","NO","YES")</f>
        <v>NO</v>
      </c>
      <c r="T9" s="2" t="str">
        <f aca="false">IF(O9="YES","NO","YES")</f>
        <v>NO</v>
      </c>
      <c r="U9" s="2" t="str">
        <f aca="false">IF(L9="YES","ONBOARDING_MAY_PROCEED",IF(M9="YES","HR_DIRECTOR_ACTION",IF(N9="YES","LEGAL_NOTIFICATION_BEFORE_START","PENDING_NO_ACTION")))</f>
        <v>PENDING_NO_ACTION</v>
      </c>
      <c r="V9" s="2" t="str">
        <f aca="false">IF(L9="YES","Manager receives clearance confirmation; Slack receives operational label only.",IF(M9="YES","HR Director only; never email candidate; Slack omits raw result.",IF(N9="YES","Legal only; no manager notice; sensitive vendor reason omitted outside restricted evidence.","No email or tracker update; Slack receives operational label only.")))</f>
        <v>No email or tracker update; Slack receives operational label only.</v>
      </c>
      <c r="W9" s="2" t="str">
        <f aca="false">IF(L9="YES","Legal procedure 1: Clear; email the hiring manager and propose Cleared - Proceed.",IF(M9="YES","Legal procedure 2: rescind offer, notify HR Director, and never email the candidate directly.",IF(N9="YES","Vendor correction msg_bgcheck_correction_5120 overrides tracker row 4; Legal procedure 3 applies.","Legal procedure 4: Pending requires no action and source status remains unchanged.")))</f>
        <v>Legal procedure 4: Pending requires no action and source status remains unchanged.</v>
      </c>
      <c r="X9" s="2" t="str">
        <f aca="false">"Background_Check_Tracker.xlsx:Candidates row "&amp;A9&amp;IF(A9=4," | Background_Check_Messages.mbox:msg_bgcheck_correction_5120","")&amp;" | Background_Check_Messages.mbox:msg_bgcheck_policy_5120"</f>
        <v>Background_Check_Tracker.xlsx:Candidates row 9 | Background_Check_Messages.mbox:msg_bgcheck_policy_5120</v>
      </c>
    </row>
  </sheetData>
  <autoFilter ref="A1:X9"/>
  <conditionalFormatting sqref="P2:P9">
    <cfRule type="expression" priority="2" aboveAverage="0" equalAverage="0" bottom="0" percent="0" rank="0" text="" dxfId="7">
      <formula>P2="CLEARED_PROCEED"</formula>
    </cfRule>
    <cfRule type="expression" priority="3" aboveAverage="0" equalAverage="0" bottom="0" percent="0" rank="0" text="" dxfId="8">
      <formula>P2="FAILED_RESCIND"</formula>
    </cfRule>
    <cfRule type="expression" priority="4" aboveAverage="0" equalAverage="0" bottom="0" percent="0" rank="0" text="" dxfId="9">
      <formula>P2="CONDITIONAL_LEGAL"</formula>
    </cfRule>
    <cfRule type="expression" priority="5" aboveAverage="0" equalAverage="0" bottom="0" percent="0" rank="0" text="" dxfId="10">
      <formula>P2="PENDING_NO_ACTION"</formula>
    </cfRule>
  </conditionalFormatting>
  <conditionalFormatting sqref="J2:J9">
    <cfRule type="expression" priority="6" aboveAverage="0" equalAverage="0" bottom="0" percent="0" rank="0" text="" dxfId="9">
      <formula>J2&lt;&gt;""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background-check decisions · vendor correction has precedence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.01"/>
    <col collapsed="false" customWidth="true" hidden="false" outlineLevel="0" max="6" min="6" style="0" width="39.01"/>
    <col collapsed="false" customWidth="true" hidden="false" outlineLevel="0" max="7" min="7" style="0" width="22.01"/>
    <col collapsed="false" customWidth="true" hidden="false" outlineLevel="0" max="8" min="8" style="0" width="27.99"/>
    <col collapsed="false" customWidth="true" hidden="false" outlineLevel="0" max="9" min="9" style="0" width="18"/>
    <col collapsed="false" customWidth="true" hidden="false" outlineLevel="0" max="10" min="10" style="0" width="85"/>
  </cols>
  <sheetData>
    <row r="1" customFormat="false" ht="30.75" hidden="false" customHeight="true" outlineLevel="0" collapsed="false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149</v>
      </c>
      <c r="G1" s="1" t="s">
        <v>147</v>
      </c>
      <c r="H1" s="1" t="s">
        <v>148</v>
      </c>
      <c r="I1" s="1" t="s">
        <v>156</v>
      </c>
      <c r="J1" s="1" t="s">
        <v>71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157</v>
      </c>
      <c r="H2" s="2" t="s">
        <v>158</v>
      </c>
      <c r="I2" s="2" t="s">
        <v>159</v>
      </c>
      <c r="J2" s="2" t="s">
        <v>160</v>
      </c>
    </row>
    <row r="3" customFormat="false" ht="15" hidden="false" customHeight="false" outlineLevel="0" collapsed="false">
      <c r="A3" s="2" t="n">
        <v>2</v>
      </c>
      <c r="B3" s="2" t="n">
        <v>6</v>
      </c>
      <c r="C3" s="2" t="s">
        <v>31</v>
      </c>
      <c r="D3" s="2" t="s">
        <v>32</v>
      </c>
      <c r="E3" s="2" t="s">
        <v>18</v>
      </c>
      <c r="F3" s="2" t="s">
        <v>19</v>
      </c>
      <c r="G3" s="2" t="s">
        <v>157</v>
      </c>
      <c r="H3" s="2" t="s">
        <v>158</v>
      </c>
      <c r="I3" s="2" t="s">
        <v>159</v>
      </c>
      <c r="J3" s="2" t="s">
        <v>161</v>
      </c>
    </row>
    <row r="4" customFormat="false" ht="15" hidden="false" customHeight="false" outlineLevel="0" collapsed="false">
      <c r="A4" s="2" t="n">
        <v>3</v>
      </c>
      <c r="B4" s="2" t="n">
        <v>8</v>
      </c>
      <c r="C4" s="2" t="s">
        <v>37</v>
      </c>
      <c r="D4" s="2" t="s">
        <v>38</v>
      </c>
      <c r="E4" s="2" t="s">
        <v>11</v>
      </c>
      <c r="F4" s="2" t="s">
        <v>12</v>
      </c>
      <c r="G4" s="2" t="s">
        <v>157</v>
      </c>
      <c r="H4" s="2" t="s">
        <v>158</v>
      </c>
      <c r="I4" s="2" t="s">
        <v>159</v>
      </c>
      <c r="J4" s="2" t="s">
        <v>162</v>
      </c>
    </row>
  </sheetData>
  <autoFilter ref="A1:J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&amp;C3 clearance routes · manager draft only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.01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9" min="9" style="0" width="22.01"/>
    <col collapsed="false" customWidth="true" hidden="false" outlineLevel="0" max="10" min="10" style="0" width="31.01"/>
    <col collapsed="false" customWidth="true" hidden="false" outlineLevel="0" max="11" min="11" style="0" width="27.99"/>
    <col collapsed="false" customWidth="true" hidden="false" outlineLevel="0" max="12" min="12" style="0" width="18"/>
    <col collapsed="false" customWidth="true" hidden="false" outlineLevel="0" max="13" min="13" style="0" width="84"/>
  </cols>
  <sheetData>
    <row r="1" customFormat="false" ht="30.75" hidden="false" customHeight="true" outlineLevel="0" collapsed="false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163</v>
      </c>
      <c r="G1" s="1" t="s">
        <v>149</v>
      </c>
      <c r="H1" s="1" t="s">
        <v>164</v>
      </c>
      <c r="I1" s="1" t="s">
        <v>147</v>
      </c>
      <c r="J1" s="1" t="s">
        <v>148</v>
      </c>
      <c r="K1" s="1" t="s">
        <v>152</v>
      </c>
      <c r="L1" s="1" t="s">
        <v>156</v>
      </c>
      <c r="M1" s="1" t="s">
        <v>71</v>
      </c>
    </row>
    <row r="2" customFormat="false" ht="15" hidden="false" customHeight="false" outlineLevel="0" collapsed="false">
      <c r="A2" s="2" t="n">
        <v>1</v>
      </c>
      <c r="B2" s="2" t="n">
        <v>3</v>
      </c>
      <c r="C2" s="2" t="s">
        <v>16</v>
      </c>
      <c r="D2" s="2" t="s">
        <v>17</v>
      </c>
      <c r="E2" s="2" t="s">
        <v>18</v>
      </c>
      <c r="F2" s="2" t="s">
        <v>165</v>
      </c>
      <c r="G2" s="2" t="s">
        <v>166</v>
      </c>
      <c r="H2" s="2" t="s">
        <v>167</v>
      </c>
      <c r="I2" s="2" t="s">
        <v>168</v>
      </c>
      <c r="J2" s="2" t="s">
        <v>169</v>
      </c>
      <c r="K2" s="2" t="s">
        <v>170</v>
      </c>
      <c r="L2" s="2" t="s">
        <v>159</v>
      </c>
      <c r="M2" s="2" t="s">
        <v>171</v>
      </c>
    </row>
    <row r="3" customFormat="false" ht="15" hidden="false" customHeight="false" outlineLevel="0" collapsed="false">
      <c r="A3" s="2" t="n">
        <v>2</v>
      </c>
      <c r="B3" s="2" t="n">
        <v>7</v>
      </c>
      <c r="C3" s="2" t="s">
        <v>34</v>
      </c>
      <c r="D3" s="2" t="s">
        <v>35</v>
      </c>
      <c r="E3" s="2" t="s">
        <v>24</v>
      </c>
      <c r="F3" s="2" t="s">
        <v>165</v>
      </c>
      <c r="G3" s="2" t="s">
        <v>166</v>
      </c>
      <c r="H3" s="2" t="s">
        <v>167</v>
      </c>
      <c r="I3" s="2" t="s">
        <v>168</v>
      </c>
      <c r="J3" s="2" t="s">
        <v>169</v>
      </c>
      <c r="K3" s="2" t="s">
        <v>170</v>
      </c>
      <c r="L3" s="2" t="s">
        <v>159</v>
      </c>
      <c r="M3" s="2" t="s">
        <v>172</v>
      </c>
    </row>
  </sheetData>
  <autoFilter ref="A1:M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&amp;C2 failed results · HR Director only · candidate direct email prohibited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22.01"/>
    <col collapsed="false" customWidth="true" hidden="false" outlineLevel="0" max="8" min="8" style="0" width="18"/>
    <col collapsed="false" customWidth="true" hidden="false" outlineLevel="0" max="9" min="9" style="0" width="37.99"/>
    <col collapsed="false" customWidth="true" hidden="false" outlineLevel="0" max="10" min="10" style="0" width="23.01"/>
    <col collapsed="false" customWidth="true" hidden="false" outlineLevel="0" max="11" min="11" style="0" width="31.01"/>
    <col collapsed="false" customWidth="true" hidden="false" outlineLevel="0" max="12" min="12" style="0" width="27"/>
    <col collapsed="false" customWidth="true" hidden="false" outlineLevel="0" max="13" min="13" style="0" width="37.99"/>
    <col collapsed="false" customWidth="true" hidden="false" outlineLevel="0" max="14" min="14" style="0" width="18"/>
    <col collapsed="false" customWidth="true" hidden="false" outlineLevel="0" max="15" min="15" style="0" width="95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173</v>
      </c>
      <c r="E1" s="1" t="s">
        <v>141</v>
      </c>
      <c r="F1" s="1" t="s">
        <v>142</v>
      </c>
      <c r="G1" s="1" t="s">
        <v>3</v>
      </c>
      <c r="H1" s="1" t="s">
        <v>163</v>
      </c>
      <c r="I1" s="1" t="s">
        <v>149</v>
      </c>
      <c r="J1" s="1" t="s">
        <v>147</v>
      </c>
      <c r="K1" s="1" t="s">
        <v>148</v>
      </c>
      <c r="L1" s="1" t="s">
        <v>174</v>
      </c>
      <c r="M1" s="1" t="s">
        <v>152</v>
      </c>
      <c r="N1" s="1" t="s">
        <v>156</v>
      </c>
      <c r="O1" s="1" t="s">
        <v>71</v>
      </c>
    </row>
    <row r="2" customFormat="false" ht="15" hidden="false" customHeight="false" outlineLevel="0" collapsed="false">
      <c r="A2" s="2" t="n">
        <v>4</v>
      </c>
      <c r="B2" s="2" t="s">
        <v>22</v>
      </c>
      <c r="C2" s="2" t="s">
        <v>23</v>
      </c>
      <c r="D2" s="2" t="s">
        <v>14</v>
      </c>
      <c r="E2" s="2" t="s">
        <v>114</v>
      </c>
      <c r="F2" s="2" t="s">
        <v>114</v>
      </c>
      <c r="G2" s="2" t="s">
        <v>24</v>
      </c>
      <c r="H2" s="2" t="s">
        <v>165</v>
      </c>
      <c r="I2" s="2" t="s">
        <v>60</v>
      </c>
      <c r="J2" s="2" t="s">
        <v>175</v>
      </c>
      <c r="K2" s="2" t="s">
        <v>176</v>
      </c>
      <c r="L2" s="2" t="s">
        <v>177</v>
      </c>
      <c r="M2" s="2" t="s">
        <v>178</v>
      </c>
      <c r="N2" s="2" t="s">
        <v>159</v>
      </c>
      <c r="O2" s="2" t="s">
        <v>179</v>
      </c>
    </row>
  </sheetData>
  <autoFilter ref="A1:O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&amp;CNaomi vendor override · Legal only · sensitive reason omitted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22.01"/>
    <col collapsed="false" customWidth="true" hidden="false" outlineLevel="0" max="6" min="6" style="0" width="18"/>
    <col collapsed="false" customWidth="true" hidden="false" outlineLevel="0" max="7" min="7" style="0" width="23.01"/>
    <col collapsed="false" customWidth="true" hidden="false" outlineLevel="0" max="8" min="8" style="0" width="22.01"/>
    <col collapsed="false" customWidth="true" hidden="false" outlineLevel="0" max="9" min="9" style="0" width="13.01"/>
    <col collapsed="false" customWidth="true" hidden="false" outlineLevel="0" max="10" min="10" style="0" width="15"/>
    <col collapsed="false" customWidth="true" hidden="false" outlineLevel="0" max="11" min="11" style="0" width="28.99"/>
    <col collapsed="false" customWidth="true" hidden="false" outlineLevel="0" max="12" min="12" style="0" width="17"/>
    <col collapsed="false" customWidth="true" hidden="false" outlineLevel="0" max="13" min="13" style="0" width="8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139</v>
      </c>
      <c r="E1" s="1" t="s">
        <v>140</v>
      </c>
      <c r="F1" s="1" t="s">
        <v>142</v>
      </c>
      <c r="G1" s="1" t="s">
        <v>147</v>
      </c>
      <c r="H1" s="1" t="s">
        <v>148</v>
      </c>
      <c r="I1" s="1" t="s">
        <v>150</v>
      </c>
      <c r="J1" s="1" t="s">
        <v>151</v>
      </c>
      <c r="K1" s="1" t="s">
        <v>152</v>
      </c>
      <c r="L1" s="1" t="s">
        <v>156</v>
      </c>
      <c r="M1" s="1" t="s">
        <v>71</v>
      </c>
    </row>
    <row r="2" customFormat="false" ht="15" hidden="false" customHeight="false" outlineLevel="0" collapsed="false">
      <c r="A2" s="2" t="n">
        <v>5</v>
      </c>
      <c r="B2" s="2" t="s">
        <v>27</v>
      </c>
      <c r="C2" s="2" t="s">
        <v>28</v>
      </c>
      <c r="D2" s="2" t="s">
        <v>30</v>
      </c>
      <c r="E2" s="2" t="s">
        <v>15</v>
      </c>
      <c r="F2" s="2" t="s">
        <v>30</v>
      </c>
      <c r="G2" s="2" t="s">
        <v>180</v>
      </c>
      <c r="H2" s="2" t="s">
        <v>15</v>
      </c>
      <c r="I2" s="2" t="s">
        <v>165</v>
      </c>
      <c r="J2" s="2" t="s">
        <v>165</v>
      </c>
      <c r="K2" s="2" t="s">
        <v>180</v>
      </c>
      <c r="L2" s="2" t="s">
        <v>181</v>
      </c>
      <c r="M2" s="2" t="s">
        <v>182</v>
      </c>
    </row>
    <row r="3" customFormat="false" ht="15" hidden="false" customHeight="false" outlineLevel="0" collapsed="false">
      <c r="A3" s="2" t="n">
        <v>9</v>
      </c>
      <c r="B3" s="2" t="s">
        <v>40</v>
      </c>
      <c r="C3" s="2" t="s">
        <v>41</v>
      </c>
      <c r="D3" s="2" t="s">
        <v>30</v>
      </c>
      <c r="E3" s="2" t="s">
        <v>15</v>
      </c>
      <c r="F3" s="2" t="s">
        <v>30</v>
      </c>
      <c r="G3" s="2" t="s">
        <v>180</v>
      </c>
      <c r="H3" s="2" t="s">
        <v>15</v>
      </c>
      <c r="I3" s="2" t="s">
        <v>165</v>
      </c>
      <c r="J3" s="2" t="s">
        <v>165</v>
      </c>
      <c r="K3" s="2" t="s">
        <v>180</v>
      </c>
      <c r="L3" s="2" t="s">
        <v>181</v>
      </c>
      <c r="M3" s="2" t="s">
        <v>183</v>
      </c>
    </row>
  </sheetData>
  <autoFilter ref="A1:M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&amp;COliver and Sanjay · status unchanged · no email or tracker draft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3.01"/>
    <col collapsed="false" customWidth="true" hidden="false" outlineLevel="0" max="6" min="6" style="0" width="39.01"/>
    <col collapsed="false" customWidth="true" hidden="false" outlineLevel="0" max="7" min="7" style="0" width="22.01"/>
    <col collapsed="false" customWidth="true" hidden="false" outlineLevel="0" max="8" min="8" style="0" width="24"/>
    <col collapsed="false" customWidth="true" hidden="false" outlineLevel="0" max="9" min="9" style="0" width="37.99"/>
    <col collapsed="false" customWidth="true" hidden="false" outlineLevel="0" max="10" min="10" style="0" width="23.01"/>
    <col collapsed="false" customWidth="true" hidden="false" outlineLevel="0" max="11" min="11" style="0" width="78"/>
    <col collapsed="false" customWidth="true" hidden="false" outlineLevel="0" max="12" min="12" style="0" width="90.01"/>
  </cols>
  <sheetData>
    <row r="1" customFormat="false" ht="30.75" hidden="false" customHeight="true" outlineLevel="0" collapsed="false">
      <c r="A1" s="1" t="s">
        <v>155</v>
      </c>
      <c r="B1" s="1" t="s">
        <v>0</v>
      </c>
      <c r="C1" s="1" t="s">
        <v>1</v>
      </c>
      <c r="D1" s="1" t="s">
        <v>142</v>
      </c>
      <c r="E1" s="1" t="s">
        <v>147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153</v>
      </c>
      <c r="L1" s="1" t="s">
        <v>71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9</v>
      </c>
      <c r="D2" s="2" t="s">
        <v>14</v>
      </c>
      <c r="E2" s="2" t="s">
        <v>157</v>
      </c>
      <c r="F2" s="2" t="s">
        <v>12</v>
      </c>
      <c r="G2" s="2" t="s">
        <v>189</v>
      </c>
      <c r="H2" s="2" t="s">
        <v>190</v>
      </c>
      <c r="I2" s="2" t="s">
        <v>191</v>
      </c>
      <c r="J2" s="2" t="s">
        <v>192</v>
      </c>
      <c r="K2" s="2" t="s">
        <v>193</v>
      </c>
      <c r="L2" s="2" t="s">
        <v>160</v>
      </c>
    </row>
    <row r="3" customFormat="false" ht="15" hidden="false" customHeight="false" outlineLevel="0" collapsed="false">
      <c r="A3" s="2" t="n">
        <v>2</v>
      </c>
      <c r="B3" s="2" t="n">
        <v>3</v>
      </c>
      <c r="C3" s="2" t="s">
        <v>16</v>
      </c>
      <c r="D3" s="2" t="s">
        <v>21</v>
      </c>
      <c r="E3" s="2" t="s">
        <v>168</v>
      </c>
      <c r="F3" s="2" t="s">
        <v>166</v>
      </c>
      <c r="G3" s="2" t="s">
        <v>189</v>
      </c>
      <c r="H3" s="2" t="s">
        <v>190</v>
      </c>
      <c r="I3" s="2" t="s">
        <v>170</v>
      </c>
      <c r="J3" s="2" t="s">
        <v>192</v>
      </c>
      <c r="K3" s="2" t="s">
        <v>194</v>
      </c>
      <c r="L3" s="2" t="s">
        <v>171</v>
      </c>
    </row>
    <row r="4" customFormat="false" ht="15" hidden="false" customHeight="false" outlineLevel="0" collapsed="false">
      <c r="A4" s="2" t="n">
        <v>3</v>
      </c>
      <c r="B4" s="2" t="n">
        <v>4</v>
      </c>
      <c r="C4" s="2" t="s">
        <v>22</v>
      </c>
      <c r="D4" s="2" t="s">
        <v>114</v>
      </c>
      <c r="E4" s="2" t="s">
        <v>175</v>
      </c>
      <c r="F4" s="2" t="s">
        <v>60</v>
      </c>
      <c r="G4" s="2" t="s">
        <v>189</v>
      </c>
      <c r="H4" s="2" t="s">
        <v>190</v>
      </c>
      <c r="I4" s="2" t="s">
        <v>178</v>
      </c>
      <c r="J4" s="2" t="s">
        <v>192</v>
      </c>
      <c r="K4" s="2" t="s">
        <v>195</v>
      </c>
      <c r="L4" s="2" t="s">
        <v>179</v>
      </c>
    </row>
    <row r="5" customFormat="false" ht="15" hidden="false" customHeight="false" outlineLevel="0" collapsed="false">
      <c r="A5" s="2" t="n">
        <v>4</v>
      </c>
      <c r="B5" s="2" t="n">
        <v>5</v>
      </c>
      <c r="C5" s="2" t="s">
        <v>27</v>
      </c>
      <c r="D5" s="2" t="s">
        <v>30</v>
      </c>
      <c r="E5" s="2" t="s">
        <v>180</v>
      </c>
      <c r="F5" s="2"/>
      <c r="G5" s="2" t="s">
        <v>196</v>
      </c>
      <c r="H5" s="2" t="s">
        <v>196</v>
      </c>
      <c r="I5" s="2" t="s">
        <v>180</v>
      </c>
      <c r="J5" s="2" t="s">
        <v>192</v>
      </c>
      <c r="K5" s="2" t="s">
        <v>197</v>
      </c>
      <c r="L5" s="2" t="s">
        <v>182</v>
      </c>
    </row>
    <row r="6" customFormat="false" ht="15" hidden="false" customHeight="false" outlineLevel="0" collapsed="false">
      <c r="A6" s="2" t="n">
        <v>5</v>
      </c>
      <c r="B6" s="2" t="n">
        <v>6</v>
      </c>
      <c r="C6" s="2" t="s">
        <v>31</v>
      </c>
      <c r="D6" s="2" t="s">
        <v>14</v>
      </c>
      <c r="E6" s="2" t="s">
        <v>157</v>
      </c>
      <c r="F6" s="2" t="s">
        <v>19</v>
      </c>
      <c r="G6" s="2" t="s">
        <v>189</v>
      </c>
      <c r="H6" s="2" t="s">
        <v>190</v>
      </c>
      <c r="I6" s="2" t="s">
        <v>191</v>
      </c>
      <c r="J6" s="2" t="s">
        <v>192</v>
      </c>
      <c r="K6" s="2" t="s">
        <v>193</v>
      </c>
      <c r="L6" s="2" t="s">
        <v>161</v>
      </c>
    </row>
    <row r="7" customFormat="false" ht="15" hidden="false" customHeight="false" outlineLevel="0" collapsed="false">
      <c r="A7" s="2" t="n">
        <v>6</v>
      </c>
      <c r="B7" s="2" t="n">
        <v>7</v>
      </c>
      <c r="C7" s="2" t="s">
        <v>34</v>
      </c>
      <c r="D7" s="2" t="s">
        <v>21</v>
      </c>
      <c r="E7" s="2" t="s">
        <v>168</v>
      </c>
      <c r="F7" s="2" t="s">
        <v>166</v>
      </c>
      <c r="G7" s="2" t="s">
        <v>189</v>
      </c>
      <c r="H7" s="2" t="s">
        <v>190</v>
      </c>
      <c r="I7" s="2" t="s">
        <v>170</v>
      </c>
      <c r="J7" s="2" t="s">
        <v>192</v>
      </c>
      <c r="K7" s="2" t="s">
        <v>194</v>
      </c>
      <c r="L7" s="2" t="s">
        <v>172</v>
      </c>
    </row>
    <row r="8" customFormat="false" ht="15" hidden="false" customHeight="false" outlineLevel="0" collapsed="false">
      <c r="A8" s="2" t="n">
        <v>7</v>
      </c>
      <c r="B8" s="2" t="n">
        <v>8</v>
      </c>
      <c r="C8" s="2" t="s">
        <v>37</v>
      </c>
      <c r="D8" s="2" t="s">
        <v>14</v>
      </c>
      <c r="E8" s="2" t="s">
        <v>157</v>
      </c>
      <c r="F8" s="2" t="s">
        <v>12</v>
      </c>
      <c r="G8" s="2" t="s">
        <v>189</v>
      </c>
      <c r="H8" s="2" t="s">
        <v>190</v>
      </c>
      <c r="I8" s="2" t="s">
        <v>191</v>
      </c>
      <c r="J8" s="2" t="s">
        <v>192</v>
      </c>
      <c r="K8" s="2" t="s">
        <v>193</v>
      </c>
      <c r="L8" s="2" t="s">
        <v>162</v>
      </c>
    </row>
    <row r="9" customFormat="false" ht="15" hidden="false" customHeight="false" outlineLevel="0" collapsed="false">
      <c r="A9" s="2" t="n">
        <v>8</v>
      </c>
      <c r="B9" s="2" t="n">
        <v>9</v>
      </c>
      <c r="C9" s="2" t="s">
        <v>40</v>
      </c>
      <c r="D9" s="2" t="s">
        <v>30</v>
      </c>
      <c r="E9" s="2" t="s">
        <v>180</v>
      </c>
      <c r="F9" s="2"/>
      <c r="G9" s="2" t="s">
        <v>196</v>
      </c>
      <c r="H9" s="2" t="s">
        <v>196</v>
      </c>
      <c r="I9" s="2" t="s">
        <v>180</v>
      </c>
      <c r="J9" s="2" t="s">
        <v>192</v>
      </c>
      <c r="K9" s="2" t="s">
        <v>197</v>
      </c>
      <c r="L9" s="2" t="s">
        <v>183</v>
      </c>
    </row>
  </sheetData>
  <autoFilter ref="A1:L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&amp;C6 email drafts · 6 tracker drafts · 1 Slack draft · zero execution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3" min="2" style="0" width="14.01"/>
    <col collapsed="false" customWidth="true" hidden="false" outlineLevel="0" max="4" min="4" style="0" width="27.99"/>
    <col collapsed="false" customWidth="true" hidden="false" outlineLevel="0" max="5" min="5" style="0" width="70"/>
  </cols>
  <sheetData>
    <row r="1" customFormat="false" ht="30.75" hidden="false" customHeight="true" outlineLevel="0" collapsed="false">
      <c r="A1" s="1" t="s">
        <v>198</v>
      </c>
      <c r="B1" s="1" t="s">
        <v>199</v>
      </c>
      <c r="C1" s="1" t="s">
        <v>200</v>
      </c>
      <c r="D1" s="1" t="s">
        <v>156</v>
      </c>
      <c r="E1" s="1" t="s">
        <v>71</v>
      </c>
    </row>
    <row r="2" customFormat="false" ht="15" hidden="false" customHeight="false" outlineLevel="0" collapsed="false">
      <c r="A2" s="2" t="s">
        <v>201</v>
      </c>
      <c r="B2" s="2" t="n">
        <v>8</v>
      </c>
      <c r="C2" s="2" t="n">
        <v>8</v>
      </c>
      <c r="D2" s="2" t="s">
        <v>202</v>
      </c>
      <c r="E2" s="2" t="s">
        <v>203</v>
      </c>
    </row>
    <row r="3" customFormat="false" ht="15" hidden="false" customHeight="false" outlineLevel="0" collapsed="false">
      <c r="A3" s="2" t="s">
        <v>204</v>
      </c>
      <c r="B3" s="2" t="n">
        <v>3</v>
      </c>
      <c r="C3" s="2" t="n">
        <v>3</v>
      </c>
      <c r="D3" s="2" t="s">
        <v>202</v>
      </c>
      <c r="E3" s="2" t="s">
        <v>205</v>
      </c>
    </row>
    <row r="4" customFormat="false" ht="15" hidden="false" customHeight="false" outlineLevel="0" collapsed="false">
      <c r="A4" s="2" t="s">
        <v>206</v>
      </c>
      <c r="B4" s="2" t="n">
        <v>2</v>
      </c>
      <c r="C4" s="2" t="n">
        <v>2</v>
      </c>
      <c r="D4" s="2" t="s">
        <v>202</v>
      </c>
      <c r="E4" s="2" t="s">
        <v>207</v>
      </c>
    </row>
    <row r="5" customFormat="false" ht="15" hidden="false" customHeight="false" outlineLevel="0" collapsed="false">
      <c r="A5" s="2" t="s">
        <v>208</v>
      </c>
      <c r="B5" s="2" t="n">
        <v>1</v>
      </c>
      <c r="C5" s="2" t="n">
        <v>1</v>
      </c>
      <c r="D5" s="2" t="s">
        <v>209</v>
      </c>
      <c r="E5" s="2" t="s">
        <v>210</v>
      </c>
    </row>
    <row r="6" customFormat="false" ht="15" hidden="false" customHeight="false" outlineLevel="0" collapsed="false">
      <c r="A6" s="2" t="s">
        <v>211</v>
      </c>
      <c r="B6" s="2" t="n">
        <v>2</v>
      </c>
      <c r="C6" s="2" t="n">
        <v>2</v>
      </c>
      <c r="D6" s="2" t="s">
        <v>181</v>
      </c>
      <c r="E6" s="2" t="s">
        <v>212</v>
      </c>
    </row>
    <row r="7" customFormat="false" ht="15" hidden="false" customHeight="false" outlineLevel="0" collapsed="false">
      <c r="A7" s="2" t="s">
        <v>213</v>
      </c>
      <c r="B7" s="2" t="n">
        <v>6</v>
      </c>
      <c r="C7" s="2" t="n">
        <v>6</v>
      </c>
      <c r="D7" s="2" t="s">
        <v>189</v>
      </c>
      <c r="E7" s="2" t="s">
        <v>214</v>
      </c>
    </row>
    <row r="8" customFormat="false" ht="15" hidden="false" customHeight="false" outlineLevel="0" collapsed="false">
      <c r="A8" s="2" t="s">
        <v>215</v>
      </c>
      <c r="B8" s="2" t="n">
        <v>0</v>
      </c>
      <c r="C8" s="2" t="n">
        <v>0</v>
      </c>
      <c r="D8" s="2" t="s">
        <v>216</v>
      </c>
      <c r="E8" s="2" t="s">
        <v>217</v>
      </c>
    </row>
    <row r="9" customFormat="false" ht="15" hidden="false" customHeight="false" outlineLevel="0" collapsed="false">
      <c r="A9" s="2" t="s">
        <v>218</v>
      </c>
      <c r="B9" s="2" t="n">
        <v>6</v>
      </c>
      <c r="C9" s="2" t="n">
        <v>6</v>
      </c>
      <c r="D9" s="2" t="s">
        <v>190</v>
      </c>
      <c r="E9" s="2" t="s">
        <v>219</v>
      </c>
    </row>
    <row r="10" customFormat="false" ht="15" hidden="false" customHeight="false" outlineLevel="0" collapsed="false">
      <c r="A10" s="2" t="s">
        <v>220</v>
      </c>
      <c r="B10" s="2" t="n">
        <v>0</v>
      </c>
      <c r="C10" s="2" t="n">
        <v>0</v>
      </c>
      <c r="D10" s="2" t="s">
        <v>216</v>
      </c>
      <c r="E10" s="2" t="s">
        <v>217</v>
      </c>
    </row>
    <row r="11" customFormat="false" ht="15" hidden="false" customHeight="false" outlineLevel="0" collapsed="false">
      <c r="A11" s="2" t="s">
        <v>221</v>
      </c>
      <c r="B11" s="2" t="n">
        <v>1</v>
      </c>
      <c r="C11" s="2" t="n">
        <v>1</v>
      </c>
      <c r="D11" s="2" t="s">
        <v>192</v>
      </c>
      <c r="E11" s="2" t="s">
        <v>222</v>
      </c>
    </row>
    <row r="12" customFormat="false" ht="15" hidden="false" customHeight="false" outlineLevel="0" collapsed="false">
      <c r="A12" s="2" t="s">
        <v>223</v>
      </c>
      <c r="B12" s="2" t="n">
        <v>0</v>
      </c>
      <c r="C12" s="2" t="n">
        <v>0</v>
      </c>
      <c r="D12" s="2" t="s">
        <v>216</v>
      </c>
      <c r="E12" s="2" t="s">
        <v>217</v>
      </c>
    </row>
    <row r="13" customFormat="false" ht="15" hidden="false" customHeight="false" outlineLevel="0" collapsed="false">
      <c r="A13" s="2" t="s">
        <v>224</v>
      </c>
      <c r="B13" s="2" t="n">
        <v>0</v>
      </c>
      <c r="C13" s="2" t="n">
        <v>0</v>
      </c>
      <c r="D13" s="2" t="s">
        <v>225</v>
      </c>
      <c r="E13" s="2" t="s">
        <v>217</v>
      </c>
    </row>
    <row r="14" customFormat="false" ht="15" hidden="false" customHeight="false" outlineLevel="0" collapsed="false">
      <c r="A14" s="2" t="s">
        <v>226</v>
      </c>
      <c r="B14" s="2" t="n">
        <v>0</v>
      </c>
      <c r="C14" s="2" t="n">
        <v>0</v>
      </c>
      <c r="D14" s="2" t="s">
        <v>227</v>
      </c>
      <c r="E14" s="2" t="s">
        <v>217</v>
      </c>
    </row>
  </sheetData>
  <autoFilter ref="A1:E14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&amp;CCross-artifact control totals · all external actions remain drafts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