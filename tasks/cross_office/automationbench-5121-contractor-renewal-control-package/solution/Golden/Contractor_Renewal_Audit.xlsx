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10.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9.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ource_Contractors" sheetId="1" state="visible" r:id="rId2"/>
    <sheet name="Policy_Source" sheetId="2" state="visible" r:id="rId3"/>
    <sheet name="Evidence_Register" sheetId="3" state="visible" r:id="rId4"/>
    <sheet name="Renewal_Decisions" sheetId="4" state="visible" r:id="rId5"/>
    <sheet name="Standard_Renewal_Queue" sheetId="5" state="visible" r:id="rId6"/>
    <sheet name="PIP_Approval_Queue" sheetId="6" state="visible" r:id="rId7"/>
    <sheet name="Expired_Control" sheetId="7" state="visible" r:id="rId8"/>
    <sheet name="No_Action_Control" sheetId="8" state="visible" r:id="rId9"/>
    <sheet name="Communication_Register" sheetId="9" state="visible" r:id="rId10"/>
    <sheet name="Control_Summary" sheetId="10" state="visible" r:id="rId11"/>
  </sheets>
  <definedNames>
    <definedName function="false" hidden="false" localSheetId="8" name="_xlnm.Print_Area" vbProcedure="false">Communication_Register!$A$1:$K$7</definedName>
    <definedName function="false" hidden="true" localSheetId="8" name="_xlnm._FilterDatabase" vbProcedure="false">Communication_Register!$A$1:$K$7</definedName>
    <definedName function="false" hidden="false" localSheetId="9" name="_xlnm.Print_Area" vbProcedure="false">Control_Summary!$A$1:$E$20</definedName>
    <definedName function="false" hidden="true" localSheetId="9" name="_xlnm._FilterDatabase" vbProcedure="false">Control_Summary!$A$1:$E$20</definedName>
    <definedName function="false" hidden="false" localSheetId="2" name="_xlnm.Print_Area" vbProcedure="false">Evidence_Register!$A$1:$E$18</definedName>
    <definedName function="false" hidden="true" localSheetId="2" name="_xlnm._FilterDatabase" vbProcedure="false">Evidence_Register!$A$1:$E$18</definedName>
    <definedName function="false" hidden="false" localSheetId="6" name="_xlnm.Print_Area" vbProcedure="false">Expired_Control!$A$1:$M$2</definedName>
    <definedName function="false" hidden="true" localSheetId="6" name="_xlnm._FilterDatabase" vbProcedure="false">Expired_Control!$A$1:$M$2</definedName>
    <definedName function="false" hidden="false" localSheetId="7" name="_xlnm.Print_Area" vbProcedure="false">No_Action_Control!$A$1:$M$3</definedName>
    <definedName function="false" hidden="true" localSheetId="7" name="_xlnm._FilterDatabase" vbProcedure="false">No_Action_Control!$A$1:$M$3</definedName>
    <definedName function="false" hidden="false" localSheetId="5" name="_xlnm.Print_Area" vbProcedure="false">PIP_Approval_Queue!$A$1:$Q$3</definedName>
    <definedName function="false" hidden="true" localSheetId="5" name="_xlnm._FilterDatabase" vbProcedure="false">PIP_Approval_Queue!$A$1:$Q$3</definedName>
    <definedName function="false" hidden="false" localSheetId="1" name="_xlnm.Print_Area" vbProcedure="false">Policy_Source!$A$1:$E$8</definedName>
    <definedName function="false" hidden="true" localSheetId="1" name="_xlnm._FilterDatabase" vbProcedure="false">Policy_Source!$A$1:$E$8</definedName>
    <definedName function="false" hidden="false" localSheetId="3" name="_xlnm.Print_Area" vbProcedure="false">Renewal_Decisions!$A$1:$AB$9</definedName>
    <definedName function="false" hidden="true" localSheetId="3" name="_xlnm._FilterDatabase" vbProcedure="false">Renewal_Decisions!$A$1:$AB$9</definedName>
    <definedName function="false" hidden="false" localSheetId="0" name="_xlnm.Print_Area" vbProcedure="false">Source_Contractors!$A$1:$J$9</definedName>
    <definedName function="false" hidden="true" localSheetId="0" name="_xlnm._FilterDatabase" vbProcedure="false">Source_Contractors!$A$1:$J$9</definedName>
    <definedName function="false" hidden="false" localSheetId="4" name="_xlnm.Print_Area" vbProcedure="false">Standard_Renewal_Queue!$A$1:$R$4</definedName>
    <definedName function="false" hidden="true" localSheetId="4" name="_xlnm._FilterDatabase" vbProcedure="false">Standard_Renewal_Queue!$A$1:$R$4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<sst xmlns="http://schemas.openxmlformats.org/spreadsheetml/2006/main" count="353" uniqueCount="197">
  <si>
    <t xml:space="preserve">Source Row</t>
  </si>
  <si>
    <t xml:space="preserve">Contractor</t>
  </si>
  <si>
    <t xml:space="preserve">Contractor Email</t>
  </si>
  <si>
    <t xml:space="preserve">Manager</t>
  </si>
  <si>
    <t xml:space="preserve">Manager Email</t>
  </si>
  <si>
    <t xml:space="preserve">Department</t>
  </si>
  <si>
    <t xml:space="preserve">Dept VP Email</t>
  </si>
  <si>
    <t xml:space="preserve">Agreement End</t>
  </si>
  <si>
    <t xml:space="preserve">Status</t>
  </si>
  <si>
    <t xml:space="preserve">Notes</t>
  </si>
  <si>
    <t xml:space="preserve">Ana Petrova</t>
  </si>
  <si>
    <t xml:space="preserve">ana.petrova@freelance.example.com</t>
  </si>
  <si>
    <t xml:space="preserve">Derek Huang</t>
  </si>
  <si>
    <t xml:space="preserve">derek.huang@company.example.com</t>
  </si>
  <si>
    <t xml:space="preserve">Engineering</t>
  </si>
  <si>
    <t xml:space="preserve">vp-eng@company.example.com</t>
  </si>
  <si>
    <t xml:space="preserve">Active</t>
  </si>
  <si>
    <t xml:space="preserve">Brian Osei</t>
  </si>
  <si>
    <t xml:space="preserve">brian.osei@freelance.example.com</t>
  </si>
  <si>
    <t xml:space="preserve">Mira Patel</t>
  </si>
  <si>
    <t xml:space="preserve">mira.patel@company.example.com</t>
  </si>
  <si>
    <t xml:space="preserve">Marketing</t>
  </si>
  <si>
    <t xml:space="preserve">vp-mkt@company.example.com</t>
  </si>
  <si>
    <t xml:space="preserve">Carmen Ruiz</t>
  </si>
  <si>
    <t xml:space="preserve">carmen.ruiz@freelance.example.com</t>
  </si>
  <si>
    <t xml:space="preserve">Lisa Wang</t>
  </si>
  <si>
    <t xml:space="preserve">lisa.wang@company.example.com</t>
  </si>
  <si>
    <t xml:space="preserve">Sales</t>
  </si>
  <si>
    <t xml:space="preserve">vp-sales@company.example.com</t>
  </si>
  <si>
    <t xml:space="preserve">On PIP since March 2026</t>
  </si>
  <si>
    <t xml:space="preserve">Darius Kim</t>
  </si>
  <si>
    <t xml:space="preserve">darius.kim@freelance.example.com</t>
  </si>
  <si>
    <t xml:space="preserve">Eva Lindström</t>
  </si>
  <si>
    <t xml:space="preserve">eva.lindstrom@freelance.example.com</t>
  </si>
  <si>
    <t xml:space="preserve">Felix Braun</t>
  </si>
  <si>
    <t xml:space="preserve">felix.braun@freelance.example.com</t>
  </si>
  <si>
    <t xml:space="preserve">Gloria Chen</t>
  </si>
  <si>
    <t xml:space="preserve">gloria.chen@freelance.example.com</t>
  </si>
  <si>
    <t xml:space="preserve">On PIP since February 2026</t>
  </si>
  <si>
    <t xml:space="preserve">Hugo Santos</t>
  </si>
  <si>
    <t xml:space="preserve">hugo.santos@freelance.example.com</t>
  </si>
  <si>
    <t xml:space="preserve">Evidence ID</t>
  </si>
  <si>
    <t xml:space="preserve">Category</t>
  </si>
  <si>
    <t xml:space="preserve">Exact Requirement</t>
  </si>
  <si>
    <t xml:space="preserve">Authority</t>
  </si>
  <si>
    <t xml:space="preserve">Source Trace</t>
  </si>
  <si>
    <t xml:space="preserve">POLICY-MESSAGE</t>
  </si>
  <si>
    <t xml:space="preserve">FULL_MESSAGE</t>
  </si>
  <si>
    <t xml:space="preserve">Team,
Contractor renewal guidelines:
1. Only process renewals for agreements expiring within the next 60 days.
2. Contractors with an active Performance Improvement Plan (PIP) cannot be renewed directly. Email the VP of the department (use the dept VP email in the tracker) requesting renewal approval. Set Status to 'Pending VP Approval'.
3. Standard renewals: Set Status to 'Renewed'. Email the contractor and hiring manager confirming the renewal.
4. Agreements expiring beyond 60 days: No action needed. Leave as is.
5. Already expired agreements should be set to 'Expired - Not Renewed'.
6. RATE CHANGES: HR Ops may NOT change contractor rates as part of a renewal. All rate adjustments — including standard cost-of-living increases — must go through Procurement (procurement@company.example.com) and Finance approval. Renewal notices should confirm continuation at existing terms only.
- Procurement</t>
  </si>
  <si>
    <t xml:space="preserve">procurement@company.example.com | Contractor Agreement Renewal Policy | Sun, 01 Mar 2026 08:00:00 +0000</t>
  </si>
  <si>
    <t xml:space="preserve">Contractor_Renewal_Policy.mbox:msg_contractor_policy_5121</t>
  </si>
  <si>
    <t xml:space="preserve">R1</t>
  </si>
  <si>
    <t xml:space="preserve">RENEWAL_WINDOW</t>
  </si>
  <si>
    <t xml:space="preserve">Only process renewals for agreements expiring within the next 60 days.</t>
  </si>
  <si>
    <t xml:space="preserve">Procurement policy</t>
  </si>
  <si>
    <t xml:space="preserve">R2</t>
  </si>
  <si>
    <t xml:space="preserve">ACTIVE_PIP</t>
  </si>
  <si>
    <t xml:space="preserve">Contractors with an active Performance Improvement Plan (PIP) cannot be renewed directly. Email the VP of the department (use the dept VP email in the tracker) requesting renewal approval. Set Status to 'Pending VP Approval'.</t>
  </si>
  <si>
    <t xml:space="preserve">R3</t>
  </si>
  <si>
    <t xml:space="preserve">STANDARD_RENEWAL</t>
  </si>
  <si>
    <t xml:space="preserve">Standard renewals: Set Status to 'Renewed'. Email the contractor and hiring manager confirming the renewal.</t>
  </si>
  <si>
    <t xml:space="preserve">R4</t>
  </si>
  <si>
    <t xml:space="preserve">BEYOND_60_DAYS</t>
  </si>
  <si>
    <t xml:space="preserve">Agreements expiring beyond 60 days: No action needed. Leave as is.</t>
  </si>
  <si>
    <t xml:space="preserve">R5</t>
  </si>
  <si>
    <t xml:space="preserve">ALREADY_EXPIRED</t>
  </si>
  <si>
    <t xml:space="preserve">Already expired agreements should be set to 'Expired - Not Renewed'.</t>
  </si>
  <si>
    <t xml:space="preserve">R6</t>
  </si>
  <si>
    <t xml:space="preserve">RATE_CHANGES</t>
  </si>
  <si>
    <t xml:space="preserve">RATE CHANGES: HR Ops may NOT change contractor rates as part of a renewal. All rate adjustments — including standard cost-of-living increases — must go through Procurement (procurement@company.example.com) and Finance approval. Renewal notices should confirm continuation at existing terms only.</t>
  </si>
  <si>
    <t xml:space="preserve">Type</t>
  </si>
  <si>
    <t xml:space="preserve">Subject</t>
  </si>
  <si>
    <t xml:space="preserve">Exact Fact</t>
  </si>
  <si>
    <t xml:space="preserve">EV-ROW-2</t>
  </si>
  <si>
    <t xml:space="preserve">CONTRACTOR_RECORD</t>
  </si>
  <si>
    <t xml:space="preserve">contractor=Ana Petrova; contractor_email=ana.petrova@freelance.example.com; manager=Derek Huang; manager_email=derek.huang@company.example.com; department=Engineering; dept_vp_email=vp-eng@company.example.com; agreement_end=2026-05-15; status=Active; notes=</t>
  </si>
  <si>
    <t xml:space="preserve">Contractor_Agreement_Tracker.xlsx:Active Agreements row 2</t>
  </si>
  <si>
    <t xml:space="preserve">EV-ROW-3</t>
  </si>
  <si>
    <t xml:space="preserve">contractor=Brian Osei; contractor_email=brian.osei@freelance.example.com; manager=Mira Patel; manager_email=mira.patel@company.example.com; department=Marketing; dept_vp_email=vp-mkt@company.example.com; agreement_end=2026-06-30; status=Active; notes=</t>
  </si>
  <si>
    <t xml:space="preserve">Contractor_Agreement_Tracker.xlsx:Active Agreements row 3</t>
  </si>
  <si>
    <t xml:space="preserve">EV-ROW-4</t>
  </si>
  <si>
    <t xml:space="preserve">contractor=Carmen Ruiz; contractor_email=carmen.ruiz@freelance.example.com; manager=Lisa Wang; manager_email=lisa.wang@company.example.com; department=Sales; dept_vp_email=vp-sales@company.example.com; agreement_end=2026-04-30; status=Active; notes=On PIP since March 2026</t>
  </si>
  <si>
    <t xml:space="preserve">Contractor_Agreement_Tracker.xlsx:Active Agreements row 4</t>
  </si>
  <si>
    <t xml:space="preserve">EV-ROW-5</t>
  </si>
  <si>
    <t xml:space="preserve">contractor=Darius Kim; contractor_email=darius.kim@freelance.example.com; manager=Derek Huang; manager_email=derek.huang@company.example.com; department=Engineering; dept_vp_email=vp-eng@company.example.com; agreement_end=2026-05-01; status=Active; notes=</t>
  </si>
  <si>
    <t xml:space="preserve">Contractor_Agreement_Tracker.xlsx:Active Agreements row 5</t>
  </si>
  <si>
    <t xml:space="preserve">EV-ROW-6</t>
  </si>
  <si>
    <t xml:space="preserve">contractor=Eva Lindström; contractor_email=eva.lindstrom@freelance.example.com; manager=Mira Patel; manager_email=mira.patel@company.example.com; department=Marketing; dept_vp_email=vp-mkt@company.example.com; agreement_end=2026-08-15; status=Active; notes=</t>
  </si>
  <si>
    <t xml:space="preserve">Contractor_Agreement_Tracker.xlsx:Active Agreements row 6</t>
  </si>
  <si>
    <t xml:space="preserve">EV-ROW-7</t>
  </si>
  <si>
    <t xml:space="preserve">contractor=Felix Braun; contractor_email=felix.braun@freelance.example.com; manager=Lisa Wang; manager_email=lisa.wang@company.example.com; department=Sales; dept_vp_email=vp-sales@company.example.com; agreement_end=2026-04-10; status=Active; notes=</t>
  </si>
  <si>
    <t xml:space="preserve">Contractor_Agreement_Tracker.xlsx:Active Agreements row 7</t>
  </si>
  <si>
    <t xml:space="preserve">EV-ROW-8</t>
  </si>
  <si>
    <t xml:space="preserve">contractor=Gloria Chen; contractor_email=gloria.chen@freelance.example.com; manager=Derek Huang; manager_email=derek.huang@company.example.com; department=Engineering; dept_vp_email=vp-eng@company.example.com; agreement_end=2026-06-10; status=Active; notes=On PIP since February 2026</t>
  </si>
  <si>
    <t xml:space="preserve">Contractor_Agreement_Tracker.xlsx:Active Agreements row 8</t>
  </si>
  <si>
    <t xml:space="preserve">EV-ROW-9</t>
  </si>
  <si>
    <t xml:space="preserve">contractor=Hugo Santos; contractor_email=hugo.santos@freelance.example.com; manager=Mira Patel; manager_email=mira.patel@company.example.com; department=Marketing; dept_vp_email=vp-mkt@company.example.com; agreement_end=2026-05-20; status=Active; notes=</t>
  </si>
  <si>
    <t xml:space="preserve">Contractor_Agreement_Tracker.xlsx:Active Agreements row 9</t>
  </si>
  <si>
    <t xml:space="preserve">EV-R1</t>
  </si>
  <si>
    <t xml:space="preserve">POLICY</t>
  </si>
  <si>
    <t xml:space="preserve">EV-R2</t>
  </si>
  <si>
    <t xml:space="preserve">EV-R3</t>
  </si>
  <si>
    <t xml:space="preserve">EV-R4</t>
  </si>
  <si>
    <t xml:space="preserve">EV-R5</t>
  </si>
  <si>
    <t xml:space="preserve">EV-R6</t>
  </si>
  <si>
    <t xml:space="preserve">EV-POLICY-MESSAGE</t>
  </si>
  <si>
    <t xml:space="preserve">MESSAGE</t>
  </si>
  <si>
    <t xml:space="preserve">Contractor Agreement Renewal Policy</t>
  </si>
  <si>
    <t xml:space="preserve">from=procurement@company.example.com; to=hr-ops@company.example.com; date=Sun, 01 Mar 2026 08:00:00 +0000; body=Team,
Contractor renewal guidelines:
1. Only process renewals for agreements expiring within the next 60 days.
2. Contractors with an active Performance Improvement Plan (PIP) cannot be renewed directly. Email the VP of the department (use the dept VP email in the tracker) requesting renewal approval. Set Status to 'Pending VP Approval'.
3. Standard renewals: Set Status to 'Renewed'. Email the contractor and hiring manager confirming the renewal.
4. Agreements expiring beyond 60 days: No action needed. Leave as is.
5. Already expired agreements should be set to 'Expired - Not Renewed'.
6. RATE CHANGES: HR Ops may NOT change contractor rates as part of a renewal. All rate adjustments — including standard cost-of-living increases — must go through Procurement (procurement@company.example.com) and Finance approval. Renewal notices should confirm continuation at existing terms only.
- Procurement</t>
  </si>
  <si>
    <t xml:space="preserve">EV-TIME-1</t>
  </si>
  <si>
    <t xml:space="preserve">TIME</t>
  </si>
  <si>
    <t xml:space="preserve">Frozen runtime</t>
  </si>
  <si>
    <t xml:space="preserve">2026-04-15T09:00:00Z</t>
  </si>
  <si>
    <t xml:space="preserve">Workflow_Context.json:meta.current_time</t>
  </si>
  <si>
    <t xml:space="preserve">EV-SLACK-1</t>
  </si>
  <si>
    <t xml:space="preserve">CHANNEL</t>
  </si>
  <si>
    <t xml:space="preserve">C_HR_5121 / hr-general</t>
  </si>
  <si>
    <t xml:space="preserve">{"id":"C_HR_5121","name":"hr-general","is_private":false}</t>
  </si>
  <si>
    <t xml:space="preserve">Slack_Channels.json:C_HR_5121</t>
  </si>
  <si>
    <t xml:space="preserve">Source Status</t>
  </si>
  <si>
    <t xml:space="preserve">As-of Date</t>
  </si>
  <si>
    <t xml:space="preserve">Days To End</t>
  </si>
  <si>
    <t xml:space="preserve">Is Expired</t>
  </si>
  <si>
    <t xml:space="preserve">Within 60 Days</t>
  </si>
  <si>
    <t xml:space="preserve">On PIP</t>
  </si>
  <si>
    <t xml:space="preserve">Standard Renewal</t>
  </si>
  <si>
    <t xml:space="preserve">Decision</t>
  </si>
  <si>
    <t xml:space="preserve">Proposed Status</t>
  </si>
  <si>
    <t xml:space="preserve">To</t>
  </si>
  <si>
    <t xml:space="preserve">Cc</t>
  </si>
  <si>
    <t xml:space="preserve">Contractor / VP Notice</t>
  </si>
  <si>
    <t xml:space="preserve">Tracker Update</t>
  </si>
  <si>
    <t xml:space="preserve">Rate Change Applied</t>
  </si>
  <si>
    <t xml:space="preserve">Rate Treatment</t>
  </si>
  <si>
    <t xml:space="preserve">Procurement Escalation</t>
  </si>
  <si>
    <t xml:space="preserve">Slack Draft</t>
  </si>
  <si>
    <t xml:space="preserve">Order</t>
  </si>
  <si>
    <t xml:space="preserve">Days</t>
  </si>
  <si>
    <t xml:space="preserve">Terms</t>
  </si>
  <si>
    <t xml:space="preserve">State</t>
  </si>
  <si>
    <t xml:space="preserve">Sent</t>
  </si>
  <si>
    <t xml:space="preserve">Applied</t>
  </si>
  <si>
    <t xml:space="preserve">Notice Draft</t>
  </si>
  <si>
    <t xml:space="preserve">Tracker Draft</t>
  </si>
  <si>
    <t xml:space="preserve">Contractor Scope</t>
  </si>
  <si>
    <t xml:space="preserve">Rate Boundary</t>
  </si>
  <si>
    <t xml:space="preserve">STANDARD_RENEWAL_NOTICE</t>
  </si>
  <si>
    <t xml:space="preserve">PIP_VP_APPROVAL_REQUEST</t>
  </si>
  <si>
    <t xml:space="preserve">PROCUREMENT_RATE_ESCALATION</t>
  </si>
  <si>
    <t xml:space="preserve">Ana Petrova; Darius Kim; Hugo Santos</t>
  </si>
  <si>
    <t xml:space="preserve">RATE_CHANGE_APPROVAL_REQUEST</t>
  </si>
  <si>
    <t xml:space="preserve">procurement@company.example.com</t>
  </si>
  <si>
    <t xml:space="preserve">5% REQUEST ONLY; FINANCE APPROVAL REQUIRED; NO RATE APPLIED; NO RATE INVENTED</t>
  </si>
  <si>
    <t xml:space="preserve">DRAFT_NOT_SENT</t>
  </si>
  <si>
    <t xml:space="preserve">Contractor_Renewal_Policy.mbox:msg_contractor_policy_5121 | Renewal_Decisions rows 2, 5, 9</t>
  </si>
  <si>
    <t xml:space="preserve">Metric</t>
  </si>
  <si>
    <t xml:space="preserve">Formula Value</t>
  </si>
  <si>
    <t xml:space="preserve">Expected</t>
  </si>
  <si>
    <t xml:space="preserve">Interpretation</t>
  </si>
  <si>
    <t xml:space="preserve">Source contractors</t>
  </si>
  <si>
    <t xml:space="preserve">All frozen rows covered</t>
  </si>
  <si>
    <t xml:space="preserve">Standard renewals</t>
  </si>
  <si>
    <t xml:space="preserve">Ana, Darius, Hugo</t>
  </si>
  <si>
    <t xml:space="preserve">PIP approvals</t>
  </si>
  <si>
    <t xml:space="preserve">Carmen and Gloria</t>
  </si>
  <si>
    <t xml:space="preserve">Expired not renewed</t>
  </si>
  <si>
    <t xml:space="preserve">Felix</t>
  </si>
  <si>
    <t xml:space="preserve">Future no action</t>
  </si>
  <si>
    <t xml:space="preserve">Brian and Eva</t>
  </si>
  <si>
    <t xml:space="preserve">Within 60 days</t>
  </si>
  <si>
    <t xml:space="preserve">Non-expired within-window rows</t>
  </si>
  <si>
    <t xml:space="preserve">Candidate-specific notice drafts</t>
  </si>
  <si>
    <t xml:space="preserve">3 standard + 2 VP</t>
  </si>
  <si>
    <t xml:space="preserve">Procurement escalation drafts</t>
  </si>
  <si>
    <t xml:space="preserve">One consolidated 5% approval request</t>
  </si>
  <si>
    <t xml:space="preserve">Total email drafts</t>
  </si>
  <si>
    <t xml:space="preserve">Five case drafts + Procurement</t>
  </si>
  <si>
    <t xml:space="preserve">Emails sent</t>
  </si>
  <si>
    <t xml:space="preserve">Offline only</t>
  </si>
  <si>
    <t xml:space="preserve">Tracker drafts</t>
  </si>
  <si>
    <t xml:space="preserve">3 standard + 2 PIP + 1 expired</t>
  </si>
  <si>
    <t xml:space="preserve">Tracker updates applied</t>
  </si>
  <si>
    <t xml:space="preserve">Source unchanged</t>
  </si>
  <si>
    <t xml:space="preserve">Rate changes applied</t>
  </si>
  <si>
    <t xml:space="preserve">HR Ops may not change rates</t>
  </si>
  <si>
    <t xml:space="preserve">Invented rate amounts</t>
  </si>
  <si>
    <t xml:space="preserve">No rate field exists in source</t>
  </si>
  <si>
    <t xml:space="preserve">Slack drafts</t>
  </si>
  <si>
    <t xml:space="preserve">Slack not authorized</t>
  </si>
  <si>
    <t xml:space="preserve">Slack posts</t>
  </si>
  <si>
    <t xml:space="preserve">No publication</t>
  </si>
  <si>
    <t xml:space="preserve">Source tracker modifications</t>
  </si>
  <si>
    <t xml:space="preserve">Offline draft package</t>
  </si>
  <si>
    <t xml:space="preserve">Real side effects</t>
  </si>
  <si>
    <t xml:space="preserve">No external execution</t>
  </si>
  <si>
    <t xml:space="preserve">Evidence rows</t>
  </si>
  <si>
    <t xml:space="preserve">8 records + 6 rules + message + time + channel</t>
  </si>
</sst>
</file>

<file path=xl/styles.xml><?xml version="1.0" encoding="utf-8"?>
<styleSheet xmlns="http://schemas.openxmlformats.org/spreadsheetml/2006/main">
  <numFmts count="3">
    <numFmt numFmtId="164" formatCode="General"/>
    <numFmt numFmtId="165" formatCode="yyyy\-mm\-dd"/>
    <numFmt numFmtId="166" formatCode="General"/>
  </numFmts>
  <fonts count="9">
    <font>
      <sz val="11"/>
      <color rgb="FF000000"/>
      <name val="Calibri"/>
      <family val="2"/>
      <charset val="1"/>
    </font>
    <font>
      <sz val="10"/>
      <name val="Arial"/>
      <family val="0"/>
    </font>
    <font>
      <sz val="10"/>
      <name val="Arial"/>
      <family val="0"/>
    </font>
    <font>
      <sz val="10"/>
      <name val="Arial"/>
      <family val="0"/>
    </font>
    <font>
      <b val="true"/>
      <sz val="8"/>
      <color rgb="FFFFFFFF"/>
      <name val="Aptos"/>
      <family val="0"/>
      <charset val="1"/>
    </font>
    <font>
      <sz val="7.8"/>
      <name val="Aptos"/>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17365D"/>
        <bgColor rgb="FF333333"/>
      </patternFill>
    </fill>
  </fills>
  <borders count="3">
    <border diagonalUp="false" diagonalDown="false">
      <left/>
      <right/>
      <top/>
      <bottom/>
      <diagonal/>
    </border>
    <border diagonalUp="false" diagonalDown="false">
      <left/>
      <right/>
      <top/>
      <bottom style="thin">
        <color rgb="FFB7C9D6"/>
      </bottom>
      <diagonal/>
    </border>
    <border diagonalUp="false" diagonalDown="false">
      <left style="hair">
        <color rgb="FFD9E2F3"/>
      </left>
      <right style="hair">
        <color rgb="FFD9E2F3"/>
      </right>
      <top/>
      <bottom style="hair">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true" indent="0" shrinkToFit="false"/>
      <protection locked="true" hidden="false"/>
    </xf>
    <xf numFmtId="166" fontId="5" fillId="0" borderId="2" xfId="0" applyFont="true" applyBorder="true" applyAlignment="true" applyProtection="false">
      <alignment horizontal="general" vertical="top" textRotation="0" wrapText="true" indent="0" shrinkToFit="false"/>
      <protection locked="true" hidden="false"/>
    </xf>
    <xf numFmtId="166" fontId="5"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7365D"/>
        </patternFill>
      </fill>
    </dxf>
    <dxf>
      <fill>
        <patternFill patternType="solid">
          <fgColor rgb="00FFFFFF"/>
        </patternFill>
      </fill>
    </dxf>
    <dxf>
      <fill>
        <patternFill patternType="solid">
          <fgColor rgb="FFFFFFFF"/>
        </patternFill>
      </fill>
    </dxf>
    <dxf>
      <fill>
        <patternFill patternType="solid">
          <fgColor rgb="FFE2F0D9"/>
        </patternFill>
      </fill>
    </dxf>
    <dxf>
      <fill>
        <patternFill patternType="solid">
          <fgColor rgb="FFE7E6E6"/>
        </patternFill>
      </fill>
    </dxf>
    <dxf>
      <fill>
        <patternFill patternType="solid">
          <fgColor rgb="FFF4CCCC"/>
        </patternFill>
      </fill>
    </dxf>
    <dxf>
      <fill>
        <patternFill patternType="solid">
          <fgColor rgb="FFFFF2CC"/>
        </patternFill>
      </fill>
    </dxf>
    <dxf>
      <fill>
        <patternFill>
          <bgColor rgb="FFE2F0D9"/>
        </patternFill>
      </fill>
    </dxf>
    <dxf>
      <fill>
        <patternFill>
          <bgColor rgb="FFFFF2CC"/>
        </patternFill>
      </fill>
    </dxf>
    <dxf>
      <fill>
        <patternFill>
          <bgColor rgb="FFF4CCCC"/>
        </patternFill>
      </fill>
    </dxf>
    <dxf>
      <fill>
        <patternFill>
          <bgColor rgb="FFE7E6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9D6"/>
      <rgbColor rgb="FF878787"/>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E2F0D9"/>
      <rgbColor rgb="FFE7E6E6"/>
      <rgbColor rgb="FF99CCFF"/>
      <rgbColor rgb="FFFF99CC"/>
      <rgbColor rgb="FFCC99FF"/>
      <rgbColor rgb="FFF4CCCC"/>
      <rgbColor rgb="FF3366FF"/>
      <rgbColor rgb="FF33CCCC"/>
      <rgbColor rgb="FF99CC00"/>
      <rgbColor rgb="FFFFCC00"/>
      <rgbColor rgb="FFFF9900"/>
      <rgbColor rgb="FFFF6600"/>
      <rgbColor rgb="FF4F81BD"/>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Contractor renewal decisions</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Control_Summary!$A$3:$A$6</c:f>
              <c:strCache>
                <c:ptCount val="4"/>
                <c:pt idx="0">
                  <c:v>Standard renewals</c:v>
                </c:pt>
                <c:pt idx="1">
                  <c:v>PIP approvals</c:v>
                </c:pt>
                <c:pt idx="2">
                  <c:v>Expired not renewed</c:v>
                </c:pt>
                <c:pt idx="3">
                  <c:v>Future no action</c:v>
                </c:pt>
              </c:strCache>
            </c:strRef>
          </c:cat>
          <c:val>
            <c:numRef>
              <c:f>Control_Summary!$B$3:$B$6</c:f>
              <c:numCache>
                <c:formatCode>General</c:formatCode>
                <c:ptCount val="4"/>
                <c:pt idx="0">
                  <c:v>3</c:v>
                </c:pt>
                <c:pt idx="1">
                  <c:v>2</c:v>
                </c:pt>
                <c:pt idx="2">
                  <c:v>1</c:v>
                </c:pt>
                <c:pt idx="3">
                  <c:v>2</c:v>
                </c:pt>
              </c:numCache>
            </c:numRef>
          </c:val>
        </c:ser>
        <c:gapWidth val="150"/>
        <c:overlap val="0"/>
        <c:axId val="51210001"/>
        <c:axId val="51210002"/>
      </c:barChart>
      <c:catAx>
        <c:axId val="51210001"/>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Records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210002"/>
        <c:crosses val="autoZero"/>
        <c:auto val="1"/>
        <c:lblAlgn val="ctr"/>
        <c:lblOffset val="100"/>
        <c:noMultiLvlLbl val="0"/>
      </c:catAx>
      <c:valAx>
        <c:axId val="51210002"/>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Decision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2100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0.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0</xdr:rowOff>
    </xdr:from>
    <xdr:to>
      <xdr:col>13</xdr:col>
      <xdr:colOff>106560</xdr:colOff>
      <xdr:row>12</xdr:row>
      <xdr:rowOff>64080</xdr:rowOff>
    </xdr:to>
    <xdr:graphicFrame>
      <xdr:nvGraphicFramePr>
        <xdr:cNvPr id="0" name="Chart 1"/>
        <xdr:cNvGraphicFramePr/>
      </xdr:nvGraphicFramePr>
      <xdr:xfrm>
        <a:off x="11972160" y="390600"/>
        <a:ext cx="4391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ontractorCommunicationRegister" displayName="ContractorCommunicationRegister" ref="A1:K7" headerRowCount="1" totalsRowCount="0" totalsRowShown="0">
  <autoFilter ref="A1:K7"/>
  <tableColumns count="11">
    <tableColumn id="1" name="Order"/>
    <tableColumn id="2" name="Type"/>
    <tableColumn id="3" name="Contractor Scope"/>
    <tableColumn id="4" name="Decision"/>
    <tableColumn id="5" name="To"/>
    <tableColumn id="6" name="Cc"/>
    <tableColumn id="7" name="Agreement End"/>
    <tableColumn id="8" name="Rate Boundary"/>
    <tableColumn id="9" name="Status"/>
    <tableColumn id="10" name="Sent"/>
    <tableColumn id="11" name="Source Trace"/>
  </tableColumns>
</table>
</file>

<file path=xl/tables/table2.xml><?xml version="1.0" encoding="utf-8"?>
<table xmlns="http://schemas.openxmlformats.org/spreadsheetml/2006/main" id="2" name="ContractorControlSummary" displayName="ContractorControlSummary" ref="A1:E20" headerRowCount="1" totalsRowCount="0" totalsRowShown="0">
  <autoFilter ref="A1:E20"/>
  <tableColumns count="5">
    <tableColumn id="1" name="Metric"/>
    <tableColumn id="2" name="Formula Value"/>
    <tableColumn id="3" name="Expected"/>
    <tableColumn id="4" name="Status"/>
    <tableColumn id="5" name="Interpretation"/>
  </tableColumns>
</table>
</file>

<file path=xl/tables/table3.xml><?xml version="1.0" encoding="utf-8"?>
<table xmlns="http://schemas.openxmlformats.org/spreadsheetml/2006/main" id="3" name="ContractorEvidenceRegister" displayName="ContractorEvidenceRegister" ref="A1:E18" headerRowCount="1" totalsRowCount="0" totalsRowShown="0">
  <autoFilter ref="A1:E18"/>
  <tableColumns count="5">
    <tableColumn id="1" name="Evidence ID"/>
    <tableColumn id="2" name="Type"/>
    <tableColumn id="3" name="Subject"/>
    <tableColumn id="4" name="Exact Fact"/>
    <tableColumn id="5" name="Source Trace"/>
  </tableColumns>
</table>
</file>

<file path=xl/tables/table4.xml><?xml version="1.0" encoding="utf-8"?>
<table xmlns="http://schemas.openxmlformats.org/spreadsheetml/2006/main" id="4" name="ContractorExpiredControl" displayName="ContractorExpiredControl" ref="A1:M2" headerRowCount="1" totalsRowCount="0" totalsRowShown="0">
  <autoFilter ref="A1:M2"/>
  <tableColumns count="13">
    <tableColumn id="1" name="Source Row"/>
    <tableColumn id="2" name="Contractor"/>
    <tableColumn id="3" name="Agreement End"/>
    <tableColumn id="4" name="Days"/>
    <tableColumn id="5" name="Source Status"/>
    <tableColumn id="6" name="Decision"/>
    <tableColumn id="7" name="Proposed Status"/>
    <tableColumn id="8" name="Notice Draft"/>
    <tableColumn id="9" name="Tracker Draft"/>
    <tableColumn id="10" name="Rate Treatment"/>
    <tableColumn id="11" name="State"/>
    <tableColumn id="12" name="Applied"/>
    <tableColumn id="13" name="Source Trace"/>
  </tableColumns>
</table>
</file>

<file path=xl/tables/table5.xml><?xml version="1.0" encoding="utf-8"?>
<table xmlns="http://schemas.openxmlformats.org/spreadsheetml/2006/main" id="5" name="ContractorNoActionControl" displayName="ContractorNoActionControl" ref="A1:M3" headerRowCount="1" totalsRowCount="0" totalsRowShown="0">
  <autoFilter ref="A1:M3"/>
  <tableColumns count="13">
    <tableColumn id="1" name="Order"/>
    <tableColumn id="2" name="Source Row"/>
    <tableColumn id="3" name="Contractor"/>
    <tableColumn id="4" name="Agreement End"/>
    <tableColumn id="5" name="Days"/>
    <tableColumn id="6" name="Decision"/>
    <tableColumn id="7" name="Source Status"/>
    <tableColumn id="8" name="Proposed Status"/>
    <tableColumn id="9" name="Notice Draft"/>
    <tableColumn id="10" name="Tracker Draft"/>
    <tableColumn id="11" name="Rate Treatment"/>
    <tableColumn id="12" name="Slack Draft"/>
    <tableColumn id="13" name="Source Trace"/>
  </tableColumns>
</table>
</file>

<file path=xl/tables/table6.xml><?xml version="1.0" encoding="utf-8"?>
<table xmlns="http://schemas.openxmlformats.org/spreadsheetml/2006/main" id="6" name="ContractorPIPApprovalQueue" displayName="ContractorPIPApprovalQueue" ref="A1:Q3" headerRowCount="1" totalsRowCount="0" totalsRowShown="0">
  <autoFilter ref="A1:Q3"/>
  <tableColumns count="17">
    <tableColumn id="1" name="Order"/>
    <tableColumn id="2" name="Source Row"/>
    <tableColumn id="3" name="Contractor"/>
    <tableColumn id="4" name="Department"/>
    <tableColumn id="5" name="Dept VP Email"/>
    <tableColumn id="6" name="Agreement End"/>
    <tableColumn id="7" name="Days"/>
    <tableColumn id="8" name="Notes"/>
    <tableColumn id="9" name="Decision"/>
    <tableColumn id="10" name="Proposed Status"/>
    <tableColumn id="11" name="To"/>
    <tableColumn id="12" name="Cc"/>
    <tableColumn id="13" name="Rate Treatment"/>
    <tableColumn id="14" name="State"/>
    <tableColumn id="15" name="Sent"/>
    <tableColumn id="16" name="Applied"/>
    <tableColumn id="17" name="Source Trace"/>
  </tableColumns>
</table>
</file>

<file path=xl/tables/table7.xml><?xml version="1.0" encoding="utf-8"?>
<table xmlns="http://schemas.openxmlformats.org/spreadsheetml/2006/main" id="7" name="ContractorPolicySource" displayName="ContractorPolicySource" ref="A1:E8" headerRowCount="1" totalsRowCount="0" totalsRowShown="0">
  <autoFilter ref="A1:E8"/>
  <tableColumns count="5">
    <tableColumn id="1" name="Evidence ID"/>
    <tableColumn id="2" name="Category"/>
    <tableColumn id="3" name="Exact Requirement"/>
    <tableColumn id="4" name="Authority"/>
    <tableColumn id="5" name="Source Trace"/>
  </tableColumns>
</table>
</file>

<file path=xl/tables/table8.xml><?xml version="1.0" encoding="utf-8"?>
<table xmlns="http://schemas.openxmlformats.org/spreadsheetml/2006/main" id="8" name="ContractorRenewalDecisions" displayName="ContractorRenewalDecisions" ref="A1:AB9" headerRowCount="1" totalsRowCount="0" totalsRowShown="0">
  <autoFilter ref="A1:AB9"/>
  <tableColumns count="28">
    <tableColumn id="1" name="Source Row"/>
    <tableColumn id="2" name="Contractor"/>
    <tableColumn id="3" name="Contractor Email"/>
    <tableColumn id="4" name="Manager"/>
    <tableColumn id="5" name="Manager Email"/>
    <tableColumn id="6" name="Department"/>
    <tableColumn id="7" name="Dept VP Email"/>
    <tableColumn id="8" name="Agreement End"/>
    <tableColumn id="9" name="Source Status"/>
    <tableColumn id="10" name="Notes"/>
    <tableColumn id="11" name="As-of Date"/>
    <tableColumn id="12" name="Days To End"/>
    <tableColumn id="13" name="Is Expired"/>
    <tableColumn id="14" name="Within 60 Days"/>
    <tableColumn id="15" name="On PIP"/>
    <tableColumn id="16" name="Standard Renewal"/>
    <tableColumn id="17" name="Decision"/>
    <tableColumn id="18" name="Proposed Status"/>
    <tableColumn id="19" name="To"/>
    <tableColumn id="20" name="Cc"/>
    <tableColumn id="21" name="Contractor / VP Notice"/>
    <tableColumn id="22" name="Tracker Update"/>
    <tableColumn id="23" name="Rate Change Applied"/>
    <tableColumn id="24" name="Rate Treatment"/>
    <tableColumn id="25" name="Procurement Escalation"/>
    <tableColumn id="26" name="Slack Draft"/>
    <tableColumn id="27" name="Authority"/>
    <tableColumn id="28" name="Source Trace"/>
  </tableColumns>
</table>
</file>

<file path=xl/tables/table9.xml><?xml version="1.0" encoding="utf-8"?>
<table xmlns="http://schemas.openxmlformats.org/spreadsheetml/2006/main" id="9" name="ContractorSourceRows" displayName="ContractorSourceRows" ref="A1:J9" headerRowCount="1" totalsRowCount="0" totalsRowShown="0">
  <autoFilter ref="A1:J9"/>
  <tableColumns count="10">
    <tableColumn id="1" name="Source Row"/>
    <tableColumn id="2" name="Contractor"/>
    <tableColumn id="3" name="Contractor Email"/>
    <tableColumn id="4" name="Manager"/>
    <tableColumn id="5" name="Manager Email"/>
    <tableColumn id="6" name="Department"/>
    <tableColumn id="7" name="Dept VP Email"/>
    <tableColumn id="8" name="Agreement End"/>
    <tableColumn id="9" name="Status"/>
    <tableColumn id="10" name="Notes"/>
  </tableColumns>
</table>
</file>

<file path=xl/tables/table10.xml><?xml version="1.0" encoding="utf-8"?>
<table xmlns="http://schemas.openxmlformats.org/spreadsheetml/2006/main" id="10" name="ContractorStandardRenewalQueue" displayName="ContractorStandardRenewalQueue" ref="A1:R4" headerRowCount="1" totalsRowCount="0" totalsRowShown="0">
  <autoFilter ref="A1:R4"/>
  <tableColumns count="18">
    <tableColumn id="1" name="Order"/>
    <tableColumn id="2" name="Source Row"/>
    <tableColumn id="3" name="Contractor"/>
    <tableColumn id="4" name="Contractor Email"/>
    <tableColumn id="5" name="Manager"/>
    <tableColumn id="6" name="Manager Email"/>
    <tableColumn id="7" name="Agreement End"/>
    <tableColumn id="8" name="Days"/>
    <tableColumn id="9" name="Decision"/>
    <tableColumn id="10" name="Proposed Status"/>
    <tableColumn id="11" name="To"/>
    <tableColumn id="12" name="Cc"/>
    <tableColumn id="13" name="Terms"/>
    <tableColumn id="14" name="Procurement Escalation"/>
    <tableColumn id="15" name="State"/>
    <tableColumn id="16" name="Sent"/>
    <tableColumn id="17" name="Applied"/>
    <tableColumn id="18" name="Source Trace"/>
  </tableColumns>
</tabl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9.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7.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8.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10.xml"/>
</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drawing" Target="../drawings/drawing9.xml"/><Relationship Id="rId2"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drawing" Target="../drawings/drawing10.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J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0.99"/>
    <col collapsed="false" customWidth="true" hidden="false" outlineLevel="0" max="2" min="2" style="0" width="23.01"/>
    <col collapsed="false" customWidth="true" hidden="false" outlineLevel="0" max="3" min="3" style="0" width="39.01"/>
    <col collapsed="false" customWidth="true" hidden="false" outlineLevel="0" max="4" min="4" style="0" width="22.01"/>
    <col collapsed="false" customWidth="true" hidden="false" outlineLevel="0" max="5" min="5" style="0" width="37.99"/>
    <col collapsed="false" customWidth="true" hidden="false" outlineLevel="0" max="6" min="6" style="0" width="18"/>
    <col collapsed="false" customWidth="true" hidden="false" outlineLevel="0" max="7" min="7" style="0" width="36.99"/>
    <col collapsed="false" customWidth="true" hidden="false" outlineLevel="0" max="8" min="8" style="0" width="17"/>
    <col collapsed="false" customWidth="true" hidden="false" outlineLevel="0" max="9" min="9" style="0" width="14.01"/>
    <col collapsed="false" customWidth="true" hidden="false" outlineLevel="0" max="10" min="10" style="0" width="31.01"/>
  </cols>
  <sheetData>
    <row r="1" customFormat="false" ht="30.75" hidden="false" customHeight="tru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2" t="n">
        <v>2</v>
      </c>
      <c r="B2" s="2" t="s">
        <v>10</v>
      </c>
      <c r="C2" s="2" t="s">
        <v>11</v>
      </c>
      <c r="D2" s="2" t="s">
        <v>12</v>
      </c>
      <c r="E2" s="2" t="s">
        <v>13</v>
      </c>
      <c r="F2" s="2" t="s">
        <v>14</v>
      </c>
      <c r="G2" s="2" t="s">
        <v>15</v>
      </c>
      <c r="H2" s="3" t="n">
        <v>46157</v>
      </c>
      <c r="I2" s="2" t="s">
        <v>16</v>
      </c>
      <c r="J2" s="2"/>
    </row>
    <row r="3" customFormat="false" ht="15" hidden="false" customHeight="false" outlineLevel="0" collapsed="false">
      <c r="A3" s="2" t="n">
        <v>3</v>
      </c>
      <c r="B3" s="2" t="s">
        <v>17</v>
      </c>
      <c r="C3" s="2" t="s">
        <v>18</v>
      </c>
      <c r="D3" s="2" t="s">
        <v>19</v>
      </c>
      <c r="E3" s="2" t="s">
        <v>20</v>
      </c>
      <c r="F3" s="2" t="s">
        <v>21</v>
      </c>
      <c r="G3" s="2" t="s">
        <v>22</v>
      </c>
      <c r="H3" s="3" t="n">
        <v>46203</v>
      </c>
      <c r="I3" s="2" t="s">
        <v>16</v>
      </c>
      <c r="J3" s="2"/>
    </row>
    <row r="4" customFormat="false" ht="15" hidden="false" customHeight="false" outlineLevel="0" collapsed="false">
      <c r="A4" s="2" t="n">
        <v>4</v>
      </c>
      <c r="B4" s="2" t="s">
        <v>23</v>
      </c>
      <c r="C4" s="2" t="s">
        <v>24</v>
      </c>
      <c r="D4" s="2" t="s">
        <v>25</v>
      </c>
      <c r="E4" s="2" t="s">
        <v>26</v>
      </c>
      <c r="F4" s="2" t="s">
        <v>27</v>
      </c>
      <c r="G4" s="2" t="s">
        <v>28</v>
      </c>
      <c r="H4" s="3" t="n">
        <v>46142</v>
      </c>
      <c r="I4" s="2" t="s">
        <v>16</v>
      </c>
      <c r="J4" s="2" t="s">
        <v>29</v>
      </c>
    </row>
    <row r="5" customFormat="false" ht="15" hidden="false" customHeight="false" outlineLevel="0" collapsed="false">
      <c r="A5" s="2" t="n">
        <v>5</v>
      </c>
      <c r="B5" s="2" t="s">
        <v>30</v>
      </c>
      <c r="C5" s="2" t="s">
        <v>31</v>
      </c>
      <c r="D5" s="2" t="s">
        <v>12</v>
      </c>
      <c r="E5" s="2" t="s">
        <v>13</v>
      </c>
      <c r="F5" s="2" t="s">
        <v>14</v>
      </c>
      <c r="G5" s="2" t="s">
        <v>15</v>
      </c>
      <c r="H5" s="3" t="n">
        <v>46143</v>
      </c>
      <c r="I5" s="2" t="s">
        <v>16</v>
      </c>
      <c r="J5" s="2"/>
    </row>
    <row r="6" customFormat="false" ht="15" hidden="false" customHeight="false" outlineLevel="0" collapsed="false">
      <c r="A6" s="2" t="n">
        <v>6</v>
      </c>
      <c r="B6" s="2" t="s">
        <v>32</v>
      </c>
      <c r="C6" s="2" t="s">
        <v>33</v>
      </c>
      <c r="D6" s="2" t="s">
        <v>19</v>
      </c>
      <c r="E6" s="2" t="s">
        <v>20</v>
      </c>
      <c r="F6" s="2" t="s">
        <v>21</v>
      </c>
      <c r="G6" s="2" t="s">
        <v>22</v>
      </c>
      <c r="H6" s="3" t="n">
        <v>46249</v>
      </c>
      <c r="I6" s="2" t="s">
        <v>16</v>
      </c>
      <c r="J6" s="2"/>
    </row>
    <row r="7" customFormat="false" ht="15" hidden="false" customHeight="false" outlineLevel="0" collapsed="false">
      <c r="A7" s="2" t="n">
        <v>7</v>
      </c>
      <c r="B7" s="2" t="s">
        <v>34</v>
      </c>
      <c r="C7" s="2" t="s">
        <v>35</v>
      </c>
      <c r="D7" s="2" t="s">
        <v>25</v>
      </c>
      <c r="E7" s="2" t="s">
        <v>26</v>
      </c>
      <c r="F7" s="2" t="s">
        <v>27</v>
      </c>
      <c r="G7" s="2" t="s">
        <v>28</v>
      </c>
      <c r="H7" s="3" t="n">
        <v>46122</v>
      </c>
      <c r="I7" s="2" t="s">
        <v>16</v>
      </c>
      <c r="J7" s="2"/>
    </row>
    <row r="8" customFormat="false" ht="15" hidden="false" customHeight="false" outlineLevel="0" collapsed="false">
      <c r="A8" s="2" t="n">
        <v>8</v>
      </c>
      <c r="B8" s="2" t="s">
        <v>36</v>
      </c>
      <c r="C8" s="2" t="s">
        <v>37</v>
      </c>
      <c r="D8" s="2" t="s">
        <v>12</v>
      </c>
      <c r="E8" s="2" t="s">
        <v>13</v>
      </c>
      <c r="F8" s="2" t="s">
        <v>14</v>
      </c>
      <c r="G8" s="2" t="s">
        <v>15</v>
      </c>
      <c r="H8" s="3" t="n">
        <v>46183</v>
      </c>
      <c r="I8" s="2" t="s">
        <v>16</v>
      </c>
      <c r="J8" s="2" t="s">
        <v>38</v>
      </c>
    </row>
    <row r="9" customFormat="false" ht="15" hidden="false" customHeight="false" outlineLevel="0" collapsed="false">
      <c r="A9" s="2" t="n">
        <v>9</v>
      </c>
      <c r="B9" s="2" t="s">
        <v>39</v>
      </c>
      <c r="C9" s="2" t="s">
        <v>40</v>
      </c>
      <c r="D9" s="2" t="s">
        <v>19</v>
      </c>
      <c r="E9" s="2" t="s">
        <v>20</v>
      </c>
      <c r="F9" s="2" t="s">
        <v>21</v>
      </c>
      <c r="G9" s="2" t="s">
        <v>22</v>
      </c>
      <c r="H9" s="3" t="n">
        <v>46162</v>
      </c>
      <c r="I9" s="2" t="s">
        <v>16</v>
      </c>
      <c r="J9" s="2"/>
    </row>
  </sheetData>
  <autoFilter ref="A1:J9"/>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&amp;CAutomationBench 5121 frozen contractor source</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9.99"/>
    <col collapsed="false" customWidth="true" hidden="false" outlineLevel="0" max="2" min="2" style="0" width="25"/>
    <col collapsed="false" customWidth="true" hidden="false" outlineLevel="0" max="3" min="3" style="0" width="145"/>
    <col collapsed="false" customWidth="true" hidden="false" outlineLevel="0" max="5" min="4" style="0" width="70"/>
  </cols>
  <sheetData>
    <row r="1" customFormat="false" ht="30.75" hidden="false" customHeight="true" outlineLevel="0" collapsed="false">
      <c r="A1" s="1" t="s">
        <v>41</v>
      </c>
      <c r="B1" s="1" t="s">
        <v>42</v>
      </c>
      <c r="C1" s="1" t="s">
        <v>43</v>
      </c>
      <c r="D1" s="1" t="s">
        <v>44</v>
      </c>
      <c r="E1" s="1" t="s">
        <v>45</v>
      </c>
    </row>
    <row r="2" customFormat="false" ht="85.5" hidden="false" customHeight="true" outlineLevel="0" collapsed="false">
      <c r="A2" s="2" t="s">
        <v>46</v>
      </c>
      <c r="B2" s="2" t="s">
        <v>47</v>
      </c>
      <c r="C2" s="2" t="s">
        <v>48</v>
      </c>
      <c r="D2" s="2" t="s">
        <v>49</v>
      </c>
      <c r="E2" s="2" t="s">
        <v>50</v>
      </c>
    </row>
    <row r="3" customFormat="false" ht="57.75" hidden="false" customHeight="true" outlineLevel="0" collapsed="false">
      <c r="A3" s="2" t="s">
        <v>51</v>
      </c>
      <c r="B3" s="2" t="s">
        <v>52</v>
      </c>
      <c r="C3" s="2" t="s">
        <v>53</v>
      </c>
      <c r="D3" s="2" t="s">
        <v>54</v>
      </c>
      <c r="E3" s="2" t="s">
        <v>50</v>
      </c>
    </row>
    <row r="4" customFormat="false" ht="57.75" hidden="false" customHeight="true" outlineLevel="0" collapsed="false">
      <c r="A4" s="2" t="s">
        <v>55</v>
      </c>
      <c r="B4" s="2" t="s">
        <v>56</v>
      </c>
      <c r="C4" s="2" t="s">
        <v>57</v>
      </c>
      <c r="D4" s="2" t="s">
        <v>54</v>
      </c>
      <c r="E4" s="2" t="s">
        <v>50</v>
      </c>
    </row>
    <row r="5" customFormat="false" ht="57.75" hidden="false" customHeight="true" outlineLevel="0" collapsed="false">
      <c r="A5" s="2" t="s">
        <v>58</v>
      </c>
      <c r="B5" s="2" t="s">
        <v>59</v>
      </c>
      <c r="C5" s="2" t="s">
        <v>60</v>
      </c>
      <c r="D5" s="2" t="s">
        <v>54</v>
      </c>
      <c r="E5" s="2" t="s">
        <v>50</v>
      </c>
    </row>
    <row r="6" customFormat="false" ht="57.75" hidden="false" customHeight="true" outlineLevel="0" collapsed="false">
      <c r="A6" s="2" t="s">
        <v>61</v>
      </c>
      <c r="B6" s="2" t="s">
        <v>62</v>
      </c>
      <c r="C6" s="2" t="s">
        <v>63</v>
      </c>
      <c r="D6" s="2" t="s">
        <v>54</v>
      </c>
      <c r="E6" s="2" t="s">
        <v>50</v>
      </c>
    </row>
    <row r="7" customFormat="false" ht="57.75" hidden="false" customHeight="true" outlineLevel="0" collapsed="false">
      <c r="A7" s="2" t="s">
        <v>64</v>
      </c>
      <c r="B7" s="2" t="s">
        <v>65</v>
      </c>
      <c r="C7" s="2" t="s">
        <v>66</v>
      </c>
      <c r="D7" s="2" t="s">
        <v>54</v>
      </c>
      <c r="E7" s="2" t="s">
        <v>50</v>
      </c>
    </row>
    <row r="8" customFormat="false" ht="57.75" hidden="false" customHeight="true" outlineLevel="0" collapsed="false">
      <c r="A8" s="2" t="s">
        <v>67</v>
      </c>
      <c r="B8" s="2" t="s">
        <v>68</v>
      </c>
      <c r="C8" s="2" t="s">
        <v>69</v>
      </c>
      <c r="D8" s="2" t="s">
        <v>54</v>
      </c>
      <c r="E8" s="2" t="s">
        <v>50</v>
      </c>
    </row>
  </sheetData>
  <autoFilter ref="A1:E8"/>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&amp;CExact Procurement policy and six atomic rules</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3.01"/>
    <col collapsed="false" customWidth="true" hidden="false" outlineLevel="0" max="2" min="2" style="0" width="20.99"/>
    <col collapsed="false" customWidth="true" hidden="false" outlineLevel="0" max="3" min="3" style="0" width="39.01"/>
    <col collapsed="false" customWidth="true" hidden="false" outlineLevel="0" max="4" min="4" style="0" width="150.01"/>
    <col collapsed="false" customWidth="true" hidden="false" outlineLevel="0" max="5" min="5" style="0" width="72.01"/>
  </cols>
  <sheetData>
    <row r="1" customFormat="false" ht="30.75" hidden="false" customHeight="true" outlineLevel="0" collapsed="false">
      <c r="A1" s="1" t="s">
        <v>41</v>
      </c>
      <c r="B1" s="1" t="s">
        <v>70</v>
      </c>
      <c r="C1" s="1" t="s">
        <v>71</v>
      </c>
      <c r="D1" s="1" t="s">
        <v>72</v>
      </c>
      <c r="E1" s="1" t="s">
        <v>45</v>
      </c>
    </row>
    <row r="2" customFormat="false" ht="55.5" hidden="false" customHeight="true" outlineLevel="0" collapsed="false">
      <c r="A2" s="2" t="s">
        <v>73</v>
      </c>
      <c r="B2" s="2" t="s">
        <v>74</v>
      </c>
      <c r="C2" s="2" t="s">
        <v>10</v>
      </c>
      <c r="D2" s="2" t="s">
        <v>75</v>
      </c>
      <c r="E2" s="2" t="s">
        <v>76</v>
      </c>
    </row>
    <row r="3" customFormat="false" ht="55.5" hidden="false" customHeight="true" outlineLevel="0" collapsed="false">
      <c r="A3" s="2" t="s">
        <v>77</v>
      </c>
      <c r="B3" s="2" t="s">
        <v>74</v>
      </c>
      <c r="C3" s="2" t="s">
        <v>17</v>
      </c>
      <c r="D3" s="2" t="s">
        <v>78</v>
      </c>
      <c r="E3" s="2" t="s">
        <v>79</v>
      </c>
    </row>
    <row r="4" customFormat="false" ht="55.5" hidden="false" customHeight="true" outlineLevel="0" collapsed="false">
      <c r="A4" s="2" t="s">
        <v>80</v>
      </c>
      <c r="B4" s="2" t="s">
        <v>74</v>
      </c>
      <c r="C4" s="2" t="s">
        <v>23</v>
      </c>
      <c r="D4" s="2" t="s">
        <v>81</v>
      </c>
      <c r="E4" s="2" t="s">
        <v>82</v>
      </c>
    </row>
    <row r="5" customFormat="false" ht="55.5" hidden="false" customHeight="true" outlineLevel="0" collapsed="false">
      <c r="A5" s="2" t="s">
        <v>83</v>
      </c>
      <c r="B5" s="2" t="s">
        <v>74</v>
      </c>
      <c r="C5" s="2" t="s">
        <v>30</v>
      </c>
      <c r="D5" s="2" t="s">
        <v>84</v>
      </c>
      <c r="E5" s="2" t="s">
        <v>85</v>
      </c>
    </row>
    <row r="6" customFormat="false" ht="55.5" hidden="false" customHeight="true" outlineLevel="0" collapsed="false">
      <c r="A6" s="2" t="s">
        <v>86</v>
      </c>
      <c r="B6" s="2" t="s">
        <v>74</v>
      </c>
      <c r="C6" s="2" t="s">
        <v>32</v>
      </c>
      <c r="D6" s="2" t="s">
        <v>87</v>
      </c>
      <c r="E6" s="2" t="s">
        <v>88</v>
      </c>
    </row>
    <row r="7" customFormat="false" ht="55.5" hidden="false" customHeight="true" outlineLevel="0" collapsed="false">
      <c r="A7" s="2" t="s">
        <v>89</v>
      </c>
      <c r="B7" s="2" t="s">
        <v>74</v>
      </c>
      <c r="C7" s="2" t="s">
        <v>34</v>
      </c>
      <c r="D7" s="2" t="s">
        <v>90</v>
      </c>
      <c r="E7" s="2" t="s">
        <v>91</v>
      </c>
    </row>
    <row r="8" customFormat="false" ht="55.5" hidden="false" customHeight="true" outlineLevel="0" collapsed="false">
      <c r="A8" s="2" t="s">
        <v>92</v>
      </c>
      <c r="B8" s="2" t="s">
        <v>74</v>
      </c>
      <c r="C8" s="2" t="s">
        <v>36</v>
      </c>
      <c r="D8" s="2" t="s">
        <v>93</v>
      </c>
      <c r="E8" s="2" t="s">
        <v>94</v>
      </c>
    </row>
    <row r="9" customFormat="false" ht="55.5" hidden="false" customHeight="true" outlineLevel="0" collapsed="false">
      <c r="A9" s="2" t="s">
        <v>95</v>
      </c>
      <c r="B9" s="2" t="s">
        <v>74</v>
      </c>
      <c r="C9" s="2" t="s">
        <v>39</v>
      </c>
      <c r="D9" s="2" t="s">
        <v>96</v>
      </c>
      <c r="E9" s="2" t="s">
        <v>97</v>
      </c>
    </row>
    <row r="10" customFormat="false" ht="55.5" hidden="false" customHeight="true" outlineLevel="0" collapsed="false">
      <c r="A10" s="2" t="s">
        <v>98</v>
      </c>
      <c r="B10" s="2" t="s">
        <v>99</v>
      </c>
      <c r="C10" s="2" t="s">
        <v>52</v>
      </c>
      <c r="D10" s="2" t="s">
        <v>53</v>
      </c>
      <c r="E10" s="2" t="s">
        <v>50</v>
      </c>
    </row>
    <row r="11" customFormat="false" ht="55.5" hidden="false" customHeight="true" outlineLevel="0" collapsed="false">
      <c r="A11" s="2" t="s">
        <v>100</v>
      </c>
      <c r="B11" s="2" t="s">
        <v>99</v>
      </c>
      <c r="C11" s="2" t="s">
        <v>56</v>
      </c>
      <c r="D11" s="2" t="s">
        <v>57</v>
      </c>
      <c r="E11" s="2" t="s">
        <v>50</v>
      </c>
    </row>
    <row r="12" customFormat="false" ht="55.5" hidden="false" customHeight="true" outlineLevel="0" collapsed="false">
      <c r="A12" s="2" t="s">
        <v>101</v>
      </c>
      <c r="B12" s="2" t="s">
        <v>99</v>
      </c>
      <c r="C12" s="2" t="s">
        <v>59</v>
      </c>
      <c r="D12" s="2" t="s">
        <v>60</v>
      </c>
      <c r="E12" s="2" t="s">
        <v>50</v>
      </c>
    </row>
    <row r="13" customFormat="false" ht="55.5" hidden="false" customHeight="true" outlineLevel="0" collapsed="false">
      <c r="A13" s="2" t="s">
        <v>102</v>
      </c>
      <c r="B13" s="2" t="s">
        <v>99</v>
      </c>
      <c r="C13" s="2" t="s">
        <v>62</v>
      </c>
      <c r="D13" s="2" t="s">
        <v>63</v>
      </c>
      <c r="E13" s="2" t="s">
        <v>50</v>
      </c>
    </row>
    <row r="14" customFormat="false" ht="55.5" hidden="false" customHeight="true" outlineLevel="0" collapsed="false">
      <c r="A14" s="2" t="s">
        <v>103</v>
      </c>
      <c r="B14" s="2" t="s">
        <v>99</v>
      </c>
      <c r="C14" s="2" t="s">
        <v>65</v>
      </c>
      <c r="D14" s="2" t="s">
        <v>66</v>
      </c>
      <c r="E14" s="2" t="s">
        <v>50</v>
      </c>
    </row>
    <row r="15" customFormat="false" ht="55.5" hidden="false" customHeight="true" outlineLevel="0" collapsed="false">
      <c r="A15" s="2" t="s">
        <v>104</v>
      </c>
      <c r="B15" s="2" t="s">
        <v>99</v>
      </c>
      <c r="C15" s="2" t="s">
        <v>68</v>
      </c>
      <c r="D15" s="2" t="s">
        <v>69</v>
      </c>
      <c r="E15" s="2" t="s">
        <v>50</v>
      </c>
    </row>
    <row r="16" customFormat="false" ht="55.5" hidden="false" customHeight="true" outlineLevel="0" collapsed="false">
      <c r="A16" s="2" t="s">
        <v>105</v>
      </c>
      <c r="B16" s="2" t="s">
        <v>106</v>
      </c>
      <c r="C16" s="2" t="s">
        <v>107</v>
      </c>
      <c r="D16" s="2" t="s">
        <v>108</v>
      </c>
      <c r="E16" s="2" t="s">
        <v>50</v>
      </c>
    </row>
    <row r="17" customFormat="false" ht="55.5" hidden="false" customHeight="true" outlineLevel="0" collapsed="false">
      <c r="A17" s="2" t="s">
        <v>109</v>
      </c>
      <c r="B17" s="2" t="s">
        <v>110</v>
      </c>
      <c r="C17" s="2" t="s">
        <v>111</v>
      </c>
      <c r="D17" s="2" t="s">
        <v>112</v>
      </c>
      <c r="E17" s="2" t="s">
        <v>113</v>
      </c>
    </row>
    <row r="18" customFormat="false" ht="55.5" hidden="false" customHeight="true" outlineLevel="0" collapsed="false">
      <c r="A18" s="2" t="s">
        <v>114</v>
      </c>
      <c r="B18" s="2" t="s">
        <v>115</v>
      </c>
      <c r="C18" s="2" t="s">
        <v>116</v>
      </c>
      <c r="D18" s="2" t="s">
        <v>117</v>
      </c>
      <c r="E18" s="2" t="s">
        <v>118</v>
      </c>
    </row>
  </sheetData>
  <autoFilter ref="A1:E18"/>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&amp;CSeventeen source-backed evidence records</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9"/>
    <col collapsed="false" customWidth="true" hidden="false" outlineLevel="0" max="2" min="2" style="0" width="20.99"/>
    <col collapsed="false" customWidth="true" hidden="false" outlineLevel="0" max="3" min="3" style="0" width="35"/>
    <col collapsed="false" customWidth="true" hidden="false" outlineLevel="0" max="4" min="4" style="0" width="19.99"/>
    <col collapsed="false" customWidth="true" hidden="false" outlineLevel="0" max="5" min="5" style="0" width="35"/>
    <col collapsed="false" customWidth="true" hidden="false" outlineLevel="0" max="6" min="6" style="0" width="17"/>
    <col collapsed="false" customWidth="true" hidden="false" outlineLevel="0" max="7" min="7" style="0" width="35"/>
    <col collapsed="false" customWidth="true" hidden="false" outlineLevel="0" max="8" min="8" style="0" width="15"/>
    <col collapsed="false" customWidth="true" hidden="false" outlineLevel="0" max="9" min="9" style="0" width="13.01"/>
    <col collapsed="false" customWidth="true" hidden="false" outlineLevel="0" max="10" min="10" style="0" width="27"/>
    <col collapsed="false" customWidth="true" hidden="false" outlineLevel="0" max="11" min="11" style="0" width="15"/>
    <col collapsed="false" customWidth="true" hidden="false" outlineLevel="0" max="13" min="12" style="0" width="10.99"/>
    <col collapsed="false" customWidth="true" hidden="false" outlineLevel="0" max="14" min="14" style="0" width="11.99"/>
    <col collapsed="false" customWidth="true" hidden="false" outlineLevel="0" max="15" min="15" style="0" width="10"/>
    <col collapsed="false" customWidth="true" hidden="false" outlineLevel="0" max="16" min="16" style="0" width="14.01"/>
    <col collapsed="false" customWidth="true" hidden="false" outlineLevel="0" max="18" min="17" style="0" width="24"/>
    <col collapsed="false" customWidth="true" hidden="false" outlineLevel="0" max="20" min="19" style="0" width="36"/>
    <col collapsed="false" customWidth="true" hidden="false" outlineLevel="0" max="21" min="21" style="0" width="17"/>
    <col collapsed="false" customWidth="true" hidden="false" outlineLevel="0" max="22" min="22" style="0" width="14.01"/>
    <col collapsed="false" customWidth="true" hidden="false" outlineLevel="0" max="23" min="23" style="0" width="18"/>
    <col collapsed="false" customWidth="true" hidden="false" outlineLevel="0" max="24" min="24" style="0" width="61.99"/>
    <col collapsed="false" customWidth="true" hidden="false" outlineLevel="0" max="25" min="25" style="0" width="18"/>
    <col collapsed="false" customWidth="true" hidden="false" outlineLevel="0" max="26" min="26" style="0" width="11.99"/>
    <col collapsed="false" customWidth="true" hidden="false" outlineLevel="0" max="27" min="27" style="0" width="61.99"/>
    <col collapsed="false" customWidth="true" hidden="false" outlineLevel="0" max="28" min="28" style="0" width="102"/>
  </cols>
  <sheetData>
    <row r="1" customFormat="false" ht="30.75" hidden="false" customHeight="true" outlineLevel="0" collapsed="false">
      <c r="A1" s="1" t="s">
        <v>0</v>
      </c>
      <c r="B1" s="1" t="s">
        <v>1</v>
      </c>
      <c r="C1" s="1" t="s">
        <v>2</v>
      </c>
      <c r="D1" s="1" t="s">
        <v>3</v>
      </c>
      <c r="E1" s="1" t="s">
        <v>4</v>
      </c>
      <c r="F1" s="1" t="s">
        <v>5</v>
      </c>
      <c r="G1" s="1" t="s">
        <v>6</v>
      </c>
      <c r="H1" s="1" t="s">
        <v>7</v>
      </c>
      <c r="I1" s="1" t="s">
        <v>119</v>
      </c>
      <c r="J1" s="1" t="s">
        <v>9</v>
      </c>
      <c r="K1" s="1" t="s">
        <v>120</v>
      </c>
      <c r="L1" s="1" t="s">
        <v>121</v>
      </c>
      <c r="M1" s="1" t="s">
        <v>122</v>
      </c>
      <c r="N1" s="1" t="s">
        <v>123</v>
      </c>
      <c r="O1" s="1" t="s">
        <v>124</v>
      </c>
      <c r="P1" s="1" t="s">
        <v>125</v>
      </c>
      <c r="Q1" s="1" t="s">
        <v>126</v>
      </c>
      <c r="R1" s="1" t="s">
        <v>127</v>
      </c>
      <c r="S1" s="1" t="s">
        <v>128</v>
      </c>
      <c r="T1" s="1" t="s">
        <v>129</v>
      </c>
      <c r="U1" s="1" t="s">
        <v>130</v>
      </c>
      <c r="V1" s="1" t="s">
        <v>131</v>
      </c>
      <c r="W1" s="1" t="s">
        <v>132</v>
      </c>
      <c r="X1" s="1" t="s">
        <v>133</v>
      </c>
      <c r="Y1" s="1" t="s">
        <v>134</v>
      </c>
      <c r="Z1" s="1" t="s">
        <v>135</v>
      </c>
      <c r="AA1" s="1" t="s">
        <v>44</v>
      </c>
      <c r="AB1" s="1" t="s">
        <v>45</v>
      </c>
    </row>
    <row r="2" customFormat="false" ht="69.75" hidden="false" customHeight="true" outlineLevel="0" collapsed="false">
      <c r="A2" s="4" t="n">
        <f aca="false">Source_Contractors!A2</f>
        <v>2</v>
      </c>
      <c r="B2" s="4" t="str">
        <f aca="false">Source_Contractors!B2</f>
        <v>Ana Petrova</v>
      </c>
      <c r="C2" s="4" t="str">
        <f aca="false">Source_Contractors!C2</f>
        <v>ana.petrova@freelance.example.com</v>
      </c>
      <c r="D2" s="4" t="str">
        <f aca="false">Source_Contractors!D2</f>
        <v>Derek Huang</v>
      </c>
      <c r="E2" s="4" t="str">
        <f aca="false">Source_Contractors!E2</f>
        <v>derek.huang@company.example.com</v>
      </c>
      <c r="F2" s="4" t="str">
        <f aca="false">Source_Contractors!F2</f>
        <v>Engineering</v>
      </c>
      <c r="G2" s="4" t="str">
        <f aca="false">Source_Contractors!G2</f>
        <v>vp-eng@company.example.com</v>
      </c>
      <c r="H2" s="3" t="n">
        <f aca="false">Source_Contractors!H2</f>
        <v>46157</v>
      </c>
      <c r="I2" s="4" t="str">
        <f aca="false">Source_Contractors!I2</f>
        <v>Active</v>
      </c>
      <c r="J2" s="4" t="str">
        <f aca="false">IF(Source_Contractors!J2="","",Source_Contractors!J2)</f>
        <v/>
      </c>
      <c r="K2" s="3" t="n">
        <f aca="false">DATE(2026,4,15)</f>
        <v>46127</v>
      </c>
      <c r="L2" s="4" t="n">
        <f aca="false">H2-K2</f>
        <v>30</v>
      </c>
      <c r="M2" s="4" t="str">
        <f aca="false">IF(L2&lt;0,"YES","NO")</f>
        <v>NO</v>
      </c>
      <c r="N2" s="4" t="str">
        <f aca="false">IF(AND(L2&gt;=0,L2&lt;=60),"YES","NO")</f>
        <v>YES</v>
      </c>
      <c r="O2" s="4" t="str">
        <f aca="false">IF(ISNUMBER(SEARCH("On PIP",J2)),"YES","NO")</f>
        <v>NO</v>
      </c>
      <c r="P2" s="4" t="str">
        <f aca="false">IF(AND(N2="YES",O2="NO"),"YES","NO")</f>
        <v>YES</v>
      </c>
      <c r="Q2" s="4" t="str">
        <f aca="false">IF(M2="YES","EXPIRED_NOT_RENEWED",IF(N2="NO","FUTURE_NO_ACTION",IF(O2="YES","PENDING_VP_APPROVAL","RENEWED_STANDARD")))</f>
        <v>RENEWED_STANDARD</v>
      </c>
      <c r="R2" s="4" t="str">
        <f aca="false">IF(Q2="EXPIRED_NOT_RENEWED","Expired - Not Renewed",IF(Q2="PENDING_VP_APPROVAL","Pending VP Approval",IF(Q2="RENEWED_STANDARD","Renewed",I2)))</f>
        <v>Renewed</v>
      </c>
      <c r="S2" s="4" t="str">
        <f aca="false">IF(Q2="RENEWED_STANDARD",C2,IF(Q2="PENDING_VP_APPROVAL",G2,""))</f>
        <v>ana.petrova@freelance.example.com</v>
      </c>
      <c r="T2" s="4" t="str">
        <f aca="false">IF(Q2="RENEWED_STANDARD",E2,"")</f>
        <v>derek.huang@company.example.com</v>
      </c>
      <c r="U2" s="4" t="str">
        <f aca="false">IF(OR(Q2="RENEWED_STANDARD",Q2="PENDING_VP_APPROVAL"),"YES","NO")</f>
        <v>YES</v>
      </c>
      <c r="V2" s="4" t="str">
        <f aca="false">IF(OR(Q2="RENEWED_STANDARD",Q2="PENDING_VP_APPROVAL",Q2="EXPIRED_NOT_RENEWED"),"YES","NO")</f>
        <v>YES</v>
      </c>
      <c r="W2" s="4" t="str">
        <f aca="false">"NO"</f>
        <v>NO</v>
      </c>
      <c r="X2" s="4" t="str">
        <f aca="false">IF(Q2="RENEWED_STANDARD","EXISTING_TERMS_ONLY; 5% REQUEST_ESCALATED_TO_PROCUREMENT; NO_RATE_APPLIED",IF(Q2="PENDING_VP_APPROVAL","NO_RATE_ACTION_PENDING_VP_APPROVAL",IF(Q2="EXPIRED_NOT_RENEWED","NO_RATE_ACTION_EXPIRED","NO_RATE_ACTION_OUTSIDE_60_DAYS")))</f>
        <v>EXISTING_TERMS_ONLY; 5% REQUEST_ESCALATED_TO_PROCUREMENT; NO_RATE_APPLIED</v>
      </c>
      <c r="Y2" s="4" t="str">
        <f aca="false">IF(Q2="RENEWED_STANDARD","YES","NO")</f>
        <v>YES</v>
      </c>
      <c r="Z2" s="4" t="str">
        <f aca="false">"NO"</f>
        <v>NO</v>
      </c>
      <c r="AA2" s="4" t="str">
        <f aca="false">IF(Q2="EXPIRED_NOT_RENEWED","Policy rule 5: already expired",IF(Q2="FUTURE_NO_ACTION","Policy rule 4: beyond 60 days",IF(Q2="PENDING_VP_APPROVAL","Policy rule 2: active PIP requires department VP approval","Policy rules 1 and 3: within 60 days, no active PIP")))</f>
        <v>Policy rules 1 and 3: within 60 days, no active PIP</v>
      </c>
      <c r="AB2" s="4" t="str">
        <f aca="false">"Contractor_Agreement_Tracker.xlsx:Active Agreements row "&amp;A2&amp;" | Contractor_Renewal_Policy.mbox:msg_contractor_policy_5121 | Workflow_Context.json:meta.current_time"</f>
        <v>Contractor_Agreement_Tracker.xlsx:Active Agreements row 2 | Contractor_Renewal_Policy.mbox:msg_contractor_policy_5121 | Workflow_Context.json:meta.current_time</v>
      </c>
    </row>
    <row r="3" customFormat="false" ht="69.75" hidden="false" customHeight="true" outlineLevel="0" collapsed="false">
      <c r="A3" s="4" t="n">
        <f aca="false">Source_Contractors!A3</f>
        <v>3</v>
      </c>
      <c r="B3" s="4" t="str">
        <f aca="false">Source_Contractors!B3</f>
        <v>Brian Osei</v>
      </c>
      <c r="C3" s="4" t="str">
        <f aca="false">Source_Contractors!C3</f>
        <v>brian.osei@freelance.example.com</v>
      </c>
      <c r="D3" s="4" t="str">
        <f aca="false">Source_Contractors!D3</f>
        <v>Mira Patel</v>
      </c>
      <c r="E3" s="4" t="str">
        <f aca="false">Source_Contractors!E3</f>
        <v>mira.patel@company.example.com</v>
      </c>
      <c r="F3" s="4" t="str">
        <f aca="false">Source_Contractors!F3</f>
        <v>Marketing</v>
      </c>
      <c r="G3" s="4" t="str">
        <f aca="false">Source_Contractors!G3</f>
        <v>vp-mkt@company.example.com</v>
      </c>
      <c r="H3" s="3" t="n">
        <f aca="false">Source_Contractors!H3</f>
        <v>46203</v>
      </c>
      <c r="I3" s="4" t="str">
        <f aca="false">Source_Contractors!I3</f>
        <v>Active</v>
      </c>
      <c r="J3" s="4" t="str">
        <f aca="false">IF(Source_Contractors!J3="","",Source_Contractors!J3)</f>
        <v/>
      </c>
      <c r="K3" s="3" t="n">
        <f aca="false">DATE(2026,4,15)</f>
        <v>46127</v>
      </c>
      <c r="L3" s="4" t="n">
        <f aca="false">H3-K3</f>
        <v>76</v>
      </c>
      <c r="M3" s="4" t="str">
        <f aca="false">IF(L3&lt;0,"YES","NO")</f>
        <v>NO</v>
      </c>
      <c r="N3" s="4" t="str">
        <f aca="false">IF(AND(L3&gt;=0,L3&lt;=60),"YES","NO")</f>
        <v>NO</v>
      </c>
      <c r="O3" s="4" t="str">
        <f aca="false">IF(ISNUMBER(SEARCH("On PIP",J3)),"YES","NO")</f>
        <v>NO</v>
      </c>
      <c r="P3" s="4" t="str">
        <f aca="false">IF(AND(N3="YES",O3="NO"),"YES","NO")</f>
        <v>NO</v>
      </c>
      <c r="Q3" s="4" t="str">
        <f aca="false">IF(M3="YES","EXPIRED_NOT_RENEWED",IF(N3="NO","FUTURE_NO_ACTION",IF(O3="YES","PENDING_VP_APPROVAL","RENEWED_STANDARD")))</f>
        <v>FUTURE_NO_ACTION</v>
      </c>
      <c r="R3" s="4" t="str">
        <f aca="false">IF(Q3="EXPIRED_NOT_RENEWED","Expired - Not Renewed",IF(Q3="PENDING_VP_APPROVAL","Pending VP Approval",IF(Q3="RENEWED_STANDARD","Renewed",I3)))</f>
        <v>Active</v>
      </c>
      <c r="S3" s="4" t="str">
        <f aca="false">IF(Q3="RENEWED_STANDARD",C3,IF(Q3="PENDING_VP_APPROVAL",G3,""))</f>
        <v/>
      </c>
      <c r="T3" s="4" t="str">
        <f aca="false">IF(Q3="RENEWED_STANDARD",E3,"")</f>
        <v/>
      </c>
      <c r="U3" s="4" t="str">
        <f aca="false">IF(OR(Q3="RENEWED_STANDARD",Q3="PENDING_VP_APPROVAL"),"YES","NO")</f>
        <v>NO</v>
      </c>
      <c r="V3" s="4" t="str">
        <f aca="false">IF(OR(Q3="RENEWED_STANDARD",Q3="PENDING_VP_APPROVAL",Q3="EXPIRED_NOT_RENEWED"),"YES","NO")</f>
        <v>NO</v>
      </c>
      <c r="W3" s="4" t="str">
        <f aca="false">"NO"</f>
        <v>NO</v>
      </c>
      <c r="X3" s="4" t="str">
        <f aca="false">IF(Q3="RENEWED_STANDARD","EXISTING_TERMS_ONLY; 5% REQUEST_ESCALATED_TO_PROCUREMENT; NO_RATE_APPLIED",IF(Q3="PENDING_VP_APPROVAL","NO_RATE_ACTION_PENDING_VP_APPROVAL",IF(Q3="EXPIRED_NOT_RENEWED","NO_RATE_ACTION_EXPIRED","NO_RATE_ACTION_OUTSIDE_60_DAYS")))</f>
        <v>NO_RATE_ACTION_OUTSIDE_60_DAYS</v>
      </c>
      <c r="Y3" s="4" t="str">
        <f aca="false">IF(Q3="RENEWED_STANDARD","YES","NO")</f>
        <v>NO</v>
      </c>
      <c r="Z3" s="4" t="str">
        <f aca="false">"NO"</f>
        <v>NO</v>
      </c>
      <c r="AA3" s="4" t="str">
        <f aca="false">IF(Q3="EXPIRED_NOT_RENEWED","Policy rule 5: already expired",IF(Q3="FUTURE_NO_ACTION","Policy rule 4: beyond 60 days",IF(Q3="PENDING_VP_APPROVAL","Policy rule 2: active PIP requires department VP approval","Policy rules 1 and 3: within 60 days, no active PIP")))</f>
        <v>Policy rule 4: beyond 60 days</v>
      </c>
      <c r="AB3" s="4" t="str">
        <f aca="false">"Contractor_Agreement_Tracker.xlsx:Active Agreements row "&amp;A3&amp;" | Contractor_Renewal_Policy.mbox:msg_contractor_policy_5121 | Workflow_Context.json:meta.current_time"</f>
        <v>Contractor_Agreement_Tracker.xlsx:Active Agreements row 3 | Contractor_Renewal_Policy.mbox:msg_contractor_policy_5121 | Workflow_Context.json:meta.current_time</v>
      </c>
    </row>
    <row r="4" customFormat="false" ht="69.75" hidden="false" customHeight="true" outlineLevel="0" collapsed="false">
      <c r="A4" s="4" t="n">
        <f aca="false">Source_Contractors!A4</f>
        <v>4</v>
      </c>
      <c r="B4" s="4" t="str">
        <f aca="false">Source_Contractors!B4</f>
        <v>Carmen Ruiz</v>
      </c>
      <c r="C4" s="4" t="str">
        <f aca="false">Source_Contractors!C4</f>
        <v>carmen.ruiz@freelance.example.com</v>
      </c>
      <c r="D4" s="4" t="str">
        <f aca="false">Source_Contractors!D4</f>
        <v>Lisa Wang</v>
      </c>
      <c r="E4" s="4" t="str">
        <f aca="false">Source_Contractors!E4</f>
        <v>lisa.wang@company.example.com</v>
      </c>
      <c r="F4" s="4" t="str">
        <f aca="false">Source_Contractors!F4</f>
        <v>Sales</v>
      </c>
      <c r="G4" s="4" t="str">
        <f aca="false">Source_Contractors!G4</f>
        <v>vp-sales@company.example.com</v>
      </c>
      <c r="H4" s="3" t="n">
        <f aca="false">Source_Contractors!H4</f>
        <v>46142</v>
      </c>
      <c r="I4" s="4" t="str">
        <f aca="false">Source_Contractors!I4</f>
        <v>Active</v>
      </c>
      <c r="J4" s="4" t="str">
        <f aca="false">IF(Source_Contractors!J4="","",Source_Contractors!J4)</f>
        <v>On PIP since March 2026</v>
      </c>
      <c r="K4" s="3" t="n">
        <f aca="false">DATE(2026,4,15)</f>
        <v>46127</v>
      </c>
      <c r="L4" s="4" t="n">
        <f aca="false">H4-K4</f>
        <v>15</v>
      </c>
      <c r="M4" s="4" t="str">
        <f aca="false">IF(L4&lt;0,"YES","NO")</f>
        <v>NO</v>
      </c>
      <c r="N4" s="4" t="str">
        <f aca="false">IF(AND(L4&gt;=0,L4&lt;=60),"YES","NO")</f>
        <v>YES</v>
      </c>
      <c r="O4" s="4" t="str">
        <f aca="false">IF(ISNUMBER(SEARCH("On PIP",J4)),"YES","NO")</f>
        <v>YES</v>
      </c>
      <c r="P4" s="4" t="str">
        <f aca="false">IF(AND(N4="YES",O4="NO"),"YES","NO")</f>
        <v>NO</v>
      </c>
      <c r="Q4" s="4" t="str">
        <f aca="false">IF(M4="YES","EXPIRED_NOT_RENEWED",IF(N4="NO","FUTURE_NO_ACTION",IF(O4="YES","PENDING_VP_APPROVAL","RENEWED_STANDARD")))</f>
        <v>PENDING_VP_APPROVAL</v>
      </c>
      <c r="R4" s="4" t="str">
        <f aca="false">IF(Q4="EXPIRED_NOT_RENEWED","Expired - Not Renewed",IF(Q4="PENDING_VP_APPROVAL","Pending VP Approval",IF(Q4="RENEWED_STANDARD","Renewed",I4)))</f>
        <v>Pending VP Approval</v>
      </c>
      <c r="S4" s="4" t="str">
        <f aca="false">IF(Q4="RENEWED_STANDARD",C4,IF(Q4="PENDING_VP_APPROVAL",G4,""))</f>
        <v>vp-sales@company.example.com</v>
      </c>
      <c r="T4" s="4" t="str">
        <f aca="false">IF(Q4="RENEWED_STANDARD",E4,"")</f>
        <v/>
      </c>
      <c r="U4" s="4" t="str">
        <f aca="false">IF(OR(Q4="RENEWED_STANDARD",Q4="PENDING_VP_APPROVAL"),"YES","NO")</f>
        <v>YES</v>
      </c>
      <c r="V4" s="4" t="str">
        <f aca="false">IF(OR(Q4="RENEWED_STANDARD",Q4="PENDING_VP_APPROVAL",Q4="EXPIRED_NOT_RENEWED"),"YES","NO")</f>
        <v>YES</v>
      </c>
      <c r="W4" s="4" t="str">
        <f aca="false">"NO"</f>
        <v>NO</v>
      </c>
      <c r="X4" s="4" t="str">
        <f aca="false">IF(Q4="RENEWED_STANDARD","EXISTING_TERMS_ONLY; 5% REQUEST_ESCALATED_TO_PROCUREMENT; NO_RATE_APPLIED",IF(Q4="PENDING_VP_APPROVAL","NO_RATE_ACTION_PENDING_VP_APPROVAL",IF(Q4="EXPIRED_NOT_RENEWED","NO_RATE_ACTION_EXPIRED","NO_RATE_ACTION_OUTSIDE_60_DAYS")))</f>
        <v>NO_RATE_ACTION_PENDING_VP_APPROVAL</v>
      </c>
      <c r="Y4" s="4" t="str">
        <f aca="false">IF(Q4="RENEWED_STANDARD","YES","NO")</f>
        <v>NO</v>
      </c>
      <c r="Z4" s="4" t="str">
        <f aca="false">"NO"</f>
        <v>NO</v>
      </c>
      <c r="AA4" s="4" t="str">
        <f aca="false">IF(Q4="EXPIRED_NOT_RENEWED","Policy rule 5: already expired",IF(Q4="FUTURE_NO_ACTION","Policy rule 4: beyond 60 days",IF(Q4="PENDING_VP_APPROVAL","Policy rule 2: active PIP requires department VP approval","Policy rules 1 and 3: within 60 days, no active PIP")))</f>
        <v>Policy rule 2: active PIP requires department VP approval</v>
      </c>
      <c r="AB4" s="4" t="str">
        <f aca="false">"Contractor_Agreement_Tracker.xlsx:Active Agreements row "&amp;A4&amp;" | Contractor_Renewal_Policy.mbox:msg_contractor_policy_5121 | Workflow_Context.json:meta.current_time"</f>
        <v>Contractor_Agreement_Tracker.xlsx:Active Agreements row 4 | Contractor_Renewal_Policy.mbox:msg_contractor_policy_5121 | Workflow_Context.json:meta.current_time</v>
      </c>
    </row>
    <row r="5" customFormat="false" ht="69.75" hidden="false" customHeight="true" outlineLevel="0" collapsed="false">
      <c r="A5" s="4" t="n">
        <f aca="false">Source_Contractors!A5</f>
        <v>5</v>
      </c>
      <c r="B5" s="4" t="str">
        <f aca="false">Source_Contractors!B5</f>
        <v>Darius Kim</v>
      </c>
      <c r="C5" s="4" t="str">
        <f aca="false">Source_Contractors!C5</f>
        <v>darius.kim@freelance.example.com</v>
      </c>
      <c r="D5" s="4" t="str">
        <f aca="false">Source_Contractors!D5</f>
        <v>Derek Huang</v>
      </c>
      <c r="E5" s="4" t="str">
        <f aca="false">Source_Contractors!E5</f>
        <v>derek.huang@company.example.com</v>
      </c>
      <c r="F5" s="4" t="str">
        <f aca="false">Source_Contractors!F5</f>
        <v>Engineering</v>
      </c>
      <c r="G5" s="4" t="str">
        <f aca="false">Source_Contractors!G5</f>
        <v>vp-eng@company.example.com</v>
      </c>
      <c r="H5" s="3" t="n">
        <f aca="false">Source_Contractors!H5</f>
        <v>46143</v>
      </c>
      <c r="I5" s="4" t="str">
        <f aca="false">Source_Contractors!I5</f>
        <v>Active</v>
      </c>
      <c r="J5" s="4" t="str">
        <f aca="false">IF(Source_Contractors!J5="","",Source_Contractors!J5)</f>
        <v/>
      </c>
      <c r="K5" s="3" t="n">
        <f aca="false">DATE(2026,4,15)</f>
        <v>46127</v>
      </c>
      <c r="L5" s="4" t="n">
        <f aca="false">H5-K5</f>
        <v>16</v>
      </c>
      <c r="M5" s="4" t="str">
        <f aca="false">IF(L5&lt;0,"YES","NO")</f>
        <v>NO</v>
      </c>
      <c r="N5" s="4" t="str">
        <f aca="false">IF(AND(L5&gt;=0,L5&lt;=60),"YES","NO")</f>
        <v>YES</v>
      </c>
      <c r="O5" s="4" t="str">
        <f aca="false">IF(ISNUMBER(SEARCH("On PIP",J5)),"YES","NO")</f>
        <v>NO</v>
      </c>
      <c r="P5" s="4" t="str">
        <f aca="false">IF(AND(N5="YES",O5="NO"),"YES","NO")</f>
        <v>YES</v>
      </c>
      <c r="Q5" s="4" t="str">
        <f aca="false">IF(M5="YES","EXPIRED_NOT_RENEWED",IF(N5="NO","FUTURE_NO_ACTION",IF(O5="YES","PENDING_VP_APPROVAL","RENEWED_STANDARD")))</f>
        <v>RENEWED_STANDARD</v>
      </c>
      <c r="R5" s="4" t="str">
        <f aca="false">IF(Q5="EXPIRED_NOT_RENEWED","Expired - Not Renewed",IF(Q5="PENDING_VP_APPROVAL","Pending VP Approval",IF(Q5="RENEWED_STANDARD","Renewed",I5)))</f>
        <v>Renewed</v>
      </c>
      <c r="S5" s="4" t="str">
        <f aca="false">IF(Q5="RENEWED_STANDARD",C5,IF(Q5="PENDING_VP_APPROVAL",G5,""))</f>
        <v>darius.kim@freelance.example.com</v>
      </c>
      <c r="T5" s="4" t="str">
        <f aca="false">IF(Q5="RENEWED_STANDARD",E5,"")</f>
        <v>derek.huang@company.example.com</v>
      </c>
      <c r="U5" s="4" t="str">
        <f aca="false">IF(OR(Q5="RENEWED_STANDARD",Q5="PENDING_VP_APPROVAL"),"YES","NO")</f>
        <v>YES</v>
      </c>
      <c r="V5" s="4" t="str">
        <f aca="false">IF(OR(Q5="RENEWED_STANDARD",Q5="PENDING_VP_APPROVAL",Q5="EXPIRED_NOT_RENEWED"),"YES","NO")</f>
        <v>YES</v>
      </c>
      <c r="W5" s="4" t="str">
        <f aca="false">"NO"</f>
        <v>NO</v>
      </c>
      <c r="X5" s="4" t="str">
        <f aca="false">IF(Q5="RENEWED_STANDARD","EXISTING_TERMS_ONLY; 5% REQUEST_ESCALATED_TO_PROCUREMENT; NO_RATE_APPLIED",IF(Q5="PENDING_VP_APPROVAL","NO_RATE_ACTION_PENDING_VP_APPROVAL",IF(Q5="EXPIRED_NOT_RENEWED","NO_RATE_ACTION_EXPIRED","NO_RATE_ACTION_OUTSIDE_60_DAYS")))</f>
        <v>EXISTING_TERMS_ONLY; 5% REQUEST_ESCALATED_TO_PROCUREMENT; NO_RATE_APPLIED</v>
      </c>
      <c r="Y5" s="4" t="str">
        <f aca="false">IF(Q5="RENEWED_STANDARD","YES","NO")</f>
        <v>YES</v>
      </c>
      <c r="Z5" s="4" t="str">
        <f aca="false">"NO"</f>
        <v>NO</v>
      </c>
      <c r="AA5" s="4" t="str">
        <f aca="false">IF(Q5="EXPIRED_NOT_RENEWED","Policy rule 5: already expired",IF(Q5="FUTURE_NO_ACTION","Policy rule 4: beyond 60 days",IF(Q5="PENDING_VP_APPROVAL","Policy rule 2: active PIP requires department VP approval","Policy rules 1 and 3: within 60 days, no active PIP")))</f>
        <v>Policy rules 1 and 3: within 60 days, no active PIP</v>
      </c>
      <c r="AB5" s="4" t="str">
        <f aca="false">"Contractor_Agreement_Tracker.xlsx:Active Agreements row "&amp;A5&amp;" | Contractor_Renewal_Policy.mbox:msg_contractor_policy_5121 | Workflow_Context.json:meta.current_time"</f>
        <v>Contractor_Agreement_Tracker.xlsx:Active Agreements row 5 | Contractor_Renewal_Policy.mbox:msg_contractor_policy_5121 | Workflow_Context.json:meta.current_time</v>
      </c>
    </row>
    <row r="6" customFormat="false" ht="69.75" hidden="false" customHeight="true" outlineLevel="0" collapsed="false">
      <c r="A6" s="4" t="n">
        <f aca="false">Source_Contractors!A6</f>
        <v>6</v>
      </c>
      <c r="B6" s="4" t="str">
        <f aca="false">Source_Contractors!B6</f>
        <v>Eva Lindström</v>
      </c>
      <c r="C6" s="4" t="str">
        <f aca="false">Source_Contractors!C6</f>
        <v>eva.lindstrom@freelance.example.com</v>
      </c>
      <c r="D6" s="4" t="str">
        <f aca="false">Source_Contractors!D6</f>
        <v>Mira Patel</v>
      </c>
      <c r="E6" s="4" t="str">
        <f aca="false">Source_Contractors!E6</f>
        <v>mira.patel@company.example.com</v>
      </c>
      <c r="F6" s="4" t="str">
        <f aca="false">Source_Contractors!F6</f>
        <v>Marketing</v>
      </c>
      <c r="G6" s="4" t="str">
        <f aca="false">Source_Contractors!G6</f>
        <v>vp-mkt@company.example.com</v>
      </c>
      <c r="H6" s="3" t="n">
        <f aca="false">Source_Contractors!H6</f>
        <v>46249</v>
      </c>
      <c r="I6" s="4" t="str">
        <f aca="false">Source_Contractors!I6</f>
        <v>Active</v>
      </c>
      <c r="J6" s="4" t="str">
        <f aca="false">IF(Source_Contractors!J6="","",Source_Contractors!J6)</f>
        <v/>
      </c>
      <c r="K6" s="3" t="n">
        <f aca="false">DATE(2026,4,15)</f>
        <v>46127</v>
      </c>
      <c r="L6" s="4" t="n">
        <f aca="false">H6-K6</f>
        <v>122</v>
      </c>
      <c r="M6" s="4" t="str">
        <f aca="false">IF(L6&lt;0,"YES","NO")</f>
        <v>NO</v>
      </c>
      <c r="N6" s="4" t="str">
        <f aca="false">IF(AND(L6&gt;=0,L6&lt;=60),"YES","NO")</f>
        <v>NO</v>
      </c>
      <c r="O6" s="4" t="str">
        <f aca="false">IF(ISNUMBER(SEARCH("On PIP",J6)),"YES","NO")</f>
        <v>NO</v>
      </c>
      <c r="P6" s="4" t="str">
        <f aca="false">IF(AND(N6="YES",O6="NO"),"YES","NO")</f>
        <v>NO</v>
      </c>
      <c r="Q6" s="4" t="str">
        <f aca="false">IF(M6="YES","EXPIRED_NOT_RENEWED",IF(N6="NO","FUTURE_NO_ACTION",IF(O6="YES","PENDING_VP_APPROVAL","RENEWED_STANDARD")))</f>
        <v>FUTURE_NO_ACTION</v>
      </c>
      <c r="R6" s="4" t="str">
        <f aca="false">IF(Q6="EXPIRED_NOT_RENEWED","Expired - Not Renewed",IF(Q6="PENDING_VP_APPROVAL","Pending VP Approval",IF(Q6="RENEWED_STANDARD","Renewed",I6)))</f>
        <v>Active</v>
      </c>
      <c r="S6" s="4" t="str">
        <f aca="false">IF(Q6="RENEWED_STANDARD",C6,IF(Q6="PENDING_VP_APPROVAL",G6,""))</f>
        <v/>
      </c>
      <c r="T6" s="4" t="str">
        <f aca="false">IF(Q6="RENEWED_STANDARD",E6,"")</f>
        <v/>
      </c>
      <c r="U6" s="4" t="str">
        <f aca="false">IF(OR(Q6="RENEWED_STANDARD",Q6="PENDING_VP_APPROVAL"),"YES","NO")</f>
        <v>NO</v>
      </c>
      <c r="V6" s="4" t="str">
        <f aca="false">IF(OR(Q6="RENEWED_STANDARD",Q6="PENDING_VP_APPROVAL",Q6="EXPIRED_NOT_RENEWED"),"YES","NO")</f>
        <v>NO</v>
      </c>
      <c r="W6" s="4" t="str">
        <f aca="false">"NO"</f>
        <v>NO</v>
      </c>
      <c r="X6" s="4" t="str">
        <f aca="false">IF(Q6="RENEWED_STANDARD","EXISTING_TERMS_ONLY; 5% REQUEST_ESCALATED_TO_PROCUREMENT; NO_RATE_APPLIED",IF(Q6="PENDING_VP_APPROVAL","NO_RATE_ACTION_PENDING_VP_APPROVAL",IF(Q6="EXPIRED_NOT_RENEWED","NO_RATE_ACTION_EXPIRED","NO_RATE_ACTION_OUTSIDE_60_DAYS")))</f>
        <v>NO_RATE_ACTION_OUTSIDE_60_DAYS</v>
      </c>
      <c r="Y6" s="4" t="str">
        <f aca="false">IF(Q6="RENEWED_STANDARD","YES","NO")</f>
        <v>NO</v>
      </c>
      <c r="Z6" s="4" t="str">
        <f aca="false">"NO"</f>
        <v>NO</v>
      </c>
      <c r="AA6" s="4" t="str">
        <f aca="false">IF(Q6="EXPIRED_NOT_RENEWED","Policy rule 5: already expired",IF(Q6="FUTURE_NO_ACTION","Policy rule 4: beyond 60 days",IF(Q6="PENDING_VP_APPROVAL","Policy rule 2: active PIP requires department VP approval","Policy rules 1 and 3: within 60 days, no active PIP")))</f>
        <v>Policy rule 4: beyond 60 days</v>
      </c>
      <c r="AB6" s="4" t="str">
        <f aca="false">"Contractor_Agreement_Tracker.xlsx:Active Agreements row "&amp;A6&amp;" | Contractor_Renewal_Policy.mbox:msg_contractor_policy_5121 | Workflow_Context.json:meta.current_time"</f>
        <v>Contractor_Agreement_Tracker.xlsx:Active Agreements row 6 | Contractor_Renewal_Policy.mbox:msg_contractor_policy_5121 | Workflow_Context.json:meta.current_time</v>
      </c>
    </row>
    <row r="7" customFormat="false" ht="69.75" hidden="false" customHeight="true" outlineLevel="0" collapsed="false">
      <c r="A7" s="4" t="n">
        <f aca="false">Source_Contractors!A7</f>
        <v>7</v>
      </c>
      <c r="B7" s="4" t="str">
        <f aca="false">Source_Contractors!B7</f>
        <v>Felix Braun</v>
      </c>
      <c r="C7" s="4" t="str">
        <f aca="false">Source_Contractors!C7</f>
        <v>felix.braun@freelance.example.com</v>
      </c>
      <c r="D7" s="4" t="str">
        <f aca="false">Source_Contractors!D7</f>
        <v>Lisa Wang</v>
      </c>
      <c r="E7" s="4" t="str">
        <f aca="false">Source_Contractors!E7</f>
        <v>lisa.wang@company.example.com</v>
      </c>
      <c r="F7" s="4" t="str">
        <f aca="false">Source_Contractors!F7</f>
        <v>Sales</v>
      </c>
      <c r="G7" s="4" t="str">
        <f aca="false">Source_Contractors!G7</f>
        <v>vp-sales@company.example.com</v>
      </c>
      <c r="H7" s="3" t="n">
        <f aca="false">Source_Contractors!H7</f>
        <v>46122</v>
      </c>
      <c r="I7" s="4" t="str">
        <f aca="false">Source_Contractors!I7</f>
        <v>Active</v>
      </c>
      <c r="J7" s="4" t="str">
        <f aca="false">IF(Source_Contractors!J7="","",Source_Contractors!J7)</f>
        <v/>
      </c>
      <c r="K7" s="3" t="n">
        <f aca="false">DATE(2026,4,15)</f>
        <v>46127</v>
      </c>
      <c r="L7" s="4" t="n">
        <f aca="false">H7-K7</f>
        <v>-5</v>
      </c>
      <c r="M7" s="4" t="str">
        <f aca="false">IF(L7&lt;0,"YES","NO")</f>
        <v>YES</v>
      </c>
      <c r="N7" s="4" t="str">
        <f aca="false">IF(AND(L7&gt;=0,L7&lt;=60),"YES","NO")</f>
        <v>NO</v>
      </c>
      <c r="O7" s="4" t="str">
        <f aca="false">IF(ISNUMBER(SEARCH("On PIP",J7)),"YES","NO")</f>
        <v>NO</v>
      </c>
      <c r="P7" s="4" t="str">
        <f aca="false">IF(AND(N7="YES",O7="NO"),"YES","NO")</f>
        <v>NO</v>
      </c>
      <c r="Q7" s="4" t="str">
        <f aca="false">IF(M7="YES","EXPIRED_NOT_RENEWED",IF(N7="NO","FUTURE_NO_ACTION",IF(O7="YES","PENDING_VP_APPROVAL","RENEWED_STANDARD")))</f>
        <v>EXPIRED_NOT_RENEWED</v>
      </c>
      <c r="R7" s="4" t="str">
        <f aca="false">IF(Q7="EXPIRED_NOT_RENEWED","Expired - Not Renewed",IF(Q7="PENDING_VP_APPROVAL","Pending VP Approval",IF(Q7="RENEWED_STANDARD","Renewed",I7)))</f>
        <v>Expired - Not Renewed</v>
      </c>
      <c r="S7" s="4" t="str">
        <f aca="false">IF(Q7="RENEWED_STANDARD",C7,IF(Q7="PENDING_VP_APPROVAL",G7,""))</f>
        <v/>
      </c>
      <c r="T7" s="4" t="str">
        <f aca="false">IF(Q7="RENEWED_STANDARD",E7,"")</f>
        <v/>
      </c>
      <c r="U7" s="4" t="str">
        <f aca="false">IF(OR(Q7="RENEWED_STANDARD",Q7="PENDING_VP_APPROVAL"),"YES","NO")</f>
        <v>NO</v>
      </c>
      <c r="V7" s="4" t="str">
        <f aca="false">IF(OR(Q7="RENEWED_STANDARD",Q7="PENDING_VP_APPROVAL",Q7="EXPIRED_NOT_RENEWED"),"YES","NO")</f>
        <v>YES</v>
      </c>
      <c r="W7" s="4" t="str">
        <f aca="false">"NO"</f>
        <v>NO</v>
      </c>
      <c r="X7" s="4" t="str">
        <f aca="false">IF(Q7="RENEWED_STANDARD","EXISTING_TERMS_ONLY; 5% REQUEST_ESCALATED_TO_PROCUREMENT; NO_RATE_APPLIED",IF(Q7="PENDING_VP_APPROVAL","NO_RATE_ACTION_PENDING_VP_APPROVAL",IF(Q7="EXPIRED_NOT_RENEWED","NO_RATE_ACTION_EXPIRED","NO_RATE_ACTION_OUTSIDE_60_DAYS")))</f>
        <v>NO_RATE_ACTION_EXPIRED</v>
      </c>
      <c r="Y7" s="4" t="str">
        <f aca="false">IF(Q7="RENEWED_STANDARD","YES","NO")</f>
        <v>NO</v>
      </c>
      <c r="Z7" s="4" t="str">
        <f aca="false">"NO"</f>
        <v>NO</v>
      </c>
      <c r="AA7" s="4" t="str">
        <f aca="false">IF(Q7="EXPIRED_NOT_RENEWED","Policy rule 5: already expired",IF(Q7="FUTURE_NO_ACTION","Policy rule 4: beyond 60 days",IF(Q7="PENDING_VP_APPROVAL","Policy rule 2: active PIP requires department VP approval","Policy rules 1 and 3: within 60 days, no active PIP")))</f>
        <v>Policy rule 5: already expired</v>
      </c>
      <c r="AB7" s="4" t="str">
        <f aca="false">"Contractor_Agreement_Tracker.xlsx:Active Agreements row "&amp;A7&amp;" | Contractor_Renewal_Policy.mbox:msg_contractor_policy_5121 | Workflow_Context.json:meta.current_time"</f>
        <v>Contractor_Agreement_Tracker.xlsx:Active Agreements row 7 | Contractor_Renewal_Policy.mbox:msg_contractor_policy_5121 | Workflow_Context.json:meta.current_time</v>
      </c>
    </row>
    <row r="8" customFormat="false" ht="69.75" hidden="false" customHeight="true" outlineLevel="0" collapsed="false">
      <c r="A8" s="4" t="n">
        <f aca="false">Source_Contractors!A8</f>
        <v>8</v>
      </c>
      <c r="B8" s="4" t="str">
        <f aca="false">Source_Contractors!B8</f>
        <v>Gloria Chen</v>
      </c>
      <c r="C8" s="4" t="str">
        <f aca="false">Source_Contractors!C8</f>
        <v>gloria.chen@freelance.example.com</v>
      </c>
      <c r="D8" s="4" t="str">
        <f aca="false">Source_Contractors!D8</f>
        <v>Derek Huang</v>
      </c>
      <c r="E8" s="4" t="str">
        <f aca="false">Source_Contractors!E8</f>
        <v>derek.huang@company.example.com</v>
      </c>
      <c r="F8" s="4" t="str">
        <f aca="false">Source_Contractors!F8</f>
        <v>Engineering</v>
      </c>
      <c r="G8" s="4" t="str">
        <f aca="false">Source_Contractors!G8</f>
        <v>vp-eng@company.example.com</v>
      </c>
      <c r="H8" s="3" t="n">
        <f aca="false">Source_Contractors!H8</f>
        <v>46183</v>
      </c>
      <c r="I8" s="4" t="str">
        <f aca="false">Source_Contractors!I8</f>
        <v>Active</v>
      </c>
      <c r="J8" s="4" t="str">
        <f aca="false">IF(Source_Contractors!J8="","",Source_Contractors!J8)</f>
        <v>On PIP since February 2026</v>
      </c>
      <c r="K8" s="3" t="n">
        <f aca="false">DATE(2026,4,15)</f>
        <v>46127</v>
      </c>
      <c r="L8" s="4" t="n">
        <f aca="false">H8-K8</f>
        <v>56</v>
      </c>
      <c r="M8" s="4" t="str">
        <f aca="false">IF(L8&lt;0,"YES","NO")</f>
        <v>NO</v>
      </c>
      <c r="N8" s="4" t="str">
        <f aca="false">IF(AND(L8&gt;=0,L8&lt;=60),"YES","NO")</f>
        <v>YES</v>
      </c>
      <c r="O8" s="4" t="str">
        <f aca="false">IF(ISNUMBER(SEARCH("On PIP",J8)),"YES","NO")</f>
        <v>YES</v>
      </c>
      <c r="P8" s="4" t="str">
        <f aca="false">IF(AND(N8="YES",O8="NO"),"YES","NO")</f>
        <v>NO</v>
      </c>
      <c r="Q8" s="4" t="str">
        <f aca="false">IF(M8="YES","EXPIRED_NOT_RENEWED",IF(N8="NO","FUTURE_NO_ACTION",IF(O8="YES","PENDING_VP_APPROVAL","RENEWED_STANDARD")))</f>
        <v>PENDING_VP_APPROVAL</v>
      </c>
      <c r="R8" s="4" t="str">
        <f aca="false">IF(Q8="EXPIRED_NOT_RENEWED","Expired - Not Renewed",IF(Q8="PENDING_VP_APPROVAL","Pending VP Approval",IF(Q8="RENEWED_STANDARD","Renewed",I8)))</f>
        <v>Pending VP Approval</v>
      </c>
      <c r="S8" s="4" t="str">
        <f aca="false">IF(Q8="RENEWED_STANDARD",C8,IF(Q8="PENDING_VP_APPROVAL",G8,""))</f>
        <v>vp-eng@company.example.com</v>
      </c>
      <c r="T8" s="4" t="str">
        <f aca="false">IF(Q8="RENEWED_STANDARD",E8,"")</f>
        <v/>
      </c>
      <c r="U8" s="4" t="str">
        <f aca="false">IF(OR(Q8="RENEWED_STANDARD",Q8="PENDING_VP_APPROVAL"),"YES","NO")</f>
        <v>YES</v>
      </c>
      <c r="V8" s="4" t="str">
        <f aca="false">IF(OR(Q8="RENEWED_STANDARD",Q8="PENDING_VP_APPROVAL",Q8="EXPIRED_NOT_RENEWED"),"YES","NO")</f>
        <v>YES</v>
      </c>
      <c r="W8" s="4" t="str">
        <f aca="false">"NO"</f>
        <v>NO</v>
      </c>
      <c r="X8" s="4" t="str">
        <f aca="false">IF(Q8="RENEWED_STANDARD","EXISTING_TERMS_ONLY; 5% REQUEST_ESCALATED_TO_PROCUREMENT; NO_RATE_APPLIED",IF(Q8="PENDING_VP_APPROVAL","NO_RATE_ACTION_PENDING_VP_APPROVAL",IF(Q8="EXPIRED_NOT_RENEWED","NO_RATE_ACTION_EXPIRED","NO_RATE_ACTION_OUTSIDE_60_DAYS")))</f>
        <v>NO_RATE_ACTION_PENDING_VP_APPROVAL</v>
      </c>
      <c r="Y8" s="4" t="str">
        <f aca="false">IF(Q8="RENEWED_STANDARD","YES","NO")</f>
        <v>NO</v>
      </c>
      <c r="Z8" s="4" t="str">
        <f aca="false">"NO"</f>
        <v>NO</v>
      </c>
      <c r="AA8" s="4" t="str">
        <f aca="false">IF(Q8="EXPIRED_NOT_RENEWED","Policy rule 5: already expired",IF(Q8="FUTURE_NO_ACTION","Policy rule 4: beyond 60 days",IF(Q8="PENDING_VP_APPROVAL","Policy rule 2: active PIP requires department VP approval","Policy rules 1 and 3: within 60 days, no active PIP")))</f>
        <v>Policy rule 2: active PIP requires department VP approval</v>
      </c>
      <c r="AB8" s="4" t="str">
        <f aca="false">"Contractor_Agreement_Tracker.xlsx:Active Agreements row "&amp;A8&amp;" | Contractor_Renewal_Policy.mbox:msg_contractor_policy_5121 | Workflow_Context.json:meta.current_time"</f>
        <v>Contractor_Agreement_Tracker.xlsx:Active Agreements row 8 | Contractor_Renewal_Policy.mbox:msg_contractor_policy_5121 | Workflow_Context.json:meta.current_time</v>
      </c>
    </row>
    <row r="9" customFormat="false" ht="69.75" hidden="false" customHeight="true" outlineLevel="0" collapsed="false">
      <c r="A9" s="4" t="n">
        <f aca="false">Source_Contractors!A9</f>
        <v>9</v>
      </c>
      <c r="B9" s="4" t="str">
        <f aca="false">Source_Contractors!B9</f>
        <v>Hugo Santos</v>
      </c>
      <c r="C9" s="4" t="str">
        <f aca="false">Source_Contractors!C9</f>
        <v>hugo.santos@freelance.example.com</v>
      </c>
      <c r="D9" s="4" t="str">
        <f aca="false">Source_Contractors!D9</f>
        <v>Mira Patel</v>
      </c>
      <c r="E9" s="4" t="str">
        <f aca="false">Source_Contractors!E9</f>
        <v>mira.patel@company.example.com</v>
      </c>
      <c r="F9" s="4" t="str">
        <f aca="false">Source_Contractors!F9</f>
        <v>Marketing</v>
      </c>
      <c r="G9" s="4" t="str">
        <f aca="false">Source_Contractors!G9</f>
        <v>vp-mkt@company.example.com</v>
      </c>
      <c r="H9" s="3" t="n">
        <f aca="false">Source_Contractors!H9</f>
        <v>46162</v>
      </c>
      <c r="I9" s="4" t="str">
        <f aca="false">Source_Contractors!I9</f>
        <v>Active</v>
      </c>
      <c r="J9" s="4" t="str">
        <f aca="false">IF(Source_Contractors!J9="","",Source_Contractors!J9)</f>
        <v/>
      </c>
      <c r="K9" s="3" t="n">
        <f aca="false">DATE(2026,4,15)</f>
        <v>46127</v>
      </c>
      <c r="L9" s="4" t="n">
        <f aca="false">H9-K9</f>
        <v>35</v>
      </c>
      <c r="M9" s="4" t="str">
        <f aca="false">IF(L9&lt;0,"YES","NO")</f>
        <v>NO</v>
      </c>
      <c r="N9" s="4" t="str">
        <f aca="false">IF(AND(L9&gt;=0,L9&lt;=60),"YES","NO")</f>
        <v>YES</v>
      </c>
      <c r="O9" s="4" t="str">
        <f aca="false">IF(ISNUMBER(SEARCH("On PIP",J9)),"YES","NO")</f>
        <v>NO</v>
      </c>
      <c r="P9" s="4" t="str">
        <f aca="false">IF(AND(N9="YES",O9="NO"),"YES","NO")</f>
        <v>YES</v>
      </c>
      <c r="Q9" s="4" t="str">
        <f aca="false">IF(M9="YES","EXPIRED_NOT_RENEWED",IF(N9="NO","FUTURE_NO_ACTION",IF(O9="YES","PENDING_VP_APPROVAL","RENEWED_STANDARD")))</f>
        <v>RENEWED_STANDARD</v>
      </c>
      <c r="R9" s="4" t="str">
        <f aca="false">IF(Q9="EXPIRED_NOT_RENEWED","Expired - Not Renewed",IF(Q9="PENDING_VP_APPROVAL","Pending VP Approval",IF(Q9="RENEWED_STANDARD","Renewed",I9)))</f>
        <v>Renewed</v>
      </c>
      <c r="S9" s="4" t="str">
        <f aca="false">IF(Q9="RENEWED_STANDARD",C9,IF(Q9="PENDING_VP_APPROVAL",G9,""))</f>
        <v>hugo.santos@freelance.example.com</v>
      </c>
      <c r="T9" s="4" t="str">
        <f aca="false">IF(Q9="RENEWED_STANDARD",E9,"")</f>
        <v>mira.patel@company.example.com</v>
      </c>
      <c r="U9" s="4" t="str">
        <f aca="false">IF(OR(Q9="RENEWED_STANDARD",Q9="PENDING_VP_APPROVAL"),"YES","NO")</f>
        <v>YES</v>
      </c>
      <c r="V9" s="4" t="str">
        <f aca="false">IF(OR(Q9="RENEWED_STANDARD",Q9="PENDING_VP_APPROVAL",Q9="EXPIRED_NOT_RENEWED"),"YES","NO")</f>
        <v>YES</v>
      </c>
      <c r="W9" s="4" t="str">
        <f aca="false">"NO"</f>
        <v>NO</v>
      </c>
      <c r="X9" s="4" t="str">
        <f aca="false">IF(Q9="RENEWED_STANDARD","EXISTING_TERMS_ONLY; 5% REQUEST_ESCALATED_TO_PROCUREMENT; NO_RATE_APPLIED",IF(Q9="PENDING_VP_APPROVAL","NO_RATE_ACTION_PENDING_VP_APPROVAL",IF(Q9="EXPIRED_NOT_RENEWED","NO_RATE_ACTION_EXPIRED","NO_RATE_ACTION_OUTSIDE_60_DAYS")))</f>
        <v>EXISTING_TERMS_ONLY; 5% REQUEST_ESCALATED_TO_PROCUREMENT; NO_RATE_APPLIED</v>
      </c>
      <c r="Y9" s="4" t="str">
        <f aca="false">IF(Q9="RENEWED_STANDARD","YES","NO")</f>
        <v>YES</v>
      </c>
      <c r="Z9" s="4" t="str">
        <f aca="false">"NO"</f>
        <v>NO</v>
      </c>
      <c r="AA9" s="4" t="str">
        <f aca="false">IF(Q9="EXPIRED_NOT_RENEWED","Policy rule 5: already expired",IF(Q9="FUTURE_NO_ACTION","Policy rule 4: beyond 60 days",IF(Q9="PENDING_VP_APPROVAL","Policy rule 2: active PIP requires department VP approval","Policy rules 1 and 3: within 60 days, no active PIP")))</f>
        <v>Policy rules 1 and 3: within 60 days, no active PIP</v>
      </c>
      <c r="AB9" s="4" t="str">
        <f aca="false">"Contractor_Agreement_Tracker.xlsx:Active Agreements row "&amp;A9&amp;" | Contractor_Renewal_Policy.mbox:msg_contractor_policy_5121 | Workflow_Context.json:meta.current_time"</f>
        <v>Contractor_Agreement_Tracker.xlsx:Active Agreements row 9 | Contractor_Renewal_Policy.mbox:msg_contractor_policy_5121 | Workflow_Context.json:meta.current_time</v>
      </c>
    </row>
  </sheetData>
  <autoFilter ref="A1:AB9"/>
  <conditionalFormatting sqref="A2:AB9">
    <cfRule type="expression" priority="2" aboveAverage="0" equalAverage="0" bottom="0" percent="0" rank="0" text="" dxfId="7">
      <formula>$Q2="RENEWED_STANDARD"</formula>
    </cfRule>
    <cfRule type="expression" priority="3" aboveAverage="0" equalAverage="0" bottom="0" percent="0" rank="0" text="" dxfId="8">
      <formula>$Q2="PENDING_VP_APPROVAL"</formula>
    </cfRule>
    <cfRule type="expression" priority="4" aboveAverage="0" equalAverage="0" bottom="0" percent="0" rank="0" text="" dxfId="9">
      <formula>$Q2="EXPIRED_NOT_RENEWED"</formula>
    </cfRule>
    <cfRule type="expression" priority="5" aboveAverage="0" equalAverage="0" bottom="0" percent="0" rank="0" text="" dxfId="10">
      <formula>$Q2="FUTURE_NO_ACTION"</formula>
    </cfRule>
  </conditionalFormatting>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&amp;CFormula-derived expiration precedence, PIP routing and rate controls</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R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9"/>
    <col collapsed="false" customWidth="true" hidden="false" outlineLevel="0" max="2" min="2" style="0" width="10.99"/>
    <col collapsed="false" customWidth="true" hidden="false" outlineLevel="0" max="3" min="3" style="0" width="23.01"/>
    <col collapsed="false" customWidth="true" hidden="false" outlineLevel="0" max="4" min="4" style="0" width="37.99"/>
    <col collapsed="false" customWidth="true" hidden="false" outlineLevel="0" max="5" min="5" style="0" width="20.99"/>
    <col collapsed="false" customWidth="true" hidden="false" outlineLevel="0" max="6" min="6" style="0" width="37.99"/>
    <col collapsed="false" customWidth="true" hidden="false" outlineLevel="0" max="7" min="7" style="0" width="16"/>
    <col collapsed="false" customWidth="true" hidden="false" outlineLevel="0" max="8" min="8" style="0" width="10"/>
    <col collapsed="false" customWidth="true" hidden="false" outlineLevel="0" max="9" min="9" style="0" width="23.01"/>
    <col collapsed="false" customWidth="true" hidden="false" outlineLevel="0" max="10" min="10" style="0" width="19"/>
    <col collapsed="false" customWidth="true" hidden="false" outlineLevel="0" max="12" min="11" style="0" width="37.99"/>
    <col collapsed="false" customWidth="true" hidden="false" outlineLevel="0" max="13" min="13" style="0" width="64.01"/>
    <col collapsed="false" customWidth="true" hidden="false" outlineLevel="0" max="14" min="14" style="0" width="18"/>
    <col collapsed="false" customWidth="true" hidden="false" outlineLevel="0" max="15" min="15" style="0" width="32"/>
    <col collapsed="false" customWidth="true" hidden="false" outlineLevel="0" max="16" min="16" style="0" width="9"/>
    <col collapsed="false" customWidth="true" hidden="false" outlineLevel="0" max="17" min="17" style="0" width="10"/>
    <col collapsed="false" customWidth="true" hidden="false" outlineLevel="0" max="18" min="18" style="0" width="100"/>
  </cols>
  <sheetData>
    <row r="1" customFormat="false" ht="30.75" hidden="false" customHeight="true" outlineLevel="0" collapsed="false">
      <c r="A1" s="1" t="s">
        <v>136</v>
      </c>
      <c r="B1" s="1" t="s">
        <v>0</v>
      </c>
      <c r="C1" s="1" t="s">
        <v>1</v>
      </c>
      <c r="D1" s="1" t="s">
        <v>2</v>
      </c>
      <c r="E1" s="1" t="s">
        <v>3</v>
      </c>
      <c r="F1" s="1" t="s">
        <v>4</v>
      </c>
      <c r="G1" s="1" t="s">
        <v>7</v>
      </c>
      <c r="H1" s="1" t="s">
        <v>137</v>
      </c>
      <c r="I1" s="1" t="s">
        <v>126</v>
      </c>
      <c r="J1" s="1" t="s">
        <v>127</v>
      </c>
      <c r="K1" s="1" t="s">
        <v>128</v>
      </c>
      <c r="L1" s="1" t="s">
        <v>129</v>
      </c>
      <c r="M1" s="1" t="s">
        <v>138</v>
      </c>
      <c r="N1" s="1" t="s">
        <v>134</v>
      </c>
      <c r="O1" s="1" t="s">
        <v>139</v>
      </c>
      <c r="P1" s="1" t="s">
        <v>140</v>
      </c>
      <c r="Q1" s="1" t="s">
        <v>141</v>
      </c>
      <c r="R1" s="1" t="s">
        <v>45</v>
      </c>
    </row>
    <row r="2" customFormat="false" ht="15" hidden="false" customHeight="false" outlineLevel="0" collapsed="false">
      <c r="A2" s="2" t="n">
        <v>1</v>
      </c>
      <c r="B2" s="2" t="n">
        <f aca="false">Renewal_Decisions!A2</f>
        <v>2</v>
      </c>
      <c r="C2" s="2" t="str">
        <f aca="false">Renewal_Decisions!B2</f>
        <v>Ana Petrova</v>
      </c>
      <c r="D2" s="2" t="str">
        <f aca="false">Renewal_Decisions!C2</f>
        <v>ana.petrova@freelance.example.com</v>
      </c>
      <c r="E2" s="2" t="str">
        <f aca="false">Renewal_Decisions!D2</f>
        <v>Derek Huang</v>
      </c>
      <c r="F2" s="2" t="str">
        <f aca="false">Renewal_Decisions!E2</f>
        <v>derek.huang@company.example.com</v>
      </c>
      <c r="G2" s="3" t="n">
        <f aca="false">Renewal_Decisions!H2</f>
        <v>46157</v>
      </c>
      <c r="H2" s="2" t="n">
        <f aca="false">Renewal_Decisions!L2</f>
        <v>30</v>
      </c>
      <c r="I2" s="2" t="str">
        <f aca="false">Renewal_Decisions!Q2</f>
        <v>RENEWED_STANDARD</v>
      </c>
      <c r="J2" s="2" t="str">
        <f aca="false">Renewal_Decisions!R2</f>
        <v>Renewed</v>
      </c>
      <c r="K2" s="2" t="str">
        <f aca="false">Renewal_Decisions!S2</f>
        <v>ana.petrova@freelance.example.com</v>
      </c>
      <c r="L2" s="2" t="str">
        <f aca="false">Renewal_Decisions!T2</f>
        <v>derek.huang@company.example.com</v>
      </c>
      <c r="M2" s="2" t="str">
        <f aca="false">Renewal_Decisions!X2</f>
        <v>EXISTING_TERMS_ONLY; 5% REQUEST_ESCALATED_TO_PROCUREMENT; NO_RATE_APPLIED</v>
      </c>
      <c r="N2" s="2" t="str">
        <f aca="false">Renewal_Decisions!Y2</f>
        <v>YES</v>
      </c>
      <c r="O2" s="2" t="str">
        <f aca="false">"DRAFT_NOT_SENT / NOT_APPLIED"</f>
        <v>DRAFT_NOT_SENT / NOT_APPLIED</v>
      </c>
      <c r="P2" s="5" t="b">
        <f aca="false">FALSE()</f>
        <v>0</v>
      </c>
      <c r="Q2" s="5" t="b">
        <f aca="false">FALSE()</f>
        <v>0</v>
      </c>
      <c r="R2" s="2" t="str">
        <f aca="false">Renewal_Decisions!AB2</f>
        <v>Contractor_Agreement_Tracker.xlsx:Active Agreements row 2 | Contractor_Renewal_Policy.mbox:msg_contractor_policy_5121 | Workflow_Context.json:meta.current_time</v>
      </c>
    </row>
    <row r="3" customFormat="false" ht="15" hidden="false" customHeight="false" outlineLevel="0" collapsed="false">
      <c r="A3" s="2" t="n">
        <v>2</v>
      </c>
      <c r="B3" s="2" t="n">
        <f aca="false">Renewal_Decisions!A5</f>
        <v>5</v>
      </c>
      <c r="C3" s="2" t="str">
        <f aca="false">Renewal_Decisions!B5</f>
        <v>Darius Kim</v>
      </c>
      <c r="D3" s="2" t="str">
        <f aca="false">Renewal_Decisions!C5</f>
        <v>darius.kim@freelance.example.com</v>
      </c>
      <c r="E3" s="2" t="str">
        <f aca="false">Renewal_Decisions!D5</f>
        <v>Derek Huang</v>
      </c>
      <c r="F3" s="2" t="str">
        <f aca="false">Renewal_Decisions!E5</f>
        <v>derek.huang@company.example.com</v>
      </c>
      <c r="G3" s="3" t="n">
        <f aca="false">Renewal_Decisions!H5</f>
        <v>46143</v>
      </c>
      <c r="H3" s="2" t="n">
        <f aca="false">Renewal_Decisions!L5</f>
        <v>16</v>
      </c>
      <c r="I3" s="2" t="str">
        <f aca="false">Renewal_Decisions!Q5</f>
        <v>RENEWED_STANDARD</v>
      </c>
      <c r="J3" s="2" t="str">
        <f aca="false">Renewal_Decisions!R5</f>
        <v>Renewed</v>
      </c>
      <c r="K3" s="2" t="str">
        <f aca="false">Renewal_Decisions!S5</f>
        <v>darius.kim@freelance.example.com</v>
      </c>
      <c r="L3" s="2" t="str">
        <f aca="false">Renewal_Decisions!T5</f>
        <v>derek.huang@company.example.com</v>
      </c>
      <c r="M3" s="2" t="str">
        <f aca="false">Renewal_Decisions!X5</f>
        <v>EXISTING_TERMS_ONLY; 5% REQUEST_ESCALATED_TO_PROCUREMENT; NO_RATE_APPLIED</v>
      </c>
      <c r="N3" s="2" t="str">
        <f aca="false">Renewal_Decisions!Y5</f>
        <v>YES</v>
      </c>
      <c r="O3" s="2" t="str">
        <f aca="false">"DRAFT_NOT_SENT / NOT_APPLIED"</f>
        <v>DRAFT_NOT_SENT / NOT_APPLIED</v>
      </c>
      <c r="P3" s="5" t="b">
        <f aca="false">FALSE()</f>
        <v>0</v>
      </c>
      <c r="Q3" s="5" t="b">
        <f aca="false">FALSE()</f>
        <v>0</v>
      </c>
      <c r="R3" s="2" t="str">
        <f aca="false">Renewal_Decisions!AB5</f>
        <v>Contractor_Agreement_Tracker.xlsx:Active Agreements row 5 | Contractor_Renewal_Policy.mbox:msg_contractor_policy_5121 | Workflow_Context.json:meta.current_time</v>
      </c>
    </row>
    <row r="4" customFormat="false" ht="15" hidden="false" customHeight="false" outlineLevel="0" collapsed="false">
      <c r="A4" s="2" t="n">
        <v>3</v>
      </c>
      <c r="B4" s="2" t="n">
        <f aca="false">Renewal_Decisions!A9</f>
        <v>9</v>
      </c>
      <c r="C4" s="2" t="str">
        <f aca="false">Renewal_Decisions!B9</f>
        <v>Hugo Santos</v>
      </c>
      <c r="D4" s="2" t="str">
        <f aca="false">Renewal_Decisions!C9</f>
        <v>hugo.santos@freelance.example.com</v>
      </c>
      <c r="E4" s="2" t="str">
        <f aca="false">Renewal_Decisions!D9</f>
        <v>Mira Patel</v>
      </c>
      <c r="F4" s="2" t="str">
        <f aca="false">Renewal_Decisions!E9</f>
        <v>mira.patel@company.example.com</v>
      </c>
      <c r="G4" s="3" t="n">
        <f aca="false">Renewal_Decisions!H9</f>
        <v>46162</v>
      </c>
      <c r="H4" s="2" t="n">
        <f aca="false">Renewal_Decisions!L9</f>
        <v>35</v>
      </c>
      <c r="I4" s="2" t="str">
        <f aca="false">Renewal_Decisions!Q9</f>
        <v>RENEWED_STANDARD</v>
      </c>
      <c r="J4" s="2" t="str">
        <f aca="false">Renewal_Decisions!R9</f>
        <v>Renewed</v>
      </c>
      <c r="K4" s="2" t="str">
        <f aca="false">Renewal_Decisions!S9</f>
        <v>hugo.santos@freelance.example.com</v>
      </c>
      <c r="L4" s="2" t="str">
        <f aca="false">Renewal_Decisions!T9</f>
        <v>mira.patel@company.example.com</v>
      </c>
      <c r="M4" s="2" t="str">
        <f aca="false">Renewal_Decisions!X9</f>
        <v>EXISTING_TERMS_ONLY; 5% REQUEST_ESCALATED_TO_PROCUREMENT; NO_RATE_APPLIED</v>
      </c>
      <c r="N4" s="2" t="str">
        <f aca="false">Renewal_Decisions!Y9</f>
        <v>YES</v>
      </c>
      <c r="O4" s="2" t="str">
        <f aca="false">"DRAFT_NOT_SENT / NOT_APPLIED"</f>
        <v>DRAFT_NOT_SENT / NOT_APPLIED</v>
      </c>
      <c r="P4" s="5" t="b">
        <f aca="false">FALSE()</f>
        <v>0</v>
      </c>
      <c r="Q4" s="5" t="b">
        <f aca="false">FALSE()</f>
        <v>0</v>
      </c>
      <c r="R4" s="2" t="str">
        <f aca="false">Renewal_Decisions!AB9</f>
        <v>Contractor_Agreement_Tracker.xlsx:Active Agreements row 9 | Contractor_Renewal_Policy.mbox:msg_contractor_policy_5121 | Workflow_Context.json:meta.current_time</v>
      </c>
    </row>
  </sheetData>
  <autoFilter ref="A1:R4"/>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&amp;CThree standard renewals at existing terms only</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Q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9"/>
    <col collapsed="false" customWidth="true" hidden="false" outlineLevel="0" max="2" min="2" style="0" width="10.99"/>
    <col collapsed="false" customWidth="true" hidden="false" outlineLevel="0" max="3" min="3" style="0" width="23.01"/>
    <col collapsed="false" customWidth="true" hidden="false" outlineLevel="0" max="4" min="4" style="0" width="18"/>
    <col collapsed="false" customWidth="true" hidden="false" outlineLevel="0" max="5" min="5" style="0" width="39.01"/>
    <col collapsed="false" customWidth="true" hidden="false" outlineLevel="0" max="6" min="6" style="0" width="16"/>
    <col collapsed="false" customWidth="true" hidden="false" outlineLevel="0" max="7" min="7" style="0" width="10"/>
    <col collapsed="false" customWidth="true" hidden="false" outlineLevel="0" max="8" min="8" style="0" width="32"/>
    <col collapsed="false" customWidth="true" hidden="false" outlineLevel="0" max="10" min="9" style="0" width="25"/>
    <col collapsed="false" customWidth="true" hidden="false" outlineLevel="0" max="11" min="11" style="0" width="39.01"/>
    <col collapsed="false" customWidth="true" hidden="false" outlineLevel="0" max="12" min="12" style="0" width="15"/>
    <col collapsed="false" customWidth="true" hidden="false" outlineLevel="0" max="13" min="13" style="0" width="49"/>
    <col collapsed="false" customWidth="true" hidden="false" outlineLevel="0" max="14" min="14" style="0" width="32"/>
    <col collapsed="false" customWidth="true" hidden="false" outlineLevel="0" max="15" min="15" style="0" width="9"/>
    <col collapsed="false" customWidth="true" hidden="false" outlineLevel="0" max="16" min="16" style="0" width="10"/>
    <col collapsed="false" customWidth="true" hidden="false" outlineLevel="0" max="17" min="17" style="0" width="100"/>
  </cols>
  <sheetData>
    <row r="1" customFormat="false" ht="30.75" hidden="false" customHeight="true" outlineLevel="0" collapsed="false">
      <c r="A1" s="1" t="s">
        <v>136</v>
      </c>
      <c r="B1" s="1" t="s">
        <v>0</v>
      </c>
      <c r="C1" s="1" t="s">
        <v>1</v>
      </c>
      <c r="D1" s="1" t="s">
        <v>5</v>
      </c>
      <c r="E1" s="1" t="s">
        <v>6</v>
      </c>
      <c r="F1" s="1" t="s">
        <v>7</v>
      </c>
      <c r="G1" s="1" t="s">
        <v>137</v>
      </c>
      <c r="H1" s="1" t="s">
        <v>9</v>
      </c>
      <c r="I1" s="1" t="s">
        <v>126</v>
      </c>
      <c r="J1" s="1" t="s">
        <v>127</v>
      </c>
      <c r="K1" s="1" t="s">
        <v>128</v>
      </c>
      <c r="L1" s="1" t="s">
        <v>129</v>
      </c>
      <c r="M1" s="1" t="s">
        <v>133</v>
      </c>
      <c r="N1" s="1" t="s">
        <v>139</v>
      </c>
      <c r="O1" s="1" t="s">
        <v>140</v>
      </c>
      <c r="P1" s="1" t="s">
        <v>141</v>
      </c>
      <c r="Q1" s="1" t="s">
        <v>45</v>
      </c>
    </row>
    <row r="2" customFormat="false" ht="15" hidden="false" customHeight="false" outlineLevel="0" collapsed="false">
      <c r="A2" s="2" t="n">
        <v>1</v>
      </c>
      <c r="B2" s="2" t="n">
        <f aca="false">Renewal_Decisions!A4</f>
        <v>4</v>
      </c>
      <c r="C2" s="2" t="str">
        <f aca="false">Renewal_Decisions!B4</f>
        <v>Carmen Ruiz</v>
      </c>
      <c r="D2" s="2" t="str">
        <f aca="false">Renewal_Decisions!F4</f>
        <v>Sales</v>
      </c>
      <c r="E2" s="2" t="str">
        <f aca="false">Renewal_Decisions!G4</f>
        <v>vp-sales@company.example.com</v>
      </c>
      <c r="F2" s="3" t="n">
        <f aca="false">Renewal_Decisions!H4</f>
        <v>46142</v>
      </c>
      <c r="G2" s="2" t="n">
        <f aca="false">Renewal_Decisions!L4</f>
        <v>15</v>
      </c>
      <c r="H2" s="2" t="str">
        <f aca="false">Renewal_Decisions!J4</f>
        <v>On PIP since March 2026</v>
      </c>
      <c r="I2" s="2" t="str">
        <f aca="false">Renewal_Decisions!Q4</f>
        <v>PENDING_VP_APPROVAL</v>
      </c>
      <c r="J2" s="2" t="str">
        <f aca="false">Renewal_Decisions!R4</f>
        <v>Pending VP Approval</v>
      </c>
      <c r="K2" s="2" t="str">
        <f aca="false">Renewal_Decisions!S4</f>
        <v>vp-sales@company.example.com</v>
      </c>
      <c r="L2" s="2" t="str">
        <f aca="false">Renewal_Decisions!T4</f>
        <v/>
      </c>
      <c r="M2" s="2" t="str">
        <f aca="false">Renewal_Decisions!X4</f>
        <v>NO_RATE_ACTION_PENDING_VP_APPROVAL</v>
      </c>
      <c r="N2" s="2" t="str">
        <f aca="false">"DRAFT_NOT_SENT / NOT_APPLIED"</f>
        <v>DRAFT_NOT_SENT / NOT_APPLIED</v>
      </c>
      <c r="O2" s="5" t="b">
        <f aca="false">FALSE()</f>
        <v>0</v>
      </c>
      <c r="P2" s="5" t="b">
        <f aca="false">FALSE()</f>
        <v>0</v>
      </c>
      <c r="Q2" s="2" t="str">
        <f aca="false">Renewal_Decisions!AB4</f>
        <v>Contractor_Agreement_Tracker.xlsx:Active Agreements row 4 | Contractor_Renewal_Policy.mbox:msg_contractor_policy_5121 | Workflow_Context.json:meta.current_time</v>
      </c>
    </row>
    <row r="3" customFormat="false" ht="15" hidden="false" customHeight="false" outlineLevel="0" collapsed="false">
      <c r="A3" s="2" t="n">
        <v>2</v>
      </c>
      <c r="B3" s="2" t="n">
        <f aca="false">Renewal_Decisions!A8</f>
        <v>8</v>
      </c>
      <c r="C3" s="2" t="str">
        <f aca="false">Renewal_Decisions!B8</f>
        <v>Gloria Chen</v>
      </c>
      <c r="D3" s="2" t="str">
        <f aca="false">Renewal_Decisions!F8</f>
        <v>Engineering</v>
      </c>
      <c r="E3" s="2" t="str">
        <f aca="false">Renewal_Decisions!G8</f>
        <v>vp-eng@company.example.com</v>
      </c>
      <c r="F3" s="3" t="n">
        <f aca="false">Renewal_Decisions!H8</f>
        <v>46183</v>
      </c>
      <c r="G3" s="2" t="n">
        <f aca="false">Renewal_Decisions!L8</f>
        <v>56</v>
      </c>
      <c r="H3" s="2" t="str">
        <f aca="false">Renewal_Decisions!J8</f>
        <v>On PIP since February 2026</v>
      </c>
      <c r="I3" s="2" t="str">
        <f aca="false">Renewal_Decisions!Q8</f>
        <v>PENDING_VP_APPROVAL</v>
      </c>
      <c r="J3" s="2" t="str">
        <f aca="false">Renewal_Decisions!R8</f>
        <v>Pending VP Approval</v>
      </c>
      <c r="K3" s="2" t="str">
        <f aca="false">Renewal_Decisions!S8</f>
        <v>vp-eng@company.example.com</v>
      </c>
      <c r="L3" s="2" t="str">
        <f aca="false">Renewal_Decisions!T8</f>
        <v/>
      </c>
      <c r="M3" s="2" t="str">
        <f aca="false">Renewal_Decisions!X8</f>
        <v>NO_RATE_ACTION_PENDING_VP_APPROVAL</v>
      </c>
      <c r="N3" s="2" t="str">
        <f aca="false">"DRAFT_NOT_SENT / NOT_APPLIED"</f>
        <v>DRAFT_NOT_SENT / NOT_APPLIED</v>
      </c>
      <c r="O3" s="5" t="b">
        <f aca="false">FALSE()</f>
        <v>0</v>
      </c>
      <c r="P3" s="5" t="b">
        <f aca="false">FALSE()</f>
        <v>0</v>
      </c>
      <c r="Q3" s="2" t="str">
        <f aca="false">Renewal_Decisions!AB8</f>
        <v>Contractor_Agreement_Tracker.xlsx:Active Agreements row 8 | Contractor_Renewal_Policy.mbox:msg_contractor_policy_5121 | Workflow_Context.json:meta.current_time</v>
      </c>
    </row>
  </sheetData>
  <autoFilter ref="A1:Q3"/>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&amp;CTwo PIP cases routed only to department VPs</oddFooter>
  </headerFooter>
  <drawing r:id="rId1"/>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M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1.99"/>
    <col collapsed="false" customWidth="true" hidden="false" outlineLevel="0" max="2" min="2" style="0" width="25"/>
    <col collapsed="false" customWidth="true" hidden="false" outlineLevel="0" max="3" min="3" style="0" width="17"/>
    <col collapsed="false" customWidth="true" hidden="false" outlineLevel="0" max="4" min="4" style="0" width="10"/>
    <col collapsed="false" customWidth="true" hidden="false" outlineLevel="0" max="5" min="5" style="0" width="16"/>
    <col collapsed="false" customWidth="true" hidden="false" outlineLevel="0" max="6" min="6" style="0" width="27"/>
    <col collapsed="false" customWidth="true" hidden="false" outlineLevel="0" max="7" min="7" style="0" width="26"/>
    <col collapsed="false" customWidth="true" hidden="false" outlineLevel="0" max="8" min="8" style="0" width="14.01"/>
    <col collapsed="false" customWidth="true" hidden="false" outlineLevel="0" max="9" min="9" style="0" width="15"/>
    <col collapsed="false" customWidth="true" hidden="false" outlineLevel="0" max="10" min="10" style="0" width="39.01"/>
    <col collapsed="false" customWidth="true" hidden="false" outlineLevel="0" max="11" min="11" style="0" width="24"/>
    <col collapsed="false" customWidth="true" hidden="false" outlineLevel="0" max="12" min="12" style="0" width="10"/>
    <col collapsed="false" customWidth="true" hidden="false" outlineLevel="0" max="13" min="13" style="0" width="100"/>
  </cols>
  <sheetData>
    <row r="1" customFormat="false" ht="30.75" hidden="false" customHeight="true" outlineLevel="0" collapsed="false">
      <c r="A1" s="1" t="s">
        <v>0</v>
      </c>
      <c r="B1" s="1" t="s">
        <v>1</v>
      </c>
      <c r="C1" s="1" t="s">
        <v>7</v>
      </c>
      <c r="D1" s="1" t="s">
        <v>137</v>
      </c>
      <c r="E1" s="1" t="s">
        <v>119</v>
      </c>
      <c r="F1" s="1" t="s">
        <v>126</v>
      </c>
      <c r="G1" s="1" t="s">
        <v>127</v>
      </c>
      <c r="H1" s="1" t="s">
        <v>142</v>
      </c>
      <c r="I1" s="1" t="s">
        <v>143</v>
      </c>
      <c r="J1" s="1" t="s">
        <v>133</v>
      </c>
      <c r="K1" s="1" t="s">
        <v>139</v>
      </c>
      <c r="L1" s="1" t="s">
        <v>141</v>
      </c>
      <c r="M1" s="1" t="s">
        <v>45</v>
      </c>
    </row>
    <row r="2" customFormat="false" ht="15" hidden="false" customHeight="false" outlineLevel="0" collapsed="false">
      <c r="A2" s="2" t="n">
        <f aca="false">Renewal_Decisions!A7</f>
        <v>7</v>
      </c>
      <c r="B2" s="2" t="str">
        <f aca="false">Renewal_Decisions!B7</f>
        <v>Felix Braun</v>
      </c>
      <c r="C2" s="3" t="n">
        <f aca="false">Renewal_Decisions!H7</f>
        <v>46122</v>
      </c>
      <c r="D2" s="2" t="n">
        <f aca="false">Renewal_Decisions!L7</f>
        <v>-5</v>
      </c>
      <c r="E2" s="2" t="str">
        <f aca="false">Renewal_Decisions!I7</f>
        <v>Active</v>
      </c>
      <c r="F2" s="2" t="str">
        <f aca="false">Renewal_Decisions!Q7</f>
        <v>EXPIRED_NOT_RENEWED</v>
      </c>
      <c r="G2" s="2" t="str">
        <f aca="false">Renewal_Decisions!R7</f>
        <v>Expired - Not Renewed</v>
      </c>
      <c r="H2" s="2" t="str">
        <f aca="false">Renewal_Decisions!U7</f>
        <v>NO</v>
      </c>
      <c r="I2" s="2" t="str">
        <f aca="false">Renewal_Decisions!V7</f>
        <v>YES</v>
      </c>
      <c r="J2" s="2" t="str">
        <f aca="false">Renewal_Decisions!X7</f>
        <v>NO_RATE_ACTION_EXPIRED</v>
      </c>
      <c r="K2" s="2" t="str">
        <f aca="false">"DRAFT_NOT_APPLIED"</f>
        <v>DRAFT_NOT_APPLIED</v>
      </c>
      <c r="L2" s="5" t="b">
        <f aca="false">FALSE()</f>
        <v>0</v>
      </c>
      <c r="M2" s="2" t="str">
        <f aca="false">Renewal_Decisions!AB7</f>
        <v>Contractor_Agreement_Tracker.xlsx:Active Agreements row 7 | Contractor_Renewal_Policy.mbox:msg_contractor_policy_5121 | Workflow_Context.json:meta.current_time</v>
      </c>
    </row>
  </sheetData>
  <autoFilter ref="A1:M2"/>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&amp;CFelix expired before the frozen review date</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M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9"/>
    <col collapsed="false" customWidth="true" hidden="false" outlineLevel="0" max="2" min="2" style="0" width="10.99"/>
    <col collapsed="false" customWidth="true" hidden="false" outlineLevel="0" max="3" min="3" style="0" width="25"/>
    <col collapsed="false" customWidth="true" hidden="false" outlineLevel="0" max="4" min="4" style="0" width="17"/>
    <col collapsed="false" customWidth="true" hidden="false" outlineLevel="0" max="5" min="5" style="0" width="10"/>
    <col collapsed="false" customWidth="true" hidden="false" outlineLevel="0" max="6" min="6" style="0" width="25"/>
    <col collapsed="false" customWidth="true" hidden="false" outlineLevel="0" max="7" min="7" style="0" width="15"/>
    <col collapsed="false" customWidth="true" hidden="false" outlineLevel="0" max="8" min="8" style="0" width="19.99"/>
    <col collapsed="false" customWidth="true" hidden="false" outlineLevel="0" max="9" min="9" style="0" width="14.01"/>
    <col collapsed="false" customWidth="true" hidden="false" outlineLevel="0" max="10" min="10" style="0" width="15"/>
    <col collapsed="false" customWidth="true" hidden="false" outlineLevel="0" max="11" min="11" style="0" width="44"/>
    <col collapsed="false" customWidth="true" hidden="false" outlineLevel="0" max="12" min="12" style="0" width="13.01"/>
    <col collapsed="false" customWidth="true" hidden="false" outlineLevel="0" max="13" min="13" style="0" width="100"/>
  </cols>
  <sheetData>
    <row r="1" customFormat="false" ht="30.75" hidden="false" customHeight="true" outlineLevel="0" collapsed="false">
      <c r="A1" s="1" t="s">
        <v>136</v>
      </c>
      <c r="B1" s="1" t="s">
        <v>0</v>
      </c>
      <c r="C1" s="1" t="s">
        <v>1</v>
      </c>
      <c r="D1" s="1" t="s">
        <v>7</v>
      </c>
      <c r="E1" s="1" t="s">
        <v>137</v>
      </c>
      <c r="F1" s="1" t="s">
        <v>126</v>
      </c>
      <c r="G1" s="1" t="s">
        <v>119</v>
      </c>
      <c r="H1" s="1" t="s">
        <v>127</v>
      </c>
      <c r="I1" s="1" t="s">
        <v>142</v>
      </c>
      <c r="J1" s="1" t="s">
        <v>143</v>
      </c>
      <c r="K1" s="1" t="s">
        <v>133</v>
      </c>
      <c r="L1" s="1" t="s">
        <v>135</v>
      </c>
      <c r="M1" s="1" t="s">
        <v>45</v>
      </c>
    </row>
    <row r="2" customFormat="false" ht="15" hidden="false" customHeight="false" outlineLevel="0" collapsed="false">
      <c r="A2" s="2" t="n">
        <v>1</v>
      </c>
      <c r="B2" s="2" t="n">
        <f aca="false">Renewal_Decisions!A3</f>
        <v>3</v>
      </c>
      <c r="C2" s="2" t="str">
        <f aca="false">Renewal_Decisions!B3</f>
        <v>Brian Osei</v>
      </c>
      <c r="D2" s="3" t="n">
        <f aca="false">Renewal_Decisions!H3</f>
        <v>46203</v>
      </c>
      <c r="E2" s="2" t="n">
        <f aca="false">Renewal_Decisions!L3</f>
        <v>76</v>
      </c>
      <c r="F2" s="2" t="str">
        <f aca="false">Renewal_Decisions!Q3</f>
        <v>FUTURE_NO_ACTION</v>
      </c>
      <c r="G2" s="2" t="str">
        <f aca="false">Renewal_Decisions!I3</f>
        <v>Active</v>
      </c>
      <c r="H2" s="2" t="str">
        <f aca="false">Renewal_Decisions!R3</f>
        <v>Active</v>
      </c>
      <c r="I2" s="2" t="str">
        <f aca="false">Renewal_Decisions!U3</f>
        <v>NO</v>
      </c>
      <c r="J2" s="2" t="str">
        <f aca="false">Renewal_Decisions!V3</f>
        <v>NO</v>
      </c>
      <c r="K2" s="2" t="str">
        <f aca="false">Renewal_Decisions!X3</f>
        <v>NO_RATE_ACTION_OUTSIDE_60_DAYS</v>
      </c>
      <c r="L2" s="2" t="str">
        <f aca="false">Renewal_Decisions!Z3</f>
        <v>NO</v>
      </c>
      <c r="M2" s="2" t="str">
        <f aca="false">Renewal_Decisions!AB3</f>
        <v>Contractor_Agreement_Tracker.xlsx:Active Agreements row 3 | Contractor_Renewal_Policy.mbox:msg_contractor_policy_5121 | Workflow_Context.json:meta.current_time</v>
      </c>
    </row>
    <row r="3" customFormat="false" ht="15" hidden="false" customHeight="false" outlineLevel="0" collapsed="false">
      <c r="A3" s="2" t="n">
        <v>2</v>
      </c>
      <c r="B3" s="2" t="n">
        <f aca="false">Renewal_Decisions!A6</f>
        <v>6</v>
      </c>
      <c r="C3" s="2" t="str">
        <f aca="false">Renewal_Decisions!B6</f>
        <v>Eva Lindström</v>
      </c>
      <c r="D3" s="3" t="n">
        <f aca="false">Renewal_Decisions!H6</f>
        <v>46249</v>
      </c>
      <c r="E3" s="2" t="n">
        <f aca="false">Renewal_Decisions!L6</f>
        <v>122</v>
      </c>
      <c r="F3" s="2" t="str">
        <f aca="false">Renewal_Decisions!Q6</f>
        <v>FUTURE_NO_ACTION</v>
      </c>
      <c r="G3" s="2" t="str">
        <f aca="false">Renewal_Decisions!I6</f>
        <v>Active</v>
      </c>
      <c r="H3" s="2" t="str">
        <f aca="false">Renewal_Decisions!R6</f>
        <v>Active</v>
      </c>
      <c r="I3" s="2" t="str">
        <f aca="false">Renewal_Decisions!U6</f>
        <v>NO</v>
      </c>
      <c r="J3" s="2" t="str">
        <f aca="false">Renewal_Decisions!V6</f>
        <v>NO</v>
      </c>
      <c r="K3" s="2" t="str">
        <f aca="false">Renewal_Decisions!X6</f>
        <v>NO_RATE_ACTION_OUTSIDE_60_DAYS</v>
      </c>
      <c r="L3" s="2" t="str">
        <f aca="false">Renewal_Decisions!Z6</f>
        <v>NO</v>
      </c>
      <c r="M3" s="2" t="str">
        <f aca="false">Renewal_Decisions!AB6</f>
        <v>Contractor_Agreement_Tracker.xlsx:Active Agreements row 6 | Contractor_Renewal_Policy.mbox:msg_contractor_policy_5121 | Workflow_Context.json:meta.current_time</v>
      </c>
    </row>
  </sheetData>
  <autoFilter ref="A1:M3"/>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&amp;CBrian and Eva remain unchanged beyond 60 days</oddFooter>
  </headerFooter>
  <drawing r:id="rId1"/>
  <tableParts>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48.01"/>
    <col collapsed="false" customWidth="true" hidden="false" outlineLevel="0" max="4" min="4" style="0" width="31.01"/>
    <col collapsed="false" customWidth="true" hidden="false" outlineLevel="0" max="5" min="5" style="0" width="42"/>
    <col collapsed="false" customWidth="true" hidden="false" outlineLevel="0" max="6" min="6" style="0" width="40"/>
    <col collapsed="false" customWidth="true" hidden="false" outlineLevel="0" max="7" min="7" style="0" width="17"/>
    <col collapsed="false" customWidth="true" hidden="false" outlineLevel="0" max="8" min="8" style="0" width="79.99"/>
    <col collapsed="false" customWidth="true" hidden="false" outlineLevel="0" max="9" min="9" style="0" width="23.01"/>
    <col collapsed="false" customWidth="true" hidden="false" outlineLevel="0" max="10" min="10" style="0" width="10"/>
    <col collapsed="false" customWidth="true" hidden="false" outlineLevel="0" max="11" min="11" style="0" width="104.99"/>
  </cols>
  <sheetData>
    <row r="1" customFormat="false" ht="30.75" hidden="false" customHeight="true" outlineLevel="0" collapsed="false">
      <c r="A1" s="1" t="s">
        <v>136</v>
      </c>
      <c r="B1" s="1" t="s">
        <v>70</v>
      </c>
      <c r="C1" s="1" t="s">
        <v>144</v>
      </c>
      <c r="D1" s="1" t="s">
        <v>126</v>
      </c>
      <c r="E1" s="1" t="s">
        <v>128</v>
      </c>
      <c r="F1" s="1" t="s">
        <v>129</v>
      </c>
      <c r="G1" s="1" t="s">
        <v>7</v>
      </c>
      <c r="H1" s="1" t="s">
        <v>145</v>
      </c>
      <c r="I1" s="1" t="s">
        <v>8</v>
      </c>
      <c r="J1" s="1" t="s">
        <v>140</v>
      </c>
      <c r="K1" s="1" t="s">
        <v>45</v>
      </c>
    </row>
    <row r="2" customFormat="false" ht="15" hidden="false" customHeight="false" outlineLevel="0" collapsed="false">
      <c r="A2" s="2" t="n">
        <v>1</v>
      </c>
      <c r="B2" s="2" t="s">
        <v>146</v>
      </c>
      <c r="C2" s="2" t="str">
        <f aca="false">Renewal_Decisions!B2</f>
        <v>Ana Petrova</v>
      </c>
      <c r="D2" s="2" t="str">
        <f aca="false">Renewal_Decisions!Q2</f>
        <v>RENEWED_STANDARD</v>
      </c>
      <c r="E2" s="2" t="str">
        <f aca="false">Renewal_Decisions!S2</f>
        <v>ana.petrova@freelance.example.com</v>
      </c>
      <c r="F2" s="2" t="str">
        <f aca="false">Renewal_Decisions!T2</f>
        <v>derek.huang@company.example.com</v>
      </c>
      <c r="G2" s="3" t="n">
        <f aca="false">Renewal_Decisions!H2</f>
        <v>46157</v>
      </c>
      <c r="H2" s="2" t="str">
        <f aca="false">Renewal_Decisions!X2</f>
        <v>EXISTING_TERMS_ONLY; 5% REQUEST_ESCALATED_TO_PROCUREMENT; NO_RATE_APPLIED</v>
      </c>
      <c r="I2" s="2" t="str">
        <f aca="false">"DRAFT_NOT_SENT"</f>
        <v>DRAFT_NOT_SENT</v>
      </c>
      <c r="J2" s="5" t="b">
        <f aca="false">FALSE()</f>
        <v>0</v>
      </c>
      <c r="K2" s="2" t="str">
        <f aca="false">Renewal_Decisions!AB2</f>
        <v>Contractor_Agreement_Tracker.xlsx:Active Agreements row 2 | Contractor_Renewal_Policy.mbox:msg_contractor_policy_5121 | Workflow_Context.json:meta.current_time</v>
      </c>
    </row>
    <row r="3" customFormat="false" ht="15" hidden="false" customHeight="false" outlineLevel="0" collapsed="false">
      <c r="A3" s="2" t="n">
        <v>2</v>
      </c>
      <c r="B3" s="2" t="s">
        <v>147</v>
      </c>
      <c r="C3" s="2" t="str">
        <f aca="false">Renewal_Decisions!B4</f>
        <v>Carmen Ruiz</v>
      </c>
      <c r="D3" s="2" t="str">
        <f aca="false">Renewal_Decisions!Q4</f>
        <v>PENDING_VP_APPROVAL</v>
      </c>
      <c r="E3" s="2" t="str">
        <f aca="false">Renewal_Decisions!S4</f>
        <v>vp-sales@company.example.com</v>
      </c>
      <c r="F3" s="2" t="str">
        <f aca="false">Renewal_Decisions!T4</f>
        <v/>
      </c>
      <c r="G3" s="3" t="n">
        <f aca="false">Renewal_Decisions!H4</f>
        <v>46142</v>
      </c>
      <c r="H3" s="2" t="str">
        <f aca="false">Renewal_Decisions!X4</f>
        <v>NO_RATE_ACTION_PENDING_VP_APPROVAL</v>
      </c>
      <c r="I3" s="2" t="str">
        <f aca="false">"DRAFT_NOT_SENT"</f>
        <v>DRAFT_NOT_SENT</v>
      </c>
      <c r="J3" s="5" t="b">
        <f aca="false">FALSE()</f>
        <v>0</v>
      </c>
      <c r="K3" s="2" t="str">
        <f aca="false">Renewal_Decisions!AB4</f>
        <v>Contractor_Agreement_Tracker.xlsx:Active Agreements row 4 | Contractor_Renewal_Policy.mbox:msg_contractor_policy_5121 | Workflow_Context.json:meta.current_time</v>
      </c>
    </row>
    <row r="4" customFormat="false" ht="15" hidden="false" customHeight="false" outlineLevel="0" collapsed="false">
      <c r="A4" s="2" t="n">
        <v>3</v>
      </c>
      <c r="B4" s="2" t="s">
        <v>146</v>
      </c>
      <c r="C4" s="2" t="str">
        <f aca="false">Renewal_Decisions!B5</f>
        <v>Darius Kim</v>
      </c>
      <c r="D4" s="2" t="str">
        <f aca="false">Renewal_Decisions!Q5</f>
        <v>RENEWED_STANDARD</v>
      </c>
      <c r="E4" s="2" t="str">
        <f aca="false">Renewal_Decisions!S5</f>
        <v>darius.kim@freelance.example.com</v>
      </c>
      <c r="F4" s="2" t="str">
        <f aca="false">Renewal_Decisions!T5</f>
        <v>derek.huang@company.example.com</v>
      </c>
      <c r="G4" s="3" t="n">
        <f aca="false">Renewal_Decisions!H5</f>
        <v>46143</v>
      </c>
      <c r="H4" s="2" t="str">
        <f aca="false">Renewal_Decisions!X5</f>
        <v>EXISTING_TERMS_ONLY; 5% REQUEST_ESCALATED_TO_PROCUREMENT; NO_RATE_APPLIED</v>
      </c>
      <c r="I4" s="2" t="str">
        <f aca="false">"DRAFT_NOT_SENT"</f>
        <v>DRAFT_NOT_SENT</v>
      </c>
      <c r="J4" s="5" t="b">
        <f aca="false">FALSE()</f>
        <v>0</v>
      </c>
      <c r="K4" s="2" t="str">
        <f aca="false">Renewal_Decisions!AB5</f>
        <v>Contractor_Agreement_Tracker.xlsx:Active Agreements row 5 | Contractor_Renewal_Policy.mbox:msg_contractor_policy_5121 | Workflow_Context.json:meta.current_time</v>
      </c>
    </row>
    <row r="5" customFormat="false" ht="15" hidden="false" customHeight="false" outlineLevel="0" collapsed="false">
      <c r="A5" s="2" t="n">
        <v>4</v>
      </c>
      <c r="B5" s="2" t="s">
        <v>147</v>
      </c>
      <c r="C5" s="2" t="str">
        <f aca="false">Renewal_Decisions!B8</f>
        <v>Gloria Chen</v>
      </c>
      <c r="D5" s="2" t="str">
        <f aca="false">Renewal_Decisions!Q8</f>
        <v>PENDING_VP_APPROVAL</v>
      </c>
      <c r="E5" s="2" t="str">
        <f aca="false">Renewal_Decisions!S8</f>
        <v>vp-eng@company.example.com</v>
      </c>
      <c r="F5" s="2" t="str">
        <f aca="false">Renewal_Decisions!T8</f>
        <v/>
      </c>
      <c r="G5" s="3" t="n">
        <f aca="false">Renewal_Decisions!H8</f>
        <v>46183</v>
      </c>
      <c r="H5" s="2" t="str">
        <f aca="false">Renewal_Decisions!X8</f>
        <v>NO_RATE_ACTION_PENDING_VP_APPROVAL</v>
      </c>
      <c r="I5" s="2" t="str">
        <f aca="false">"DRAFT_NOT_SENT"</f>
        <v>DRAFT_NOT_SENT</v>
      </c>
      <c r="J5" s="5" t="b">
        <f aca="false">FALSE()</f>
        <v>0</v>
      </c>
      <c r="K5" s="2" t="str">
        <f aca="false">Renewal_Decisions!AB8</f>
        <v>Contractor_Agreement_Tracker.xlsx:Active Agreements row 8 | Contractor_Renewal_Policy.mbox:msg_contractor_policy_5121 | Workflow_Context.json:meta.current_time</v>
      </c>
    </row>
    <row r="6" customFormat="false" ht="15" hidden="false" customHeight="false" outlineLevel="0" collapsed="false">
      <c r="A6" s="2" t="n">
        <v>5</v>
      </c>
      <c r="B6" s="2" t="s">
        <v>146</v>
      </c>
      <c r="C6" s="2" t="str">
        <f aca="false">Renewal_Decisions!B9</f>
        <v>Hugo Santos</v>
      </c>
      <c r="D6" s="2" t="str">
        <f aca="false">Renewal_Decisions!Q9</f>
        <v>RENEWED_STANDARD</v>
      </c>
      <c r="E6" s="2" t="str">
        <f aca="false">Renewal_Decisions!S9</f>
        <v>hugo.santos@freelance.example.com</v>
      </c>
      <c r="F6" s="2" t="str">
        <f aca="false">Renewal_Decisions!T9</f>
        <v>mira.patel@company.example.com</v>
      </c>
      <c r="G6" s="3" t="n">
        <f aca="false">Renewal_Decisions!H9</f>
        <v>46162</v>
      </c>
      <c r="H6" s="2" t="str">
        <f aca="false">Renewal_Decisions!X9</f>
        <v>EXISTING_TERMS_ONLY; 5% REQUEST_ESCALATED_TO_PROCUREMENT; NO_RATE_APPLIED</v>
      </c>
      <c r="I6" s="2" t="str">
        <f aca="false">"DRAFT_NOT_SENT"</f>
        <v>DRAFT_NOT_SENT</v>
      </c>
      <c r="J6" s="5" t="b">
        <f aca="false">FALSE()</f>
        <v>0</v>
      </c>
      <c r="K6" s="2" t="str">
        <f aca="false">Renewal_Decisions!AB9</f>
        <v>Contractor_Agreement_Tracker.xlsx:Active Agreements row 9 | Contractor_Renewal_Policy.mbox:msg_contractor_policy_5121 | Workflow_Context.json:meta.current_time</v>
      </c>
    </row>
    <row r="7" customFormat="false" ht="15" hidden="false" customHeight="false" outlineLevel="0" collapsed="false">
      <c r="A7" s="2" t="n">
        <v>6</v>
      </c>
      <c r="B7" s="2" t="s">
        <v>148</v>
      </c>
      <c r="C7" s="2" t="s">
        <v>149</v>
      </c>
      <c r="D7" s="2" t="s">
        <v>150</v>
      </c>
      <c r="E7" s="2" t="s">
        <v>151</v>
      </c>
      <c r="F7" s="2"/>
      <c r="G7" s="2"/>
      <c r="H7" s="2" t="s">
        <v>152</v>
      </c>
      <c r="I7" s="2" t="s">
        <v>153</v>
      </c>
      <c r="J7" s="5" t="b">
        <f aca="false">FALSE()</f>
        <v>0</v>
      </c>
      <c r="K7" s="2" t="s">
        <v>154</v>
      </c>
    </row>
  </sheetData>
  <autoFilter ref="A1:K7"/>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&amp;CFive candidate-specific drafts plus one consolidated Procurement escalation</oddFooter>
  </headerFooter>
  <drawing r:id="rId1"/>
  <tableParts>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9.01"/>
    <col collapsed="false" customWidth="true" hidden="false" outlineLevel="0" max="2" min="2" style="0" width="23.01"/>
    <col collapsed="false" customWidth="true" hidden="false" outlineLevel="0" max="3" min="3" style="0" width="18"/>
    <col collapsed="false" customWidth="true" hidden="false" outlineLevel="0" max="4" min="4" style="0" width="11.99"/>
    <col collapsed="false" customWidth="true" hidden="false" outlineLevel="0" max="5" min="5" style="0" width="69"/>
  </cols>
  <sheetData>
    <row r="1" customFormat="false" ht="30.75" hidden="false" customHeight="true" outlineLevel="0" collapsed="false">
      <c r="A1" s="1" t="s">
        <v>155</v>
      </c>
      <c r="B1" s="1" t="s">
        <v>156</v>
      </c>
      <c r="C1" s="1" t="s">
        <v>157</v>
      </c>
      <c r="D1" s="1" t="s">
        <v>8</v>
      </c>
      <c r="E1" s="1" t="s">
        <v>158</v>
      </c>
    </row>
    <row r="2" customFormat="false" ht="15" hidden="false" customHeight="false" outlineLevel="0" collapsed="false">
      <c r="A2" s="2" t="s">
        <v>159</v>
      </c>
      <c r="B2" s="2" t="n">
        <f aca="false">COUNTA(Renewal_Decisions!A2:A9)</f>
        <v>8</v>
      </c>
      <c r="C2" s="2" t="n">
        <v>8</v>
      </c>
      <c r="D2" s="4" t="str">
        <f aca="false">IF(B2=C2,"PASS","FAIL")</f>
        <v>PASS</v>
      </c>
      <c r="E2" s="2" t="s">
        <v>160</v>
      </c>
    </row>
    <row r="3" customFormat="false" ht="15" hidden="false" customHeight="false" outlineLevel="0" collapsed="false">
      <c r="A3" s="2" t="s">
        <v>161</v>
      </c>
      <c r="B3" s="2" t="n">
        <f aca="false">COUNTIF(Renewal_Decisions!Q2:Q9,"RENEWED_STANDARD")</f>
        <v>3</v>
      </c>
      <c r="C3" s="2" t="n">
        <v>3</v>
      </c>
      <c r="D3" s="4" t="str">
        <f aca="false">IF(B3=C3,"PASS","FAIL")</f>
        <v>PASS</v>
      </c>
      <c r="E3" s="2" t="s">
        <v>162</v>
      </c>
    </row>
    <row r="4" customFormat="false" ht="15" hidden="false" customHeight="false" outlineLevel="0" collapsed="false">
      <c r="A4" s="2" t="s">
        <v>163</v>
      </c>
      <c r="B4" s="2" t="n">
        <f aca="false">COUNTIF(Renewal_Decisions!Q2:Q9,"PENDING_VP_APPROVAL")</f>
        <v>2</v>
      </c>
      <c r="C4" s="2" t="n">
        <v>2</v>
      </c>
      <c r="D4" s="4" t="str">
        <f aca="false">IF(B4=C4,"PASS","FAIL")</f>
        <v>PASS</v>
      </c>
      <c r="E4" s="2" t="s">
        <v>164</v>
      </c>
    </row>
    <row r="5" customFormat="false" ht="15" hidden="false" customHeight="false" outlineLevel="0" collapsed="false">
      <c r="A5" s="2" t="s">
        <v>165</v>
      </c>
      <c r="B5" s="2" t="n">
        <f aca="false">COUNTIF(Renewal_Decisions!Q2:Q9,"EXPIRED_NOT_RENEWED")</f>
        <v>1</v>
      </c>
      <c r="C5" s="2" t="n">
        <v>1</v>
      </c>
      <c r="D5" s="4" t="str">
        <f aca="false">IF(B5=C5,"PASS","FAIL")</f>
        <v>PASS</v>
      </c>
      <c r="E5" s="2" t="s">
        <v>166</v>
      </c>
    </row>
    <row r="6" customFormat="false" ht="15" hidden="false" customHeight="false" outlineLevel="0" collapsed="false">
      <c r="A6" s="2" t="s">
        <v>167</v>
      </c>
      <c r="B6" s="2" t="n">
        <f aca="false">COUNTIF(Renewal_Decisions!Q2:Q9,"FUTURE_NO_ACTION")</f>
        <v>2</v>
      </c>
      <c r="C6" s="2" t="n">
        <v>2</v>
      </c>
      <c r="D6" s="4" t="str">
        <f aca="false">IF(B6=C6,"PASS","FAIL")</f>
        <v>PASS</v>
      </c>
      <c r="E6" s="2" t="s">
        <v>168</v>
      </c>
    </row>
    <row r="7" customFormat="false" ht="15" hidden="false" customHeight="false" outlineLevel="0" collapsed="false">
      <c r="A7" s="2" t="s">
        <v>169</v>
      </c>
      <c r="B7" s="2" t="n">
        <f aca="false">COUNTIF(Renewal_Decisions!N2:N9,"YES")</f>
        <v>5</v>
      </c>
      <c r="C7" s="2" t="n">
        <v>5</v>
      </c>
      <c r="D7" s="4" t="str">
        <f aca="false">IF(B7=C7,"PASS","FAIL")</f>
        <v>PASS</v>
      </c>
      <c r="E7" s="2" t="s">
        <v>170</v>
      </c>
    </row>
    <row r="8" customFormat="false" ht="15" hidden="false" customHeight="false" outlineLevel="0" collapsed="false">
      <c r="A8" s="2" t="s">
        <v>171</v>
      </c>
      <c r="B8" s="2" t="n">
        <f aca="false">COUNTIF(Renewal_Decisions!U2:U9,"YES")</f>
        <v>5</v>
      </c>
      <c r="C8" s="2" t="n">
        <v>5</v>
      </c>
      <c r="D8" s="4" t="str">
        <f aca="false">IF(B8=C8,"PASS","FAIL")</f>
        <v>PASS</v>
      </c>
      <c r="E8" s="2" t="s">
        <v>172</v>
      </c>
    </row>
    <row r="9" customFormat="false" ht="15" hidden="false" customHeight="false" outlineLevel="0" collapsed="false">
      <c r="A9" s="2" t="s">
        <v>173</v>
      </c>
      <c r="B9" s="2" t="n">
        <f aca="false">1</f>
        <v>1</v>
      </c>
      <c r="C9" s="2" t="n">
        <v>1</v>
      </c>
      <c r="D9" s="4" t="str">
        <f aca="false">IF(B9=C9,"PASS","FAIL")</f>
        <v>PASS</v>
      </c>
      <c r="E9" s="2" t="s">
        <v>174</v>
      </c>
    </row>
    <row r="10" customFormat="false" ht="15" hidden="false" customHeight="false" outlineLevel="0" collapsed="false">
      <c r="A10" s="2" t="s">
        <v>175</v>
      </c>
      <c r="B10" s="2" t="n">
        <f aca="false">B8+B9</f>
        <v>6</v>
      </c>
      <c r="C10" s="2" t="n">
        <v>6</v>
      </c>
      <c r="D10" s="4" t="str">
        <f aca="false">IF(B10=C10,"PASS","FAIL")</f>
        <v>PASS</v>
      </c>
      <c r="E10" s="2" t="s">
        <v>176</v>
      </c>
    </row>
    <row r="11" customFormat="false" ht="15" hidden="false" customHeight="false" outlineLevel="0" collapsed="false">
      <c r="A11" s="2" t="s">
        <v>177</v>
      </c>
      <c r="B11" s="2" t="n">
        <f aca="false">0</f>
        <v>0</v>
      </c>
      <c r="C11" s="2" t="n">
        <v>0</v>
      </c>
      <c r="D11" s="4" t="str">
        <f aca="false">IF(B11=C11,"PASS","FAIL")</f>
        <v>PASS</v>
      </c>
      <c r="E11" s="2" t="s">
        <v>178</v>
      </c>
    </row>
    <row r="12" customFormat="false" ht="15" hidden="false" customHeight="false" outlineLevel="0" collapsed="false">
      <c r="A12" s="2" t="s">
        <v>179</v>
      </c>
      <c r="B12" s="2" t="n">
        <f aca="false">COUNTIF(Renewal_Decisions!V2:V9,"YES")</f>
        <v>6</v>
      </c>
      <c r="C12" s="2" t="n">
        <v>6</v>
      </c>
      <c r="D12" s="4" t="str">
        <f aca="false">IF(B12=C12,"PASS","FAIL")</f>
        <v>PASS</v>
      </c>
      <c r="E12" s="2" t="s">
        <v>180</v>
      </c>
    </row>
    <row r="13" customFormat="false" ht="15" hidden="false" customHeight="false" outlineLevel="0" collapsed="false">
      <c r="A13" s="2" t="s">
        <v>181</v>
      </c>
      <c r="B13" s="2" t="n">
        <f aca="false">0</f>
        <v>0</v>
      </c>
      <c r="C13" s="2" t="n">
        <v>0</v>
      </c>
      <c r="D13" s="4" t="str">
        <f aca="false">IF(B13=C13,"PASS","FAIL")</f>
        <v>PASS</v>
      </c>
      <c r="E13" s="2" t="s">
        <v>182</v>
      </c>
    </row>
    <row r="14" customFormat="false" ht="15" hidden="false" customHeight="false" outlineLevel="0" collapsed="false">
      <c r="A14" s="2" t="s">
        <v>183</v>
      </c>
      <c r="B14" s="2" t="n">
        <f aca="false">COUNTIF(Renewal_Decisions!W2:W9,"YES")</f>
        <v>0</v>
      </c>
      <c r="C14" s="2" t="n">
        <v>0</v>
      </c>
      <c r="D14" s="4" t="str">
        <f aca="false">IF(B14=C14,"PASS","FAIL")</f>
        <v>PASS</v>
      </c>
      <c r="E14" s="2" t="s">
        <v>184</v>
      </c>
    </row>
    <row r="15" customFormat="false" ht="15" hidden="false" customHeight="false" outlineLevel="0" collapsed="false">
      <c r="A15" s="2" t="s">
        <v>185</v>
      </c>
      <c r="B15" s="2" t="n">
        <f aca="false">0</f>
        <v>0</v>
      </c>
      <c r="C15" s="2" t="n">
        <v>0</v>
      </c>
      <c r="D15" s="4" t="str">
        <f aca="false">IF(B15=C15,"PASS","FAIL")</f>
        <v>PASS</v>
      </c>
      <c r="E15" s="2" t="s">
        <v>186</v>
      </c>
    </row>
    <row r="16" customFormat="false" ht="15" hidden="false" customHeight="false" outlineLevel="0" collapsed="false">
      <c r="A16" s="2" t="s">
        <v>187</v>
      </c>
      <c r="B16" s="2" t="n">
        <f aca="false">COUNTIF(Renewal_Decisions!Z2:Z9,"YES")</f>
        <v>0</v>
      </c>
      <c r="C16" s="2" t="n">
        <v>0</v>
      </c>
      <c r="D16" s="4" t="str">
        <f aca="false">IF(B16=C16,"PASS","FAIL")</f>
        <v>PASS</v>
      </c>
      <c r="E16" s="2" t="s">
        <v>188</v>
      </c>
    </row>
    <row r="17" customFormat="false" ht="15" hidden="false" customHeight="false" outlineLevel="0" collapsed="false">
      <c r="A17" s="2" t="s">
        <v>189</v>
      </c>
      <c r="B17" s="2" t="n">
        <f aca="false">0</f>
        <v>0</v>
      </c>
      <c r="C17" s="2" t="n">
        <v>0</v>
      </c>
      <c r="D17" s="4" t="str">
        <f aca="false">IF(B17=C17,"PASS","FAIL")</f>
        <v>PASS</v>
      </c>
      <c r="E17" s="2" t="s">
        <v>190</v>
      </c>
    </row>
    <row r="18" customFormat="false" ht="15" hidden="false" customHeight="false" outlineLevel="0" collapsed="false">
      <c r="A18" s="2" t="s">
        <v>191</v>
      </c>
      <c r="B18" s="2" t="n">
        <f aca="false">0</f>
        <v>0</v>
      </c>
      <c r="C18" s="2" t="n">
        <v>0</v>
      </c>
      <c r="D18" s="4" t="str">
        <f aca="false">IF(B18=C18,"PASS","FAIL")</f>
        <v>PASS</v>
      </c>
      <c r="E18" s="2" t="s">
        <v>192</v>
      </c>
    </row>
    <row r="19" customFormat="false" ht="15" hidden="false" customHeight="false" outlineLevel="0" collapsed="false">
      <c r="A19" s="2" t="s">
        <v>193</v>
      </c>
      <c r="B19" s="2" t="n">
        <f aca="false">0</f>
        <v>0</v>
      </c>
      <c r="C19" s="2" t="n">
        <v>0</v>
      </c>
      <c r="D19" s="4" t="str">
        <f aca="false">IF(B19=C19,"PASS","FAIL")</f>
        <v>PASS</v>
      </c>
      <c r="E19" s="2" t="s">
        <v>194</v>
      </c>
    </row>
    <row r="20" customFormat="false" ht="15" hidden="false" customHeight="false" outlineLevel="0" collapsed="false">
      <c r="A20" s="2" t="s">
        <v>195</v>
      </c>
      <c r="B20" s="2" t="n">
        <f aca="false">COUNTA(Evidence_Register!A2:A18)</f>
        <v>17</v>
      </c>
      <c r="C20" s="2" t="n">
        <v>17</v>
      </c>
      <c r="D20" s="4" t="str">
        <f aca="false">IF(B20=C20,"PASS","FAIL")</f>
        <v>PASS</v>
      </c>
      <c r="E20" s="2" t="s">
        <v>196</v>
      </c>
    </row>
  </sheetData>
  <autoFilter ref="A1:E20"/>
  <conditionalFormatting sqref="D2:D20">
    <cfRule type="expression" priority="2" aboveAverage="0" equalAverage="0" bottom="0" percent="0" rank="0" text="" dxfId="9">
      <formula>D2="FAIL"</formula>
    </cfRule>
  </conditionalFormatting>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&amp;CNineteen controls reconcile all seven deliverables</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2026-04-15T09:00:00Z</dcterms:created>
  <dc:creator>openpyxl</dc:creator>
  <dc:description/>
  <dc:language>en-US</dc:language>
  <cp:lastModifiedBy>EvoCowork</cp:lastModifiedBy>
  <dcterms:modified xsi:type="dcterms:W3CDTF">2026-04-15T09:00:00Z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