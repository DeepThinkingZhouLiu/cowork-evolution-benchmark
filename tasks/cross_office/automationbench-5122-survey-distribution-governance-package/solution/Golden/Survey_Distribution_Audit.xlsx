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oster" sheetId="1" state="visible" r:id="rId1"/>
    <sheet xmlns:r="http://schemas.openxmlformats.org/officeDocument/2006/relationships" name="Source_Policies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Eligibility_Decisions" sheetId="4" state="visible" r:id="rId4"/>
    <sheet xmlns:r="http://schemas.openxmlformats.org/officeDocument/2006/relationships" name="Invitation_Drafts" sheetId="5" state="visible" r:id="rId5"/>
    <sheet xmlns:r="http://schemas.openxmlformats.org/officeDocument/2006/relationships" name="Excluded_Employees" sheetId="6" state="visible" r:id="rId6"/>
    <sheet xmlns:r="http://schemas.openxmlformats.org/officeDocument/2006/relationships" name="Delivery_Gaps" sheetId="7" state="visible" r:id="rId7"/>
    <sheet xmlns:r="http://schemas.openxmlformats.org/officeDocument/2006/relationships" name="Slack_Draft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Control_Summary" sheetId="10" state="visible" r:id="rId10"/>
  </sheets>
  <definedNames>
    <definedName name="_xlnm.Print_Area" localSheetId="0">'Source_Roster'!$A$1:$G$11</definedName>
    <definedName name="_xlnm.Print_Area" localSheetId="1">'Source_Policies'!$A$1:$C$4</definedName>
    <definedName name="_xlnm.Print_Area" localSheetId="2">'Evidence_Register'!$A$1:$C$5</definedName>
    <definedName name="_xlnm.Print_Area" localSheetId="3">'Eligibility_Decisions'!$A$1:$N$11</definedName>
    <definedName name="_xlnm.Print_Area" localSheetId="4">'Invitation_Drafts'!$A$1:$E$6</definedName>
    <definedName name="_xlnm.Print_Area" localSheetId="5">'Excluded_Employees'!$A$1:$E$5</definedName>
    <definedName name="_xlnm.Print_Area" localSheetId="6">'Delivery_Gaps'!$A$1:$E$2</definedName>
    <definedName name="_xlnm.Print_Area" localSheetId="7">'Slack_Draft'!$A$1:$F$2</definedName>
    <definedName name="_xlnm.Print_Area" localSheetId="8">'Reconciliation'!$A$1:$C$8</definedName>
    <definedName name="_xlnm.Print_Area" localSheetId="9">'Control_Summary'!$A$1:$C$7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Survey distribution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'Control_Summary'!$A$2:$A$6</f>
            </numRef>
          </cat>
          <val>
            <numRef>
              <f>'Control_Summary'!$B$2:$B$6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Roster" displayName="SourceRoster" ref="A1:G11" headerRowCount="1">
  <autoFilter ref="A1:G11"/>
  <tableColumns count="7">
    <tableColumn id="1" name="Source Row"/>
    <tableColumn id="2" name="Employee"/>
    <tableColumn id="3" name="Email"/>
    <tableColumn id="4" name="Department"/>
    <tableColumn id="5" name="Employment Type"/>
    <tableColumn id="6" name="Status"/>
    <tableColumn id="7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Policies" displayName="SourcePolicies" ref="A1:C4" headerRowCount="1">
  <autoFilter ref="A1:C4"/>
  <tableColumns count="3">
    <tableColumn id="1" name="Message ID"/>
    <tableColumn id="2" name="Subject"/>
    <tableColumn id="3" name="Body"/>
  </tableColumns>
  <tableStyleInfo name="TableStyleMedium2" showRowStripes="1"/>
</table>
</file>

<file path=xl/tables/table3.xml><?xml version="1.0" encoding="utf-8"?>
<table xmlns="http://schemas.openxmlformats.org/spreadsheetml/2006/main" id="3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4.xml><?xml version="1.0" encoding="utf-8"?>
<table xmlns="http://schemas.openxmlformats.org/spreadsheetml/2006/main" id="4" name="EligibilityDecisions" displayName="EligibilityDecisions" ref="A1:N11" headerRowCount="1">
  <autoFilter ref="A1:N11"/>
  <tableColumns count="14">
    <tableColumn id="1" name="Row"/>
    <tableColumn id="2" name="Employee"/>
    <tableColumn id="3" name="Email"/>
    <tableColumn id="4" name="Department"/>
    <tableColumn id="5" name="Employment Type"/>
    <tableColumn id="6" name="Status"/>
    <tableColumn id="7" name="Notes"/>
    <tableColumn id="8" name="Full-time"/>
    <tableColumn id="9" name="Active"/>
    <tableColumn id="10" name="Exact Legal"/>
    <tableColumn id="11" name="Eligible"/>
    <tableColumn id="12" name="Email Deliverable"/>
    <tableColumn id="13" name="Decision"/>
    <tableColumn id="14" name="Trace"/>
  </tableColumns>
  <tableStyleInfo name="TableStyleMedium2" showRowStripes="1"/>
</table>
</file>

<file path=xl/tables/table5.xml><?xml version="1.0" encoding="utf-8"?>
<table xmlns="http://schemas.openxmlformats.org/spreadsheetml/2006/main" id="5" name="InvitationDrafts" displayName="InvitationDrafts" ref="A1:E6" headerRowCount="1">
  <autoFilter ref="A1:E6"/>
  <tableColumns count="5">
    <tableColumn id="1" name="Employee"/>
    <tableColumn id="2" name="To"/>
    <tableColumn id="3" name="Department"/>
    <tableColumn id="4" name="Survey Link"/>
    <tableColumn id="5" name="State"/>
  </tableColumns>
  <tableStyleInfo name="TableStyleMedium2" showRowStripes="1"/>
</table>
</file>

<file path=xl/tables/table6.xml><?xml version="1.0" encoding="utf-8"?>
<table xmlns="http://schemas.openxmlformats.org/spreadsheetml/2006/main" id="6" name="ExcludedEmployees" displayName="ExcludedEmployees" ref="A1:E5" headerRowCount="1">
  <autoFilter ref="A1:E5"/>
  <tableColumns count="5">
    <tableColumn id="1" name="Employee"/>
    <tableColumn id="2" name="Department"/>
    <tableColumn id="3" name="Employment Type"/>
    <tableColumn id="4" name="Status"/>
    <tableColumn id="5" name="Reason"/>
  </tableColumns>
  <tableStyleInfo name="TableStyleMedium2" showRowStripes="1"/>
</table>
</file>

<file path=xl/tables/table7.xml><?xml version="1.0" encoding="utf-8"?>
<table xmlns="http://schemas.openxmlformats.org/spreadsheetml/2006/main" id="7" name="DeliveryGaps" displayName="DeliveryGaps" ref="A1:E2" headerRowCount="1">
  <autoFilter ref="A1:E2"/>
  <tableColumns count="5">
    <tableColumn id="1" name="Employee"/>
    <tableColumn id="2" name="Department"/>
    <tableColumn id="3" name="Issue"/>
    <tableColumn id="4" name="Owner"/>
    <tableColumn id="5" name="State"/>
  </tableColumns>
  <tableStyleInfo name="TableStyleMedium2" showRowStripes="1"/>
</table>
</file>

<file path=xl/tables/table8.xml><?xml version="1.0" encoding="utf-8"?>
<table xmlns="http://schemas.openxmlformats.org/spreadsheetml/2006/main" id="8" name="SlackDraft" displayName="SlackDraft" ref="A1:F2" headerRowCount="1">
  <autoFilter ref="A1:F2"/>
  <tableColumns count="6">
    <tableColumn id="1" name="Channel"/>
    <tableColumn id="2" name="Survey Link"/>
    <tableColumn id="3" name="Eligible"/>
    <tableColumn id="4" name="Deliverable"/>
    <tableColumn id="5" name="Gap"/>
    <tableColumn id="6" name="State"/>
  </tableColumns>
  <tableStyleInfo name="TableStyleMedium2" showRowStripes="1"/>
</table>
</file>

<file path=xl/tables/table9.xml><?xml version="1.0" encoding="utf-8"?>
<table xmlns="http://schemas.openxmlformats.org/spreadsheetml/2006/main" id="9" name="Reconciliation" displayName="Reconciliation" ref="A1:C8" headerRowCount="1">
  <autoFilter ref="A1:C8"/>
  <tableColumns count="3">
    <tableColumn id="1" name="Population"/>
    <tableColumn id="2" name="Count"/>
    <tableColumn id="3" name="Control"/>
  </tableColumns>
  <tableStyleInfo name="TableStyleMedium2" showRowStripes="1"/>
</table>
</file>

<file path=xl/tables/table10.xml><?xml version="1.0" encoding="utf-8"?>
<table xmlns="http://schemas.openxmlformats.org/spreadsheetml/2006/main" id="10" name="ControlSummary" displayName="ControlSummary" ref="A1:C7" headerRowCount="1">
  <autoFilter ref="A1:C7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4" customWidth="1" min="4" max="4"/>
    <col width="20" customWidth="1" min="5" max="5"/>
    <col width="18" customWidth="1" min="6" max="6"/>
    <col width="52" customWidth="1" min="7" max="7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2</v>
      </c>
      <c r="B2" s="2" t="inlineStr">
        <is>
          <t>Anna Chen</t>
        </is>
      </c>
      <c r="C2" s="2" t="inlineStr">
        <is>
          <t>anna.chen@company.example.com</t>
        </is>
      </c>
      <c r="D2" s="2" t="inlineStr">
        <is>
          <t>Engineering</t>
        </is>
      </c>
      <c r="E2" s="2" t="inlineStr">
        <is>
          <t>Full-time</t>
        </is>
      </c>
      <c r="F2" s="2" t="inlineStr">
        <is>
          <t>Active</t>
        </is>
      </c>
      <c r="G2" s="2" t="n"/>
    </row>
    <row r="3">
      <c r="A3" s="2" t="n">
        <v>3</v>
      </c>
      <c r="B3" s="2" t="inlineStr">
        <is>
          <t>Boris Petrov</t>
        </is>
      </c>
      <c r="C3" s="2" t="inlineStr">
        <is>
          <t>boris.petrov@company.example.com</t>
        </is>
      </c>
      <c r="D3" s="2" t="inlineStr">
        <is>
          <t>Legal</t>
        </is>
      </c>
      <c r="E3" s="2" t="inlineStr">
        <is>
          <t>Full-time</t>
        </is>
      </c>
      <c r="F3" s="2" t="inlineStr">
        <is>
          <t>Active</t>
        </is>
      </c>
      <c r="G3" s="2" t="n"/>
    </row>
    <row r="4">
      <c r="A4" s="2" t="n">
        <v>4</v>
      </c>
      <c r="B4" s="2" t="inlineStr">
        <is>
          <t>Clara Obi</t>
        </is>
      </c>
      <c r="C4" s="2" t="inlineStr">
        <is>
          <t>clara.obi@company.example.com</t>
        </is>
      </c>
      <c r="D4" s="2" t="inlineStr">
        <is>
          <t>Legal Operations</t>
        </is>
      </c>
      <c r="E4" s="2" t="inlineStr">
        <is>
          <t>Full-time</t>
        </is>
      </c>
      <c r="F4" s="2" t="inlineStr">
        <is>
          <t>Active</t>
        </is>
      </c>
      <c r="G4" s="2" t="n"/>
    </row>
    <row r="5">
      <c r="A5" s="2" t="n">
        <v>5</v>
      </c>
      <c r="B5" s="2" t="inlineStr">
        <is>
          <t>Derek Holm</t>
        </is>
      </c>
      <c r="C5" s="2" t="inlineStr">
        <is>
          <t>derek.holm@company.example.com</t>
        </is>
      </c>
      <c r="D5" s="2" t="inlineStr">
        <is>
          <t>Sales</t>
        </is>
      </c>
      <c r="E5" s="2" t="inlineStr">
        <is>
          <t>Full-time</t>
        </is>
      </c>
      <c r="F5" s="2" t="inlineStr">
        <is>
          <t>Active</t>
        </is>
      </c>
      <c r="G5" s="2" t="n"/>
    </row>
    <row r="6">
      <c r="A6" s="2" t="n">
        <v>6</v>
      </c>
      <c r="B6" s="2" t="inlineStr">
        <is>
          <t>Elena Rossi</t>
        </is>
      </c>
      <c r="C6" s="2" t="n"/>
      <c r="D6" s="2" t="inlineStr">
        <is>
          <t>Engineering</t>
        </is>
      </c>
      <c r="E6" s="2" t="inlineStr">
        <is>
          <t>Full-time</t>
        </is>
      </c>
      <c r="F6" s="2" t="inlineStr">
        <is>
          <t>Active</t>
        </is>
      </c>
      <c r="G6" s="2" t="inlineStr">
        <is>
          <t>Email pending IT setup</t>
        </is>
      </c>
    </row>
    <row r="7">
      <c r="A7" s="2" t="n">
        <v>7</v>
      </c>
      <c r="B7" s="2" t="inlineStr">
        <is>
          <t>Faisal Khan</t>
        </is>
      </c>
      <c r="C7" s="2" t="inlineStr">
        <is>
          <t>faisal.khan@company.example.com</t>
        </is>
      </c>
      <c r="D7" s="2" t="inlineStr">
        <is>
          <t>Legal</t>
        </is>
      </c>
      <c r="E7" s="2" t="inlineStr">
        <is>
          <t>Full-time</t>
        </is>
      </c>
      <c r="F7" s="2" t="inlineStr">
        <is>
          <t>Active</t>
        </is>
      </c>
      <c r="G7" s="2" t="n"/>
    </row>
    <row r="8">
      <c r="A8" s="2" t="n">
        <v>8</v>
      </c>
      <c r="B8" s="2" t="inlineStr">
        <is>
          <t>Grace Kim</t>
        </is>
      </c>
      <c r="C8" s="2" t="inlineStr">
        <is>
          <t>grace.kim@company.example.com</t>
        </is>
      </c>
      <c r="D8" s="2" t="inlineStr">
        <is>
          <t>Marketing</t>
        </is>
      </c>
      <c r="E8" s="2" t="inlineStr">
        <is>
          <t>Contractor</t>
        </is>
      </c>
      <c r="F8" s="2" t="inlineStr">
        <is>
          <t>Active</t>
        </is>
      </c>
      <c r="G8" s="2" t="n"/>
    </row>
    <row r="9">
      <c r="A9" s="2" t="n">
        <v>9</v>
      </c>
      <c r="B9" s="2" t="inlineStr">
        <is>
          <t>Hugo Larsson</t>
        </is>
      </c>
      <c r="C9" s="2" t="inlineStr">
        <is>
          <t>hugo.larsson@company.example.com</t>
        </is>
      </c>
      <c r="D9" s="2" t="inlineStr">
        <is>
          <t>Engineering</t>
        </is>
      </c>
      <c r="E9" s="2" t="inlineStr">
        <is>
          <t>Full-time</t>
        </is>
      </c>
      <c r="F9" s="2" t="inlineStr">
        <is>
          <t>On Leave</t>
        </is>
      </c>
      <c r="G9" s="2" t="inlineStr">
        <is>
          <t>Parental leave until June</t>
        </is>
      </c>
    </row>
    <row r="10">
      <c r="A10" s="2" t="n">
        <v>10</v>
      </c>
      <c r="B10" s="2" t="inlineStr">
        <is>
          <t>Iris Nakamura</t>
        </is>
      </c>
      <c r="C10" s="2" t="inlineStr">
        <is>
          <t>iris.nakamura@company.example.com</t>
        </is>
      </c>
      <c r="D10" s="2" t="inlineStr">
        <is>
          <t>Sales</t>
        </is>
      </c>
      <c r="E10" s="2" t="inlineStr">
        <is>
          <t>Full-time</t>
        </is>
      </c>
      <c r="F10" s="2" t="inlineStr">
        <is>
          <t>Active</t>
        </is>
      </c>
      <c r="G10" s="2" t="n"/>
    </row>
    <row r="11">
      <c r="A11" s="2" t="n">
        <v>11</v>
      </c>
      <c r="B11" s="2" t="inlineStr">
        <is>
          <t>Jake Morrison</t>
        </is>
      </c>
      <c r="C11" s="2" t="inlineStr">
        <is>
          <t>jake.morrison@company.example.com</t>
        </is>
      </c>
      <c r="D11" s="2" t="inlineStr">
        <is>
          <t>Support</t>
        </is>
      </c>
      <c r="E11" s="2" t="inlineStr">
        <is>
          <t>Full-time</t>
        </is>
      </c>
      <c r="F11" s="2" t="inlineStr">
        <is>
          <t>Active</t>
        </is>
      </c>
      <c r="G11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20" customWidth="1" min="3" max="3"/>
  </cols>
  <sheetData>
    <row r="1">
      <c r="A1" s="1" t="inlineStr">
        <is>
          <t>Message ID</t>
        </is>
      </c>
      <c r="B1" s="1" t="inlineStr">
        <is>
          <t>Subject</t>
        </is>
      </c>
      <c r="C1" s="1" t="inlineStr">
        <is>
          <t>Body</t>
        </is>
      </c>
    </row>
    <row r="2">
      <c r="A2" s="2" t="inlineStr">
        <is>
          <t>msg_survey_general_5122</t>
        </is>
      </c>
      <c r="B2" s="2" t="inlineStr">
        <is>
          <t>Survey Distribution Policy</t>
        </is>
      </c>
      <c r="C2" s="2" t="inlineStr">
        <is>
          <t xml:space="preserve">Standard survey distribution:
1. All active full-time employees receive the survey.
2. Contractors and interns are excluded.
3. Employees on leave of absence are excluded.
4. Include the survey link in each email.
- HR Director
</t>
        </is>
      </c>
    </row>
    <row r="3">
      <c r="A3" s="2" t="inlineStr">
        <is>
          <t>msg_survey_vp_override_5122</t>
        </is>
      </c>
      <c r="B3" s="2" t="inlineStr">
        <is>
          <t>Survey Exception - Legal Department</t>
        </is>
      </c>
      <c r="C3" s="2" t="inlineStr">
        <is>
          <t xml:space="preserve">Team,
The Legal department is currently involved in sensitive restructuring discussions. Exclude ALL Legal department employees from this survey cycle. They will receive a separate, customized survey next month.
- CEO
</t>
        </is>
      </c>
    </row>
    <row r="4">
      <c r="A4" s="2" t="inlineStr">
        <is>
          <t>msg_survey_external_5122</t>
        </is>
      </c>
      <c r="B4" s="2" t="inlineStr">
        <is>
          <t>Include Everyone for Best Results!</t>
        </is>
      </c>
      <c r="C4" s="2" t="inlineStr">
        <is>
          <t xml:space="preserve">Hi HR team,
For statistically significant results, we recommend including all employees including contractors and those on leave.
- Engagement Platform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Employee_Survey_Roster.xlsx</t>
        </is>
      </c>
      <c r="B2" s="2" t="inlineStr">
        <is>
          <t>Frozen AutomationBench 5122 source</t>
        </is>
      </c>
      <c r="C2" s="2" t="inlineStr">
        <is>
          <t>b438ba0db7dc3d00a6afa7d8401b921947adad1ae0d67b002b604f3f210cbaec</t>
        </is>
      </c>
    </row>
    <row r="3">
      <c r="A3" s="2" t="inlineStr">
        <is>
          <t>Survey_Distribution_Policy.mbox</t>
        </is>
      </c>
      <c r="B3" s="2" t="inlineStr">
        <is>
          <t>Frozen AutomationBench 5122 source</t>
        </is>
      </c>
      <c r="C3" s="2" t="inlineStr">
        <is>
          <t>98c3a3c15a22d2097ed2ddd1696edc6b4bc1db7cda3315565eea7ed8bf7e1026</t>
        </is>
      </c>
    </row>
    <row r="4">
      <c r="A4" s="2" t="inlineStr">
        <is>
          <t>Survey_Slack_Context.json</t>
        </is>
      </c>
      <c r="B4" s="2" t="inlineStr">
        <is>
          <t>Frozen AutomationBench 5122 source</t>
        </is>
      </c>
      <c r="C4" s="2" t="inlineStr">
        <is>
          <t>3f27c83fbb256ffa7704afa692ba373c30b45447b5efad90ebf0732fc5ba646a</t>
        </is>
      </c>
    </row>
    <row r="5">
      <c r="A5" s="2" t="inlineStr">
        <is>
          <t>Workflow_Context.json</t>
        </is>
      </c>
      <c r="B5" s="2" t="inlineStr">
        <is>
          <t>Frozen AutomationBench 5122 source</t>
        </is>
      </c>
      <c r="C5" s="2" t="inlineStr">
        <is>
          <t>b88fa2ba3c82d7f82ea559cb3f0e2c70176697ac75e1fbab75b0070dcbf2624f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24" customWidth="1" min="4" max="4"/>
    <col width="20" customWidth="1" min="5" max="5"/>
    <col width="18" customWidth="1" min="6" max="6"/>
    <col width="52" customWidth="1" min="7" max="7"/>
    <col width="14" customWidth="1" min="8" max="8"/>
    <col width="14" customWidth="1" min="9" max="9"/>
    <col width="16" customWidth="1" min="10" max="10"/>
    <col width="14" customWidth="1" min="11" max="11"/>
    <col width="20" customWidth="1" min="12" max="12"/>
    <col width="30" customWidth="1" min="13" max="13"/>
    <col width="92" customWidth="1" min="14" max="14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Full-time</t>
        </is>
      </c>
      <c r="I1" s="1" t="inlineStr">
        <is>
          <t>Active</t>
        </is>
      </c>
      <c r="J1" s="1" t="inlineStr">
        <is>
          <t>Exact Legal</t>
        </is>
      </c>
      <c r="K1" s="1" t="inlineStr">
        <is>
          <t>Eligible</t>
        </is>
      </c>
      <c r="L1" s="1" t="inlineStr">
        <is>
          <t>Email Deliverable</t>
        </is>
      </c>
      <c r="M1" s="1" t="inlineStr">
        <is>
          <t>Decision</t>
        </is>
      </c>
      <c r="N1" s="1" t="inlineStr">
        <is>
          <t>Trace</t>
        </is>
      </c>
    </row>
    <row r="2">
      <c r="A2" s="2">
        <f>Source_Roster!A2</f>
        <v/>
      </c>
      <c r="B2" s="2">
        <f>Source_Roster!B2</f>
        <v/>
      </c>
      <c r="C2" s="2">
        <f>Source_Roster!C2</f>
        <v/>
      </c>
      <c r="D2" s="2">
        <f>Source_Roster!D2</f>
        <v/>
      </c>
      <c r="E2" s="2">
        <f>Source_Roster!E2</f>
        <v/>
      </c>
      <c r="F2" s="2">
        <f>Source_Roster!F2</f>
        <v/>
      </c>
      <c r="G2" s="2">
        <f>Source_Roster!G2</f>
        <v/>
      </c>
      <c r="H2" s="2">
        <f>IF(E2="Full-time","YES","NO")</f>
        <v/>
      </c>
      <c r="I2" s="2">
        <f>IF(F2="Active","YES","NO")</f>
        <v/>
      </c>
      <c r="J2" s="2">
        <f>IF(D2="Legal","YES","NO")</f>
        <v/>
      </c>
      <c r="K2" s="2">
        <f>IF(AND(H2="YES",I2="YES",J2="NO"),"YES","NO")</f>
        <v/>
      </c>
      <c r="L2" s="2">
        <f>IF(AND(K2="YES",C2&lt;&gt;""),"YES","NO")</f>
        <v/>
      </c>
      <c r="M2" s="2">
        <f>IF(L2="YES","INVITATION_DRAFT",IF(K2="YES","ELIGIBLE_EMAIL_MISSING",IF(J2="YES","EXCLUDE_LEGAL_OVERRIDE",IF(H2="NO","EXCLUDE_NON_FULL_TIME","EXCLUDE_ON_LEAVE"))))</f>
        <v/>
      </c>
      <c r="N2" s="2">
        <f>"employee="&amp;B2&amp;"|department="&amp;D2&amp;"|eligible="&amp;K2&amp;"|decision="&amp;M2</f>
        <v/>
      </c>
    </row>
    <row r="3">
      <c r="A3" s="2">
        <f>Source_Roster!A3</f>
        <v/>
      </c>
      <c r="B3" s="2">
        <f>Source_Roster!B3</f>
        <v/>
      </c>
      <c r="C3" s="2">
        <f>Source_Roster!C3</f>
        <v/>
      </c>
      <c r="D3" s="2">
        <f>Source_Roster!D3</f>
        <v/>
      </c>
      <c r="E3" s="2">
        <f>Source_Roster!E3</f>
        <v/>
      </c>
      <c r="F3" s="2">
        <f>Source_Roster!F3</f>
        <v/>
      </c>
      <c r="G3" s="2">
        <f>Source_Roster!G3</f>
        <v/>
      </c>
      <c r="H3" s="2">
        <f>IF(E3="Full-time","YES","NO")</f>
        <v/>
      </c>
      <c r="I3" s="2">
        <f>IF(F3="Active","YES","NO")</f>
        <v/>
      </c>
      <c r="J3" s="2">
        <f>IF(D3="Legal","YES","NO")</f>
        <v/>
      </c>
      <c r="K3" s="2">
        <f>IF(AND(H3="YES",I3="YES",J3="NO"),"YES","NO")</f>
        <v/>
      </c>
      <c r="L3" s="2">
        <f>IF(AND(K3="YES",C3&lt;&gt;""),"YES","NO")</f>
        <v/>
      </c>
      <c r="M3" s="2">
        <f>IF(L3="YES","INVITATION_DRAFT",IF(K3="YES","ELIGIBLE_EMAIL_MISSING",IF(J3="YES","EXCLUDE_LEGAL_OVERRIDE",IF(H3="NO","EXCLUDE_NON_FULL_TIME","EXCLUDE_ON_LEAVE"))))</f>
        <v/>
      </c>
      <c r="N3" s="2">
        <f>"employee="&amp;B3&amp;"|department="&amp;D3&amp;"|eligible="&amp;K3&amp;"|decision="&amp;M3</f>
        <v/>
      </c>
    </row>
    <row r="4">
      <c r="A4" s="2">
        <f>Source_Roster!A4</f>
        <v/>
      </c>
      <c r="B4" s="2">
        <f>Source_Roster!B4</f>
        <v/>
      </c>
      <c r="C4" s="2">
        <f>Source_Roster!C4</f>
        <v/>
      </c>
      <c r="D4" s="2">
        <f>Source_Roster!D4</f>
        <v/>
      </c>
      <c r="E4" s="2">
        <f>Source_Roster!E4</f>
        <v/>
      </c>
      <c r="F4" s="2">
        <f>Source_Roster!F4</f>
        <v/>
      </c>
      <c r="G4" s="2">
        <f>Source_Roster!G4</f>
        <v/>
      </c>
      <c r="H4" s="2">
        <f>IF(E4="Full-time","YES","NO")</f>
        <v/>
      </c>
      <c r="I4" s="2">
        <f>IF(F4="Active","YES","NO")</f>
        <v/>
      </c>
      <c r="J4" s="2">
        <f>IF(D4="Legal","YES","NO")</f>
        <v/>
      </c>
      <c r="K4" s="2">
        <f>IF(AND(H4="YES",I4="YES",J4="NO"),"YES","NO")</f>
        <v/>
      </c>
      <c r="L4" s="2">
        <f>IF(AND(K4="YES",C4&lt;&gt;""),"YES","NO")</f>
        <v/>
      </c>
      <c r="M4" s="2">
        <f>IF(L4="YES","INVITATION_DRAFT",IF(K4="YES","ELIGIBLE_EMAIL_MISSING",IF(J4="YES","EXCLUDE_LEGAL_OVERRIDE",IF(H4="NO","EXCLUDE_NON_FULL_TIME","EXCLUDE_ON_LEAVE"))))</f>
        <v/>
      </c>
      <c r="N4" s="2">
        <f>"employee="&amp;B4&amp;"|department="&amp;D4&amp;"|eligible="&amp;K4&amp;"|decision="&amp;M4</f>
        <v/>
      </c>
    </row>
    <row r="5">
      <c r="A5" s="2">
        <f>Source_Roster!A5</f>
        <v/>
      </c>
      <c r="B5" s="2">
        <f>Source_Roster!B5</f>
        <v/>
      </c>
      <c r="C5" s="2">
        <f>Source_Roster!C5</f>
        <v/>
      </c>
      <c r="D5" s="2">
        <f>Source_Roster!D5</f>
        <v/>
      </c>
      <c r="E5" s="2">
        <f>Source_Roster!E5</f>
        <v/>
      </c>
      <c r="F5" s="2">
        <f>Source_Roster!F5</f>
        <v/>
      </c>
      <c r="G5" s="2">
        <f>Source_Roster!G5</f>
        <v/>
      </c>
      <c r="H5" s="2">
        <f>IF(E5="Full-time","YES","NO")</f>
        <v/>
      </c>
      <c r="I5" s="2">
        <f>IF(F5="Active","YES","NO")</f>
        <v/>
      </c>
      <c r="J5" s="2">
        <f>IF(D5="Legal","YES","NO")</f>
        <v/>
      </c>
      <c r="K5" s="2">
        <f>IF(AND(H5="YES",I5="YES",J5="NO"),"YES","NO")</f>
        <v/>
      </c>
      <c r="L5" s="2">
        <f>IF(AND(K5="YES",C5&lt;&gt;""),"YES","NO")</f>
        <v/>
      </c>
      <c r="M5" s="2">
        <f>IF(L5="YES","INVITATION_DRAFT",IF(K5="YES","ELIGIBLE_EMAIL_MISSING",IF(J5="YES","EXCLUDE_LEGAL_OVERRIDE",IF(H5="NO","EXCLUDE_NON_FULL_TIME","EXCLUDE_ON_LEAVE"))))</f>
        <v/>
      </c>
      <c r="N5" s="2">
        <f>"employee="&amp;B5&amp;"|department="&amp;D5&amp;"|eligible="&amp;K5&amp;"|decision="&amp;M5</f>
        <v/>
      </c>
    </row>
    <row r="6">
      <c r="A6" s="2">
        <f>Source_Roster!A6</f>
        <v/>
      </c>
      <c r="B6" s="2">
        <f>Source_Roster!B6</f>
        <v/>
      </c>
      <c r="C6" s="2">
        <f>Source_Roster!C6</f>
        <v/>
      </c>
      <c r="D6" s="2">
        <f>Source_Roster!D6</f>
        <v/>
      </c>
      <c r="E6" s="2">
        <f>Source_Roster!E6</f>
        <v/>
      </c>
      <c r="F6" s="2">
        <f>Source_Roster!F6</f>
        <v/>
      </c>
      <c r="G6" s="2">
        <f>Source_Roster!G6</f>
        <v/>
      </c>
      <c r="H6" s="2">
        <f>IF(E6="Full-time","YES","NO")</f>
        <v/>
      </c>
      <c r="I6" s="2">
        <f>IF(F6="Active","YES","NO")</f>
        <v/>
      </c>
      <c r="J6" s="2">
        <f>IF(D6="Legal","YES","NO")</f>
        <v/>
      </c>
      <c r="K6" s="2">
        <f>IF(AND(H6="YES",I6="YES",J6="NO"),"YES","NO")</f>
        <v/>
      </c>
      <c r="L6" s="2">
        <f>IF(AND(K6="YES",C6&lt;&gt;""),"YES","NO")</f>
        <v/>
      </c>
      <c r="M6" s="2">
        <f>IF(L6="YES","INVITATION_DRAFT",IF(K6="YES","ELIGIBLE_EMAIL_MISSING",IF(J6="YES","EXCLUDE_LEGAL_OVERRIDE",IF(H6="NO","EXCLUDE_NON_FULL_TIME","EXCLUDE_ON_LEAVE"))))</f>
        <v/>
      </c>
      <c r="N6" s="2">
        <f>"employee="&amp;B6&amp;"|department="&amp;D6&amp;"|eligible="&amp;K6&amp;"|decision="&amp;M6</f>
        <v/>
      </c>
    </row>
    <row r="7">
      <c r="A7" s="2">
        <f>Source_Roster!A7</f>
        <v/>
      </c>
      <c r="B7" s="2">
        <f>Source_Roster!B7</f>
        <v/>
      </c>
      <c r="C7" s="2">
        <f>Source_Roster!C7</f>
        <v/>
      </c>
      <c r="D7" s="2">
        <f>Source_Roster!D7</f>
        <v/>
      </c>
      <c r="E7" s="2">
        <f>Source_Roster!E7</f>
        <v/>
      </c>
      <c r="F7" s="2">
        <f>Source_Roster!F7</f>
        <v/>
      </c>
      <c r="G7" s="2">
        <f>Source_Roster!G7</f>
        <v/>
      </c>
      <c r="H7" s="2">
        <f>IF(E7="Full-time","YES","NO")</f>
        <v/>
      </c>
      <c r="I7" s="2">
        <f>IF(F7="Active","YES","NO")</f>
        <v/>
      </c>
      <c r="J7" s="2">
        <f>IF(D7="Legal","YES","NO")</f>
        <v/>
      </c>
      <c r="K7" s="2">
        <f>IF(AND(H7="YES",I7="YES",J7="NO"),"YES","NO")</f>
        <v/>
      </c>
      <c r="L7" s="2">
        <f>IF(AND(K7="YES",C7&lt;&gt;""),"YES","NO")</f>
        <v/>
      </c>
      <c r="M7" s="2">
        <f>IF(L7="YES","INVITATION_DRAFT",IF(K7="YES","ELIGIBLE_EMAIL_MISSING",IF(J7="YES","EXCLUDE_LEGAL_OVERRIDE",IF(H7="NO","EXCLUDE_NON_FULL_TIME","EXCLUDE_ON_LEAVE"))))</f>
        <v/>
      </c>
      <c r="N7" s="2">
        <f>"employee="&amp;B7&amp;"|department="&amp;D7&amp;"|eligible="&amp;K7&amp;"|decision="&amp;M7</f>
        <v/>
      </c>
    </row>
    <row r="8">
      <c r="A8" s="2">
        <f>Source_Roster!A8</f>
        <v/>
      </c>
      <c r="B8" s="2">
        <f>Source_Roster!B8</f>
        <v/>
      </c>
      <c r="C8" s="2">
        <f>Source_Roster!C8</f>
        <v/>
      </c>
      <c r="D8" s="2">
        <f>Source_Roster!D8</f>
        <v/>
      </c>
      <c r="E8" s="2">
        <f>Source_Roster!E8</f>
        <v/>
      </c>
      <c r="F8" s="2">
        <f>Source_Roster!F8</f>
        <v/>
      </c>
      <c r="G8" s="2">
        <f>Source_Roster!G8</f>
        <v/>
      </c>
      <c r="H8" s="2">
        <f>IF(E8="Full-time","YES","NO")</f>
        <v/>
      </c>
      <c r="I8" s="2">
        <f>IF(F8="Active","YES","NO")</f>
        <v/>
      </c>
      <c r="J8" s="2">
        <f>IF(D8="Legal","YES","NO")</f>
        <v/>
      </c>
      <c r="K8" s="2">
        <f>IF(AND(H8="YES",I8="YES",J8="NO"),"YES","NO")</f>
        <v/>
      </c>
      <c r="L8" s="2">
        <f>IF(AND(K8="YES",C8&lt;&gt;""),"YES","NO")</f>
        <v/>
      </c>
      <c r="M8" s="2">
        <f>IF(L8="YES","INVITATION_DRAFT",IF(K8="YES","ELIGIBLE_EMAIL_MISSING",IF(J8="YES","EXCLUDE_LEGAL_OVERRIDE",IF(H8="NO","EXCLUDE_NON_FULL_TIME","EXCLUDE_ON_LEAVE"))))</f>
        <v/>
      </c>
      <c r="N8" s="2">
        <f>"employee="&amp;B8&amp;"|department="&amp;D8&amp;"|eligible="&amp;K8&amp;"|decision="&amp;M8</f>
        <v/>
      </c>
    </row>
    <row r="9">
      <c r="A9" s="2">
        <f>Source_Roster!A9</f>
        <v/>
      </c>
      <c r="B9" s="2">
        <f>Source_Roster!B9</f>
        <v/>
      </c>
      <c r="C9" s="2">
        <f>Source_Roster!C9</f>
        <v/>
      </c>
      <c r="D9" s="2">
        <f>Source_Roster!D9</f>
        <v/>
      </c>
      <c r="E9" s="2">
        <f>Source_Roster!E9</f>
        <v/>
      </c>
      <c r="F9" s="2">
        <f>Source_Roster!F9</f>
        <v/>
      </c>
      <c r="G9" s="2">
        <f>Source_Roster!G9</f>
        <v/>
      </c>
      <c r="H9" s="2">
        <f>IF(E9="Full-time","YES","NO")</f>
        <v/>
      </c>
      <c r="I9" s="2">
        <f>IF(F9="Active","YES","NO")</f>
        <v/>
      </c>
      <c r="J9" s="2">
        <f>IF(D9="Legal","YES","NO")</f>
        <v/>
      </c>
      <c r="K9" s="2">
        <f>IF(AND(H9="YES",I9="YES",J9="NO"),"YES","NO")</f>
        <v/>
      </c>
      <c r="L9" s="2">
        <f>IF(AND(K9="YES",C9&lt;&gt;""),"YES","NO")</f>
        <v/>
      </c>
      <c r="M9" s="2">
        <f>IF(L9="YES","INVITATION_DRAFT",IF(K9="YES","ELIGIBLE_EMAIL_MISSING",IF(J9="YES","EXCLUDE_LEGAL_OVERRIDE",IF(H9="NO","EXCLUDE_NON_FULL_TIME","EXCLUDE_ON_LEAVE"))))</f>
        <v/>
      </c>
      <c r="N9" s="2">
        <f>"employee="&amp;B9&amp;"|department="&amp;D9&amp;"|eligible="&amp;K9&amp;"|decision="&amp;M9</f>
        <v/>
      </c>
    </row>
    <row r="10">
      <c r="A10" s="2">
        <f>Source_Roster!A10</f>
        <v/>
      </c>
      <c r="B10" s="2">
        <f>Source_Roster!B10</f>
        <v/>
      </c>
      <c r="C10" s="2">
        <f>Source_Roster!C10</f>
        <v/>
      </c>
      <c r="D10" s="2">
        <f>Source_Roster!D10</f>
        <v/>
      </c>
      <c r="E10" s="2">
        <f>Source_Roster!E10</f>
        <v/>
      </c>
      <c r="F10" s="2">
        <f>Source_Roster!F10</f>
        <v/>
      </c>
      <c r="G10" s="2">
        <f>Source_Roster!G10</f>
        <v/>
      </c>
      <c r="H10" s="2">
        <f>IF(E10="Full-time","YES","NO")</f>
        <v/>
      </c>
      <c r="I10" s="2">
        <f>IF(F10="Active","YES","NO")</f>
        <v/>
      </c>
      <c r="J10" s="2">
        <f>IF(D10="Legal","YES","NO")</f>
        <v/>
      </c>
      <c r="K10" s="2">
        <f>IF(AND(H10="YES",I10="YES",J10="NO"),"YES","NO")</f>
        <v/>
      </c>
      <c r="L10" s="2">
        <f>IF(AND(K10="YES",C10&lt;&gt;""),"YES","NO")</f>
        <v/>
      </c>
      <c r="M10" s="2">
        <f>IF(L10="YES","INVITATION_DRAFT",IF(K10="YES","ELIGIBLE_EMAIL_MISSING",IF(J10="YES","EXCLUDE_LEGAL_OVERRIDE",IF(H10="NO","EXCLUDE_NON_FULL_TIME","EXCLUDE_ON_LEAVE"))))</f>
        <v/>
      </c>
      <c r="N10" s="2">
        <f>"employee="&amp;B10&amp;"|department="&amp;D10&amp;"|eligible="&amp;K10&amp;"|decision="&amp;M10</f>
        <v/>
      </c>
    </row>
    <row r="11">
      <c r="A11" s="2">
        <f>Source_Roster!A11</f>
        <v/>
      </c>
      <c r="B11" s="2">
        <f>Source_Roster!B11</f>
        <v/>
      </c>
      <c r="C11" s="2">
        <f>Source_Roster!C11</f>
        <v/>
      </c>
      <c r="D11" s="2">
        <f>Source_Roster!D11</f>
        <v/>
      </c>
      <c r="E11" s="2">
        <f>Source_Roster!E11</f>
        <v/>
      </c>
      <c r="F11" s="2">
        <f>Source_Roster!F11</f>
        <v/>
      </c>
      <c r="G11" s="2">
        <f>Source_Roster!G11</f>
        <v/>
      </c>
      <c r="H11" s="2">
        <f>IF(E11="Full-time","YES","NO")</f>
        <v/>
      </c>
      <c r="I11" s="2">
        <f>IF(F11="Active","YES","NO")</f>
        <v/>
      </c>
      <c r="J11" s="2">
        <f>IF(D11="Legal","YES","NO")</f>
        <v/>
      </c>
      <c r="K11" s="2">
        <f>IF(AND(H11="YES",I11="YES",J11="NO"),"YES","NO")</f>
        <v/>
      </c>
      <c r="L11" s="2">
        <f>IF(AND(K11="YES",C11&lt;&gt;""),"YES","NO")</f>
        <v/>
      </c>
      <c r="M11" s="2">
        <f>IF(L11="YES","INVITATION_DRAFT",IF(K11="YES","ELIGIBLE_EMAIL_MISSING",IF(J11="YES","EXCLUDE_LEGAL_OVERRIDE",IF(H11="NO","EXCLUDE_NON_FULL_TIME","EXCLUDE_ON_LEAVE"))))</f>
        <v/>
      </c>
      <c r="N11" s="2">
        <f>"employee="&amp;B11&amp;"|department="&amp;D11&amp;"|eligible="&amp;K11&amp;"|decision="&amp;M11</f>
        <v/>
      </c>
    </row>
  </sheetData>
  <conditionalFormatting sqref="K2:K11">
    <cfRule type="expression" priority="1" dxfId="0">
      <formula>K2="YES"</formula>
    </cfRule>
    <cfRule type="expression" priority="2" dxfId="1">
      <formula>K2="NO"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52" customWidth="1" min="4" max="4"/>
    <col width="24" customWidth="1" min="5" max="5"/>
  </cols>
  <sheetData>
    <row r="1">
      <c r="A1" s="1" t="inlineStr">
        <is>
          <t>Employee</t>
        </is>
      </c>
      <c r="B1" s="1" t="inlineStr">
        <is>
          <t>To</t>
        </is>
      </c>
      <c r="C1" s="1" t="inlineStr">
        <is>
          <t>Department</t>
        </is>
      </c>
      <c r="D1" s="1" t="inlineStr">
        <is>
          <t>Survey Link</t>
        </is>
      </c>
      <c r="E1" s="1" t="inlineStr">
        <is>
          <t>State</t>
        </is>
      </c>
    </row>
    <row r="2">
      <c r="A2" s="2" t="inlineStr">
        <is>
          <t>Anna Chen</t>
        </is>
      </c>
      <c r="B2" s="2" t="inlineStr">
        <is>
          <t>anna.chen@company.example.com</t>
        </is>
      </c>
      <c r="C2" s="2" t="inlineStr">
        <is>
          <t>Engineering</t>
        </is>
      </c>
      <c r="D2" s="2" t="inlineStr">
        <is>
          <t>https://survey.company.example.com/2026</t>
        </is>
      </c>
      <c r="E2" s="2" t="inlineStr">
        <is>
          <t>DRAFT_NOT_SENT</t>
        </is>
      </c>
    </row>
    <row r="3">
      <c r="A3" s="2" t="inlineStr">
        <is>
          <t>Clara Obi</t>
        </is>
      </c>
      <c r="B3" s="2" t="inlineStr">
        <is>
          <t>clara.obi@company.example.com</t>
        </is>
      </c>
      <c r="C3" s="2" t="inlineStr">
        <is>
          <t>Legal Operations</t>
        </is>
      </c>
      <c r="D3" s="2" t="inlineStr">
        <is>
          <t>https://survey.company.example.com/2026</t>
        </is>
      </c>
      <c r="E3" s="2" t="inlineStr">
        <is>
          <t>DRAFT_NOT_SENT</t>
        </is>
      </c>
    </row>
    <row r="4">
      <c r="A4" s="2" t="inlineStr">
        <is>
          <t>Derek Holm</t>
        </is>
      </c>
      <c r="B4" s="2" t="inlineStr">
        <is>
          <t>derek.holm@company.example.com</t>
        </is>
      </c>
      <c r="C4" s="2" t="inlineStr">
        <is>
          <t>Sales</t>
        </is>
      </c>
      <c r="D4" s="2" t="inlineStr">
        <is>
          <t>https://survey.company.example.com/2026</t>
        </is>
      </c>
      <c r="E4" s="2" t="inlineStr">
        <is>
          <t>DRAFT_NOT_SENT</t>
        </is>
      </c>
    </row>
    <row r="5">
      <c r="A5" s="2" t="inlineStr">
        <is>
          <t>Iris Nakamura</t>
        </is>
      </c>
      <c r="B5" s="2" t="inlineStr">
        <is>
          <t>iris.nakamura@company.example.com</t>
        </is>
      </c>
      <c r="C5" s="2" t="inlineStr">
        <is>
          <t>Sales</t>
        </is>
      </c>
      <c r="D5" s="2" t="inlineStr">
        <is>
          <t>https://survey.company.example.com/2026</t>
        </is>
      </c>
      <c r="E5" s="2" t="inlineStr">
        <is>
          <t>DRAFT_NOT_SENT</t>
        </is>
      </c>
    </row>
    <row r="6">
      <c r="A6" s="2" t="inlineStr">
        <is>
          <t>Jake Morrison</t>
        </is>
      </c>
      <c r="B6" s="2" t="inlineStr">
        <is>
          <t>jake.morrison@company.example.com</t>
        </is>
      </c>
      <c r="C6" s="2" t="inlineStr">
        <is>
          <t>Support</t>
        </is>
      </c>
      <c r="D6" s="2" t="inlineStr">
        <is>
          <t>https://survey.company.example.com/2026</t>
        </is>
      </c>
      <c r="E6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8" customWidth="1" min="4" max="4"/>
    <col width="34" customWidth="1" min="5" max="5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Employment Type</t>
        </is>
      </c>
      <c r="D1" s="1" t="inlineStr">
        <is>
          <t>Status</t>
        </is>
      </c>
      <c r="E1" s="1" t="inlineStr">
        <is>
          <t>Reason</t>
        </is>
      </c>
    </row>
    <row r="2">
      <c r="A2" s="2" t="inlineStr">
        <is>
          <t>Boris Petrov</t>
        </is>
      </c>
      <c r="B2" s="2" t="inlineStr">
        <is>
          <t>Legal</t>
        </is>
      </c>
      <c r="C2" s="2" t="inlineStr">
        <is>
          <t>Full-time</t>
        </is>
      </c>
      <c r="D2" s="2" t="inlineStr">
        <is>
          <t>Active</t>
        </is>
      </c>
      <c r="E2" s="2" t="inlineStr">
        <is>
          <t>EXCLUDE_LEGAL_OVERRIDE</t>
        </is>
      </c>
    </row>
    <row r="3">
      <c r="A3" s="2" t="inlineStr">
        <is>
          <t>Faisal Khan</t>
        </is>
      </c>
      <c r="B3" s="2" t="inlineStr">
        <is>
          <t>Legal</t>
        </is>
      </c>
      <c r="C3" s="2" t="inlineStr">
        <is>
          <t>Full-time</t>
        </is>
      </c>
      <c r="D3" s="2" t="inlineStr">
        <is>
          <t>Active</t>
        </is>
      </c>
      <c r="E3" s="2" t="inlineStr">
        <is>
          <t>EXCLUDE_LEGAL_OVERRIDE</t>
        </is>
      </c>
    </row>
    <row r="4">
      <c r="A4" s="2" t="inlineStr">
        <is>
          <t>Grace Kim</t>
        </is>
      </c>
      <c r="B4" s="2" t="inlineStr">
        <is>
          <t>Marketing</t>
        </is>
      </c>
      <c r="C4" s="2" t="inlineStr">
        <is>
          <t>Contractor</t>
        </is>
      </c>
      <c r="D4" s="2" t="inlineStr">
        <is>
          <t>Active</t>
        </is>
      </c>
      <c r="E4" s="2" t="inlineStr">
        <is>
          <t>EXCLUDE_NON_FULL_TIME</t>
        </is>
      </c>
    </row>
    <row r="5">
      <c r="A5" s="2" t="inlineStr">
        <is>
          <t>Hugo Larsson</t>
        </is>
      </c>
      <c r="B5" s="2" t="inlineStr">
        <is>
          <t>Engineering</t>
        </is>
      </c>
      <c r="C5" s="2" t="inlineStr">
        <is>
          <t>Full-time</t>
        </is>
      </c>
      <c r="D5" s="2" t="inlineStr">
        <is>
          <t>On Leave</t>
        </is>
      </c>
      <c r="E5" s="2" t="inlineStr">
        <is>
          <t>EXCLUDE_ON_LEAVE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6" customWidth="1" min="3" max="3"/>
    <col width="24" customWidth="1" min="4" max="4"/>
    <col width="28" customWidth="1" min="5" max="5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State</t>
        </is>
      </c>
    </row>
    <row r="2">
      <c r="A2" s="2" t="inlineStr">
        <is>
          <t>Elena Rossi</t>
        </is>
      </c>
      <c r="B2" s="2" t="inlineStr">
        <is>
          <t>Engineering</t>
        </is>
      </c>
      <c r="C2" s="2" t="inlineStr">
        <is>
          <t>Eligible employee has no email; IT setup pending</t>
        </is>
      </c>
      <c r="D2" s="2" t="inlineStr">
        <is>
          <t>HR Ops / IT</t>
        </is>
      </c>
      <c r="E2" s="2" t="inlineStr">
        <is>
          <t>OPEN_NOT_DELIVERED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6" customWidth="1" min="3" max="3"/>
    <col width="18" customWidth="1" min="4" max="4"/>
    <col width="14" customWidth="1" min="5" max="5"/>
    <col width="24" customWidth="1" min="6" max="6"/>
  </cols>
  <sheetData>
    <row r="1">
      <c r="A1" s="1" t="inlineStr">
        <is>
          <t>Channel</t>
        </is>
      </c>
      <c r="B1" s="1" t="inlineStr">
        <is>
          <t>Survey Link</t>
        </is>
      </c>
      <c r="C1" s="1" t="inlineStr">
        <is>
          <t>Eligible</t>
        </is>
      </c>
      <c r="D1" s="1" t="inlineStr">
        <is>
          <t>Deliverable</t>
        </is>
      </c>
      <c r="E1" s="1" t="inlineStr">
        <is>
          <t>Gap</t>
        </is>
      </c>
      <c r="F1" s="1" t="inlineStr">
        <is>
          <t>State</t>
        </is>
      </c>
    </row>
    <row r="2">
      <c r="A2" s="2" t="inlineStr">
        <is>
          <t>#all-hands</t>
        </is>
      </c>
      <c r="B2" s="2" t="inlineStr">
        <is>
          <t>https://survey.company.example.com/2026</t>
        </is>
      </c>
      <c r="C2" s="2" t="n">
        <v>6</v>
      </c>
      <c r="D2" s="2" t="n">
        <v>5</v>
      </c>
      <c r="E2" s="2" t="n">
        <v>1</v>
      </c>
      <c r="F2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6" customWidth="1" min="3" max="3"/>
  </cols>
  <sheetData>
    <row r="1">
      <c r="A1" s="1" t="inlineStr">
        <is>
          <t>Population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Roster reviewed</t>
        </is>
      </c>
      <c r="B2" s="2" t="n">
        <v>10</v>
      </c>
      <c r="C2" s="2" t="inlineStr">
        <is>
          <t>Complete</t>
        </is>
      </c>
    </row>
    <row r="3">
      <c r="A3" s="2" t="inlineStr">
        <is>
          <t>Eligible</t>
        </is>
      </c>
      <c r="B3" s="2" t="n">
        <v>6</v>
      </c>
      <c r="C3" s="2" t="inlineStr">
        <is>
          <t>Includes Elena</t>
        </is>
      </c>
    </row>
    <row r="4">
      <c r="A4" s="2" t="inlineStr">
        <is>
          <t>Invitation drafts</t>
        </is>
      </c>
      <c r="B4" s="2" t="n">
        <v>5</v>
      </c>
      <c r="C4" s="2" t="inlineStr">
        <is>
          <t>Anna, Clara, Derek, Iris, Jake</t>
        </is>
      </c>
    </row>
    <row r="5">
      <c r="A5" s="2" t="inlineStr">
        <is>
          <t>Delivery gaps</t>
        </is>
      </c>
      <c r="B5" s="2" t="n">
        <v>1</v>
      </c>
      <c r="C5" s="2" t="inlineStr">
        <is>
          <t>Elena: missing email</t>
        </is>
      </c>
    </row>
    <row r="6">
      <c r="A6" s="2" t="inlineStr">
        <is>
          <t>Excluded</t>
        </is>
      </c>
      <c r="B6" s="2" t="n">
        <v>4</v>
      </c>
      <c r="C6" s="2" t="inlineStr">
        <is>
          <t>Boris, Faisal, Grace, Hugo</t>
        </is>
      </c>
    </row>
    <row r="7">
      <c r="A7" s="2" t="inlineStr">
        <is>
          <t>Legal Operations included</t>
        </is>
      </c>
      <c r="B7" s="2" t="n">
        <v>1</v>
      </c>
      <c r="C7" s="2" t="inlineStr">
        <is>
          <t>Clara; exact department matching</t>
        </is>
      </c>
    </row>
    <row r="8">
      <c r="A8" s="2" t="inlineStr">
        <is>
          <t>Legal excluded</t>
        </is>
      </c>
      <c r="B8" s="2" t="n">
        <v>2</v>
      </c>
      <c r="C8" s="2" t="inlineStr">
        <is>
          <t>Boris; Faisal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Invitation drafts</t>
        </is>
      </c>
      <c r="B2" s="2" t="n">
        <v>5</v>
      </c>
      <c r="C2" s="2" t="inlineStr">
        <is>
          <t>DRAFT_NOT_SENT</t>
        </is>
      </c>
    </row>
    <row r="3">
      <c r="A3" s="2" t="inlineStr">
        <is>
          <t>Emails sent</t>
        </is>
      </c>
      <c r="B3" s="2" t="n">
        <v>0</v>
      </c>
      <c r="C3" s="2" t="inlineStr">
        <is>
          <t>NONE</t>
        </is>
      </c>
    </row>
    <row r="4">
      <c r="A4" s="2" t="inlineStr">
        <is>
          <t>Slack drafts</t>
        </is>
      </c>
      <c r="B4" s="2" t="n">
        <v>1</v>
      </c>
      <c r="C4" s="2" t="inlineStr">
        <is>
          <t>DRAFT_NOT_POSTED</t>
        </is>
      </c>
    </row>
    <row r="5">
      <c r="A5" s="2" t="inlineStr">
        <is>
          <t>Slack messages posted</t>
        </is>
      </c>
      <c r="B5" s="2" t="n">
        <v>0</v>
      </c>
      <c r="C5" s="2" t="inlineStr">
        <is>
          <t>NONE</t>
        </is>
      </c>
    </row>
    <row r="6">
      <c r="A6" s="2" t="inlineStr">
        <is>
          <t>Eligible unresolved</t>
        </is>
      </c>
      <c r="B6" s="2" t="n">
        <v>1</v>
      </c>
      <c r="C6" s="2" t="inlineStr">
        <is>
          <t>Elena Rossi</t>
        </is>
      </c>
    </row>
    <row r="7">
      <c r="A7" s="2" t="inlineStr">
        <is>
          <t>Real side effects</t>
        </is>
      </c>
      <c r="B7" s="2" t="n">
        <v>0</v>
      </c>
      <c r="C7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Annual Employee Survey Distribution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