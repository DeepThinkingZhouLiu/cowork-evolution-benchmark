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oster" sheetId="1" state="visible" r:id="rId1"/>
    <sheet xmlns:r="http://schemas.openxmlformats.org/officeDocument/2006/relationships" name="Source_Policy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ttendance_Decisions" sheetId="4" state="visible" r:id="rId4"/>
    <sheet xmlns:r="http://schemas.openxmlformats.org/officeDocument/2006/relationships" name="Invite_Drafts" sheetId="5" state="visible" r:id="rId5"/>
    <sheet xmlns:r="http://schemas.openxmlformats.org/officeDocument/2006/relationships" name="Exemptions" sheetId="6" state="visible" r:id="rId6"/>
    <sheet xmlns:r="http://schemas.openxmlformats.org/officeDocument/2006/relationships" name="Recording_Notices" sheetId="7" state="visible" r:id="rId7"/>
    <sheet xmlns:r="http://schemas.openxmlformats.org/officeDocument/2006/relationships" name="Slack_Draft" sheetId="8" state="visible" r:id="rId8"/>
    <sheet xmlns:r="http://schemas.openxmlformats.org/officeDocument/2006/relationships" name="Calendar_Control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Control_Summary" sheetId="11" state="visible" r:id="rId11"/>
  </sheets>
  <definedNames>
    <definedName name="_xlnm.Print_Area" localSheetId="0">'Source_Roster'!$A$1:$G$9</definedName>
    <definedName name="_xlnm.Print_Area" localSheetId="1">'Source_Policy'!$A$1:$C$2</definedName>
    <definedName name="_xlnm.Print_Area" localSheetId="2">'Evidence_Register'!$A$1:$C$5</definedName>
    <definedName name="_xlnm.Print_Area" localSheetId="3">'Attendance_Decisions'!$A$1:$N$9</definedName>
    <definedName name="_xlnm.Print_Area" localSheetId="4">'Invite_Drafts'!$A$1:$E$6</definedName>
    <definedName name="_xlnm.Print_Area" localSheetId="5">'Exemptions'!$A$1:$D$4</definedName>
    <definedName name="_xlnm.Print_Area" localSheetId="6">'Recording_Notices'!$A$1:$D$4</definedName>
    <definedName name="_xlnm.Print_Area" localSheetId="7">'Slack_Draft'!$A$1:$E$2</definedName>
    <definedName name="_xlnm.Print_Area" localSheetId="8">'Calendar_Control'!$A$1:$D$2</definedName>
    <definedName name="_xlnm.Print_Area" localSheetId="9">'Reconciliation'!$A$1:$C$7</definedName>
    <definedName name="_xlnm.Print_Area" localSheetId="10">'Control_Summary'!$A$1:$C$8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All-hands attendance disposition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'Control_Summary'!$A$2:$A$5</f>
            </numRef>
          </cat>
          <val>
            <numRef>
              <f>'Control_Summary'!$B$2:$B$5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Roster" displayName="SourceRoster" ref="A1:G9" headerRowCount="1">
  <autoFilter ref="A1:G9"/>
  <tableColumns count="7">
    <tableColumn id="1" name="Source Row"/>
    <tableColumn id="2" name="Employee"/>
    <tableColumn id="3" name="Email"/>
    <tableColumn id="4" name="Department"/>
    <tableColumn id="5" name="Role"/>
    <tableColumn id="6" name="Status"/>
    <tableColumn id="7" name="Notes"/>
  </tableColumns>
  <tableStyleInfo name="TableStyleMedium2" showRowStripes="1"/>
</table>
</file>

<file path=xl/tables/table2.xml><?xml version="1.0" encoding="utf-8"?>
<table xmlns="http://schemas.openxmlformats.org/spreadsheetml/2006/main" id="2" name="SourcePolicy" displayName="SourcePolicy" ref="A1:C2" headerRowCount="1">
  <autoFilter ref="A1:C2"/>
  <tableColumns count="3">
    <tableColumn id="1" name="Message ID"/>
    <tableColumn id="2" name="Subject"/>
    <tableColumn id="3" name="Body"/>
  </tableColumns>
  <tableStyleInfo name="TableStyleMedium2" showRowStripes="1"/>
</table>
</file>

<file path=xl/tables/table3.xml><?xml version="1.0" encoding="utf-8"?>
<table xmlns="http://schemas.openxmlformats.org/spreadsheetml/2006/main" id="3" name="EvidenceRegister" displayName="EvidenceRegister" ref="A1:C5" headerRowCount="1">
  <autoFilter ref="A1:C5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4.xml><?xml version="1.0" encoding="utf-8"?>
<table xmlns="http://schemas.openxmlformats.org/spreadsheetml/2006/main" id="4" name="AttendanceDecisions" displayName="AttendanceDecisions" ref="A1:N9" headerRowCount="1">
  <autoFilter ref="A1:N9"/>
  <tableColumns count="14">
    <tableColumn id="1" name="Row"/>
    <tableColumn id="2" name="Employee"/>
    <tableColumn id="3" name="Email"/>
    <tableColumn id="4" name="Department"/>
    <tableColumn id="5" name="Role"/>
    <tableColumn id="6" name="Status"/>
    <tableColumn id="7" name="Notes"/>
    <tableColumn id="8" name="Active"/>
    <tableColumn id="9" name="On Leave"/>
    <tableColumn id="10" name="Support On Shift"/>
    <tableColumn id="11" name="VP+"/>
    <tableColumn id="12" name="Required Live"/>
    <tableColumn id="13" name="Decision"/>
    <tableColumn id="14" name="Trace"/>
  </tableColumns>
  <tableStyleInfo name="TableStyleMedium2" showRowStripes="1"/>
</table>
</file>

<file path=xl/tables/table5.xml><?xml version="1.0" encoding="utf-8"?>
<table xmlns="http://schemas.openxmlformats.org/spreadsheetml/2006/main" id="5" name="InviteDrafts" displayName="InviteDrafts" ref="A1:E6" headerRowCount="1">
  <autoFilter ref="A1:E6"/>
  <tableColumns count="5">
    <tableColumn id="1" name="Employee"/>
    <tableColumn id="2" name="To"/>
    <tableColumn id="3" name="Role"/>
    <tableColumn id="4" name="Meeting"/>
    <tableColumn id="5" name="State"/>
  </tableColumns>
  <tableStyleInfo name="TableStyleMedium2" showRowStripes="1"/>
</table>
</file>

<file path=xl/tables/table6.xml><?xml version="1.0" encoding="utf-8"?>
<table xmlns="http://schemas.openxmlformats.org/spreadsheetml/2006/main" id="6" name="Exemptions" displayName="Exemptions" ref="A1:D4" headerRowCount="1">
  <autoFilter ref="A1:D4"/>
  <tableColumns count="4">
    <tableColumn id="1" name="Employee"/>
    <tableColumn id="2" name="Role"/>
    <tableColumn id="3" name="Reason"/>
    <tableColumn id="4" name="Recording Notice"/>
  </tableColumns>
  <tableStyleInfo name="TableStyleMedium2" showRowStripes="1"/>
</table>
</file>

<file path=xl/tables/table7.xml><?xml version="1.0" encoding="utf-8"?>
<table xmlns="http://schemas.openxmlformats.org/spreadsheetml/2006/main" id="7" name="RecordingNotices" displayName="RecordingNotices" ref="A1:D4" headerRowCount="1">
  <autoFilter ref="A1:D4"/>
  <tableColumns count="4">
    <tableColumn id="1" name="Employee"/>
    <tableColumn id="2" name="To"/>
    <tableColumn id="3" name="Reason"/>
    <tableColumn id="4" name="State"/>
  </tableColumns>
  <tableStyleInfo name="TableStyleMedium2" showRowStripes="1"/>
</table>
</file>

<file path=xl/tables/table8.xml><?xml version="1.0" encoding="utf-8"?>
<table xmlns="http://schemas.openxmlformats.org/spreadsheetml/2006/main" id="8" name="SlackDraft" displayName="SlackDraft" ref="A1:E2" headerRowCount="1">
  <autoFilter ref="A1:E2"/>
  <tableColumns count="5">
    <tableColumn id="1" name="Channel"/>
    <tableColumn id="2" name="Meeting"/>
    <tableColumn id="3" name="Required"/>
    <tableColumn id="4" name="Exempt"/>
    <tableColumn id="5" name="State"/>
  </tableColumns>
  <tableStyleInfo name="TableStyleMedium2" showRowStripes="1"/>
</table>
</file>

<file path=xl/tables/table9.xml><?xml version="1.0" encoding="utf-8"?>
<table xmlns="http://schemas.openxmlformats.org/spreadsheetml/2006/main" id="9" name="CalendarControl" displayName="CalendarControl" ref="A1:D2" headerRowCount="1">
  <autoFilter ref="A1:D2"/>
  <tableColumns count="4">
    <tableColumn id="1" name="Requested Action"/>
    <tableColumn id="2" name="Authority"/>
    <tableColumn id="3" name="Calendar Changes"/>
    <tableColumn id="4" name="State"/>
  </tableColumns>
  <tableStyleInfo name="TableStyleMedium2" showRowStripes="1"/>
</table>
</file>

<file path=xl/tables/table10.xml><?xml version="1.0" encoding="utf-8"?>
<table xmlns="http://schemas.openxmlformats.org/spreadsheetml/2006/main" id="10" name="Reconciliation" displayName="Reconciliation" ref="A1:C7" headerRowCount="1">
  <autoFilter ref="A1:C7"/>
  <tableColumns count="3">
    <tableColumn id="1" name="Population"/>
    <tableColumn id="2" name="Count"/>
    <tableColumn id="3" name="Control"/>
  </tableColumns>
  <tableStyleInfo name="TableStyleMedium2" showRowStripes="1"/>
</table>
</file>

<file path=xl/tables/table11.xml><?xml version="1.0" encoding="utf-8"?>
<table xmlns="http://schemas.openxmlformats.org/spreadsheetml/2006/main" id="11" name="ControlSummary" displayName="ControlSummary" ref="A1:C8" headerRowCount="1">
  <autoFilter ref="A1:C8"/>
  <tableColumns count="3">
    <tableColumn id="1" name="Metric"/>
    <tableColumn id="2" name="Count"/>
    <tableColumn id="3" name="St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22" customWidth="1" min="4" max="4"/>
    <col width="26" customWidth="1" min="5" max="5"/>
    <col width="18" customWidth="1" min="6" max="6"/>
    <col width="54" customWidth="1" min="7" max="7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2</v>
      </c>
      <c r="B2" s="2" t="inlineStr">
        <is>
          <t>Alice Park</t>
        </is>
      </c>
      <c r="C2" s="2" t="inlineStr">
        <is>
          <t>alice.park@company.example.com</t>
        </is>
      </c>
      <c r="D2" s="2" t="inlineStr">
        <is>
          <t>Engineering</t>
        </is>
      </c>
      <c r="E2" s="2" t="inlineStr">
        <is>
          <t>Software Engineer</t>
        </is>
      </c>
      <c r="F2" s="2" t="inlineStr">
        <is>
          <t>Active</t>
        </is>
      </c>
      <c r="G2" s="2" t="n"/>
    </row>
    <row r="3">
      <c r="A3" s="2" t="n">
        <v>3</v>
      </c>
      <c r="B3" s="2" t="inlineStr">
        <is>
          <t>Bob Chen</t>
        </is>
      </c>
      <c r="C3" s="2" t="inlineStr">
        <is>
          <t>bob.chen@company.example.com</t>
        </is>
      </c>
      <c r="D3" s="2" t="inlineStr">
        <is>
          <t>Support</t>
        </is>
      </c>
      <c r="E3" s="2" t="inlineStr">
        <is>
          <t>Support Agent</t>
        </is>
      </c>
      <c r="F3" s="2" t="inlineStr">
        <is>
          <t>Active</t>
        </is>
      </c>
      <c r="G3" s="2" t="inlineStr">
        <is>
          <t>On shift Wednesday 12-6 PM</t>
        </is>
      </c>
    </row>
    <row r="4">
      <c r="A4" s="2" t="n">
        <v>4</v>
      </c>
      <c r="B4" s="2" t="inlineStr">
        <is>
          <t>Carol Diaz</t>
        </is>
      </c>
      <c r="C4" s="2" t="inlineStr">
        <is>
          <t>carol.diaz@company.example.com</t>
        </is>
      </c>
      <c r="D4" s="2" t="inlineStr">
        <is>
          <t>Sales</t>
        </is>
      </c>
      <c r="E4" s="2" t="inlineStr">
        <is>
          <t>Account Executive</t>
        </is>
      </c>
      <c r="F4" s="2" t="inlineStr">
        <is>
          <t>Active</t>
        </is>
      </c>
      <c r="G4" s="2" t="n"/>
    </row>
    <row r="5">
      <c r="A5" s="2" t="n">
        <v>5</v>
      </c>
      <c r="B5" s="2" t="inlineStr">
        <is>
          <t>Dave Kim</t>
        </is>
      </c>
      <c r="C5" s="2" t="inlineStr">
        <is>
          <t>dave.kim@company.example.com</t>
        </is>
      </c>
      <c r="D5" s="2" t="inlineStr">
        <is>
          <t>Support</t>
        </is>
      </c>
      <c r="E5" s="2" t="inlineStr">
        <is>
          <t>Support Manager</t>
        </is>
      </c>
      <c r="F5" s="2" t="inlineStr">
        <is>
          <t>Active</t>
        </is>
      </c>
      <c r="G5" s="2" t="n"/>
    </row>
    <row r="6">
      <c r="A6" s="2" t="n">
        <v>6</v>
      </c>
      <c r="B6" s="2" t="inlineStr">
        <is>
          <t>Elena Vasquez</t>
        </is>
      </c>
      <c r="C6" s="2" t="inlineStr">
        <is>
          <t>elena.vasquez@company.example.com</t>
        </is>
      </c>
      <c r="D6" s="2" t="inlineStr">
        <is>
          <t>Engineering</t>
        </is>
      </c>
      <c r="E6" s="2" t="inlineStr">
        <is>
          <t>Tech Lead</t>
        </is>
      </c>
      <c r="F6" s="2" t="inlineStr">
        <is>
          <t>On Leave</t>
        </is>
      </c>
      <c r="G6" s="2" t="inlineStr">
        <is>
          <t>Medical leave through April 30</t>
        </is>
      </c>
    </row>
    <row r="7">
      <c r="A7" s="2" t="n">
        <v>7</v>
      </c>
      <c r="B7" s="2" t="inlineStr">
        <is>
          <t>Femi Adeyemi</t>
        </is>
      </c>
      <c r="C7" s="2" t="inlineStr">
        <is>
          <t>femi.adeyemi@company.example.com</t>
        </is>
      </c>
      <c r="D7" s="2" t="inlineStr">
        <is>
          <t>Marketing</t>
        </is>
      </c>
      <c r="E7" s="2" t="inlineStr">
        <is>
          <t>Content Manager</t>
        </is>
      </c>
      <c r="F7" s="2" t="inlineStr">
        <is>
          <t>Active</t>
        </is>
      </c>
      <c r="G7" s="2" t="n"/>
    </row>
    <row r="8">
      <c r="A8" s="2" t="n">
        <v>8</v>
      </c>
      <c r="B8" s="2" t="inlineStr">
        <is>
          <t>Grace Okonkwo</t>
        </is>
      </c>
      <c r="C8" s="2" t="inlineStr">
        <is>
          <t>grace.okonkwo@company.example.com</t>
        </is>
      </c>
      <c r="D8" s="2" t="inlineStr">
        <is>
          <t>Sales</t>
        </is>
      </c>
      <c r="E8" s="2" t="inlineStr">
        <is>
          <t>VP Sales</t>
        </is>
      </c>
      <c r="F8" s="2" t="inlineStr">
        <is>
          <t>Active</t>
        </is>
      </c>
      <c r="G8" s="2" t="n"/>
    </row>
    <row r="9">
      <c r="A9" s="2" t="n">
        <v>9</v>
      </c>
      <c r="B9" s="2" t="inlineStr">
        <is>
          <t>Hugo Fernandez</t>
        </is>
      </c>
      <c r="C9" s="2" t="inlineStr">
        <is>
          <t>hugo.fernandez@company.example.com</t>
        </is>
      </c>
      <c r="D9" s="2" t="inlineStr">
        <is>
          <t>Support</t>
        </is>
      </c>
      <c r="E9" s="2" t="inlineStr">
        <is>
          <t>Support Agent</t>
        </is>
      </c>
      <c r="F9" s="2" t="inlineStr">
        <is>
          <t>Active</t>
        </is>
      </c>
      <c r="G9" s="2" t="inlineStr">
        <is>
          <t>On shift Wednesday 1-9 PM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20" customWidth="1" min="3" max="3"/>
  </cols>
  <sheetData>
    <row r="1">
      <c r="A1" s="1" t="inlineStr">
        <is>
          <t>Message ID</t>
        </is>
      </c>
      <c r="B1" s="1" t="inlineStr">
        <is>
          <t>Subject</t>
        </is>
      </c>
      <c r="C1" s="1" t="inlineStr">
        <is>
          <t>Body</t>
        </is>
      </c>
    </row>
    <row r="2">
      <c r="A2" s="2" t="inlineStr">
        <is>
          <t>msg_meeting_exempt_5124</t>
        </is>
      </c>
      <c r="B2" s="2" t="inlineStr">
        <is>
          <t>All-Hands Meeting Exemptions</t>
        </is>
      </c>
      <c r="C2" s="2" t="inlineStr">
        <is>
          <t xml:space="preserve">Hi team,
The following employees are exempt from the April all-hands:
- Customer-facing Support team members who are on shift
- Anyone currently on approved leave
The meeting recording will be shared with exempted employees.
VP+ OVERRIDE: Executives (VP or above) must attend LIVE regardless of other obligations or shift coverage.
SCHEDULING NOTE: Moving employees' 1:1s to accommodate all-hands is the individual manager's responsibility — HR Ops does NOT auto-reschedule 1:1s for all-hands. Do not create or modify calendar events for 1:1s.
- COO
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4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All_Hands_Policy.mbox</t>
        </is>
      </c>
      <c r="B2" s="2" t="inlineStr">
        <is>
          <t>Frozen AutomationBench 5124 source</t>
        </is>
      </c>
      <c r="C2" s="2" t="inlineStr">
        <is>
          <t>07208c1941250d466644e9535913954ffd7807c9800c2690ed01f8bc3047f823</t>
        </is>
      </c>
    </row>
    <row r="3">
      <c r="A3" s="2" t="inlineStr">
        <is>
          <t>All_Hands_Roster.xlsx</t>
        </is>
      </c>
      <c r="B3" s="2" t="inlineStr">
        <is>
          <t>Frozen AutomationBench 5124 source</t>
        </is>
      </c>
      <c r="C3" s="2" t="inlineStr">
        <is>
          <t>3e2d3161350725d83983b4339857bca1b60ddf3bce66c0c2397e5f58258e915d</t>
        </is>
      </c>
    </row>
    <row r="4">
      <c r="A4" s="2" t="inlineStr">
        <is>
          <t>All_Hands_Slack_Context.json</t>
        </is>
      </c>
      <c r="B4" s="2" t="inlineStr">
        <is>
          <t>Frozen AutomationBench 5124 source</t>
        </is>
      </c>
      <c r="C4" s="2" t="inlineStr">
        <is>
          <t>81eb46e8b7486fc074229385ea5e59e991b997a2cf5dfc48290f59083111e36a</t>
        </is>
      </c>
    </row>
    <row r="5">
      <c r="A5" s="2" t="inlineStr">
        <is>
          <t>Calendar_Workflow_Context.json</t>
        </is>
      </c>
      <c r="B5" s="2" t="inlineStr">
        <is>
          <t>Frozen AutomationBench 5124 source</t>
        </is>
      </c>
      <c r="C5" s="2" t="inlineStr">
        <is>
          <t>ec8824f4c89687053fdbab8e61e9c56752225bb18f4fb21142c2949804213a59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22" customWidth="1" min="4" max="4"/>
    <col width="26" customWidth="1" min="5" max="5"/>
    <col width="18" customWidth="1" min="6" max="6"/>
    <col width="54" customWidth="1" min="7" max="7"/>
    <col width="14" customWidth="1" min="8" max="8"/>
    <col width="16" customWidth="1" min="9" max="9"/>
    <col width="22" customWidth="1" min="10" max="10"/>
    <col width="14" customWidth="1" min="11" max="11"/>
    <col width="20" customWidth="1" min="12" max="12"/>
    <col width="32" customWidth="1" min="13" max="13"/>
    <col width="90" customWidth="1" min="14" max="14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Active</t>
        </is>
      </c>
      <c r="I1" s="1" t="inlineStr">
        <is>
          <t>On Leave</t>
        </is>
      </c>
      <c r="J1" s="1" t="inlineStr">
        <is>
          <t>Support On Shift</t>
        </is>
      </c>
      <c r="K1" s="1" t="inlineStr">
        <is>
          <t>VP+</t>
        </is>
      </c>
      <c r="L1" s="1" t="inlineStr">
        <is>
          <t>Required Live</t>
        </is>
      </c>
      <c r="M1" s="1" t="inlineStr">
        <is>
          <t>Decision</t>
        </is>
      </c>
      <c r="N1" s="1" t="inlineStr">
        <is>
          <t>Trace</t>
        </is>
      </c>
    </row>
    <row r="2">
      <c r="A2" s="2">
        <f>Source_Roster!A2</f>
        <v/>
      </c>
      <c r="B2" s="2">
        <f>Source_Roster!B2</f>
        <v/>
      </c>
      <c r="C2" s="2">
        <f>Source_Roster!C2</f>
        <v/>
      </c>
      <c r="D2" s="2">
        <f>Source_Roster!D2</f>
        <v/>
      </c>
      <c r="E2" s="2">
        <f>Source_Roster!E2</f>
        <v/>
      </c>
      <c r="F2" s="2">
        <f>Source_Roster!F2</f>
        <v/>
      </c>
      <c r="G2" s="2">
        <f>Source_Roster!G2</f>
        <v/>
      </c>
      <c r="H2" s="2">
        <f>IF(F2="Active","YES","NO")</f>
        <v/>
      </c>
      <c r="I2" s="2">
        <f>IF(F2="On Leave","YES","NO")</f>
        <v/>
      </c>
      <c r="J2" s="2">
        <f>IF(AND(D2="Support",ISNUMBER(SEARCH("On shift Wednesday",G2))),"YES","NO")</f>
        <v/>
      </c>
      <c r="K2" s="2">
        <f>IF(OR(LEFT(E2,2)="VP",LEFT(E2,5)="Chief"),"YES","NO")</f>
        <v/>
      </c>
      <c r="L2" s="2">
        <f>IF(OR(K2="YES",AND(H2="YES",I2="NO",J2="NO")),"YES","NO")</f>
        <v/>
      </c>
      <c r="M2" s="2">
        <f>IF(L2="YES","INVITATION_DRAFT",IF(I2="YES","EXEMPT_ON_LEAVE","EXEMPT_SUPPORT_ON_SHIFT"))</f>
        <v/>
      </c>
      <c r="N2" s="2">
        <f>"employee="&amp;B2&amp;"|role="&amp;E2&amp;"|required="&amp;L2&amp;"|decision="&amp;M2</f>
        <v/>
      </c>
    </row>
    <row r="3">
      <c r="A3" s="2">
        <f>Source_Roster!A3</f>
        <v/>
      </c>
      <c r="B3" s="2">
        <f>Source_Roster!B3</f>
        <v/>
      </c>
      <c r="C3" s="2">
        <f>Source_Roster!C3</f>
        <v/>
      </c>
      <c r="D3" s="2">
        <f>Source_Roster!D3</f>
        <v/>
      </c>
      <c r="E3" s="2">
        <f>Source_Roster!E3</f>
        <v/>
      </c>
      <c r="F3" s="2">
        <f>Source_Roster!F3</f>
        <v/>
      </c>
      <c r="G3" s="2">
        <f>Source_Roster!G3</f>
        <v/>
      </c>
      <c r="H3" s="2">
        <f>IF(F3="Active","YES","NO")</f>
        <v/>
      </c>
      <c r="I3" s="2">
        <f>IF(F3="On Leave","YES","NO")</f>
        <v/>
      </c>
      <c r="J3" s="2">
        <f>IF(AND(D3="Support",ISNUMBER(SEARCH("On shift Wednesday",G3))),"YES","NO")</f>
        <v/>
      </c>
      <c r="K3" s="2">
        <f>IF(OR(LEFT(E3,2)="VP",LEFT(E3,5)="Chief"),"YES","NO")</f>
        <v/>
      </c>
      <c r="L3" s="2">
        <f>IF(OR(K3="YES",AND(H3="YES",I3="NO",J3="NO")),"YES","NO")</f>
        <v/>
      </c>
      <c r="M3" s="2">
        <f>IF(L3="YES","INVITATION_DRAFT",IF(I3="YES","EXEMPT_ON_LEAVE","EXEMPT_SUPPORT_ON_SHIFT"))</f>
        <v/>
      </c>
      <c r="N3" s="2">
        <f>"employee="&amp;B3&amp;"|role="&amp;E3&amp;"|required="&amp;L3&amp;"|decision="&amp;M3</f>
        <v/>
      </c>
    </row>
    <row r="4">
      <c r="A4" s="2">
        <f>Source_Roster!A4</f>
        <v/>
      </c>
      <c r="B4" s="2">
        <f>Source_Roster!B4</f>
        <v/>
      </c>
      <c r="C4" s="2">
        <f>Source_Roster!C4</f>
        <v/>
      </c>
      <c r="D4" s="2">
        <f>Source_Roster!D4</f>
        <v/>
      </c>
      <c r="E4" s="2">
        <f>Source_Roster!E4</f>
        <v/>
      </c>
      <c r="F4" s="2">
        <f>Source_Roster!F4</f>
        <v/>
      </c>
      <c r="G4" s="2">
        <f>Source_Roster!G4</f>
        <v/>
      </c>
      <c r="H4" s="2">
        <f>IF(F4="Active","YES","NO")</f>
        <v/>
      </c>
      <c r="I4" s="2">
        <f>IF(F4="On Leave","YES","NO")</f>
        <v/>
      </c>
      <c r="J4" s="2">
        <f>IF(AND(D4="Support",ISNUMBER(SEARCH("On shift Wednesday",G4))),"YES","NO")</f>
        <v/>
      </c>
      <c r="K4" s="2">
        <f>IF(OR(LEFT(E4,2)="VP",LEFT(E4,5)="Chief"),"YES","NO")</f>
        <v/>
      </c>
      <c r="L4" s="2">
        <f>IF(OR(K4="YES",AND(H4="YES",I4="NO",J4="NO")),"YES","NO")</f>
        <v/>
      </c>
      <c r="M4" s="2">
        <f>IF(L4="YES","INVITATION_DRAFT",IF(I4="YES","EXEMPT_ON_LEAVE","EXEMPT_SUPPORT_ON_SHIFT"))</f>
        <v/>
      </c>
      <c r="N4" s="2">
        <f>"employee="&amp;B4&amp;"|role="&amp;E4&amp;"|required="&amp;L4&amp;"|decision="&amp;M4</f>
        <v/>
      </c>
    </row>
    <row r="5">
      <c r="A5" s="2">
        <f>Source_Roster!A5</f>
        <v/>
      </c>
      <c r="B5" s="2">
        <f>Source_Roster!B5</f>
        <v/>
      </c>
      <c r="C5" s="2">
        <f>Source_Roster!C5</f>
        <v/>
      </c>
      <c r="D5" s="2">
        <f>Source_Roster!D5</f>
        <v/>
      </c>
      <c r="E5" s="2">
        <f>Source_Roster!E5</f>
        <v/>
      </c>
      <c r="F5" s="2">
        <f>Source_Roster!F5</f>
        <v/>
      </c>
      <c r="G5" s="2">
        <f>Source_Roster!G5</f>
        <v/>
      </c>
      <c r="H5" s="2">
        <f>IF(F5="Active","YES","NO")</f>
        <v/>
      </c>
      <c r="I5" s="2">
        <f>IF(F5="On Leave","YES","NO")</f>
        <v/>
      </c>
      <c r="J5" s="2">
        <f>IF(AND(D5="Support",ISNUMBER(SEARCH("On shift Wednesday",G5))),"YES","NO")</f>
        <v/>
      </c>
      <c r="K5" s="2">
        <f>IF(OR(LEFT(E5,2)="VP",LEFT(E5,5)="Chief"),"YES","NO")</f>
        <v/>
      </c>
      <c r="L5" s="2">
        <f>IF(OR(K5="YES",AND(H5="YES",I5="NO",J5="NO")),"YES","NO")</f>
        <v/>
      </c>
      <c r="M5" s="2">
        <f>IF(L5="YES","INVITATION_DRAFT",IF(I5="YES","EXEMPT_ON_LEAVE","EXEMPT_SUPPORT_ON_SHIFT"))</f>
        <v/>
      </c>
      <c r="N5" s="2">
        <f>"employee="&amp;B5&amp;"|role="&amp;E5&amp;"|required="&amp;L5&amp;"|decision="&amp;M5</f>
        <v/>
      </c>
    </row>
    <row r="6">
      <c r="A6" s="2">
        <f>Source_Roster!A6</f>
        <v/>
      </c>
      <c r="B6" s="2">
        <f>Source_Roster!B6</f>
        <v/>
      </c>
      <c r="C6" s="2">
        <f>Source_Roster!C6</f>
        <v/>
      </c>
      <c r="D6" s="2">
        <f>Source_Roster!D6</f>
        <v/>
      </c>
      <c r="E6" s="2">
        <f>Source_Roster!E6</f>
        <v/>
      </c>
      <c r="F6" s="2">
        <f>Source_Roster!F6</f>
        <v/>
      </c>
      <c r="G6" s="2">
        <f>Source_Roster!G6</f>
        <v/>
      </c>
      <c r="H6" s="2">
        <f>IF(F6="Active","YES","NO")</f>
        <v/>
      </c>
      <c r="I6" s="2">
        <f>IF(F6="On Leave","YES","NO")</f>
        <v/>
      </c>
      <c r="J6" s="2">
        <f>IF(AND(D6="Support",ISNUMBER(SEARCH("On shift Wednesday",G6))),"YES","NO")</f>
        <v/>
      </c>
      <c r="K6" s="2">
        <f>IF(OR(LEFT(E6,2)="VP",LEFT(E6,5)="Chief"),"YES","NO")</f>
        <v/>
      </c>
      <c r="L6" s="2">
        <f>IF(OR(K6="YES",AND(H6="YES",I6="NO",J6="NO")),"YES","NO")</f>
        <v/>
      </c>
      <c r="M6" s="2">
        <f>IF(L6="YES","INVITATION_DRAFT",IF(I6="YES","EXEMPT_ON_LEAVE","EXEMPT_SUPPORT_ON_SHIFT"))</f>
        <v/>
      </c>
      <c r="N6" s="2">
        <f>"employee="&amp;B6&amp;"|role="&amp;E6&amp;"|required="&amp;L6&amp;"|decision="&amp;M6</f>
        <v/>
      </c>
    </row>
    <row r="7">
      <c r="A7" s="2">
        <f>Source_Roster!A7</f>
        <v/>
      </c>
      <c r="B7" s="2">
        <f>Source_Roster!B7</f>
        <v/>
      </c>
      <c r="C7" s="2">
        <f>Source_Roster!C7</f>
        <v/>
      </c>
      <c r="D7" s="2">
        <f>Source_Roster!D7</f>
        <v/>
      </c>
      <c r="E7" s="2">
        <f>Source_Roster!E7</f>
        <v/>
      </c>
      <c r="F7" s="2">
        <f>Source_Roster!F7</f>
        <v/>
      </c>
      <c r="G7" s="2">
        <f>Source_Roster!G7</f>
        <v/>
      </c>
      <c r="H7" s="2">
        <f>IF(F7="Active","YES","NO")</f>
        <v/>
      </c>
      <c r="I7" s="2">
        <f>IF(F7="On Leave","YES","NO")</f>
        <v/>
      </c>
      <c r="J7" s="2">
        <f>IF(AND(D7="Support",ISNUMBER(SEARCH("On shift Wednesday",G7))),"YES","NO")</f>
        <v/>
      </c>
      <c r="K7" s="2">
        <f>IF(OR(LEFT(E7,2)="VP",LEFT(E7,5)="Chief"),"YES","NO")</f>
        <v/>
      </c>
      <c r="L7" s="2">
        <f>IF(OR(K7="YES",AND(H7="YES",I7="NO",J7="NO")),"YES","NO")</f>
        <v/>
      </c>
      <c r="M7" s="2">
        <f>IF(L7="YES","INVITATION_DRAFT",IF(I7="YES","EXEMPT_ON_LEAVE","EXEMPT_SUPPORT_ON_SHIFT"))</f>
        <v/>
      </c>
      <c r="N7" s="2">
        <f>"employee="&amp;B7&amp;"|role="&amp;E7&amp;"|required="&amp;L7&amp;"|decision="&amp;M7</f>
        <v/>
      </c>
    </row>
    <row r="8">
      <c r="A8" s="2">
        <f>Source_Roster!A8</f>
        <v/>
      </c>
      <c r="B8" s="2">
        <f>Source_Roster!B8</f>
        <v/>
      </c>
      <c r="C8" s="2">
        <f>Source_Roster!C8</f>
        <v/>
      </c>
      <c r="D8" s="2">
        <f>Source_Roster!D8</f>
        <v/>
      </c>
      <c r="E8" s="2">
        <f>Source_Roster!E8</f>
        <v/>
      </c>
      <c r="F8" s="2">
        <f>Source_Roster!F8</f>
        <v/>
      </c>
      <c r="G8" s="2">
        <f>Source_Roster!G8</f>
        <v/>
      </c>
      <c r="H8" s="2">
        <f>IF(F8="Active","YES","NO")</f>
        <v/>
      </c>
      <c r="I8" s="2">
        <f>IF(F8="On Leave","YES","NO")</f>
        <v/>
      </c>
      <c r="J8" s="2">
        <f>IF(AND(D8="Support",ISNUMBER(SEARCH("On shift Wednesday",G8))),"YES","NO")</f>
        <v/>
      </c>
      <c r="K8" s="2">
        <f>IF(OR(LEFT(E8,2)="VP",LEFT(E8,5)="Chief"),"YES","NO")</f>
        <v/>
      </c>
      <c r="L8" s="2">
        <f>IF(OR(K8="YES",AND(H8="YES",I8="NO",J8="NO")),"YES","NO")</f>
        <v/>
      </c>
      <c r="M8" s="2">
        <f>IF(L8="YES","INVITATION_DRAFT",IF(I8="YES","EXEMPT_ON_LEAVE","EXEMPT_SUPPORT_ON_SHIFT"))</f>
        <v/>
      </c>
      <c r="N8" s="2">
        <f>"employee="&amp;B8&amp;"|role="&amp;E8&amp;"|required="&amp;L8&amp;"|decision="&amp;M8</f>
        <v/>
      </c>
    </row>
    <row r="9">
      <c r="A9" s="2">
        <f>Source_Roster!A9</f>
        <v/>
      </c>
      <c r="B9" s="2">
        <f>Source_Roster!B9</f>
        <v/>
      </c>
      <c r="C9" s="2">
        <f>Source_Roster!C9</f>
        <v/>
      </c>
      <c r="D9" s="2">
        <f>Source_Roster!D9</f>
        <v/>
      </c>
      <c r="E9" s="2">
        <f>Source_Roster!E9</f>
        <v/>
      </c>
      <c r="F9" s="2">
        <f>Source_Roster!F9</f>
        <v/>
      </c>
      <c r="G9" s="2">
        <f>Source_Roster!G9</f>
        <v/>
      </c>
      <c r="H9" s="2">
        <f>IF(F9="Active","YES","NO")</f>
        <v/>
      </c>
      <c r="I9" s="2">
        <f>IF(F9="On Leave","YES","NO")</f>
        <v/>
      </c>
      <c r="J9" s="2">
        <f>IF(AND(D9="Support",ISNUMBER(SEARCH("On shift Wednesday",G9))),"YES","NO")</f>
        <v/>
      </c>
      <c r="K9" s="2">
        <f>IF(OR(LEFT(E9,2)="VP",LEFT(E9,5)="Chief"),"YES","NO")</f>
        <v/>
      </c>
      <c r="L9" s="2">
        <f>IF(OR(K9="YES",AND(H9="YES",I9="NO",J9="NO")),"YES","NO")</f>
        <v/>
      </c>
      <c r="M9" s="2">
        <f>IF(L9="YES","INVITATION_DRAFT",IF(I9="YES","EXEMPT_ON_LEAVE","EXEMPT_SUPPORT_ON_SHIFT"))</f>
        <v/>
      </c>
      <c r="N9" s="2">
        <f>"employee="&amp;B9&amp;"|role="&amp;E9&amp;"|required="&amp;L9&amp;"|decision="&amp;M9</f>
        <v/>
      </c>
    </row>
  </sheetData>
  <conditionalFormatting sqref="L2:L9">
    <cfRule type="expression" priority="1" dxfId="0">
      <formula>L2="YES"</formula>
    </cfRule>
    <cfRule type="expression" priority="2" dxfId="1">
      <formula>L2="NO"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8" customWidth="1" min="3" max="3"/>
    <col width="30" customWidth="1" min="4" max="4"/>
    <col width="24" customWidth="1" min="5" max="5"/>
  </cols>
  <sheetData>
    <row r="1">
      <c r="A1" s="1" t="inlineStr">
        <is>
          <t>Employee</t>
        </is>
      </c>
      <c r="B1" s="1" t="inlineStr">
        <is>
          <t>To</t>
        </is>
      </c>
      <c r="C1" s="1" t="inlineStr">
        <is>
          <t>Role</t>
        </is>
      </c>
      <c r="D1" s="1" t="inlineStr">
        <is>
          <t>Meeting</t>
        </is>
      </c>
      <c r="E1" s="1" t="inlineStr">
        <is>
          <t>State</t>
        </is>
      </c>
    </row>
    <row r="2">
      <c r="A2" s="2" t="inlineStr">
        <is>
          <t>Alice Park</t>
        </is>
      </c>
      <c r="B2" s="2" t="inlineStr">
        <is>
          <t>alice.park@company.example.com</t>
        </is>
      </c>
      <c r="C2" s="2" t="inlineStr">
        <is>
          <t>Software Engineer</t>
        </is>
      </c>
      <c r="D2" s="2" t="inlineStr">
        <is>
          <t>2026-04-22 2-3 PM ET</t>
        </is>
      </c>
      <c r="E2" s="2" t="inlineStr">
        <is>
          <t>DRAFT_NOT_SENT</t>
        </is>
      </c>
    </row>
    <row r="3">
      <c r="A3" s="2" t="inlineStr">
        <is>
          <t>Carol Diaz</t>
        </is>
      </c>
      <c r="B3" s="2" t="inlineStr">
        <is>
          <t>carol.diaz@company.example.com</t>
        </is>
      </c>
      <c r="C3" s="2" t="inlineStr">
        <is>
          <t>Account Executive</t>
        </is>
      </c>
      <c r="D3" s="2" t="inlineStr">
        <is>
          <t>2026-04-22 2-3 PM ET</t>
        </is>
      </c>
      <c r="E3" s="2" t="inlineStr">
        <is>
          <t>DRAFT_NOT_SENT</t>
        </is>
      </c>
    </row>
    <row r="4">
      <c r="A4" s="2" t="inlineStr">
        <is>
          <t>Dave Kim</t>
        </is>
      </c>
      <c r="B4" s="2" t="inlineStr">
        <is>
          <t>dave.kim@company.example.com</t>
        </is>
      </c>
      <c r="C4" s="2" t="inlineStr">
        <is>
          <t>Support Manager</t>
        </is>
      </c>
      <c r="D4" s="2" t="inlineStr">
        <is>
          <t>2026-04-22 2-3 PM ET</t>
        </is>
      </c>
      <c r="E4" s="2" t="inlineStr">
        <is>
          <t>DRAFT_NOT_SENT</t>
        </is>
      </c>
    </row>
    <row r="5">
      <c r="A5" s="2" t="inlineStr">
        <is>
          <t>Femi Adeyemi</t>
        </is>
      </c>
      <c r="B5" s="2" t="inlineStr">
        <is>
          <t>femi.adeyemi@company.example.com</t>
        </is>
      </c>
      <c r="C5" s="2" t="inlineStr">
        <is>
          <t>Content Manager</t>
        </is>
      </c>
      <c r="D5" s="2" t="inlineStr">
        <is>
          <t>2026-04-22 2-3 PM ET</t>
        </is>
      </c>
      <c r="E5" s="2" t="inlineStr">
        <is>
          <t>DRAFT_NOT_SENT</t>
        </is>
      </c>
    </row>
    <row r="6">
      <c r="A6" s="2" t="inlineStr">
        <is>
          <t>Grace Okonkwo</t>
        </is>
      </c>
      <c r="B6" s="2" t="inlineStr">
        <is>
          <t>grace.okonkwo@company.example.com</t>
        </is>
      </c>
      <c r="C6" s="2" t="inlineStr">
        <is>
          <t>VP Sales</t>
        </is>
      </c>
      <c r="D6" s="2" t="inlineStr">
        <is>
          <t>2026-04-22 2-3 PM ET</t>
        </is>
      </c>
      <c r="E6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4" customWidth="1" min="3" max="3"/>
    <col width="24" customWidth="1" min="4" max="4"/>
  </cols>
  <sheetData>
    <row r="1">
      <c r="A1" s="1" t="inlineStr">
        <is>
          <t>Employee</t>
        </is>
      </c>
      <c r="B1" s="1" t="inlineStr">
        <is>
          <t>Role</t>
        </is>
      </c>
      <c r="C1" s="1" t="inlineStr">
        <is>
          <t>Reason</t>
        </is>
      </c>
      <c r="D1" s="1" t="inlineStr">
        <is>
          <t>Recording Notice</t>
        </is>
      </c>
    </row>
    <row r="2">
      <c r="A2" s="2" t="inlineStr">
        <is>
          <t>Bob Chen</t>
        </is>
      </c>
      <c r="B2" s="2" t="inlineStr">
        <is>
          <t>Support Agent</t>
        </is>
      </c>
      <c r="C2" s="2" t="inlineStr">
        <is>
          <t>EXEMPT_SUPPORT_ON_SHIFT</t>
        </is>
      </c>
      <c r="D2" s="2" t="inlineStr">
        <is>
          <t>DRAFT_NOT_SENT</t>
        </is>
      </c>
    </row>
    <row r="3">
      <c r="A3" s="2" t="inlineStr">
        <is>
          <t>Elena Vasquez</t>
        </is>
      </c>
      <c r="B3" s="2" t="inlineStr">
        <is>
          <t>Tech Lead</t>
        </is>
      </c>
      <c r="C3" s="2" t="inlineStr">
        <is>
          <t>EXEMPT_ON_LEAVE</t>
        </is>
      </c>
      <c r="D3" s="2" t="inlineStr">
        <is>
          <t>DRAFT_NOT_SENT</t>
        </is>
      </c>
    </row>
    <row r="4">
      <c r="A4" s="2" t="inlineStr">
        <is>
          <t>Hugo Fernandez</t>
        </is>
      </c>
      <c r="B4" s="2" t="inlineStr">
        <is>
          <t>Support Agent</t>
        </is>
      </c>
      <c r="C4" s="2" t="inlineStr">
        <is>
          <t>EXEMPT_SUPPORT_ON_SHIFT</t>
        </is>
      </c>
      <c r="D4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4" customWidth="1" min="3" max="3"/>
    <col width="24" customWidth="1" min="4" max="4"/>
  </cols>
  <sheetData>
    <row r="1">
      <c r="A1" s="1" t="inlineStr">
        <is>
          <t>Employee</t>
        </is>
      </c>
      <c r="B1" s="1" t="inlineStr">
        <is>
          <t>To</t>
        </is>
      </c>
      <c r="C1" s="1" t="inlineStr">
        <is>
          <t>Reason</t>
        </is>
      </c>
      <c r="D1" s="1" t="inlineStr">
        <is>
          <t>State</t>
        </is>
      </c>
    </row>
    <row r="2">
      <c r="A2" s="2" t="inlineStr">
        <is>
          <t>Bob Chen</t>
        </is>
      </c>
      <c r="B2" s="2" t="inlineStr">
        <is>
          <t>bob.chen@company.example.com</t>
        </is>
      </c>
      <c r="C2" s="2" t="inlineStr">
        <is>
          <t>EXEMPT_SUPPORT_ON_SHIFT</t>
        </is>
      </c>
      <c r="D2" s="2" t="inlineStr">
        <is>
          <t>DRAFT_NOT_SENT</t>
        </is>
      </c>
    </row>
    <row r="3">
      <c r="A3" s="2" t="inlineStr">
        <is>
          <t>Elena Vasquez</t>
        </is>
      </c>
      <c r="B3" s="2" t="inlineStr">
        <is>
          <t>elena.vasquez@company.example.com</t>
        </is>
      </c>
      <c r="C3" s="2" t="inlineStr">
        <is>
          <t>EXEMPT_ON_LEAVE</t>
        </is>
      </c>
      <c r="D3" s="2" t="inlineStr">
        <is>
          <t>DRAFT_NOT_SENT</t>
        </is>
      </c>
    </row>
    <row r="4">
      <c r="A4" s="2" t="inlineStr">
        <is>
          <t>Hugo Fernandez</t>
        </is>
      </c>
      <c r="B4" s="2" t="inlineStr">
        <is>
          <t>hugo.fernandez@company.example.com</t>
        </is>
      </c>
      <c r="C4" s="2" t="inlineStr">
        <is>
          <t>EXEMPT_SUPPORT_ON_SHIFT</t>
        </is>
      </c>
      <c r="D4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  <col width="16" customWidth="1" min="4" max="4"/>
    <col width="24" customWidth="1" min="5" max="5"/>
  </cols>
  <sheetData>
    <row r="1">
      <c r="A1" s="1" t="inlineStr">
        <is>
          <t>Channel</t>
        </is>
      </c>
      <c r="B1" s="1" t="inlineStr">
        <is>
          <t>Meeting</t>
        </is>
      </c>
      <c r="C1" s="1" t="inlineStr">
        <is>
          <t>Required</t>
        </is>
      </c>
      <c r="D1" s="1" t="inlineStr">
        <is>
          <t>Exempt</t>
        </is>
      </c>
      <c r="E1" s="1" t="inlineStr">
        <is>
          <t>State</t>
        </is>
      </c>
    </row>
    <row r="2">
      <c r="A2" s="2" t="inlineStr">
        <is>
          <t>#all-hands</t>
        </is>
      </c>
      <c r="B2" s="2" t="inlineStr">
        <is>
          <t>2026-04-22 2-3 PM ET</t>
        </is>
      </c>
      <c r="C2" s="2" t="n">
        <v>5</v>
      </c>
      <c r="D2" s="2" t="n">
        <v>3</v>
      </c>
      <c r="E2" s="2" t="inlineStr">
        <is>
          <t>DRAFT_NOT_POSTED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6" customWidth="1" min="2" max="2"/>
    <col width="20" customWidth="1" min="3" max="3"/>
    <col width="28" customWidth="1" min="4" max="4"/>
  </cols>
  <sheetData>
    <row r="1">
      <c r="A1" s="1" t="inlineStr">
        <is>
          <t>Requested Action</t>
        </is>
      </c>
      <c r="B1" s="1" t="inlineStr">
        <is>
          <t>Authority</t>
        </is>
      </c>
      <c r="C1" s="1" t="inlineStr">
        <is>
          <t>Calendar Changes</t>
        </is>
      </c>
      <c r="D1" s="1" t="inlineStr">
        <is>
          <t>State</t>
        </is>
      </c>
    </row>
    <row r="2">
      <c r="A2" s="2" t="inlineStr">
        <is>
          <t>Auto-reschedule conflicting 1:1s</t>
        </is>
      </c>
      <c r="B2" s="2" t="inlineStr">
        <is>
          <t>Manager-owned; HR Ops prohibited</t>
        </is>
      </c>
      <c r="C2" s="2" t="n">
        <v>0</v>
      </c>
      <c r="D2" s="2" t="inlineStr">
        <is>
          <t>BLOCKED_OUT_OF_SCOPE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86" customWidth="1" min="3" max="3"/>
  </cols>
  <sheetData>
    <row r="1">
      <c r="A1" s="1" t="inlineStr">
        <is>
          <t>Population</t>
        </is>
      </c>
      <c r="B1" s="1" t="inlineStr">
        <is>
          <t>Count</t>
        </is>
      </c>
      <c r="C1" s="1" t="inlineStr">
        <is>
          <t>Control</t>
        </is>
      </c>
    </row>
    <row r="2">
      <c r="A2" s="2" t="inlineStr">
        <is>
          <t>Roster reviewed</t>
        </is>
      </c>
      <c r="B2" s="2" t="n">
        <v>8</v>
      </c>
      <c r="C2" s="2" t="inlineStr">
        <is>
          <t>Complete</t>
        </is>
      </c>
    </row>
    <row r="3">
      <c r="A3" s="2" t="inlineStr">
        <is>
          <t>Required live</t>
        </is>
      </c>
      <c r="B3" s="2" t="n">
        <v>5</v>
      </c>
      <c r="C3" s="2" t="inlineStr">
        <is>
          <t>Alice, Carol, Dave, Femi, Grace</t>
        </is>
      </c>
    </row>
    <row r="4">
      <c r="A4" s="2" t="inlineStr">
        <is>
          <t>Support on-shift exempt</t>
        </is>
      </c>
      <c r="B4" s="2" t="n">
        <v>2</v>
      </c>
      <c r="C4" s="2" t="inlineStr">
        <is>
          <t>Bob, Hugo</t>
        </is>
      </c>
    </row>
    <row r="5">
      <c r="A5" s="2" t="inlineStr">
        <is>
          <t>On-leave exempt</t>
        </is>
      </c>
      <c r="B5" s="2" t="n">
        <v>1</v>
      </c>
      <c r="C5" s="2" t="inlineStr">
        <is>
          <t>Elena</t>
        </is>
      </c>
    </row>
    <row r="6">
      <c r="A6" s="2" t="inlineStr">
        <is>
          <t>VP+ required</t>
        </is>
      </c>
      <c r="B6" s="2" t="n">
        <v>1</v>
      </c>
      <c r="C6" s="2" t="inlineStr">
        <is>
          <t>Grace</t>
        </is>
      </c>
    </row>
    <row r="7">
      <c r="A7" s="2" t="inlineStr">
        <is>
          <t>Calendar changes</t>
        </is>
      </c>
      <c r="B7" s="2" t="n">
        <v>0</v>
      </c>
      <c r="C7" s="2" t="inlineStr">
        <is>
          <t>No 1:1 changed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62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State</t>
        </is>
      </c>
    </row>
    <row r="2">
      <c r="A2" s="2" t="inlineStr">
        <is>
          <t>Invitation drafts</t>
        </is>
      </c>
      <c r="B2" s="2" t="n">
        <v>5</v>
      </c>
      <c r="C2" s="2" t="inlineStr">
        <is>
          <t>DRAFT_NOT_SENT</t>
        </is>
      </c>
    </row>
    <row r="3">
      <c r="A3" s="2" t="inlineStr">
        <is>
          <t>Recording notice drafts</t>
        </is>
      </c>
      <c r="B3" s="2" t="n">
        <v>3</v>
      </c>
      <c r="C3" s="2" t="inlineStr">
        <is>
          <t>DRAFT_NOT_SENT</t>
        </is>
      </c>
    </row>
    <row r="4">
      <c r="A4" s="2" t="inlineStr">
        <is>
          <t>Emails sent</t>
        </is>
      </c>
      <c r="B4" s="2" t="n">
        <v>0</v>
      </c>
      <c r="C4" s="2" t="inlineStr">
        <is>
          <t>NONE</t>
        </is>
      </c>
    </row>
    <row r="5">
      <c r="A5" s="2" t="inlineStr">
        <is>
          <t>Slack drafts</t>
        </is>
      </c>
      <c r="B5" s="2" t="n">
        <v>1</v>
      </c>
      <c r="C5" s="2" t="inlineStr">
        <is>
          <t>DRAFT_NOT_POSTED</t>
        </is>
      </c>
    </row>
    <row r="6">
      <c r="A6" s="2" t="inlineStr">
        <is>
          <t>Slack posts</t>
        </is>
      </c>
      <c r="B6" s="2" t="n">
        <v>0</v>
      </c>
      <c r="C6" s="2" t="inlineStr">
        <is>
          <t>NONE</t>
        </is>
      </c>
    </row>
    <row r="7">
      <c r="A7" s="2" t="inlineStr">
        <is>
          <t>Calendar events created or modified</t>
        </is>
      </c>
      <c r="B7" s="2" t="n">
        <v>0</v>
      </c>
      <c r="C7" s="2" t="inlineStr">
        <is>
          <t>BLOCKED_OUT_OF_SCOPE</t>
        </is>
      </c>
    </row>
    <row r="8">
      <c r="A8" s="2" t="inlineStr">
        <is>
          <t>Real side effects</t>
        </is>
      </c>
      <c r="B8" s="2" t="n">
        <v>0</v>
      </c>
      <c r="C8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Mandatory All-Hands Attendance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