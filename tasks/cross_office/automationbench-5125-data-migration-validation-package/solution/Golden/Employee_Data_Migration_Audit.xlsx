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Tracker" sheetId="1" state="visible" r:id="rId1"/>
    <sheet xmlns:r="http://schemas.openxmlformats.org/officeDocument/2006/relationships" name="Source_Corrections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Validation_Decisions" sheetId="4" state="visible" r:id="rId4"/>
    <sheet xmlns:r="http://schemas.openxmlformats.org/officeDocument/2006/relationships" name="Discrepancies" sheetId="5" state="visible" r:id="rId5"/>
    <sheet xmlns:r="http://schemas.openxmlformats.org/officeDocument/2006/relationships" name="Validated_Records" sheetId="6" state="visible" r:id="rId6"/>
    <sheet xmlns:r="http://schemas.openxmlformats.org/officeDocument/2006/relationships" name="Status_Update_Drafts" sheetId="7" state="visible" r:id="rId7"/>
    <sheet xmlns:r="http://schemas.openxmlformats.org/officeDocument/2006/relationships" name="HRIS_Email_Draft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Control_Summary" sheetId="10" state="visible" r:id="rId10"/>
  </sheets>
  <definedNames>
    <definedName name="_xlnm.Print_Area" localSheetId="0">'Source_Tracker'!$A$1:$H$9</definedName>
    <definedName name="_xlnm.Print_Area" localSheetId="1">'Source_Corrections'!$A$1:$C$2</definedName>
    <definedName name="_xlnm.Print_Area" localSheetId="2">'Evidence_Register'!$A$1:$C$5</definedName>
    <definedName name="_xlnm.Print_Area" localSheetId="3">'Validation_Decisions'!$A$1:$M$9</definedName>
    <definedName name="_xlnm.Print_Area" localSheetId="4">'Discrepancies'!$A$1:$F$3</definedName>
    <definedName name="_xlnm.Print_Area" localSheetId="5">'Validated_Records'!$A$1:$E$7</definedName>
    <definedName name="_xlnm.Print_Area" localSheetId="6">'Status_Update_Drafts'!$A$1:$D$9</definedName>
    <definedName name="_xlnm.Print_Area" localSheetId="7">'HRIS_Email_Draft'!$A$1:$C$2</definedName>
    <definedName name="_xlnm.Print_Area" localSheetId="8">'Reconciliation'!$A$1:$C$6</definedName>
    <definedName name="_xlnm.Print_Area" localSheetId="9">'Control_Summary'!$A$1:$C$6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validation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'Control_Summary'!$A$2:$A$5</f>
            </numRef>
          </cat>
          <val>
            <numRef>
              <f>'Control_Summary'!$B$2:$B$5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Tracker" displayName="SourceTracker" ref="A1:H9" headerRowCount="1">
  <autoFilter ref="A1:H9"/>
  <tableColumns count="8">
    <tableColumn id="1" name="Source Row"/>
    <tableColumn id="2" name="Employee"/>
    <tableColumn id="3" name="Employee ID"/>
    <tableColumn id="4" name="Department"/>
    <tableColumn id="5" name="Title"/>
    <tableColumn id="6" name="Manager"/>
    <tableColumn id="7" name="Validation Status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Corrections" displayName="SourceCorrections" ref="A1:C2" headerRowCount="1">
  <autoFilter ref="A1:C2"/>
  <tableColumns count="3">
    <tableColumn id="1" name="Message ID"/>
    <tableColumn id="2" name="Subject"/>
    <tableColumn id="3" name="Body"/>
  </tableColumns>
  <tableStyleInfo name="TableStyleMedium2" showRowStripes="1"/>
</table>
</file>

<file path=xl/tables/table3.xml><?xml version="1.0" encoding="utf-8"?>
<table xmlns="http://schemas.openxmlformats.org/spreadsheetml/2006/main" id="3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4.xml><?xml version="1.0" encoding="utf-8"?>
<table xmlns="http://schemas.openxmlformats.org/spreadsheetml/2006/main" id="4" name="ValidationDecisions" displayName="ValidationDecisions" ref="A1:M9" headerRowCount="1">
  <autoFilter ref="A1:M9"/>
  <tableColumns count="13">
    <tableColumn id="1" name="Row"/>
    <tableColumn id="2" name="Employee"/>
    <tableColumn id="3" name="Employee ID"/>
    <tableColumn id="4" name="Current Department"/>
    <tableColumn id="5" name="Current Title"/>
    <tableColumn id="6" name="Manager"/>
    <tableColumn id="7" name="Current Status"/>
    <tableColumn id="8" name="Notes"/>
    <tableColumn id="9" name="Expected Department"/>
    <tableColumn id="10" name="Expected Title"/>
    <tableColumn id="11" name="Decision"/>
    <tableColumn id="12" name="Update Status"/>
    <tableColumn id="13" name="Trace"/>
  </tableColumns>
  <tableStyleInfo name="TableStyleMedium2" showRowStripes="1"/>
</table>
</file>

<file path=xl/tables/table5.xml><?xml version="1.0" encoding="utf-8"?>
<table xmlns="http://schemas.openxmlformats.org/spreadsheetml/2006/main" id="5" name="Discrepancies" displayName="Discrepancies" ref="A1:F3" headerRowCount="1">
  <autoFilter ref="A1:F3"/>
  <tableColumns count="6">
    <tableColumn id="1" name="Employee"/>
    <tableColumn id="2" name="Employee ID"/>
    <tableColumn id="3" name="Field"/>
    <tableColumn id="4" name="Current"/>
    <tableColumn id="5" name="Expected"/>
    <tableColumn id="6" name="Reason"/>
  </tableColumns>
  <tableStyleInfo name="TableStyleMedium2" showRowStripes="1"/>
</table>
</file>

<file path=xl/tables/table6.xml><?xml version="1.0" encoding="utf-8"?>
<table xmlns="http://schemas.openxmlformats.org/spreadsheetml/2006/main" id="6" name="ValidatedRecords" displayName="ValidatedRecords" ref="A1:E7" headerRowCount="1">
  <autoFilter ref="A1:E7"/>
  <tableColumns count="5">
    <tableColumn id="1" name="Employee"/>
    <tableColumn id="2" name="Employee ID"/>
    <tableColumn id="3" name="Department"/>
    <tableColumn id="4" name="Title"/>
    <tableColumn id="5" name="State"/>
  </tableColumns>
  <tableStyleInfo name="TableStyleMedium2" showRowStripes="1"/>
</table>
</file>

<file path=xl/tables/table7.xml><?xml version="1.0" encoding="utf-8"?>
<table xmlns="http://schemas.openxmlformats.org/spreadsheetml/2006/main" id="7" name="StatusUpdateDrafts" displayName="StatusUpdateDrafts" ref="A1:D9" headerRowCount="1">
  <autoFilter ref="A1:D9"/>
  <tableColumns count="4">
    <tableColumn id="1" name="Source Row"/>
    <tableColumn id="2" name="Employee ID"/>
    <tableColumn id="3" name="Validation Status"/>
    <tableColumn id="4" name="Applied"/>
  </tableColumns>
  <tableStyleInfo name="TableStyleMedium2" showRowStripes="1"/>
</table>
</file>

<file path=xl/tables/table8.xml><?xml version="1.0" encoding="utf-8"?>
<table xmlns="http://schemas.openxmlformats.org/spreadsheetml/2006/main" id="8" name="HRISEmailDraft" displayName="HRISEmailDraft" ref="A1:C2" headerRowCount="1">
  <autoFilter ref="A1:C2"/>
  <tableColumns count="3">
    <tableColumn id="1" name="To"/>
    <tableColumn id="2" name="Corrections"/>
    <tableColumn id="3" name="State"/>
  </tableColumns>
  <tableStyleInfo name="TableStyleMedium2" showRowStripes="1"/>
</table>
</file>

<file path=xl/tables/table9.xml><?xml version="1.0" encoding="utf-8"?>
<table xmlns="http://schemas.openxmlformats.org/spreadsheetml/2006/main" id="9" name="Reconciliation" displayName="Reconciliation" ref="A1:C6" headerRowCount="1">
  <autoFilter ref="A1:C6"/>
  <tableColumns count="3">
    <tableColumn id="1" name="Population"/>
    <tableColumn id="2" name="Count"/>
    <tableColumn id="3" name="Control"/>
  </tableColumns>
  <tableStyleInfo name="TableStyleMedium2" showRowStripes="1"/>
</table>
</file>

<file path=xl/tables/table10.xml><?xml version="1.0" encoding="utf-8"?>
<table xmlns="http://schemas.openxmlformats.org/spreadsheetml/2006/main" id="10" name="ControlSummary" displayName="ControlSummary" ref="A1:C6" headerRowCount="1">
  <autoFilter ref="A1:C6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2" customWidth="1" min="4" max="4"/>
    <col width="28" customWidth="1" min="5" max="5"/>
    <col width="24" customWidth="1" min="6" max="6"/>
    <col width="24" customWidth="1" min="7" max="7"/>
    <col width="46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Manager</t>
        </is>
      </c>
      <c r="G1" s="1" t="inlineStr">
        <is>
          <t>Validation Status</t>
        </is>
      </c>
      <c r="H1" s="1" t="inlineStr">
        <is>
          <t>Notes</t>
        </is>
      </c>
    </row>
    <row r="2">
      <c r="A2" s="2" t="n">
        <v>2</v>
      </c>
      <c r="B2" s="2" t="inlineStr">
        <is>
          <t>Michael Park</t>
        </is>
      </c>
      <c r="C2" s="2" t="inlineStr">
        <is>
          <t>EMP-6601</t>
        </is>
      </c>
      <c r="D2" s="2" t="inlineStr">
        <is>
          <t>Engineering</t>
        </is>
      </c>
      <c r="E2" s="2" t="inlineStr">
        <is>
          <t>Engineer</t>
        </is>
      </c>
      <c r="F2" s="2" t="inlineStr">
        <is>
          <t>Derek Huang</t>
        </is>
      </c>
      <c r="G2" s="2" t="inlineStr">
        <is>
          <t>Pending</t>
        </is>
      </c>
      <c r="H2" s="2" t="n"/>
    </row>
    <row r="3">
      <c r="A3" s="2" t="n">
        <v>3</v>
      </c>
      <c r="B3" s="2" t="inlineStr">
        <is>
          <t>Sarah Kim</t>
        </is>
      </c>
      <c r="C3" s="2" t="inlineStr">
        <is>
          <t>EMP-6618</t>
        </is>
      </c>
      <c r="D3" s="2" t="inlineStr">
        <is>
          <t>Engineering</t>
        </is>
      </c>
      <c r="E3" s="2" t="inlineStr">
        <is>
          <t>Product Manager</t>
        </is>
      </c>
      <c r="F3" s="2" t="inlineStr">
        <is>
          <t>Mira Patel</t>
        </is>
      </c>
      <c r="G3" s="2" t="inlineStr">
        <is>
          <t>Pending</t>
        </is>
      </c>
      <c r="H3" s="2" t="n"/>
    </row>
    <row r="4">
      <c r="A4" s="2" t="n">
        <v>4</v>
      </c>
      <c r="B4" s="2" t="inlineStr">
        <is>
          <t>James Whitfield</t>
        </is>
      </c>
      <c r="C4" s="2" t="inlineStr">
        <is>
          <t>EMP-6625</t>
        </is>
      </c>
      <c r="D4" s="2" t="inlineStr">
        <is>
          <t>Sales</t>
        </is>
      </c>
      <c r="E4" s="2" t="inlineStr">
        <is>
          <t>Account Executive</t>
        </is>
      </c>
      <c r="F4" s="2" t="inlineStr">
        <is>
          <t>Lisa Wang</t>
        </is>
      </c>
      <c r="G4" s="2" t="inlineStr">
        <is>
          <t>Pending</t>
        </is>
      </c>
      <c r="H4" s="2" t="n"/>
    </row>
    <row r="5">
      <c r="A5" s="2" t="n">
        <v>5</v>
      </c>
      <c r="B5" s="2" t="inlineStr">
        <is>
          <t>Olivia Torres</t>
        </is>
      </c>
      <c r="C5" s="2" t="inlineStr">
        <is>
          <t>EMP-6632</t>
        </is>
      </c>
      <c r="D5" s="2" t="inlineStr">
        <is>
          <t>Marketing</t>
        </is>
      </c>
      <c r="E5" s="2" t="inlineStr">
        <is>
          <t>Marketing Analyst</t>
        </is>
      </c>
      <c r="F5" s="2" t="inlineStr">
        <is>
          <t>Mira Patel</t>
        </is>
      </c>
      <c r="G5" s="2" t="inlineStr">
        <is>
          <t>Pending</t>
        </is>
      </c>
      <c r="H5" s="2" t="n"/>
    </row>
    <row r="6">
      <c r="A6" s="2" t="n">
        <v>6</v>
      </c>
      <c r="B6" s="2" t="inlineStr">
        <is>
          <t>Michael Park</t>
        </is>
      </c>
      <c r="C6" s="2" t="inlineStr">
        <is>
          <t>EMP-6655</t>
        </is>
      </c>
      <c r="D6" s="2" t="inlineStr">
        <is>
          <t>Sales</t>
        </is>
      </c>
      <c r="E6" s="2" t="inlineStr">
        <is>
          <t>Sales Rep</t>
        </is>
      </c>
      <c r="F6" s="2" t="inlineStr">
        <is>
          <t>Lisa Wang</t>
        </is>
      </c>
      <c r="G6" s="2" t="inlineStr">
        <is>
          <t>Pending</t>
        </is>
      </c>
      <c r="H6" s="2" t="n"/>
    </row>
    <row r="7">
      <c r="A7" s="2" t="n">
        <v>7</v>
      </c>
      <c r="B7" s="2" t="inlineStr">
        <is>
          <t>Priya Venkatesh</t>
        </is>
      </c>
      <c r="C7" s="2" t="inlineStr">
        <is>
          <t>EMP-6640</t>
        </is>
      </c>
      <c r="D7" s="2" t="inlineStr">
        <is>
          <t>Engineering</t>
        </is>
      </c>
      <c r="E7" s="2" t="inlineStr">
        <is>
          <t>QA Engineer</t>
        </is>
      </c>
      <c r="F7" s="2" t="inlineStr">
        <is>
          <t>Derek Huang</t>
        </is>
      </c>
      <c r="G7" s="2" t="inlineStr">
        <is>
          <t>Pending</t>
        </is>
      </c>
      <c r="H7" s="2" t="n"/>
    </row>
    <row r="8">
      <c r="A8" s="2" t="n">
        <v>8</v>
      </c>
      <c r="B8" s="2" t="inlineStr">
        <is>
          <t>Roberto Alvarez</t>
        </is>
      </c>
      <c r="C8" s="2" t="inlineStr">
        <is>
          <t>EMP-6648</t>
        </is>
      </c>
      <c r="D8" s="2" t="inlineStr">
        <is>
          <t>Support</t>
        </is>
      </c>
      <c r="E8" s="2" t="inlineStr">
        <is>
          <t>Support Lead</t>
        </is>
      </c>
      <c r="F8" s="2" t="inlineStr">
        <is>
          <t>Diana Torres</t>
        </is>
      </c>
      <c r="G8" s="2" t="inlineStr">
        <is>
          <t>Pending</t>
        </is>
      </c>
      <c r="H8" s="2" t="n"/>
    </row>
    <row r="9">
      <c r="A9" s="2" t="n">
        <v>9</v>
      </c>
      <c r="B9" s="2" t="inlineStr">
        <is>
          <t>Wendy Liu</t>
        </is>
      </c>
      <c r="C9" s="2" t="inlineStr">
        <is>
          <t>EMP-6662</t>
        </is>
      </c>
      <c r="D9" s="2" t="inlineStr">
        <is>
          <t>Engineering</t>
        </is>
      </c>
      <c r="E9" s="2" t="inlineStr">
        <is>
          <t>Data Scientist</t>
        </is>
      </c>
      <c r="F9" s="2" t="inlineStr">
        <is>
          <t>Derek Huang</t>
        </is>
      </c>
      <c r="G9" s="2" t="inlineStr">
        <is>
          <t>Pending</t>
        </is>
      </c>
      <c r="H9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20" customWidth="1" min="3" max="3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Body</t>
        </is>
      </c>
    </row>
    <row r="2">
      <c r="A2" s="2" t="inlineStr">
        <is>
          <t>msg_migration_corrections_5125</t>
        </is>
      </c>
      <c r="B2" s="2" t="inlineStr">
        <is>
          <t>Post-Migration Data Corrections</t>
        </is>
      </c>
      <c r="C2" s="2" t="inlineStr">
        <is>
          <t xml:space="preserve">Hi team,
Found these issues during spot checks:
1. Michael Park (EMP-6601): Title should be 'Senior Engineer', not 'Engineer'. He was promoted in March.
2. Sarah Kim (EMP-6618): Department should be 'Product', not 'Engineering'. She transferred April 1.
3. Michael Park (EMP-6655): This is a DIFFERENT Michael Park in Sales. His record is correct, no changes needed.
- HRIS Admin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Employee_Data_Migration_Tracker.xlsx</t>
        </is>
      </c>
      <c r="B2" s="2" t="inlineStr">
        <is>
          <t>Frozen AutomationBench 5125 source</t>
        </is>
      </c>
      <c r="C2" s="2" t="inlineStr">
        <is>
          <t>8820dbcdf0415a15142424fd7d20552aef29bbe8ef8deec4598f623716eacf50</t>
        </is>
      </c>
    </row>
    <row r="3">
      <c r="A3" s="2" t="inlineStr">
        <is>
          <t>HR_Slack_Context.json</t>
        </is>
      </c>
      <c r="B3" s="2" t="inlineStr">
        <is>
          <t>Frozen AutomationBench 5125 source</t>
        </is>
      </c>
      <c r="C3" s="2" t="inlineStr">
        <is>
          <t>bd2d19e20559df9ee06a07f8164d5dc7fce2ab417c6e0f7cc982fc2630aea7c8</t>
        </is>
      </c>
    </row>
    <row r="4">
      <c r="A4" s="2" t="inlineStr">
        <is>
          <t>Post_Migration_Corrections.mbox</t>
        </is>
      </c>
      <c r="B4" s="2" t="inlineStr">
        <is>
          <t>Frozen AutomationBench 5125 source</t>
        </is>
      </c>
      <c r="C4" s="2" t="inlineStr">
        <is>
          <t>358991e170a8eb1707faf83bebb90662895f0a86291168911e5c13cdd5b8f738</t>
        </is>
      </c>
    </row>
    <row r="5">
      <c r="A5" s="2" t="inlineStr">
        <is>
          <t>Workflow_Context.json</t>
        </is>
      </c>
      <c r="B5" s="2" t="inlineStr">
        <is>
          <t>Frozen AutomationBench 5125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4" customWidth="1" min="4" max="4"/>
    <col width="28" customWidth="1" min="5" max="5"/>
    <col width="24" customWidth="1" min="6" max="6"/>
    <col width="22" customWidth="1" min="7" max="7"/>
    <col width="46" customWidth="1" min="8" max="8"/>
    <col width="24" customWidth="1" min="9" max="9"/>
    <col width="28" customWidth="1" min="10" max="10"/>
    <col width="24" customWidth="1" min="11" max="11"/>
    <col width="22" customWidth="1" min="12" max="12"/>
    <col width="110" customWidth="1" min="13" max="13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Current Department</t>
        </is>
      </c>
      <c r="E1" s="1" t="inlineStr">
        <is>
          <t>Current Title</t>
        </is>
      </c>
      <c r="F1" s="1" t="inlineStr">
        <is>
          <t>Manager</t>
        </is>
      </c>
      <c r="G1" s="1" t="inlineStr">
        <is>
          <t>Current Status</t>
        </is>
      </c>
      <c r="H1" s="1" t="inlineStr">
        <is>
          <t>Notes</t>
        </is>
      </c>
      <c r="I1" s="1" t="inlineStr">
        <is>
          <t>Expected Department</t>
        </is>
      </c>
      <c r="J1" s="1" t="inlineStr">
        <is>
          <t>Expected Title</t>
        </is>
      </c>
      <c r="K1" s="1" t="inlineStr">
        <is>
          <t>Decision</t>
        </is>
      </c>
      <c r="L1" s="1" t="inlineStr">
        <is>
          <t>Update Status</t>
        </is>
      </c>
      <c r="M1" s="1" t="inlineStr">
        <is>
          <t>Trace</t>
        </is>
      </c>
    </row>
    <row r="2">
      <c r="A2" s="2">
        <f>Source_Tracker!A2</f>
        <v/>
      </c>
      <c r="B2" s="2">
        <f>Source_Tracker!B2</f>
        <v/>
      </c>
      <c r="C2" s="2">
        <f>Source_Tracker!C2</f>
        <v/>
      </c>
      <c r="D2" s="2">
        <f>Source_Tracker!D2</f>
        <v/>
      </c>
      <c r="E2" s="2">
        <f>Source_Tracker!E2</f>
        <v/>
      </c>
      <c r="F2" s="2">
        <f>Source_Tracker!F2</f>
        <v/>
      </c>
      <c r="G2" s="2">
        <f>Source_Tracker!G2</f>
        <v/>
      </c>
      <c r="H2" s="2">
        <f>Source_Tracker!H2</f>
        <v/>
      </c>
      <c r="I2" s="2">
        <f>IF(C2="EMP-6618","Product",D2)</f>
        <v/>
      </c>
      <c r="J2" s="2">
        <f>IF(C2="EMP-6601","Senior Engineer",E2)</f>
        <v/>
      </c>
      <c r="K2" s="2">
        <f>IF(OR(I2&lt;&gt;D2,J2&lt;&gt;E2),"DISCREPANCY","VALIDATED")</f>
        <v/>
      </c>
      <c r="L2" s="2">
        <f>IF(K2="DISCREPANCY","Discrepancy","Validated")</f>
        <v/>
      </c>
      <c r="M2" s="2">
        <f>"employee_id="&amp;C2&amp;"|current_department="&amp;D2&amp;"|expected_department="&amp;I2&amp;"|current_title="&amp;E2&amp;"|expected_title="&amp;J2&amp;"|decision="&amp;K2</f>
        <v/>
      </c>
    </row>
    <row r="3">
      <c r="A3" s="2">
        <f>Source_Tracker!A3</f>
        <v/>
      </c>
      <c r="B3" s="2">
        <f>Source_Tracker!B3</f>
        <v/>
      </c>
      <c r="C3" s="2">
        <f>Source_Tracker!C3</f>
        <v/>
      </c>
      <c r="D3" s="2">
        <f>Source_Tracker!D3</f>
        <v/>
      </c>
      <c r="E3" s="2">
        <f>Source_Tracker!E3</f>
        <v/>
      </c>
      <c r="F3" s="2">
        <f>Source_Tracker!F3</f>
        <v/>
      </c>
      <c r="G3" s="2">
        <f>Source_Tracker!G3</f>
        <v/>
      </c>
      <c r="H3" s="2">
        <f>Source_Tracker!H3</f>
        <v/>
      </c>
      <c r="I3" s="2">
        <f>IF(C3="EMP-6618","Product",D3)</f>
        <v/>
      </c>
      <c r="J3" s="2">
        <f>IF(C3="EMP-6601","Senior Engineer",E3)</f>
        <v/>
      </c>
      <c r="K3" s="2">
        <f>IF(OR(I3&lt;&gt;D3,J3&lt;&gt;E3),"DISCREPANCY","VALIDATED")</f>
        <v/>
      </c>
      <c r="L3" s="2">
        <f>IF(K3="DISCREPANCY","Discrepancy","Validated")</f>
        <v/>
      </c>
      <c r="M3" s="2">
        <f>"employee_id="&amp;C3&amp;"|current_department="&amp;D3&amp;"|expected_department="&amp;I3&amp;"|current_title="&amp;E3&amp;"|expected_title="&amp;J3&amp;"|decision="&amp;K3</f>
        <v/>
      </c>
    </row>
    <row r="4">
      <c r="A4" s="2">
        <f>Source_Tracker!A4</f>
        <v/>
      </c>
      <c r="B4" s="2">
        <f>Source_Tracker!B4</f>
        <v/>
      </c>
      <c r="C4" s="2">
        <f>Source_Tracker!C4</f>
        <v/>
      </c>
      <c r="D4" s="2">
        <f>Source_Tracker!D4</f>
        <v/>
      </c>
      <c r="E4" s="2">
        <f>Source_Tracker!E4</f>
        <v/>
      </c>
      <c r="F4" s="2">
        <f>Source_Tracker!F4</f>
        <v/>
      </c>
      <c r="G4" s="2">
        <f>Source_Tracker!G4</f>
        <v/>
      </c>
      <c r="H4" s="2">
        <f>Source_Tracker!H4</f>
        <v/>
      </c>
      <c r="I4" s="2">
        <f>IF(C4="EMP-6618","Product",D4)</f>
        <v/>
      </c>
      <c r="J4" s="2">
        <f>IF(C4="EMP-6601","Senior Engineer",E4)</f>
        <v/>
      </c>
      <c r="K4" s="2">
        <f>IF(OR(I4&lt;&gt;D4,J4&lt;&gt;E4),"DISCREPANCY","VALIDATED")</f>
        <v/>
      </c>
      <c r="L4" s="2">
        <f>IF(K4="DISCREPANCY","Discrepancy","Validated")</f>
        <v/>
      </c>
      <c r="M4" s="2">
        <f>"employee_id="&amp;C4&amp;"|current_department="&amp;D4&amp;"|expected_department="&amp;I4&amp;"|current_title="&amp;E4&amp;"|expected_title="&amp;J4&amp;"|decision="&amp;K4</f>
        <v/>
      </c>
    </row>
    <row r="5">
      <c r="A5" s="2">
        <f>Source_Tracker!A5</f>
        <v/>
      </c>
      <c r="B5" s="2">
        <f>Source_Tracker!B5</f>
        <v/>
      </c>
      <c r="C5" s="2">
        <f>Source_Tracker!C5</f>
        <v/>
      </c>
      <c r="D5" s="2">
        <f>Source_Tracker!D5</f>
        <v/>
      </c>
      <c r="E5" s="2">
        <f>Source_Tracker!E5</f>
        <v/>
      </c>
      <c r="F5" s="2">
        <f>Source_Tracker!F5</f>
        <v/>
      </c>
      <c r="G5" s="2">
        <f>Source_Tracker!G5</f>
        <v/>
      </c>
      <c r="H5" s="2">
        <f>Source_Tracker!H5</f>
        <v/>
      </c>
      <c r="I5" s="2">
        <f>IF(C5="EMP-6618","Product",D5)</f>
        <v/>
      </c>
      <c r="J5" s="2">
        <f>IF(C5="EMP-6601","Senior Engineer",E5)</f>
        <v/>
      </c>
      <c r="K5" s="2">
        <f>IF(OR(I5&lt;&gt;D5,J5&lt;&gt;E5),"DISCREPANCY","VALIDATED")</f>
        <v/>
      </c>
      <c r="L5" s="2">
        <f>IF(K5="DISCREPANCY","Discrepancy","Validated")</f>
        <v/>
      </c>
      <c r="M5" s="2">
        <f>"employee_id="&amp;C5&amp;"|current_department="&amp;D5&amp;"|expected_department="&amp;I5&amp;"|current_title="&amp;E5&amp;"|expected_title="&amp;J5&amp;"|decision="&amp;K5</f>
        <v/>
      </c>
    </row>
    <row r="6">
      <c r="A6" s="2">
        <f>Source_Tracker!A6</f>
        <v/>
      </c>
      <c r="B6" s="2">
        <f>Source_Tracker!B6</f>
        <v/>
      </c>
      <c r="C6" s="2">
        <f>Source_Tracker!C6</f>
        <v/>
      </c>
      <c r="D6" s="2">
        <f>Source_Tracker!D6</f>
        <v/>
      </c>
      <c r="E6" s="2">
        <f>Source_Tracker!E6</f>
        <v/>
      </c>
      <c r="F6" s="2">
        <f>Source_Tracker!F6</f>
        <v/>
      </c>
      <c r="G6" s="2">
        <f>Source_Tracker!G6</f>
        <v/>
      </c>
      <c r="H6" s="2">
        <f>Source_Tracker!H6</f>
        <v/>
      </c>
      <c r="I6" s="2">
        <f>IF(C6="EMP-6618","Product",D6)</f>
        <v/>
      </c>
      <c r="J6" s="2">
        <f>IF(C6="EMP-6601","Senior Engineer",E6)</f>
        <v/>
      </c>
      <c r="K6" s="2">
        <f>IF(OR(I6&lt;&gt;D6,J6&lt;&gt;E6),"DISCREPANCY","VALIDATED")</f>
        <v/>
      </c>
      <c r="L6" s="2">
        <f>IF(K6="DISCREPANCY","Discrepancy","Validated")</f>
        <v/>
      </c>
      <c r="M6" s="2">
        <f>"employee_id="&amp;C6&amp;"|current_department="&amp;D6&amp;"|expected_department="&amp;I6&amp;"|current_title="&amp;E6&amp;"|expected_title="&amp;J6&amp;"|decision="&amp;K6</f>
        <v/>
      </c>
    </row>
    <row r="7">
      <c r="A7" s="2">
        <f>Source_Tracker!A7</f>
        <v/>
      </c>
      <c r="B7" s="2">
        <f>Source_Tracker!B7</f>
        <v/>
      </c>
      <c r="C7" s="2">
        <f>Source_Tracker!C7</f>
        <v/>
      </c>
      <c r="D7" s="2">
        <f>Source_Tracker!D7</f>
        <v/>
      </c>
      <c r="E7" s="2">
        <f>Source_Tracker!E7</f>
        <v/>
      </c>
      <c r="F7" s="2">
        <f>Source_Tracker!F7</f>
        <v/>
      </c>
      <c r="G7" s="2">
        <f>Source_Tracker!G7</f>
        <v/>
      </c>
      <c r="H7" s="2">
        <f>Source_Tracker!H7</f>
        <v/>
      </c>
      <c r="I7" s="2">
        <f>IF(C7="EMP-6618","Product",D7)</f>
        <v/>
      </c>
      <c r="J7" s="2">
        <f>IF(C7="EMP-6601","Senior Engineer",E7)</f>
        <v/>
      </c>
      <c r="K7" s="2">
        <f>IF(OR(I7&lt;&gt;D7,J7&lt;&gt;E7),"DISCREPANCY","VALIDATED")</f>
        <v/>
      </c>
      <c r="L7" s="2">
        <f>IF(K7="DISCREPANCY","Discrepancy","Validated")</f>
        <v/>
      </c>
      <c r="M7" s="2">
        <f>"employee_id="&amp;C7&amp;"|current_department="&amp;D7&amp;"|expected_department="&amp;I7&amp;"|current_title="&amp;E7&amp;"|expected_title="&amp;J7&amp;"|decision="&amp;K7</f>
        <v/>
      </c>
    </row>
    <row r="8">
      <c r="A8" s="2">
        <f>Source_Tracker!A8</f>
        <v/>
      </c>
      <c r="B8" s="2">
        <f>Source_Tracker!B8</f>
        <v/>
      </c>
      <c r="C8" s="2">
        <f>Source_Tracker!C8</f>
        <v/>
      </c>
      <c r="D8" s="2">
        <f>Source_Tracker!D8</f>
        <v/>
      </c>
      <c r="E8" s="2">
        <f>Source_Tracker!E8</f>
        <v/>
      </c>
      <c r="F8" s="2">
        <f>Source_Tracker!F8</f>
        <v/>
      </c>
      <c r="G8" s="2">
        <f>Source_Tracker!G8</f>
        <v/>
      </c>
      <c r="H8" s="2">
        <f>Source_Tracker!H8</f>
        <v/>
      </c>
      <c r="I8" s="2">
        <f>IF(C8="EMP-6618","Product",D8)</f>
        <v/>
      </c>
      <c r="J8" s="2">
        <f>IF(C8="EMP-6601","Senior Engineer",E8)</f>
        <v/>
      </c>
      <c r="K8" s="2">
        <f>IF(OR(I8&lt;&gt;D8,J8&lt;&gt;E8),"DISCREPANCY","VALIDATED")</f>
        <v/>
      </c>
      <c r="L8" s="2">
        <f>IF(K8="DISCREPANCY","Discrepancy","Validated")</f>
        <v/>
      </c>
      <c r="M8" s="2">
        <f>"employee_id="&amp;C8&amp;"|current_department="&amp;D8&amp;"|expected_department="&amp;I8&amp;"|current_title="&amp;E8&amp;"|expected_title="&amp;J8&amp;"|decision="&amp;K8</f>
        <v/>
      </c>
    </row>
    <row r="9">
      <c r="A9" s="2">
        <f>Source_Tracker!A9</f>
        <v/>
      </c>
      <c r="B9" s="2">
        <f>Source_Tracker!B9</f>
        <v/>
      </c>
      <c r="C9" s="2">
        <f>Source_Tracker!C9</f>
        <v/>
      </c>
      <c r="D9" s="2">
        <f>Source_Tracker!D9</f>
        <v/>
      </c>
      <c r="E9" s="2">
        <f>Source_Tracker!E9</f>
        <v/>
      </c>
      <c r="F9" s="2">
        <f>Source_Tracker!F9</f>
        <v/>
      </c>
      <c r="G9" s="2">
        <f>Source_Tracker!G9</f>
        <v/>
      </c>
      <c r="H9" s="2">
        <f>Source_Tracker!H9</f>
        <v/>
      </c>
      <c r="I9" s="2">
        <f>IF(C9="EMP-6618","Product",D9)</f>
        <v/>
      </c>
      <c r="J9" s="2">
        <f>IF(C9="EMP-6601","Senior Engineer",E9)</f>
        <v/>
      </c>
      <c r="K9" s="2">
        <f>IF(OR(I9&lt;&gt;D9,J9&lt;&gt;E9),"DISCREPANCY","VALIDATED")</f>
        <v/>
      </c>
      <c r="L9" s="2">
        <f>IF(K9="DISCREPANCY","Discrepancy","Validated")</f>
        <v/>
      </c>
      <c r="M9" s="2">
        <f>"employee_id="&amp;C9&amp;"|current_department="&amp;D9&amp;"|expected_department="&amp;I9&amp;"|current_title="&amp;E9&amp;"|expected_title="&amp;J9&amp;"|decision="&amp;K9</f>
        <v/>
      </c>
    </row>
  </sheetData>
  <conditionalFormatting sqref="K2:K9">
    <cfRule type="expression" priority="1" dxfId="0">
      <formula>K2="VALIDATED"</formula>
    </cfRule>
    <cfRule type="expression" priority="2" dxfId="1">
      <formula>K2="DISCREPANCY"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8" customWidth="1" min="4" max="4"/>
    <col width="28" customWidth="1" min="5" max="5"/>
    <col width="38" customWidth="1" min="6" max="6"/>
  </cols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Field</t>
        </is>
      </c>
      <c r="D1" s="1" t="inlineStr">
        <is>
          <t>Current</t>
        </is>
      </c>
      <c r="E1" s="1" t="inlineStr">
        <is>
          <t>Expected</t>
        </is>
      </c>
      <c r="F1" s="1" t="inlineStr">
        <is>
          <t>Reason</t>
        </is>
      </c>
    </row>
    <row r="2">
      <c r="A2" s="2" t="inlineStr">
        <is>
          <t>Michael Park</t>
        </is>
      </c>
      <c r="B2" s="2" t="inlineStr">
        <is>
          <t>EMP-6601</t>
        </is>
      </c>
      <c r="C2" s="2" t="inlineStr">
        <is>
          <t>Title</t>
        </is>
      </c>
      <c r="D2" s="2" t="inlineStr">
        <is>
          <t>Engineer</t>
        </is>
      </c>
      <c r="E2" s="2" t="inlineStr">
        <is>
          <t>Senior Engineer</t>
        </is>
      </c>
      <c r="F2" s="2" t="inlineStr">
        <is>
          <t>Promoted in March</t>
        </is>
      </c>
    </row>
    <row r="3">
      <c r="A3" s="2" t="inlineStr">
        <is>
          <t>Sarah Kim</t>
        </is>
      </c>
      <c r="B3" s="2" t="inlineStr">
        <is>
          <t>EMP-6618</t>
        </is>
      </c>
      <c r="C3" s="2" t="inlineStr">
        <is>
          <t>Department</t>
        </is>
      </c>
      <c r="D3" s="2" t="inlineStr">
        <is>
          <t>Engineering</t>
        </is>
      </c>
      <c r="E3" s="2" t="inlineStr">
        <is>
          <t>Product</t>
        </is>
      </c>
      <c r="F3" s="2" t="inlineStr">
        <is>
          <t>Transferred April 1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8" customWidth="1" min="4" max="4"/>
    <col width="22" customWidth="1" min="5" max="5"/>
  </cols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State</t>
        </is>
      </c>
    </row>
    <row r="2">
      <c r="A2" s="2" t="inlineStr">
        <is>
          <t>James Whitfield</t>
        </is>
      </c>
      <c r="B2" s="2" t="inlineStr">
        <is>
          <t>EMP-6625</t>
        </is>
      </c>
      <c r="C2" s="2" t="inlineStr">
        <is>
          <t>Sales</t>
        </is>
      </c>
      <c r="D2" s="2" t="inlineStr">
        <is>
          <t>Account Executive</t>
        </is>
      </c>
      <c r="E2" s="2" t="inlineStr">
        <is>
          <t>Validated</t>
        </is>
      </c>
    </row>
    <row r="3">
      <c r="A3" s="2" t="inlineStr">
        <is>
          <t>Olivia Torres</t>
        </is>
      </c>
      <c r="B3" s="2" t="inlineStr">
        <is>
          <t>EMP-6632</t>
        </is>
      </c>
      <c r="C3" s="2" t="inlineStr">
        <is>
          <t>Marketing</t>
        </is>
      </c>
      <c r="D3" s="2" t="inlineStr">
        <is>
          <t>Marketing Analyst</t>
        </is>
      </c>
      <c r="E3" s="2" t="inlineStr">
        <is>
          <t>Validated</t>
        </is>
      </c>
    </row>
    <row r="4">
      <c r="A4" s="2" t="inlineStr">
        <is>
          <t>Michael Park</t>
        </is>
      </c>
      <c r="B4" s="2" t="inlineStr">
        <is>
          <t>EMP-6655</t>
        </is>
      </c>
      <c r="C4" s="2" t="inlineStr">
        <is>
          <t>Sales</t>
        </is>
      </c>
      <c r="D4" s="2" t="inlineStr">
        <is>
          <t>Sales Rep</t>
        </is>
      </c>
      <c r="E4" s="2" t="inlineStr">
        <is>
          <t>Validated</t>
        </is>
      </c>
    </row>
    <row r="5">
      <c r="A5" s="2" t="inlineStr">
        <is>
          <t>Priya Venkatesh</t>
        </is>
      </c>
      <c r="B5" s="2" t="inlineStr">
        <is>
          <t>EMP-6640</t>
        </is>
      </c>
      <c r="C5" s="2" t="inlineStr">
        <is>
          <t>Engineering</t>
        </is>
      </c>
      <c r="D5" s="2" t="inlineStr">
        <is>
          <t>QA Engineer</t>
        </is>
      </c>
      <c r="E5" s="2" t="inlineStr">
        <is>
          <t>Validated</t>
        </is>
      </c>
    </row>
    <row r="6">
      <c r="A6" s="2" t="inlineStr">
        <is>
          <t>Roberto Alvarez</t>
        </is>
      </c>
      <c r="B6" s="2" t="inlineStr">
        <is>
          <t>EMP-6648</t>
        </is>
      </c>
      <c r="C6" s="2" t="inlineStr">
        <is>
          <t>Support</t>
        </is>
      </c>
      <c r="D6" s="2" t="inlineStr">
        <is>
          <t>Support Lead</t>
        </is>
      </c>
      <c r="E6" s="2" t="inlineStr">
        <is>
          <t>Validated</t>
        </is>
      </c>
    </row>
    <row r="7">
      <c r="A7" s="2" t="inlineStr">
        <is>
          <t>Wendy Liu</t>
        </is>
      </c>
      <c r="B7" s="2" t="inlineStr">
        <is>
          <t>EMP-6662</t>
        </is>
      </c>
      <c r="C7" s="2" t="inlineStr">
        <is>
          <t>Engineering</t>
        </is>
      </c>
      <c r="D7" s="2" t="inlineStr">
        <is>
          <t>Data Scientist</t>
        </is>
      </c>
      <c r="E7" s="2" t="inlineStr">
        <is>
          <t>Validated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</cols>
  <sheetData>
    <row r="1">
      <c r="A1" s="1" t="inlineStr">
        <is>
          <t>Source Row</t>
        </is>
      </c>
      <c r="B1" s="1" t="inlineStr">
        <is>
          <t>Employee ID</t>
        </is>
      </c>
      <c r="C1" s="1" t="inlineStr">
        <is>
          <t>Validation Status</t>
        </is>
      </c>
      <c r="D1" s="1" t="inlineStr">
        <is>
          <t>Applied</t>
        </is>
      </c>
    </row>
    <row r="2">
      <c r="A2" s="2" t="n">
        <v>2</v>
      </c>
      <c r="B2" s="2" t="inlineStr">
        <is>
          <t>EMP-6601</t>
        </is>
      </c>
      <c r="C2" s="2" t="inlineStr">
        <is>
          <t>Discrepancy</t>
        </is>
      </c>
      <c r="D2" s="2" t="inlineStr">
        <is>
          <t>NO</t>
        </is>
      </c>
    </row>
    <row r="3">
      <c r="A3" s="2" t="n">
        <v>3</v>
      </c>
      <c r="B3" s="2" t="inlineStr">
        <is>
          <t>EMP-6618</t>
        </is>
      </c>
      <c r="C3" s="2" t="inlineStr">
        <is>
          <t>Discrepancy</t>
        </is>
      </c>
      <c r="D3" s="2" t="inlineStr">
        <is>
          <t>NO</t>
        </is>
      </c>
    </row>
    <row r="4">
      <c r="A4" s="2" t="n">
        <v>4</v>
      </c>
      <c r="B4" s="2" t="inlineStr">
        <is>
          <t>EMP-6625</t>
        </is>
      </c>
      <c r="C4" s="2" t="inlineStr">
        <is>
          <t>Validated</t>
        </is>
      </c>
      <c r="D4" s="2" t="inlineStr">
        <is>
          <t>NO</t>
        </is>
      </c>
    </row>
    <row r="5">
      <c r="A5" s="2" t="n">
        <v>5</v>
      </c>
      <c r="B5" s="2" t="inlineStr">
        <is>
          <t>EMP-6632</t>
        </is>
      </c>
      <c r="C5" s="2" t="inlineStr">
        <is>
          <t>Validated</t>
        </is>
      </c>
      <c r="D5" s="2" t="inlineStr">
        <is>
          <t>NO</t>
        </is>
      </c>
    </row>
    <row r="6">
      <c r="A6" s="2" t="n">
        <v>6</v>
      </c>
      <c r="B6" s="2" t="inlineStr">
        <is>
          <t>EMP-6655</t>
        </is>
      </c>
      <c r="C6" s="2" t="inlineStr">
        <is>
          <t>Validated</t>
        </is>
      </c>
      <c r="D6" s="2" t="inlineStr">
        <is>
          <t>NO</t>
        </is>
      </c>
    </row>
    <row r="7">
      <c r="A7" s="2" t="n">
        <v>7</v>
      </c>
      <c r="B7" s="2" t="inlineStr">
        <is>
          <t>EMP-6640</t>
        </is>
      </c>
      <c r="C7" s="2" t="inlineStr">
        <is>
          <t>Validated</t>
        </is>
      </c>
      <c r="D7" s="2" t="inlineStr">
        <is>
          <t>NO</t>
        </is>
      </c>
    </row>
    <row r="8">
      <c r="A8" s="2" t="n">
        <v>8</v>
      </c>
      <c r="B8" s="2" t="inlineStr">
        <is>
          <t>EMP-6648</t>
        </is>
      </c>
      <c r="C8" s="2" t="inlineStr">
        <is>
          <t>Validated</t>
        </is>
      </c>
      <c r="D8" s="2" t="inlineStr">
        <is>
          <t>NO</t>
        </is>
      </c>
    </row>
    <row r="9">
      <c r="A9" s="2" t="n">
        <v>9</v>
      </c>
      <c r="B9" s="2" t="inlineStr">
        <is>
          <t>EMP-6662</t>
        </is>
      </c>
      <c r="C9" s="2" t="inlineStr">
        <is>
          <t>Validated</t>
        </is>
      </c>
      <c r="D9" s="2" t="inlineStr">
        <is>
          <t>NO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</cols>
  <sheetData>
    <row r="1">
      <c r="A1" s="1" t="inlineStr">
        <is>
          <t>To</t>
        </is>
      </c>
      <c r="B1" s="1" t="inlineStr">
        <is>
          <t>Corrections</t>
        </is>
      </c>
      <c r="C1" s="1" t="inlineStr">
        <is>
          <t>State</t>
        </is>
      </c>
    </row>
    <row r="2">
      <c r="A2" s="2" t="inlineStr">
        <is>
          <t>hris@company.example.com</t>
        </is>
      </c>
      <c r="B2" s="2" t="n">
        <v>2</v>
      </c>
      <c r="C2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86" customWidth="1" min="3" max="3"/>
  </cols>
  <sheetData>
    <row r="1">
      <c r="A1" s="1" t="inlineStr">
        <is>
          <t>Population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Records reviewed</t>
        </is>
      </c>
      <c r="B2" s="2" t="n">
        <v>8</v>
      </c>
      <c r="C2" s="2" t="inlineStr">
        <is>
          <t>Complete</t>
        </is>
      </c>
    </row>
    <row r="3">
      <c r="A3" s="2" t="inlineStr">
        <is>
          <t>Discrepancies</t>
        </is>
      </c>
      <c r="B3" s="2" t="n">
        <v>2</v>
      </c>
      <c r="C3" s="2" t="inlineStr">
        <is>
          <t>EMP-6601; EMP-6618</t>
        </is>
      </c>
    </row>
    <row r="4">
      <c r="A4" s="2" t="inlineStr">
        <is>
          <t>Validated</t>
        </is>
      </c>
      <c r="B4" s="2" t="n">
        <v>6</v>
      </c>
      <c r="C4" s="2" t="inlineStr">
        <is>
          <t>Includes Michael Park EMP-6655</t>
        </is>
      </c>
    </row>
    <row r="5">
      <c r="A5" s="2" t="inlineStr">
        <is>
          <t>Duplicate-name records</t>
        </is>
      </c>
      <c r="B5" s="2" t="n">
        <v>2</v>
      </c>
      <c r="C5" s="2" t="inlineStr">
        <is>
          <t>Disambiguated by Employee ID</t>
        </is>
      </c>
    </row>
    <row r="6">
      <c r="A6" s="2" t="inlineStr">
        <is>
          <t>Source rows updated</t>
        </is>
      </c>
      <c r="B6" s="2" t="n">
        <v>0</v>
      </c>
      <c r="C6" s="2" t="inlineStr">
        <is>
          <t>Draft only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6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Validation status update drafts</t>
        </is>
      </c>
      <c r="B2" s="2" t="n">
        <v>8</v>
      </c>
      <c r="C2" s="2" t="inlineStr">
        <is>
          <t>DRAFT_NOT_APPLIED</t>
        </is>
      </c>
    </row>
    <row r="3">
      <c r="A3" s="2" t="inlineStr">
        <is>
          <t>Correction email drafts</t>
        </is>
      </c>
      <c r="B3" s="2" t="n">
        <v>1</v>
      </c>
      <c r="C3" s="2" t="inlineStr">
        <is>
          <t>DRAFT_NOT_SENT</t>
        </is>
      </c>
    </row>
    <row r="4">
      <c r="A4" s="2" t="inlineStr">
        <is>
          <t>Emails sent</t>
        </is>
      </c>
      <c r="B4" s="2" t="n">
        <v>0</v>
      </c>
      <c r="C4" s="2" t="inlineStr">
        <is>
          <t>NONE</t>
        </is>
      </c>
    </row>
    <row r="5">
      <c r="A5" s="2" t="inlineStr">
        <is>
          <t>Source rows updated</t>
        </is>
      </c>
      <c r="B5" s="2" t="n">
        <v>0</v>
      </c>
      <c r="C5" s="2" t="inlineStr">
        <is>
          <t>NONE</t>
        </is>
      </c>
    </row>
    <row r="6">
      <c r="A6" s="2" t="inlineStr">
        <is>
          <t>Real side effects</t>
        </is>
      </c>
      <c r="B6" s="2" t="n">
        <v>0</v>
      </c>
      <c r="C6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Employee Data Migration Validation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