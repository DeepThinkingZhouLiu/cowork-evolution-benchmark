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tables/table5.xml" ContentType="application/vnd.openxmlformats-officedocument.spreadsheetml.table+xml"/>
  <Override PartName="/xl/tables/table1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Incidents" sheetId="1" state="visible" r:id="rId2"/>
    <sheet name="Source_Manual" sheetId="2" state="visible" r:id="rId3"/>
    <sheet name="Policy_Source" sheetId="3" state="visible" r:id="rId4"/>
    <sheet name="Evidence_Register" sheetId="4" state="visible" r:id="rId5"/>
    <sheet name="Incident_Decisions" sheetId="5" state="visible" r:id="rId6"/>
    <sheet name="Minor_Routing" sheetId="6" state="visible" r:id="rId7"/>
    <sheet name="Moderate_Routing" sheetId="7" state="visible" r:id="rId8"/>
    <sheet name="Serious_OSHA_Routing" sheetId="8" state="visible" r:id="rId9"/>
    <sheet name="Communication_Register" sheetId="9" state="visible" r:id="rId10"/>
    <sheet name="Slack_Summary_Control" sheetId="10" state="visible" r:id="rId11"/>
    <sheet name="Control_Summary" sheetId="11" state="visible" r:id="rId12"/>
  </sheets>
  <definedNames>
    <definedName function="false" hidden="false" localSheetId="8" name="_xlnm.Print_Area" vbProcedure="false">Communication_Register!$A$1:$N$9</definedName>
    <definedName function="false" hidden="true" localSheetId="8" name="_xlnm._FilterDatabase" vbProcedure="false">Communication_Register!$A$1:$N$9</definedName>
    <definedName function="false" hidden="false" localSheetId="10" name="_xlnm.Print_Area" vbProcedure="false">Control_Summary!$A$1:$E$23</definedName>
    <definedName function="false" hidden="true" localSheetId="10" name="_xlnm._FilterDatabase" vbProcedure="false">Control_Summary!$A$1:$E$23</definedName>
    <definedName function="false" hidden="false" localSheetId="3" name="_xlnm.Print_Area" vbProcedure="false">Evidence_Register!$A$1:$E$23</definedName>
    <definedName function="false" hidden="true" localSheetId="3" name="_xlnm._FilterDatabase" vbProcedure="false">Evidence_Register!$A$1:$E$23</definedName>
    <definedName function="false" hidden="false" localSheetId="4" name="_xlnm.Print_Area" vbProcedure="false">Incident_Decisions!$A$1:$AE$9</definedName>
    <definedName function="false" hidden="true" localSheetId="4" name="_xlnm._FilterDatabase" vbProcedure="false">Incident_Decisions!$A$1:$AE$9</definedName>
    <definedName function="false" hidden="false" localSheetId="5" name="_xlnm.Print_Area" vbProcedure="false">Minor_Routing!$A$1:$N$4</definedName>
    <definedName function="false" hidden="true" localSheetId="5" name="_xlnm._FilterDatabase" vbProcedure="false">Minor_Routing!$A$1:$N$4</definedName>
    <definedName function="false" hidden="false" localSheetId="6" name="_xlnm.Print_Area" vbProcedure="false">Moderate_Routing!$A$1:$P$3</definedName>
    <definedName function="false" hidden="true" localSheetId="6" name="_xlnm._FilterDatabase" vbProcedure="false">Moderate_Routing!$A$1:$P$3</definedName>
    <definedName function="false" hidden="false" localSheetId="2" name="_xlnm.Print_Area" vbProcedure="false">Policy_Source!$A$1:$E$11</definedName>
    <definedName function="false" hidden="true" localSheetId="2" name="_xlnm._FilterDatabase" vbProcedure="false">Policy_Source!$A$1:$E$11</definedName>
    <definedName function="false" hidden="false" localSheetId="7" name="_xlnm.Print_Area" vbProcedure="false">Serious_OSHA_Routing!$A$1:$T$4</definedName>
    <definedName function="false" hidden="true" localSheetId="7" name="_xlnm._FilterDatabase" vbProcedure="false">Serious_OSHA_Routing!$A$1:$T$4</definedName>
    <definedName function="false" hidden="false" localSheetId="9" name="_xlnm.Print_Area" vbProcedure="false">Slack_Summary_Control!$A$1:$P$2</definedName>
    <definedName function="false" hidden="true" localSheetId="9" name="_xlnm._FilterDatabase" vbProcedure="false">Slack_Summary_Control!$A$1:$P$2</definedName>
    <definedName function="false" hidden="false" localSheetId="0" name="_xlnm.Print_Area" vbProcedure="false">Source_Incidents!$A$1:$J$9</definedName>
    <definedName function="false" hidden="true" localSheetId="0" name="_xlnm._FilterDatabase" vbProcedure="false">Source_Incidents!$A$1:$J$9</definedName>
    <definedName function="false" hidden="false" localSheetId="1" name="_xlnm.Print_Area" vbProcedure="false">Source_Manual!$A$1:$J$2</definedName>
    <definedName function="false" hidden="true" localSheetId="1" name="_xlnm._FilterDatabase" vbProcedure="false">Source_Manual!$A$1:$J$2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<sst xmlns="http://schemas.openxmlformats.org/spreadsheetml/2006/main" count="424" uniqueCount="267">
  <si>
    <t xml:space="preserve">Source Row</t>
  </si>
  <si>
    <t xml:space="preserve">Employee</t>
  </si>
  <si>
    <t xml:space="preserve">Manager Email</t>
  </si>
  <si>
    <t xml:space="preserve">Incident Date</t>
  </si>
  <si>
    <t xml:space="preserve">Description</t>
  </si>
  <si>
    <t xml:space="preserve">Severity</t>
  </si>
  <si>
    <t xml:space="preserve">Treatment</t>
  </si>
  <si>
    <t xml:space="preserve">Lost Days</t>
  </si>
  <si>
    <t xml:space="preserve">Status</t>
  </si>
  <si>
    <t xml:space="preserve">Notes</t>
  </si>
  <si>
    <t xml:space="preserve">Ana Petrova</t>
  </si>
  <si>
    <t xml:space="preserve">mgr-a@company.example.com</t>
  </si>
  <si>
    <t xml:space="preserve">Paper cut from filing cabinet</t>
  </si>
  <si>
    <t xml:space="preserve">Minor</t>
  </si>
  <si>
    <t xml:space="preserve">First aid - bandage applied</t>
  </si>
  <si>
    <t xml:space="preserve">0</t>
  </si>
  <si>
    <t xml:space="preserve">Pending</t>
  </si>
  <si>
    <t xml:space="preserve">Ben Torres</t>
  </si>
  <si>
    <t xml:space="preserve">mgr-b@company.example.com</t>
  </si>
  <si>
    <t xml:space="preserve">Slipped on wet floor, sprained ankle</t>
  </si>
  <si>
    <t xml:space="preserve">Moderate</t>
  </si>
  <si>
    <t xml:space="preserve">Urgent care visit, ankle brace</t>
  </si>
  <si>
    <t xml:space="preserve">2</t>
  </si>
  <si>
    <t xml:space="preserve">Carlos Mendoza</t>
  </si>
  <si>
    <t xml:space="preserve">Fell from loading dock, broken leg</t>
  </si>
  <si>
    <t xml:space="preserve">Serious</t>
  </si>
  <si>
    <t xml:space="preserve">Hospitalization - emergency surgery</t>
  </si>
  <si>
    <t xml:space="preserve">TBD</t>
  </si>
  <si>
    <t xml:space="preserve">Diana Osei</t>
  </si>
  <si>
    <t xml:space="preserve">Ergonomic discomfort - wrist pain</t>
  </si>
  <si>
    <t xml:space="preserve">Ice pack, ergonomic assessment scheduled</t>
  </si>
  <si>
    <t xml:space="preserve">Ethan Park</t>
  </si>
  <si>
    <t xml:space="preserve">Chemical splash in lab - eye injury</t>
  </si>
  <si>
    <t xml:space="preserve">Hospitalization - potential loss of vision</t>
  </si>
  <si>
    <t xml:space="preserve">5+</t>
  </si>
  <si>
    <t xml:space="preserve">Fiona Strand</t>
  </si>
  <si>
    <t xml:space="preserve">Bumped head on low clearance doorway</t>
  </si>
  <si>
    <t xml:space="preserve">Ice pack applied</t>
  </si>
  <si>
    <t xml:space="preserve">George Tan</t>
  </si>
  <si>
    <t xml:space="preserve">Repetitive strain - back pain from lifting</t>
  </si>
  <si>
    <t xml:space="preserve">Physical therapy referral</t>
  </si>
  <si>
    <t xml:space="preserve">1</t>
  </si>
  <si>
    <t xml:space="preserve">Holly Ng</t>
  </si>
  <si>
    <t xml:space="preserve">Machine guard failure - finger amputation</t>
  </si>
  <si>
    <t xml:space="preserve">Hospitalization - surgical amputation</t>
  </si>
  <si>
    <t xml:space="preserve">Message ID</t>
  </si>
  <si>
    <t xml:space="preserve">Thread ID</t>
  </si>
  <si>
    <t xml:space="preserve">From</t>
  </si>
  <si>
    <t xml:space="preserve">To</t>
  </si>
  <si>
    <t xml:space="preserve">Subject</t>
  </si>
  <si>
    <t xml:space="preserve">Date</t>
  </si>
  <si>
    <t xml:space="preserve">Labels</t>
  </si>
  <si>
    <t xml:space="preserve">Body</t>
  </si>
  <si>
    <t xml:space="preserve">Frozen Time</t>
  </si>
  <si>
    <t xml:space="preserve">Source</t>
  </si>
  <si>
    <t xml:space="preserve">msg_safety_manual_5126</t>
  </si>
  <si>
    <t xml:space="preserve">th_safety_man_5126</t>
  </si>
  <si>
    <t xml:space="preserve">safety-officer@company.example.com</t>
  </si>
  <si>
    <t xml:space="preserve">hr-ops@company.example.com</t>
  </si>
  <si>
    <t xml:space="preserve">Workplace Safety Incident Reporting Manual - 2026</t>
  </si>
  <si>
    <t xml:space="preserve">Sat, 10 Jan 2026 08:00:00 +0000</t>
  </si>
  <si>
    <t xml:space="preserve">INBOX</t>
  </si>
  <si>
    <t xml:space="preserve">WORKPLACE SAFETY INCIDENT REPORTING MANUAL
Chapter 1: Purpose and Scope
This manual covers reporting procedures for all workplace safety incidents occurring on company premises or during company activities.
Chapter 2: Incident Classification
- Minor: First aid only, no lost work time (e.g., small cuts, bruises)
- Moderate: Medical treatment needed, less than 3 lost work days
- Serious: Hospitalization, more than 3 lost work days, or restricted duty
Chapter 3: Internal Reporting
All incidents must be logged in the safety tracker. The following notifications are required:
- Minor: Email the employee's manager. Update Status to 'Documented'.
- Moderate: Email the Safety Officer (safety-officer@company.example.com) AND the employee's manager. Update Status to 'Under Review'.
- Serious: Email the Safety Officer, the employee's manager, AND the VP Operations (vp-ops@company.example.com). Update Status to 'Investigation'.
Chapter 4: Workers' Compensation
All moderate and serious incidents require a workers' comp claim form. This is handled by the benefits team separately.
Chapter 5: OSHA Reporting
IMPORTANT: Any incident resulting in hospitalization, amputation, or loss of an eye must be reported to OSHA within 24 hours. Email the Legal team (legal@company.example.com) immediately for OSHA-reportable incidents. These take precedence over all other routing.
Chapter 6: Return to Work
Employees returning from injury leave must complete a return-to-work assessment.
Chapter 7: Record Retention
All safety records must be retained for 5 years.</t>
  </si>
  <si>
    <t xml:space="preserve">2026-04-15T09:00:00Z</t>
  </si>
  <si>
    <t xml:space="preserve">Safety_Manual.mbox</t>
  </si>
  <si>
    <t xml:space="preserve">Policy ID</t>
  </si>
  <si>
    <t xml:space="preserve">Chapter</t>
  </si>
  <si>
    <t xml:space="preserve">Applies To</t>
  </si>
  <si>
    <t xml:space="preserve">Requirement</t>
  </si>
  <si>
    <t xml:space="preserve">Source Trace</t>
  </si>
  <si>
    <t xml:space="preserve">P001</t>
  </si>
  <si>
    <t xml:space="preserve">Classification</t>
  </si>
  <si>
    <t xml:space="preserve">First aid only; no lost work time</t>
  </si>
  <si>
    <t xml:space="preserve">Safety_Manual.mbox:Chapter 2</t>
  </si>
  <si>
    <t xml:space="preserve">P002</t>
  </si>
  <si>
    <t xml:space="preserve">Medical treatment; fewer than 3 lost work days</t>
  </si>
  <si>
    <t xml:space="preserve">P003</t>
  </si>
  <si>
    <t xml:space="preserve">Hospitalization, more than 3 lost work days, or restricted duty</t>
  </si>
  <si>
    <t xml:space="preserve">P004</t>
  </si>
  <si>
    <t xml:space="preserve">Internal routing</t>
  </si>
  <si>
    <t xml:space="preserve">Manager only; Status=Documented</t>
  </si>
  <si>
    <t xml:space="preserve">Safety_Manual.mbox:Chapter 3</t>
  </si>
  <si>
    <t xml:space="preserve">P005</t>
  </si>
  <si>
    <t xml:space="preserve">Safety Officer + manager; Status=Under Review</t>
  </si>
  <si>
    <t xml:space="preserve">P006</t>
  </si>
  <si>
    <t xml:space="preserve">Safety Officer + manager + VP Operations; Status=Investigation</t>
  </si>
  <si>
    <t xml:space="preserve">P007</t>
  </si>
  <si>
    <t xml:space="preserve">Workers' compensation</t>
  </si>
  <si>
    <t xml:space="preserve">Moderate/Serious</t>
  </si>
  <si>
    <t xml:space="preserve">Claim form required; Benefits handles separately</t>
  </si>
  <si>
    <t xml:space="preserve">Safety_Manual.mbox:Chapter 4</t>
  </si>
  <si>
    <t xml:space="preserve">P008</t>
  </si>
  <si>
    <t xml:space="preserve">OSHA</t>
  </si>
  <si>
    <t xml:space="preserve">Hospitalization/amputation/loss of eye</t>
  </si>
  <si>
    <t xml:space="preserve">Legal immediately; OSHA within 24 hours; precedence</t>
  </si>
  <si>
    <t xml:space="preserve">Safety_Manual.mbox:Chapter 5</t>
  </si>
  <si>
    <t xml:space="preserve">P009</t>
  </si>
  <si>
    <t xml:space="preserve">Return to work</t>
  </si>
  <si>
    <t xml:space="preserve">Return from injury leave</t>
  </si>
  <si>
    <t xml:space="preserve">Assessment required</t>
  </si>
  <si>
    <t xml:space="preserve">Safety_Manual.mbox:Chapter 6</t>
  </si>
  <si>
    <t xml:space="preserve">P010</t>
  </si>
  <si>
    <t xml:space="preserve">Retention</t>
  </si>
  <si>
    <t xml:space="preserve">All incidents</t>
  </si>
  <si>
    <t xml:space="preserve">Retain records for 5 years</t>
  </si>
  <si>
    <t xml:space="preserve">Safety_Manual.mbox:Chapter 7</t>
  </si>
  <si>
    <t xml:space="preserve">Evidence ID</t>
  </si>
  <si>
    <t xml:space="preserve">Type</t>
  </si>
  <si>
    <t xml:space="preserve">Entity/Control</t>
  </si>
  <si>
    <t xml:space="preserve">Value</t>
  </si>
  <si>
    <t xml:space="preserve">E001</t>
  </si>
  <si>
    <t xml:space="preserve">SOURCE_INCIDENT</t>
  </si>
  <si>
    <t xml:space="preserve">2026-04-14 | Minor | First aid - bandage applied</t>
  </si>
  <si>
    <t xml:space="preserve">Safety_Incident_Tracker.xlsx:Recent Incidents row 2</t>
  </si>
  <si>
    <t xml:space="preserve">E002</t>
  </si>
  <si>
    <t xml:space="preserve">2026-04-13 | Moderate | Urgent care visit, ankle brace</t>
  </si>
  <si>
    <t xml:space="preserve">Safety_Incident_Tracker.xlsx:Recent Incidents row 3</t>
  </si>
  <si>
    <t xml:space="preserve">E003</t>
  </si>
  <si>
    <t xml:space="preserve">2026-04-12 | Serious | Hospitalization - emergency surgery</t>
  </si>
  <si>
    <t xml:space="preserve">Safety_Incident_Tracker.xlsx:Recent Incidents row 4</t>
  </si>
  <si>
    <t xml:space="preserve">E004</t>
  </si>
  <si>
    <t xml:space="preserve">2026-04-14 | Minor | Ice pack, ergonomic assessment scheduled</t>
  </si>
  <si>
    <t xml:space="preserve">Safety_Incident_Tracker.xlsx:Recent Incidents row 5</t>
  </si>
  <si>
    <t xml:space="preserve">E005</t>
  </si>
  <si>
    <t xml:space="preserve">2026-04-11 | Serious | Hospitalization - potential loss of vision</t>
  </si>
  <si>
    <t xml:space="preserve">Safety_Incident_Tracker.xlsx:Recent Incidents row 6</t>
  </si>
  <si>
    <t xml:space="preserve">E006</t>
  </si>
  <si>
    <t xml:space="preserve">2026-04-14 | Minor | Ice pack applied</t>
  </si>
  <si>
    <t xml:space="preserve">Safety_Incident_Tracker.xlsx:Recent Incidents row 7</t>
  </si>
  <si>
    <t xml:space="preserve">E007</t>
  </si>
  <si>
    <t xml:space="preserve">2026-04-10 | Moderate | Physical therapy referral</t>
  </si>
  <si>
    <t xml:space="preserve">Safety_Incident_Tracker.xlsx:Recent Incidents row 8</t>
  </si>
  <si>
    <t xml:space="preserve">E008</t>
  </si>
  <si>
    <t xml:space="preserve">2026-04-13 | Serious | Hospitalization - surgical amputation</t>
  </si>
  <si>
    <t xml:space="preserve">Safety_Incident_Tracker.xlsx:Recent Incidents row 9</t>
  </si>
  <si>
    <t xml:space="preserve">E009</t>
  </si>
  <si>
    <t xml:space="preserve">MANUAL</t>
  </si>
  <si>
    <t xml:space="preserve">Reporting manual</t>
  </si>
  <si>
    <t xml:space="preserve">Safety_Manual.mbox:msg_safety_manual_5126</t>
  </si>
  <si>
    <t xml:space="preserve">E010</t>
  </si>
  <si>
    <t xml:space="preserve">TIME</t>
  </si>
  <si>
    <t xml:space="preserve">Frozen time</t>
  </si>
  <si>
    <t xml:space="preserve">Workflow_Context.json:meta.current_time</t>
  </si>
  <si>
    <t xml:space="preserve">E011</t>
  </si>
  <si>
    <t xml:space="preserve">CHANNEL</t>
  </si>
  <si>
    <t xml:space="preserve">Safety channel</t>
  </si>
  <si>
    <t xml:space="preserve">C_SAF_5126 | safety | public</t>
  </si>
  <si>
    <t xml:space="preserve">Slack_Channels.json:C_SAF_5126</t>
  </si>
  <si>
    <t xml:space="preserve">E012</t>
  </si>
  <si>
    <t xml:space="preserve">CONTROL</t>
  </si>
  <si>
    <t xml:space="preserve">Minor count</t>
  </si>
  <si>
    <t xml:space="preserve">3</t>
  </si>
  <si>
    <t xml:space="preserve">Incident_Decisions:Severity</t>
  </si>
  <si>
    <t xml:space="preserve">E013</t>
  </si>
  <si>
    <t xml:space="preserve">Moderate count</t>
  </si>
  <si>
    <t xml:space="preserve">E014</t>
  </si>
  <si>
    <t xml:space="preserve">Serious count</t>
  </si>
  <si>
    <t xml:space="preserve">E015</t>
  </si>
  <si>
    <t xml:space="preserve">OSHA/Legal immediate count</t>
  </si>
  <si>
    <t xml:space="preserve">Incident_Decisions:OSHA Reportable</t>
  </si>
  <si>
    <t xml:space="preserve">E016</t>
  </si>
  <si>
    <t xml:space="preserve">Workers comp follow-up count</t>
  </si>
  <si>
    <t xml:space="preserve">5</t>
  </si>
  <si>
    <t xml:space="preserve">Incident_Decisions:Workers Comp Required</t>
  </si>
  <si>
    <t xml:space="preserve">E017</t>
  </si>
  <si>
    <t xml:space="preserve">Email draft count</t>
  </si>
  <si>
    <t xml:space="preserve">8</t>
  </si>
  <si>
    <t xml:space="preserve">Communication_Register</t>
  </si>
  <si>
    <t xml:space="preserve">E018</t>
  </si>
  <si>
    <t xml:space="preserve">Tracker update draft count</t>
  </si>
  <si>
    <t xml:space="preserve">Tracker update payload</t>
  </si>
  <si>
    <t xml:space="preserve">E019</t>
  </si>
  <si>
    <t xml:space="preserve">Slack aggregate draft count</t>
  </si>
  <si>
    <t xml:space="preserve">Slack summary payload</t>
  </si>
  <si>
    <t xml:space="preserve">E020</t>
  </si>
  <si>
    <t xml:space="preserve">Emails sent</t>
  </si>
  <si>
    <t xml:space="preserve">Execution control</t>
  </si>
  <si>
    <t xml:space="preserve">E021</t>
  </si>
  <si>
    <t xml:space="preserve">Tracker updates applied</t>
  </si>
  <si>
    <t xml:space="preserve">E022</t>
  </si>
  <si>
    <t xml:space="preserve">Real side effects</t>
  </si>
  <si>
    <t xml:space="preserve">Source Status</t>
  </si>
  <si>
    <t xml:space="preserve">Is Minor</t>
  </si>
  <si>
    <t xml:space="preserve">Is Moderate</t>
  </si>
  <si>
    <t xml:space="preserve">Is Serious</t>
  </si>
  <si>
    <t xml:space="preserve">Hospitalization Trigger</t>
  </si>
  <si>
    <t xml:space="preserve">Amputation Trigger</t>
  </si>
  <si>
    <t xml:space="preserve">Vision Source</t>
  </si>
  <si>
    <t xml:space="preserve">OSHA Reportable</t>
  </si>
  <si>
    <t xml:space="preserve">Proposed Status</t>
  </si>
  <si>
    <t xml:space="preserve">Workers Comp Required</t>
  </si>
  <si>
    <t xml:space="preserve">Legal Immediate</t>
  </si>
  <si>
    <t xml:space="preserve">Recipients</t>
  </si>
  <si>
    <t xml:space="preserve">Email Subject</t>
  </si>
  <si>
    <t xml:space="preserve">Slack Scope</t>
  </si>
  <si>
    <t xml:space="preserve">Tracker Update Draft</t>
  </si>
  <si>
    <t xml:space="preserve">Email State</t>
  </si>
  <si>
    <t xml:space="preserve">Tracker Applied</t>
  </si>
  <si>
    <t xml:space="preserve">Slack Posted</t>
  </si>
  <si>
    <t xml:space="preserve">OSHA Filed</t>
  </si>
  <si>
    <t xml:space="preserve">Retention Years</t>
  </si>
  <si>
    <t xml:space="preserve">Policy Basis</t>
  </si>
  <si>
    <t xml:space="preserve">Workers Comp</t>
  </si>
  <si>
    <t xml:space="preserve">Hospitalization</t>
  </si>
  <si>
    <t xml:space="preserve">Amputation</t>
  </si>
  <si>
    <t xml:space="preserve">Order</t>
  </si>
  <si>
    <t xml:space="preserve">Communication Type</t>
  </si>
  <si>
    <t xml:space="preserve">Tracker Status</t>
  </si>
  <si>
    <t xml:space="preserve">Sent</t>
  </si>
  <si>
    <t xml:space="preserve">Attachment Count</t>
  </si>
  <si>
    <t xml:space="preserve">Channel ID</t>
  </si>
  <si>
    <t xml:space="preserve">Channel</t>
  </si>
  <si>
    <t xml:space="preserve">Public</t>
  </si>
  <si>
    <t xml:space="preserve">Draft Count</t>
  </si>
  <si>
    <t xml:space="preserve">Posted Count</t>
  </si>
  <si>
    <t xml:space="preserve">Incident Count</t>
  </si>
  <si>
    <t xml:space="preserve">OSHA/Legal Review</t>
  </si>
  <si>
    <t xml:space="preserve">Contains Names</t>
  </si>
  <si>
    <t xml:space="preserve">Contains Medical Details</t>
  </si>
  <si>
    <t xml:space="preserve">State</t>
  </si>
  <si>
    <t xml:space="preserve">Draft Text</t>
  </si>
  <si>
    <t xml:space="preserve">C_SAF_5126</t>
  </si>
  <si>
    <t xml:space="preserve">safety</t>
  </si>
  <si>
    <t xml:space="preserve">YES</t>
  </si>
  <si>
    <t xml:space="preserve">NO</t>
  </si>
  <si>
    <t xml:space="preserve">DRAFT_NOT_POSTED</t>
  </si>
  <si>
    <t xml:space="preserve">Safety incident summary: 8 reviewed — 3 minor, 2 moderate, 3 serious; 3 require immediate Legal/OSHA review; 5 require workers' compensation follow-up. No employee names, manager addresses, medical details, or incident descriptions are included.</t>
  </si>
  <si>
    <t xml:space="preserve">Slack_Channels.json:C_SAF_5126 | Incident_Decisions aggregate</t>
  </si>
  <si>
    <t xml:space="preserve">Metric</t>
  </si>
  <si>
    <t xml:space="preserve">Actual</t>
  </si>
  <si>
    <t xml:space="preserve">Expected</t>
  </si>
  <si>
    <t xml:space="preserve">Evidence</t>
  </si>
  <si>
    <t xml:space="preserve">Source incidents</t>
  </si>
  <si>
    <t xml:space="preserve">All frozen rows</t>
  </si>
  <si>
    <t xml:space="preserve">Ana; Diana; Fiona</t>
  </si>
  <si>
    <t xml:space="preserve">Ben; George</t>
  </si>
  <si>
    <t xml:space="preserve">Carlos; Ethan; Holly</t>
  </si>
  <si>
    <t xml:space="preserve">Documented</t>
  </si>
  <si>
    <t xml:space="preserve">Minor status</t>
  </si>
  <si>
    <t xml:space="preserve">Under Review</t>
  </si>
  <si>
    <t xml:space="preserve">Moderate status</t>
  </si>
  <si>
    <t xml:space="preserve">Investigation</t>
  </si>
  <si>
    <t xml:space="preserve">Serious status</t>
  </si>
  <si>
    <t xml:space="preserve">OSHA/Legal immediate</t>
  </si>
  <si>
    <t xml:space="preserve">Three hospitalizations</t>
  </si>
  <si>
    <t xml:space="preserve">Workers comp follow-up</t>
  </si>
  <si>
    <t xml:space="preserve">Moderate + Serious</t>
  </si>
  <si>
    <t xml:space="preserve">Email drafts</t>
  </si>
  <si>
    <t xml:space="preserve">One per incident</t>
  </si>
  <si>
    <t xml:space="preserve">Offline only</t>
  </si>
  <si>
    <t xml:space="preserve">Tracker update drafts</t>
  </si>
  <si>
    <t xml:space="preserve">Source unchanged</t>
  </si>
  <si>
    <t xml:space="preserve">Slack drafts</t>
  </si>
  <si>
    <t xml:space="preserve">Aggregate only</t>
  </si>
  <si>
    <t xml:space="preserve">Slack posts</t>
  </si>
  <si>
    <t xml:space="preserve">OSHA reports filed</t>
  </si>
  <si>
    <t xml:space="preserve">Legal draft only</t>
  </si>
  <si>
    <t xml:space="preserve">Workers comp forms created</t>
  </si>
  <si>
    <t xml:space="preserve">Benefits handles separately</t>
  </si>
  <si>
    <t xml:space="preserve">Exact OSHA deadlines asserted</t>
  </si>
  <si>
    <t xml:space="preserve">Incident time unavailable</t>
  </si>
  <si>
    <t xml:space="preserve">Names in Slack</t>
  </si>
  <si>
    <t xml:space="preserve">Public aggregate</t>
  </si>
  <si>
    <t xml:space="preserve">Medical details in Slack</t>
  </si>
  <si>
    <t xml:space="preserve">Retention years</t>
  </si>
  <si>
    <t xml:space="preserve">All records</t>
  </si>
  <si>
    <t xml:space="preserve">Controlled draft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</si>
</sst>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7.6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CC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Safety routing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Control_Summary!$A$2:$A$4</c:f>
              <c:strCache>
                <c:ptCount val="3"/>
                <c:pt idx="0">
                  <c:v>Source incidents</c:v>
                </c:pt>
                <c:pt idx="1">
                  <c:v>Minor</c:v>
                </c:pt>
                <c:pt idx="2">
                  <c:v>Moderate</c:v>
                </c:pt>
              </c:strCache>
            </c:strRef>
          </c:cat>
          <c:val>
            <c:numRef>
              <c:f>Control_Summary!$B$2:$B$4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51260001"/>
        <c:axId val="51260002"/>
      </c:barChart>
      <c:catAx>
        <c:axId val="5126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60002"/>
        <c:crosses val="autoZero"/>
        <c:auto val="1"/>
        <c:lblAlgn val="ctr"/>
        <c:lblOffset val="100"/>
        <c:noMultiLvlLbl val="0"/>
      </c:catAx>
      <c:valAx>
        <c:axId val="5126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6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12</xdr:col>
      <xdr:colOff>200160</xdr:colOff>
      <xdr:row>13</xdr:row>
      <xdr:rowOff>53640</xdr:rowOff>
    </xdr:to>
    <xdr:graphicFrame>
      <xdr:nvGraphicFramePr>
        <xdr:cNvPr id="0" name="Chart 1"/>
        <xdr:cNvGraphicFramePr/>
      </xdr:nvGraphicFramePr>
      <xdr:xfrm>
        <a:off x="8868240" y="39060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fetyCommunicationRegister" displayName="SafetyCommunicationRegister" ref="A1:N9" headerRowCount="1" totalsRowCount="0" totalsRowShown="0">
  <autoFilter ref="A1:N9"/>
  <tableColumns count="14">
    <tableColumn id="1" name="Order"/>
    <tableColumn id="2" name="Source Row"/>
    <tableColumn id="3" name="Employee"/>
    <tableColumn id="4" name="Severity"/>
    <tableColumn id="5" name="Communication Type"/>
    <tableColumn id="6" name="Recipients"/>
    <tableColumn id="7" name="Subject"/>
    <tableColumn id="8" name="OSHA Reportable"/>
    <tableColumn id="9" name="Workers Comp"/>
    <tableColumn id="10" name="Tracker Status"/>
    <tableColumn id="11" name="Email State"/>
    <tableColumn id="12" name="Sent"/>
    <tableColumn id="13" name="Attachment Count"/>
    <tableColumn id="14" name="Source Trace"/>
  </tableColumns>
</table>
</file>

<file path=xl/tables/table2.xml><?xml version="1.0" encoding="utf-8"?>
<table xmlns="http://schemas.openxmlformats.org/spreadsheetml/2006/main" id="2" name="SafetyControlSummary" displayName="SafetyControlSummary" ref="A1:E23" headerRowCount="1" totalsRowCount="0" totalsRowShown="0">
  <autoFilter ref="A1:E23"/>
  <tableColumns count="5">
    <tableColumn id="1" name="Metric"/>
    <tableColumn id="2" name="Actual"/>
    <tableColumn id="3" name="Expected"/>
    <tableColumn id="4" name="Status"/>
    <tableColumn id="5" name="Evidence"/>
  </tableColumns>
</table>
</file>

<file path=xl/tables/table3.xml><?xml version="1.0" encoding="utf-8"?>
<table xmlns="http://schemas.openxmlformats.org/spreadsheetml/2006/main" id="3" name="SafetyEvidenceRegister" displayName="SafetyEvidenceRegister" ref="A1:E23" headerRowCount="1" totalsRowCount="0" totalsRowShown="0">
  <autoFilter ref="A1:E23"/>
  <tableColumns count="5">
    <tableColumn id="1" name="Evidence ID"/>
    <tableColumn id="2" name="Type"/>
    <tableColumn id="3" name="Entity/Control"/>
    <tableColumn id="4" name="Value"/>
    <tableColumn id="5" name="Source Trace"/>
  </tableColumns>
</table>
</file>

<file path=xl/tables/table4.xml><?xml version="1.0" encoding="utf-8"?>
<table xmlns="http://schemas.openxmlformats.org/spreadsheetml/2006/main" id="4" name="SafetyIncidentDecisions" displayName="SafetyIncidentDecisions" ref="A1:AE9" headerRowCount="1" totalsRowCount="0" totalsRowShown="0">
  <autoFilter ref="A1:AE9"/>
  <tableColumns count="31">
    <tableColumn id="1" name="Source Row"/>
    <tableColumn id="2" name="Employee"/>
    <tableColumn id="3" name="Manager Email"/>
    <tableColumn id="4" name="Incident Date"/>
    <tableColumn id="5" name="Description"/>
    <tableColumn id="6" name="Severity"/>
    <tableColumn id="7" name="Treatment"/>
    <tableColumn id="8" name="Lost Days"/>
    <tableColumn id="9" name="Source Status"/>
    <tableColumn id="10" name="Frozen Time"/>
    <tableColumn id="11" name="Is Minor"/>
    <tableColumn id="12" name="Is Moderate"/>
    <tableColumn id="13" name="Is Serious"/>
    <tableColumn id="14" name="Hospitalization Trigger"/>
    <tableColumn id="15" name="Amputation Trigger"/>
    <tableColumn id="16" name="Vision Source"/>
    <tableColumn id="17" name="OSHA Reportable"/>
    <tableColumn id="18" name="Proposed Status"/>
    <tableColumn id="19" name="Workers Comp Required"/>
    <tableColumn id="20" name="Legal Immediate"/>
    <tableColumn id="21" name="Recipients"/>
    <tableColumn id="22" name="Email Subject"/>
    <tableColumn id="23" name="Slack Scope"/>
    <tableColumn id="24" name="Tracker Update Draft"/>
    <tableColumn id="25" name="Email State"/>
    <tableColumn id="26" name="Tracker Applied"/>
    <tableColumn id="27" name="Slack Posted"/>
    <tableColumn id="28" name="OSHA Filed"/>
    <tableColumn id="29" name="Retention Years"/>
    <tableColumn id="30" name="Policy Basis"/>
    <tableColumn id="31" name="Source Trace"/>
  </tableColumns>
</table>
</file>

<file path=xl/tables/table5.xml><?xml version="1.0" encoding="utf-8"?>
<table xmlns="http://schemas.openxmlformats.org/spreadsheetml/2006/main" id="5" name="SafetyMinorRouting" displayName="SafetyMinorRouting" ref="A1:N4" headerRowCount="1" totalsRowCount="0" totalsRowShown="0">
  <autoFilter ref="A1:N4"/>
  <tableColumns count="14">
    <tableColumn id="1" name="Source Row"/>
    <tableColumn id="2" name="Employee"/>
    <tableColumn id="3" name="Incident Date"/>
    <tableColumn id="4" name="Severity"/>
    <tableColumn id="5" name="Proposed Status"/>
    <tableColumn id="6" name="Recipients"/>
    <tableColumn id="7" name="Email Subject"/>
    <tableColumn id="8" name="OSHA Reportable"/>
    <tableColumn id="9" name="Workers Comp"/>
    <tableColumn id="10" name="Email State"/>
    <tableColumn id="11" name="Tracker Applied"/>
    <tableColumn id="12" name="Retention Years"/>
    <tableColumn id="13" name="Policy Basis"/>
    <tableColumn id="14" name="Source Trace"/>
  </tableColumns>
</table>
</file>

<file path=xl/tables/table6.xml><?xml version="1.0" encoding="utf-8"?>
<table xmlns="http://schemas.openxmlformats.org/spreadsheetml/2006/main" id="6" name="SafetyModerateRouting" displayName="SafetyModerateRouting" ref="A1:P3" headerRowCount="1" totalsRowCount="0" totalsRowShown="0">
  <autoFilter ref="A1:P3"/>
  <tableColumns count="16">
    <tableColumn id="1" name="Source Row"/>
    <tableColumn id="2" name="Employee"/>
    <tableColumn id="3" name="Incident Date"/>
    <tableColumn id="4" name="Description"/>
    <tableColumn id="5" name="Treatment"/>
    <tableColumn id="6" name="Lost Days"/>
    <tableColumn id="7" name="Severity"/>
    <tableColumn id="8" name="Proposed Status"/>
    <tableColumn id="9" name="Recipients"/>
    <tableColumn id="10" name="Workers Comp"/>
    <tableColumn id="11" name="OSHA Reportable"/>
    <tableColumn id="12" name="Legal Immediate"/>
    <tableColumn id="13" name="Email State"/>
    <tableColumn id="14" name="Tracker Applied"/>
    <tableColumn id="15" name="Policy Basis"/>
    <tableColumn id="16" name="Source Trace"/>
  </tableColumns>
</table>
</file>

<file path=xl/tables/table7.xml><?xml version="1.0" encoding="utf-8"?>
<table xmlns="http://schemas.openxmlformats.org/spreadsheetml/2006/main" id="7" name="SafetyPolicySource" displayName="SafetyPolicySource" ref="A1:E11" headerRowCount="1" totalsRowCount="0" totalsRowShown="0">
  <autoFilter ref="A1:E11"/>
  <tableColumns count="5">
    <tableColumn id="1" name="Policy ID"/>
    <tableColumn id="2" name="Chapter"/>
    <tableColumn id="3" name="Applies To"/>
    <tableColumn id="4" name="Requirement"/>
    <tableColumn id="5" name="Source Trace"/>
  </tableColumns>
</table>
</file>

<file path=xl/tables/table8.xml><?xml version="1.0" encoding="utf-8"?>
<table xmlns="http://schemas.openxmlformats.org/spreadsheetml/2006/main" id="8" name="SafetySeriousRouting" displayName="SafetySeriousRouting" ref="A1:T4" headerRowCount="1" totalsRowCount="0" totalsRowShown="0">
  <autoFilter ref="A1:T4"/>
  <tableColumns count="20">
    <tableColumn id="1" name="Source Row"/>
    <tableColumn id="2" name="Employee"/>
    <tableColumn id="3" name="Manager Email"/>
    <tableColumn id="4" name="Incident Date"/>
    <tableColumn id="5" name="Description"/>
    <tableColumn id="6" name="Treatment"/>
    <tableColumn id="7" name="Lost Days"/>
    <tableColumn id="8" name="Hospitalization"/>
    <tableColumn id="9" name="Amputation"/>
    <tableColumn id="10" name="Vision Source"/>
    <tableColumn id="11" name="OSHA Reportable"/>
    <tableColumn id="12" name="Legal Immediate"/>
    <tableColumn id="13" name="Proposed Status"/>
    <tableColumn id="14" name="Workers Comp"/>
    <tableColumn id="15" name="Recipients"/>
    <tableColumn id="16" name="Email Subject"/>
    <tableColumn id="17" name="Email State"/>
    <tableColumn id="18" name="OSHA Filed"/>
    <tableColumn id="19" name="Policy Basis"/>
    <tableColumn id="20" name="Source Trace"/>
  </tableColumns>
</table>
</file>

<file path=xl/tables/table9.xml><?xml version="1.0" encoding="utf-8"?>
<table xmlns="http://schemas.openxmlformats.org/spreadsheetml/2006/main" id="9" name="SafetySlackControl" displayName="SafetySlackControl" ref="A1:P2" headerRowCount="1" totalsRowCount="0" totalsRowShown="0">
  <autoFilter ref="A1:P2"/>
  <tableColumns count="16">
    <tableColumn id="1" name="Channel ID"/>
    <tableColumn id="2" name="Channel"/>
    <tableColumn id="3" name="Public"/>
    <tableColumn id="4" name="Draft Count"/>
    <tableColumn id="5" name="Posted Count"/>
    <tableColumn id="6" name="Incident Count"/>
    <tableColumn id="7" name="Minor"/>
    <tableColumn id="8" name="Moderate"/>
    <tableColumn id="9" name="Serious"/>
    <tableColumn id="10" name="OSHA/Legal Review"/>
    <tableColumn id="11" name="Workers Comp"/>
    <tableColumn id="12" name="Contains Names"/>
    <tableColumn id="13" name="Contains Medical Details"/>
    <tableColumn id="14" name="State"/>
    <tableColumn id="15" name="Draft Text"/>
    <tableColumn id="16" name="Source Trace"/>
  </tableColumns>
</table>
</file>

<file path=xl/tables/table10.xml><?xml version="1.0" encoding="utf-8"?>
<table xmlns="http://schemas.openxmlformats.org/spreadsheetml/2006/main" id="10" name="SafetySourceIncidents" displayName="SafetySourceIncidents" ref="A1:J9" headerRowCount="1" totalsRowCount="0" totalsRowShown="0">
  <autoFilter ref="A1:J9"/>
  <tableColumns count="10">
    <tableColumn id="1" name="Source Row"/>
    <tableColumn id="2" name="Employee"/>
    <tableColumn id="3" name="Manager Email"/>
    <tableColumn id="4" name="Incident Date"/>
    <tableColumn id="5" name="Description"/>
    <tableColumn id="6" name="Severity"/>
    <tableColumn id="7" name="Treatment"/>
    <tableColumn id="8" name="Lost Days"/>
    <tableColumn id="9" name="Status"/>
    <tableColumn id="10" name="Notes"/>
  </tableColumns>
</table>
</file>

<file path=xl/tables/table11.xml><?xml version="1.0" encoding="utf-8"?>
<table xmlns="http://schemas.openxmlformats.org/spreadsheetml/2006/main" id="11" name="SafetySourceManual" displayName="SafetySourceManual" ref="A1:J2" headerRowCount="1" totalsRowCount="0" totalsRowShown="0">
  <autoFilter ref="A1:J2"/>
  <tableColumns count="10">
    <tableColumn id="1" name="Message ID"/>
    <tableColumn id="2" name="Thread ID"/>
    <tableColumn id="3" name="From"/>
    <tableColumn id="4" name="To"/>
    <tableColumn id="5" name="Subject"/>
    <tableColumn id="6" name="Date"/>
    <tableColumn id="7" name="Labels"/>
    <tableColumn id="8" name="Body"/>
    <tableColumn id="9" name="Frozen Time"/>
    <tableColumn id="10" name="Sour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9.99"/>
    <col collapsed="false" customWidth="true" hidden="false" outlineLevel="0" max="3" min="3" style="0" width="28.99"/>
    <col collapsed="false" customWidth="true" hidden="false" outlineLevel="0" max="4" min="4" style="0" width="16"/>
    <col collapsed="false" customWidth="true" hidden="false" outlineLevel="0" max="5" min="5" style="0" width="39.01"/>
    <col collapsed="false" customWidth="true" hidden="false" outlineLevel="0" max="6" min="6" style="0" width="13.01"/>
    <col collapsed="false" customWidth="true" hidden="false" outlineLevel="0" max="7" min="7" style="0" width="41"/>
    <col collapsed="false" customWidth="true" hidden="false" outlineLevel="0" max="8" min="8" style="0" width="11.99"/>
    <col collapsed="false" customWidth="true" hidden="false" outlineLevel="0" max="9" min="9" style="0" width="13.01"/>
    <col collapsed="false" customWidth="true" hidden="false" outlineLevel="0" max="10" min="10" style="0" width="15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7.5" hidden="false" customHeight="true" outlineLevel="0" collapsed="false">
      <c r="A2" s="2" t="n">
        <v>2</v>
      </c>
      <c r="B2" s="2" t="s">
        <v>10</v>
      </c>
      <c r="C2" s="2" t="s">
        <v>11</v>
      </c>
      <c r="D2" s="3" t="n">
        <v>46126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</row>
    <row r="3" customFormat="false" ht="37.5" hidden="false" customHeight="true" outlineLevel="0" collapsed="false">
      <c r="A3" s="2" t="n">
        <v>3</v>
      </c>
      <c r="B3" s="2" t="s">
        <v>17</v>
      </c>
      <c r="C3" s="2" t="s">
        <v>18</v>
      </c>
      <c r="D3" s="3" t="n">
        <v>46125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16</v>
      </c>
      <c r="J3" s="2"/>
    </row>
    <row r="4" customFormat="false" ht="37.5" hidden="false" customHeight="true" outlineLevel="0" collapsed="false">
      <c r="A4" s="2" t="n">
        <v>4</v>
      </c>
      <c r="B4" s="2" t="s">
        <v>23</v>
      </c>
      <c r="C4" s="2" t="s">
        <v>11</v>
      </c>
      <c r="D4" s="3" t="n">
        <v>46124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16</v>
      </c>
      <c r="J4" s="2"/>
    </row>
    <row r="5" customFormat="false" ht="37.5" hidden="false" customHeight="true" outlineLevel="0" collapsed="false">
      <c r="A5" s="2" t="n">
        <v>5</v>
      </c>
      <c r="B5" s="2" t="s">
        <v>28</v>
      </c>
      <c r="C5" s="2" t="s">
        <v>18</v>
      </c>
      <c r="D5" s="3" t="n">
        <v>46126</v>
      </c>
      <c r="E5" s="2" t="s">
        <v>29</v>
      </c>
      <c r="F5" s="2" t="s">
        <v>13</v>
      </c>
      <c r="G5" s="2" t="s">
        <v>30</v>
      </c>
      <c r="H5" s="2" t="s">
        <v>15</v>
      </c>
      <c r="I5" s="2" t="s">
        <v>16</v>
      </c>
      <c r="J5" s="2"/>
    </row>
    <row r="6" customFormat="false" ht="37.5" hidden="false" customHeight="true" outlineLevel="0" collapsed="false">
      <c r="A6" s="2" t="n">
        <v>6</v>
      </c>
      <c r="B6" s="2" t="s">
        <v>31</v>
      </c>
      <c r="C6" s="2" t="s">
        <v>11</v>
      </c>
      <c r="D6" s="3" t="n">
        <v>46123</v>
      </c>
      <c r="E6" s="2" t="s">
        <v>32</v>
      </c>
      <c r="F6" s="2" t="s">
        <v>25</v>
      </c>
      <c r="G6" s="2" t="s">
        <v>33</v>
      </c>
      <c r="H6" s="2" t="s">
        <v>34</v>
      </c>
      <c r="I6" s="2" t="s">
        <v>16</v>
      </c>
      <c r="J6" s="2"/>
    </row>
    <row r="7" customFormat="false" ht="37.5" hidden="false" customHeight="true" outlineLevel="0" collapsed="false">
      <c r="A7" s="2" t="n">
        <v>7</v>
      </c>
      <c r="B7" s="2" t="s">
        <v>35</v>
      </c>
      <c r="C7" s="2" t="s">
        <v>18</v>
      </c>
      <c r="D7" s="3" t="n">
        <v>46126</v>
      </c>
      <c r="E7" s="2" t="s">
        <v>36</v>
      </c>
      <c r="F7" s="2" t="s">
        <v>13</v>
      </c>
      <c r="G7" s="2" t="s">
        <v>37</v>
      </c>
      <c r="H7" s="2" t="s">
        <v>15</v>
      </c>
      <c r="I7" s="2" t="s">
        <v>16</v>
      </c>
      <c r="J7" s="2"/>
    </row>
    <row r="8" customFormat="false" ht="37.5" hidden="false" customHeight="true" outlineLevel="0" collapsed="false">
      <c r="A8" s="2" t="n">
        <v>8</v>
      </c>
      <c r="B8" s="2" t="s">
        <v>38</v>
      </c>
      <c r="C8" s="2" t="s">
        <v>11</v>
      </c>
      <c r="D8" s="3" t="n">
        <v>46122</v>
      </c>
      <c r="E8" s="2" t="s">
        <v>39</v>
      </c>
      <c r="F8" s="2" t="s">
        <v>20</v>
      </c>
      <c r="G8" s="2" t="s">
        <v>40</v>
      </c>
      <c r="H8" s="2" t="s">
        <v>41</v>
      </c>
      <c r="I8" s="2" t="s">
        <v>16</v>
      </c>
      <c r="J8" s="2"/>
    </row>
    <row r="9" customFormat="false" ht="37.5" hidden="false" customHeight="true" outlineLevel="0" collapsed="false">
      <c r="A9" s="2" t="n">
        <v>9</v>
      </c>
      <c r="B9" s="2" t="s">
        <v>42</v>
      </c>
      <c r="C9" s="2" t="s">
        <v>18</v>
      </c>
      <c r="D9" s="3" t="n">
        <v>46125</v>
      </c>
      <c r="E9" s="2" t="s">
        <v>43</v>
      </c>
      <c r="F9" s="2" t="s">
        <v>25</v>
      </c>
      <c r="G9" s="2" t="s">
        <v>44</v>
      </c>
      <c r="H9" s="2" t="s">
        <v>27</v>
      </c>
      <c r="I9" s="2" t="s">
        <v>16</v>
      </c>
      <c r="J9" s="2"/>
    </row>
  </sheetData>
  <autoFilter ref="A1:J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AutomationBench 5126 source incidents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4"/>
    <col collapsed="false" customWidth="true" hidden="false" outlineLevel="0" max="4" min="3" style="0" width="28.99"/>
    <col collapsed="false" customWidth="true" hidden="false" outlineLevel="0" max="5" min="5" style="0" width="42"/>
    <col collapsed="false" customWidth="true" hidden="false" outlineLevel="0" max="6" min="6" style="0" width="27"/>
    <col collapsed="false" customWidth="true" hidden="false" outlineLevel="0" max="7" min="7" style="0" width="11.99"/>
    <col collapsed="false" customWidth="true" hidden="false" outlineLevel="0" max="8" min="8" style="0" width="110"/>
    <col collapsed="false" customWidth="true" hidden="false" outlineLevel="0" max="9" min="9" style="0" width="27.99"/>
    <col collapsed="false" customWidth="true" hidden="false" outlineLevel="0" max="10" min="10" style="0" width="24"/>
  </cols>
  <sheetData>
    <row r="1" customFormat="false" ht="30.75" hidden="false" customHeight="true" outlineLevel="0" collapsed="false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customFormat="false" ht="249.75" hidden="false" customHeight="true" outlineLevel="0" collapsed="false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</row>
  </sheetData>
  <autoFilter ref="A1:J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safety manual and runtime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4"/>
    <col collapsed="false" customWidth="true" hidden="false" outlineLevel="0" max="3" min="3" style="0" width="35"/>
    <col collapsed="false" customWidth="true" hidden="false" outlineLevel="0" max="4" min="4" style="0" width="75"/>
    <col collapsed="false" customWidth="true" hidden="false" outlineLevel="0" max="5" min="5" style="0" width="37.99"/>
  </cols>
  <sheetData>
    <row r="1" customFormat="false" ht="30.75" hidden="false" customHeight="true" outlineLevel="0" collapsed="false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customFormat="false" ht="15" hidden="false" customHeight="false" outlineLevel="0" collapsed="false">
      <c r="A2" s="2" t="s">
        <v>70</v>
      </c>
      <c r="B2" s="2" t="s">
        <v>71</v>
      </c>
      <c r="C2" s="2" t="s">
        <v>13</v>
      </c>
      <c r="D2" s="2" t="s">
        <v>72</v>
      </c>
      <c r="E2" s="2" t="s">
        <v>73</v>
      </c>
    </row>
    <row r="3" customFormat="false" ht="15" hidden="false" customHeight="false" outlineLevel="0" collapsed="false">
      <c r="A3" s="2" t="s">
        <v>74</v>
      </c>
      <c r="B3" s="2" t="s">
        <v>71</v>
      </c>
      <c r="C3" s="2" t="s">
        <v>20</v>
      </c>
      <c r="D3" s="2" t="s">
        <v>75</v>
      </c>
      <c r="E3" s="2" t="s">
        <v>73</v>
      </c>
    </row>
    <row r="4" customFormat="false" ht="15" hidden="false" customHeight="false" outlineLevel="0" collapsed="false">
      <c r="A4" s="2" t="s">
        <v>76</v>
      </c>
      <c r="B4" s="2" t="s">
        <v>71</v>
      </c>
      <c r="C4" s="2" t="s">
        <v>25</v>
      </c>
      <c r="D4" s="2" t="s">
        <v>77</v>
      </c>
      <c r="E4" s="2" t="s">
        <v>73</v>
      </c>
    </row>
    <row r="5" customFormat="false" ht="15" hidden="false" customHeight="false" outlineLevel="0" collapsed="false">
      <c r="A5" s="2" t="s">
        <v>78</v>
      </c>
      <c r="B5" s="2" t="s">
        <v>79</v>
      </c>
      <c r="C5" s="2" t="s">
        <v>13</v>
      </c>
      <c r="D5" s="2" t="s">
        <v>80</v>
      </c>
      <c r="E5" s="2" t="s">
        <v>81</v>
      </c>
    </row>
    <row r="6" customFormat="false" ht="15" hidden="false" customHeight="false" outlineLevel="0" collapsed="false">
      <c r="A6" s="2" t="s">
        <v>82</v>
      </c>
      <c r="B6" s="2" t="s">
        <v>79</v>
      </c>
      <c r="C6" s="2" t="s">
        <v>20</v>
      </c>
      <c r="D6" s="2" t="s">
        <v>83</v>
      </c>
      <c r="E6" s="2" t="s">
        <v>81</v>
      </c>
    </row>
    <row r="7" customFormat="false" ht="15" hidden="false" customHeight="false" outlineLevel="0" collapsed="false">
      <c r="A7" s="2" t="s">
        <v>84</v>
      </c>
      <c r="B7" s="2" t="s">
        <v>79</v>
      </c>
      <c r="C7" s="2" t="s">
        <v>25</v>
      </c>
      <c r="D7" s="2" t="s">
        <v>85</v>
      </c>
      <c r="E7" s="2" t="s">
        <v>81</v>
      </c>
    </row>
    <row r="8" customFormat="false" ht="15" hidden="false" customHeight="false" outlineLevel="0" collapsed="false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</row>
    <row r="9" customFormat="false" ht="15" hidden="false" customHeight="false" outlineLevel="0" collapsed="false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</row>
    <row r="10" customFormat="false" ht="15" hidden="false" customHeight="false" outlineLevel="0" collapsed="false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</row>
    <row r="11" customFormat="false" ht="15" hidden="false" customHeight="false" outlineLevel="0" collapsed="false">
      <c r="A11" s="2" t="s">
        <v>101</v>
      </c>
      <c r="B11" s="2" t="s">
        <v>102</v>
      </c>
      <c r="C11" s="2" t="s">
        <v>103</v>
      </c>
      <c r="D11" s="2" t="s">
        <v>104</v>
      </c>
      <c r="E11" s="2" t="s">
        <v>105</v>
      </c>
    </row>
  </sheetData>
  <autoFilter ref="A1:E11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&amp;CTen clauses reconstructed from the frozen manual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9.99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50"/>
  </cols>
  <sheetData>
    <row r="1" customFormat="false" ht="30.75" hidden="false" customHeight="true" outlineLevel="0" collapsed="false">
      <c r="A1" s="1" t="s">
        <v>106</v>
      </c>
      <c r="B1" s="1" t="s">
        <v>107</v>
      </c>
      <c r="C1" s="1" t="s">
        <v>108</v>
      </c>
      <c r="D1" s="1" t="s">
        <v>109</v>
      </c>
      <c r="E1" s="1" t="s">
        <v>69</v>
      </c>
    </row>
    <row r="2" customFormat="false" ht="15" hidden="false" customHeight="false" outlineLevel="0" collapsed="false">
      <c r="A2" s="2" t="s">
        <v>110</v>
      </c>
      <c r="B2" s="2" t="s">
        <v>111</v>
      </c>
      <c r="C2" s="2" t="s">
        <v>10</v>
      </c>
      <c r="D2" s="2" t="s">
        <v>112</v>
      </c>
      <c r="E2" s="2" t="s">
        <v>113</v>
      </c>
    </row>
    <row r="3" customFormat="false" ht="15" hidden="false" customHeight="false" outlineLevel="0" collapsed="false">
      <c r="A3" s="2" t="s">
        <v>114</v>
      </c>
      <c r="B3" s="2" t="s">
        <v>111</v>
      </c>
      <c r="C3" s="2" t="s">
        <v>17</v>
      </c>
      <c r="D3" s="2" t="s">
        <v>115</v>
      </c>
      <c r="E3" s="2" t="s">
        <v>116</v>
      </c>
    </row>
    <row r="4" customFormat="false" ht="15" hidden="false" customHeight="false" outlineLevel="0" collapsed="false">
      <c r="A4" s="2" t="s">
        <v>117</v>
      </c>
      <c r="B4" s="2" t="s">
        <v>111</v>
      </c>
      <c r="C4" s="2" t="s">
        <v>23</v>
      </c>
      <c r="D4" s="2" t="s">
        <v>118</v>
      </c>
      <c r="E4" s="2" t="s">
        <v>119</v>
      </c>
    </row>
    <row r="5" customFormat="false" ht="15" hidden="false" customHeight="false" outlineLevel="0" collapsed="false">
      <c r="A5" s="2" t="s">
        <v>120</v>
      </c>
      <c r="B5" s="2" t="s">
        <v>111</v>
      </c>
      <c r="C5" s="2" t="s">
        <v>28</v>
      </c>
      <c r="D5" s="2" t="s">
        <v>121</v>
      </c>
      <c r="E5" s="2" t="s">
        <v>122</v>
      </c>
    </row>
    <row r="6" customFormat="false" ht="15" hidden="false" customHeight="false" outlineLevel="0" collapsed="false">
      <c r="A6" s="2" t="s">
        <v>123</v>
      </c>
      <c r="B6" s="2" t="s">
        <v>111</v>
      </c>
      <c r="C6" s="2" t="s">
        <v>31</v>
      </c>
      <c r="D6" s="2" t="s">
        <v>124</v>
      </c>
      <c r="E6" s="2" t="s">
        <v>125</v>
      </c>
    </row>
    <row r="7" customFormat="false" ht="15" hidden="false" customHeight="false" outlineLevel="0" collapsed="false">
      <c r="A7" s="2" t="s">
        <v>126</v>
      </c>
      <c r="B7" s="2" t="s">
        <v>111</v>
      </c>
      <c r="C7" s="2" t="s">
        <v>35</v>
      </c>
      <c r="D7" s="2" t="s">
        <v>127</v>
      </c>
      <c r="E7" s="2" t="s">
        <v>128</v>
      </c>
    </row>
    <row r="8" customFormat="false" ht="15" hidden="false" customHeight="false" outlineLevel="0" collapsed="false">
      <c r="A8" s="2" t="s">
        <v>129</v>
      </c>
      <c r="B8" s="2" t="s">
        <v>111</v>
      </c>
      <c r="C8" s="2" t="s">
        <v>38</v>
      </c>
      <c r="D8" s="2" t="s">
        <v>130</v>
      </c>
      <c r="E8" s="2" t="s">
        <v>131</v>
      </c>
    </row>
    <row r="9" customFormat="false" ht="15" hidden="false" customHeight="false" outlineLevel="0" collapsed="false">
      <c r="A9" s="2" t="s">
        <v>132</v>
      </c>
      <c r="B9" s="2" t="s">
        <v>111</v>
      </c>
      <c r="C9" s="2" t="s">
        <v>42</v>
      </c>
      <c r="D9" s="2" t="s">
        <v>133</v>
      </c>
      <c r="E9" s="2" t="s">
        <v>134</v>
      </c>
    </row>
    <row r="10" customFormat="false" ht="15" hidden="false" customHeight="false" outlineLevel="0" collapsed="false">
      <c r="A10" s="2" t="s">
        <v>135</v>
      </c>
      <c r="B10" s="2" t="s">
        <v>136</v>
      </c>
      <c r="C10" s="2" t="s">
        <v>137</v>
      </c>
      <c r="D10" s="2" t="s">
        <v>59</v>
      </c>
      <c r="E10" s="2" t="s">
        <v>138</v>
      </c>
    </row>
    <row r="11" customFormat="false" ht="15" hidden="false" customHeight="false" outlineLevel="0" collapsed="false">
      <c r="A11" s="2" t="s">
        <v>139</v>
      </c>
      <c r="B11" s="2" t="s">
        <v>140</v>
      </c>
      <c r="C11" s="2" t="s">
        <v>141</v>
      </c>
      <c r="D11" s="2" t="s">
        <v>63</v>
      </c>
      <c r="E11" s="2" t="s">
        <v>142</v>
      </c>
    </row>
    <row r="12" customFormat="false" ht="15" hidden="false" customHeight="false" outlineLevel="0" collapsed="false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147</v>
      </c>
    </row>
    <row r="13" customFormat="false" ht="15" hidden="false" customHeight="false" outlineLevel="0" collapsed="false">
      <c r="A13" s="2" t="s">
        <v>148</v>
      </c>
      <c r="B13" s="2" t="s">
        <v>149</v>
      </c>
      <c r="C13" s="2" t="s">
        <v>150</v>
      </c>
      <c r="D13" s="2" t="s">
        <v>151</v>
      </c>
      <c r="E13" s="2" t="s">
        <v>152</v>
      </c>
    </row>
    <row r="14" customFormat="false" ht="15" hidden="false" customHeight="false" outlineLevel="0" collapsed="false">
      <c r="A14" s="2" t="s">
        <v>153</v>
      </c>
      <c r="B14" s="2" t="s">
        <v>149</v>
      </c>
      <c r="C14" s="2" t="s">
        <v>154</v>
      </c>
      <c r="D14" s="2" t="s">
        <v>22</v>
      </c>
      <c r="E14" s="2" t="s">
        <v>152</v>
      </c>
    </row>
    <row r="15" customFormat="false" ht="15" hidden="false" customHeight="false" outlineLevel="0" collapsed="false">
      <c r="A15" s="2" t="s">
        <v>155</v>
      </c>
      <c r="B15" s="2" t="s">
        <v>149</v>
      </c>
      <c r="C15" s="2" t="s">
        <v>156</v>
      </c>
      <c r="D15" s="2" t="s">
        <v>151</v>
      </c>
      <c r="E15" s="2" t="s">
        <v>152</v>
      </c>
    </row>
    <row r="16" customFormat="false" ht="15" hidden="false" customHeight="false" outlineLevel="0" collapsed="false">
      <c r="A16" s="2" t="s">
        <v>157</v>
      </c>
      <c r="B16" s="2" t="s">
        <v>149</v>
      </c>
      <c r="C16" s="2" t="s">
        <v>158</v>
      </c>
      <c r="D16" s="2" t="s">
        <v>151</v>
      </c>
      <c r="E16" s="2" t="s">
        <v>159</v>
      </c>
    </row>
    <row r="17" customFormat="false" ht="15" hidden="false" customHeight="false" outlineLevel="0" collapsed="false">
      <c r="A17" s="2" t="s">
        <v>160</v>
      </c>
      <c r="B17" s="2" t="s">
        <v>149</v>
      </c>
      <c r="C17" s="2" t="s">
        <v>161</v>
      </c>
      <c r="D17" s="2" t="s">
        <v>162</v>
      </c>
      <c r="E17" s="2" t="s">
        <v>163</v>
      </c>
    </row>
    <row r="18" customFormat="false" ht="15" hidden="false" customHeight="false" outlineLevel="0" collapsed="false">
      <c r="A18" s="2" t="s">
        <v>164</v>
      </c>
      <c r="B18" s="2" t="s">
        <v>149</v>
      </c>
      <c r="C18" s="2" t="s">
        <v>165</v>
      </c>
      <c r="D18" s="2" t="s">
        <v>166</v>
      </c>
      <c r="E18" s="2" t="s">
        <v>167</v>
      </c>
    </row>
    <row r="19" customFormat="false" ht="15" hidden="false" customHeight="false" outlineLevel="0" collapsed="false">
      <c r="A19" s="2" t="s">
        <v>168</v>
      </c>
      <c r="B19" s="2" t="s">
        <v>149</v>
      </c>
      <c r="C19" s="2" t="s">
        <v>169</v>
      </c>
      <c r="D19" s="2" t="s">
        <v>166</v>
      </c>
      <c r="E19" s="2" t="s">
        <v>170</v>
      </c>
    </row>
    <row r="20" customFormat="false" ht="15" hidden="false" customHeight="false" outlineLevel="0" collapsed="false">
      <c r="A20" s="2" t="s">
        <v>171</v>
      </c>
      <c r="B20" s="2" t="s">
        <v>149</v>
      </c>
      <c r="C20" s="2" t="s">
        <v>172</v>
      </c>
      <c r="D20" s="2" t="s">
        <v>41</v>
      </c>
      <c r="E20" s="2" t="s">
        <v>173</v>
      </c>
    </row>
    <row r="21" customFormat="false" ht="15" hidden="false" customHeight="false" outlineLevel="0" collapsed="false">
      <c r="A21" s="2" t="s">
        <v>174</v>
      </c>
      <c r="B21" s="2" t="s">
        <v>149</v>
      </c>
      <c r="C21" s="2" t="s">
        <v>175</v>
      </c>
      <c r="D21" s="2" t="s">
        <v>15</v>
      </c>
      <c r="E21" s="2" t="s">
        <v>176</v>
      </c>
    </row>
    <row r="22" customFormat="false" ht="15" hidden="false" customHeight="false" outlineLevel="0" collapsed="false">
      <c r="A22" s="2" t="s">
        <v>177</v>
      </c>
      <c r="B22" s="2" t="s">
        <v>149</v>
      </c>
      <c r="C22" s="2" t="s">
        <v>178</v>
      </c>
      <c r="D22" s="2" t="s">
        <v>15</v>
      </c>
      <c r="E22" s="2" t="s">
        <v>176</v>
      </c>
    </row>
    <row r="23" customFormat="false" ht="15" hidden="false" customHeight="false" outlineLevel="0" collapsed="false">
      <c r="A23" s="2" t="s">
        <v>179</v>
      </c>
      <c r="B23" s="2" t="s">
        <v>149</v>
      </c>
      <c r="C23" s="2" t="s">
        <v>180</v>
      </c>
      <c r="D23" s="2" t="s">
        <v>15</v>
      </c>
      <c r="E23" s="2" t="s">
        <v>176</v>
      </c>
    </row>
  </sheetData>
  <autoFilter ref="A1:E2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&amp;CTwenty-two source and control evidence rows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9" min="1" style="0" width="11.99"/>
    <col collapsed="false" customWidth="true" hidden="false" outlineLevel="0" max="30" min="30" style="0" width="36"/>
    <col collapsed="false" customWidth="true" hidden="false" outlineLevel="0" max="31" min="31" style="0" width="53.99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181</v>
      </c>
      <c r="J1" s="1" t="s">
        <v>53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193</v>
      </c>
      <c r="W1" s="1" t="s">
        <v>194</v>
      </c>
      <c r="X1" s="1" t="s">
        <v>195</v>
      </c>
      <c r="Y1" s="1" t="s">
        <v>196</v>
      </c>
      <c r="Z1" s="1" t="s">
        <v>197</v>
      </c>
      <c r="AA1" s="1" t="s">
        <v>198</v>
      </c>
      <c r="AB1" s="1" t="s">
        <v>199</v>
      </c>
      <c r="AC1" s="1" t="s">
        <v>200</v>
      </c>
      <c r="AD1" s="1" t="s">
        <v>201</v>
      </c>
      <c r="AE1" s="1" t="s">
        <v>69</v>
      </c>
    </row>
    <row r="2" customFormat="false" ht="49.5" hidden="false" customHeight="true" outlineLevel="0" collapsed="false">
      <c r="A2" s="4" t="n">
        <f aca="false">INDEX(Source_Incidents!$A$2:$A$9,ROW()-1)</f>
        <v>2</v>
      </c>
      <c r="B2" s="4" t="str">
        <f aca="false">INDEX(Source_Incidents!$B$2:$B$9,ROW()-1)</f>
        <v>Ana Petrova</v>
      </c>
      <c r="C2" s="4" t="str">
        <f aca="false">INDEX(Source_Incidents!$C$2:$C$9,ROW()-1)</f>
        <v>mgr-a@company.example.com</v>
      </c>
      <c r="D2" s="3" t="n">
        <f aca="false">INDEX(Source_Incidents!$D$2:$D$9,ROW()-1)</f>
        <v>46126</v>
      </c>
      <c r="E2" s="4" t="str">
        <f aca="false">INDEX(Source_Incidents!$E$2:$E$9,ROW()-1)</f>
        <v>Paper cut from filing cabinet</v>
      </c>
      <c r="F2" s="4" t="str">
        <f aca="false">INDEX(Source_Incidents!$F$2:$F$9,ROW()-1)</f>
        <v>Minor</v>
      </c>
      <c r="G2" s="4" t="str">
        <f aca="false">INDEX(Source_Incidents!$G$2:$G$9,ROW()-1)</f>
        <v>First aid - bandage applied</v>
      </c>
      <c r="H2" s="4" t="str">
        <f aca="false">INDEX(Source_Incidents!$H$2:$H$9,ROW()-1)</f>
        <v>0</v>
      </c>
      <c r="I2" s="4" t="str">
        <f aca="false">INDEX(Source_Incidents!$I$2:$I$9,ROW()-1)</f>
        <v>Pending</v>
      </c>
      <c r="J2" s="4" t="str">
        <f aca="false">Evidence_Register!D11</f>
        <v>2026-04-15T09:00:00Z</v>
      </c>
      <c r="K2" s="4" t="str">
        <f aca="false">IF(F2="Minor","YES","NO")</f>
        <v>YES</v>
      </c>
      <c r="L2" s="4" t="str">
        <f aca="false">IF(F2="Moderate","YES","NO")</f>
        <v>NO</v>
      </c>
      <c r="M2" s="4" t="str">
        <f aca="false">IF(F2="Serious","YES","NO")</f>
        <v>NO</v>
      </c>
      <c r="N2" s="4" t="str">
        <f aca="false">IF(ISNUMBER(SEARCH("hospitalization",G2)),"YES","NO")</f>
        <v>NO</v>
      </c>
      <c r="O2" s="4" t="str">
        <f aca="false">IF(ISNUMBER(SEARCH("amputation",E2&amp;" "&amp;G2)),"YES","NO")</f>
        <v>NO</v>
      </c>
      <c r="P2" s="4" t="str">
        <f aca="false">IF(ISNUMBER(SEARCH("potential loss of vision",G2)),"POTENTIAL_VISION_LOSS","NO")</f>
        <v>NO</v>
      </c>
      <c r="Q2" s="4" t="str">
        <f aca="false">IF(OR(N2="YES",O2="YES"),"YES","NO")</f>
        <v>NO</v>
      </c>
      <c r="R2" s="4" t="str">
        <f aca="false">IF(K2="YES","Documented",IF(L2="YES","Under Review",IF(M2="YES","Investigation","INVALID")))</f>
        <v>Documented</v>
      </c>
      <c r="S2" s="4" t="str">
        <f aca="false">IF(OR(L2="YES",M2="YES"),"YES","NO")</f>
        <v>NO</v>
      </c>
      <c r="T2" s="4" t="str">
        <f aca="false">IF(Q2="YES","YES","NO")</f>
        <v>NO</v>
      </c>
      <c r="U2" s="4" t="str">
        <f aca="false">IF(K2="YES",C2,IF(L2="YES","safety-officer@company.example.com; "&amp;C2,IF(Q2="YES","legal@company.example.com; safety-officer@company.example.com; "&amp;C2&amp;"; vp-ops@company.example.com","safety-officer@company.example.com; "&amp;C2&amp;"; vp-ops@company.example.com")))</f>
        <v>mgr-a@company.example.com</v>
      </c>
      <c r="V2" s="4" t="str">
        <f aca="false">IF(K2="YES","Safety Incident Documentation - "&amp;B2&amp;" - "&amp;TEXT(D2,"yyyy-mm-dd"),IF(L2="YES","Safety Incident Under Review - "&amp;B2&amp;" - "&amp;TEXT(D2,"yyyy-mm-dd"),IF(Q2="YES","URGENT OSHA Review - "&amp;B2&amp;" - "&amp;TEXT(D2,"yyyy-mm-dd"),"Serious Safety Incident - "&amp;B2&amp;" - "&amp;TEXT(D2,"yyyy-mm-dd"))))</f>
        <v>Safety Incident Documentation - Ana Petrova - 2026-04-14</v>
      </c>
      <c r="W2" s="4" t="str">
        <f aca="false">"AGGREGATE_ONLY"</f>
        <v>AGGREGATE_ONLY</v>
      </c>
      <c r="X2" s="4" t="str">
        <f aca="false">"YES"</f>
        <v>YES</v>
      </c>
      <c r="Y2" s="4" t="str">
        <f aca="false">"DRAFT_NOT_SENT"</f>
        <v>DRAFT_NOT_SENT</v>
      </c>
      <c r="Z2" s="4" t="str">
        <f aca="false">"NO"</f>
        <v>NO</v>
      </c>
      <c r="AA2" s="4" t="str">
        <f aca="false">"NO"</f>
        <v>NO</v>
      </c>
      <c r="AB2" s="4" t="str">
        <f aca="false">"NO"</f>
        <v>NO</v>
      </c>
      <c r="AC2" s="4" t="n">
        <f aca="false">5</f>
        <v>5</v>
      </c>
      <c r="AD2" s="4" t="str">
        <f aca="false">IF(K2="YES","P004,P010",IF(L2="YES","P005,P007,P010",IF(Q2="YES","P006,P007,P008,P010","P006,P007,P010")))</f>
        <v>P004,P010</v>
      </c>
      <c r="AE2" s="4" t="str">
        <f aca="false">"Safety_Incident_Tracker.xlsx:Recent Incidents row "&amp;A2&amp;" | Safety_Manual.mbox:msg_safety_manual_5126 | Workflow_Context.json:meta.current_time"</f>
        <v>Safety_Incident_Tracker.xlsx:Recent Incidents row 2 | Safety_Manual.mbox:msg_safety_manual_5126 | Workflow_Context.json:meta.current_time</v>
      </c>
    </row>
    <row r="3" customFormat="false" ht="49.5" hidden="false" customHeight="true" outlineLevel="0" collapsed="false">
      <c r="A3" s="4" t="n">
        <f aca="false">INDEX(Source_Incidents!$A$2:$A$9,ROW()-1)</f>
        <v>3</v>
      </c>
      <c r="B3" s="4" t="str">
        <f aca="false">INDEX(Source_Incidents!$B$2:$B$9,ROW()-1)</f>
        <v>Ben Torres</v>
      </c>
      <c r="C3" s="4" t="str">
        <f aca="false">INDEX(Source_Incidents!$C$2:$C$9,ROW()-1)</f>
        <v>mgr-b@company.example.com</v>
      </c>
      <c r="D3" s="3" t="n">
        <f aca="false">INDEX(Source_Incidents!$D$2:$D$9,ROW()-1)</f>
        <v>46125</v>
      </c>
      <c r="E3" s="4" t="str">
        <f aca="false">INDEX(Source_Incidents!$E$2:$E$9,ROW()-1)</f>
        <v>Slipped on wet floor, sprained ankle</v>
      </c>
      <c r="F3" s="4" t="str">
        <f aca="false">INDEX(Source_Incidents!$F$2:$F$9,ROW()-1)</f>
        <v>Moderate</v>
      </c>
      <c r="G3" s="4" t="str">
        <f aca="false">INDEX(Source_Incidents!$G$2:$G$9,ROW()-1)</f>
        <v>Urgent care visit, ankle brace</v>
      </c>
      <c r="H3" s="4" t="str">
        <f aca="false">INDEX(Source_Incidents!$H$2:$H$9,ROW()-1)</f>
        <v>2</v>
      </c>
      <c r="I3" s="4" t="str">
        <f aca="false">INDEX(Source_Incidents!$I$2:$I$9,ROW()-1)</f>
        <v>Pending</v>
      </c>
      <c r="J3" s="4" t="str">
        <f aca="false">Evidence_Register!D11</f>
        <v>2026-04-15T09:00:00Z</v>
      </c>
      <c r="K3" s="4" t="str">
        <f aca="false">IF(F3="Minor","YES","NO")</f>
        <v>NO</v>
      </c>
      <c r="L3" s="4" t="str">
        <f aca="false">IF(F3="Moderate","YES","NO")</f>
        <v>YES</v>
      </c>
      <c r="M3" s="4" t="str">
        <f aca="false">IF(F3="Serious","YES","NO")</f>
        <v>NO</v>
      </c>
      <c r="N3" s="4" t="str">
        <f aca="false">IF(ISNUMBER(SEARCH("hospitalization",G3)),"YES","NO")</f>
        <v>NO</v>
      </c>
      <c r="O3" s="4" t="str">
        <f aca="false">IF(ISNUMBER(SEARCH("amputation",E3&amp;" "&amp;G3)),"YES","NO")</f>
        <v>NO</v>
      </c>
      <c r="P3" s="4" t="str">
        <f aca="false">IF(ISNUMBER(SEARCH("potential loss of vision",G3)),"POTENTIAL_VISION_LOSS","NO")</f>
        <v>NO</v>
      </c>
      <c r="Q3" s="4" t="str">
        <f aca="false">IF(OR(N3="YES",O3="YES"),"YES","NO")</f>
        <v>NO</v>
      </c>
      <c r="R3" s="4" t="str">
        <f aca="false">IF(K3="YES","Documented",IF(L3="YES","Under Review",IF(M3="YES","Investigation","INVALID")))</f>
        <v>Under Review</v>
      </c>
      <c r="S3" s="4" t="str">
        <f aca="false">IF(OR(L3="YES",M3="YES"),"YES","NO")</f>
        <v>YES</v>
      </c>
      <c r="T3" s="4" t="str">
        <f aca="false">IF(Q3="YES","YES","NO")</f>
        <v>NO</v>
      </c>
      <c r="U3" s="4" t="str">
        <f aca="false">IF(K3="YES",C3,IF(L3="YES","safety-officer@company.example.com; "&amp;C3,IF(Q3="YES","legal@company.example.com; safety-officer@company.example.com; "&amp;C3&amp;"; vp-ops@company.example.com","safety-officer@company.example.com; "&amp;C3&amp;"; vp-ops@company.example.com")))</f>
        <v>safety-officer@company.example.com; mgr-b@company.example.com</v>
      </c>
      <c r="V3" s="4" t="str">
        <f aca="false">IF(K3="YES","Safety Incident Documentation - "&amp;B3&amp;" - "&amp;TEXT(D3,"yyyy-mm-dd"),IF(L3="YES","Safety Incident Under Review - "&amp;B3&amp;" - "&amp;TEXT(D3,"yyyy-mm-dd"),IF(Q3="YES","URGENT OSHA Review - "&amp;B3&amp;" - "&amp;TEXT(D3,"yyyy-mm-dd"),"Serious Safety Incident - "&amp;B3&amp;" - "&amp;TEXT(D3,"yyyy-mm-dd"))))</f>
        <v>Safety Incident Under Review - Ben Torres - 2026-04-13</v>
      </c>
      <c r="W3" s="4" t="str">
        <f aca="false">"AGGREGATE_ONLY"</f>
        <v>AGGREGATE_ONLY</v>
      </c>
      <c r="X3" s="4" t="str">
        <f aca="false">"YES"</f>
        <v>YES</v>
      </c>
      <c r="Y3" s="4" t="str">
        <f aca="false">"DRAFT_NOT_SENT"</f>
        <v>DRAFT_NOT_SENT</v>
      </c>
      <c r="Z3" s="4" t="str">
        <f aca="false">"NO"</f>
        <v>NO</v>
      </c>
      <c r="AA3" s="4" t="str">
        <f aca="false">"NO"</f>
        <v>NO</v>
      </c>
      <c r="AB3" s="4" t="str">
        <f aca="false">"NO"</f>
        <v>NO</v>
      </c>
      <c r="AC3" s="4" t="n">
        <f aca="false">5</f>
        <v>5</v>
      </c>
      <c r="AD3" s="4" t="str">
        <f aca="false">IF(K3="YES","P004,P010",IF(L3="YES","P005,P007,P010",IF(Q3="YES","P006,P007,P008,P010","P006,P007,P010")))</f>
        <v>P005,P007,P010</v>
      </c>
      <c r="AE3" s="4" t="str">
        <f aca="false">"Safety_Incident_Tracker.xlsx:Recent Incidents row "&amp;A3&amp;" | Safety_Manual.mbox:msg_safety_manual_5126 | Workflow_Context.json:meta.current_time"</f>
        <v>Safety_Incident_Tracker.xlsx:Recent Incidents row 3 | Safety_Manual.mbox:msg_safety_manual_5126 | Workflow_Context.json:meta.current_time</v>
      </c>
    </row>
    <row r="4" customFormat="false" ht="49.5" hidden="false" customHeight="true" outlineLevel="0" collapsed="false">
      <c r="A4" s="4" t="n">
        <f aca="false">INDEX(Source_Incidents!$A$2:$A$9,ROW()-1)</f>
        <v>4</v>
      </c>
      <c r="B4" s="4" t="str">
        <f aca="false">INDEX(Source_Incidents!$B$2:$B$9,ROW()-1)</f>
        <v>Carlos Mendoza</v>
      </c>
      <c r="C4" s="4" t="str">
        <f aca="false">INDEX(Source_Incidents!$C$2:$C$9,ROW()-1)</f>
        <v>mgr-a@company.example.com</v>
      </c>
      <c r="D4" s="3" t="n">
        <f aca="false">INDEX(Source_Incidents!$D$2:$D$9,ROW()-1)</f>
        <v>46124</v>
      </c>
      <c r="E4" s="4" t="str">
        <f aca="false">INDEX(Source_Incidents!$E$2:$E$9,ROW()-1)</f>
        <v>Fell from loading dock, broken leg</v>
      </c>
      <c r="F4" s="4" t="str">
        <f aca="false">INDEX(Source_Incidents!$F$2:$F$9,ROW()-1)</f>
        <v>Serious</v>
      </c>
      <c r="G4" s="4" t="str">
        <f aca="false">INDEX(Source_Incidents!$G$2:$G$9,ROW()-1)</f>
        <v>Hospitalization - emergency surgery</v>
      </c>
      <c r="H4" s="4" t="str">
        <f aca="false">INDEX(Source_Incidents!$H$2:$H$9,ROW()-1)</f>
        <v>TBD</v>
      </c>
      <c r="I4" s="4" t="str">
        <f aca="false">INDEX(Source_Incidents!$I$2:$I$9,ROW()-1)</f>
        <v>Pending</v>
      </c>
      <c r="J4" s="4" t="str">
        <f aca="false">Evidence_Register!D11</f>
        <v>2026-04-15T09:00:00Z</v>
      </c>
      <c r="K4" s="4" t="str">
        <f aca="false">IF(F4="Minor","YES","NO")</f>
        <v>NO</v>
      </c>
      <c r="L4" s="4" t="str">
        <f aca="false">IF(F4="Moderate","YES","NO")</f>
        <v>NO</v>
      </c>
      <c r="M4" s="4" t="str">
        <f aca="false">IF(F4="Serious","YES","NO")</f>
        <v>YES</v>
      </c>
      <c r="N4" s="4" t="str">
        <f aca="false">IF(ISNUMBER(SEARCH("hospitalization",G4)),"YES","NO")</f>
        <v>YES</v>
      </c>
      <c r="O4" s="4" t="str">
        <f aca="false">IF(ISNUMBER(SEARCH("amputation",E4&amp;" "&amp;G4)),"YES","NO")</f>
        <v>NO</v>
      </c>
      <c r="P4" s="4" t="str">
        <f aca="false">IF(ISNUMBER(SEARCH("potential loss of vision",G4)),"POTENTIAL_VISION_LOSS","NO")</f>
        <v>NO</v>
      </c>
      <c r="Q4" s="4" t="str">
        <f aca="false">IF(OR(N4="YES",O4="YES"),"YES","NO")</f>
        <v>YES</v>
      </c>
      <c r="R4" s="4" t="str">
        <f aca="false">IF(K4="YES","Documented",IF(L4="YES","Under Review",IF(M4="YES","Investigation","INVALID")))</f>
        <v>Investigation</v>
      </c>
      <c r="S4" s="4" t="str">
        <f aca="false">IF(OR(L4="YES",M4="YES"),"YES","NO")</f>
        <v>YES</v>
      </c>
      <c r="T4" s="4" t="str">
        <f aca="false">IF(Q4="YES","YES","NO")</f>
        <v>YES</v>
      </c>
      <c r="U4" s="4" t="str">
        <f aca="false">IF(K4="YES",C4,IF(L4="YES","safety-officer@company.example.com; "&amp;C4,IF(Q4="YES","legal@company.example.com; safety-officer@company.example.com; "&amp;C4&amp;"; vp-ops@company.example.com","safety-officer@company.example.com; "&amp;C4&amp;"; vp-ops@company.example.com")))</f>
        <v>legal@company.example.com; safety-officer@company.example.com; mgr-a@company.example.com; vp-ops@company.example.com</v>
      </c>
      <c r="V4" s="4" t="str">
        <f aca="false">IF(K4="YES","Safety Incident Documentation - "&amp;B4&amp;" - "&amp;TEXT(D4,"yyyy-mm-dd"),IF(L4="YES","Safety Incident Under Review - "&amp;B4&amp;" - "&amp;TEXT(D4,"yyyy-mm-dd"),IF(Q4="YES","URGENT OSHA Review - "&amp;B4&amp;" - "&amp;TEXT(D4,"yyyy-mm-dd"),"Serious Safety Incident - "&amp;B4&amp;" - "&amp;TEXT(D4,"yyyy-mm-dd"))))</f>
        <v>URGENT OSHA Review - Carlos Mendoza - 2026-04-12</v>
      </c>
      <c r="W4" s="4" t="str">
        <f aca="false">"AGGREGATE_ONLY"</f>
        <v>AGGREGATE_ONLY</v>
      </c>
      <c r="X4" s="4" t="str">
        <f aca="false">"YES"</f>
        <v>YES</v>
      </c>
      <c r="Y4" s="4" t="str">
        <f aca="false">"DRAFT_NOT_SENT"</f>
        <v>DRAFT_NOT_SENT</v>
      </c>
      <c r="Z4" s="4" t="str">
        <f aca="false">"NO"</f>
        <v>NO</v>
      </c>
      <c r="AA4" s="4" t="str">
        <f aca="false">"NO"</f>
        <v>NO</v>
      </c>
      <c r="AB4" s="4" t="str">
        <f aca="false">"NO"</f>
        <v>NO</v>
      </c>
      <c r="AC4" s="4" t="n">
        <f aca="false">5</f>
        <v>5</v>
      </c>
      <c r="AD4" s="4" t="str">
        <f aca="false">IF(K4="YES","P004,P010",IF(L4="YES","P005,P007,P010",IF(Q4="YES","P006,P007,P008,P010","P006,P007,P010")))</f>
        <v>P006,P007,P008,P010</v>
      </c>
      <c r="AE4" s="4" t="str">
        <f aca="false">"Safety_Incident_Tracker.xlsx:Recent Incidents row "&amp;A4&amp;" | Safety_Manual.mbox:msg_safety_manual_5126 | Workflow_Context.json:meta.current_time"</f>
        <v>Safety_Incident_Tracker.xlsx:Recent Incidents row 4 | Safety_Manual.mbox:msg_safety_manual_5126 | Workflow_Context.json:meta.current_time</v>
      </c>
    </row>
    <row r="5" customFormat="false" ht="49.5" hidden="false" customHeight="true" outlineLevel="0" collapsed="false">
      <c r="A5" s="4" t="n">
        <f aca="false">INDEX(Source_Incidents!$A$2:$A$9,ROW()-1)</f>
        <v>5</v>
      </c>
      <c r="B5" s="4" t="str">
        <f aca="false">INDEX(Source_Incidents!$B$2:$B$9,ROW()-1)</f>
        <v>Diana Osei</v>
      </c>
      <c r="C5" s="4" t="str">
        <f aca="false">INDEX(Source_Incidents!$C$2:$C$9,ROW()-1)</f>
        <v>mgr-b@company.example.com</v>
      </c>
      <c r="D5" s="3" t="n">
        <f aca="false">INDEX(Source_Incidents!$D$2:$D$9,ROW()-1)</f>
        <v>46126</v>
      </c>
      <c r="E5" s="4" t="str">
        <f aca="false">INDEX(Source_Incidents!$E$2:$E$9,ROW()-1)</f>
        <v>Ergonomic discomfort - wrist pain</v>
      </c>
      <c r="F5" s="4" t="str">
        <f aca="false">INDEX(Source_Incidents!$F$2:$F$9,ROW()-1)</f>
        <v>Minor</v>
      </c>
      <c r="G5" s="4" t="str">
        <f aca="false">INDEX(Source_Incidents!$G$2:$G$9,ROW()-1)</f>
        <v>Ice pack, ergonomic assessment scheduled</v>
      </c>
      <c r="H5" s="4" t="str">
        <f aca="false">INDEX(Source_Incidents!$H$2:$H$9,ROW()-1)</f>
        <v>0</v>
      </c>
      <c r="I5" s="4" t="str">
        <f aca="false">INDEX(Source_Incidents!$I$2:$I$9,ROW()-1)</f>
        <v>Pending</v>
      </c>
      <c r="J5" s="4" t="str">
        <f aca="false">Evidence_Register!D11</f>
        <v>2026-04-15T09:00:00Z</v>
      </c>
      <c r="K5" s="4" t="str">
        <f aca="false">IF(F5="Minor","YES","NO")</f>
        <v>YES</v>
      </c>
      <c r="L5" s="4" t="str">
        <f aca="false">IF(F5="Moderate","YES","NO")</f>
        <v>NO</v>
      </c>
      <c r="M5" s="4" t="str">
        <f aca="false">IF(F5="Serious","YES","NO")</f>
        <v>NO</v>
      </c>
      <c r="N5" s="4" t="str">
        <f aca="false">IF(ISNUMBER(SEARCH("hospitalization",G5)),"YES","NO")</f>
        <v>NO</v>
      </c>
      <c r="O5" s="4" t="str">
        <f aca="false">IF(ISNUMBER(SEARCH("amputation",E5&amp;" "&amp;G5)),"YES","NO")</f>
        <v>NO</v>
      </c>
      <c r="P5" s="4" t="str">
        <f aca="false">IF(ISNUMBER(SEARCH("potential loss of vision",G5)),"POTENTIAL_VISION_LOSS","NO")</f>
        <v>NO</v>
      </c>
      <c r="Q5" s="4" t="str">
        <f aca="false">IF(OR(N5="YES",O5="YES"),"YES","NO")</f>
        <v>NO</v>
      </c>
      <c r="R5" s="4" t="str">
        <f aca="false">IF(K5="YES","Documented",IF(L5="YES","Under Review",IF(M5="YES","Investigation","INVALID")))</f>
        <v>Documented</v>
      </c>
      <c r="S5" s="4" t="str">
        <f aca="false">IF(OR(L5="YES",M5="YES"),"YES","NO")</f>
        <v>NO</v>
      </c>
      <c r="T5" s="4" t="str">
        <f aca="false">IF(Q5="YES","YES","NO")</f>
        <v>NO</v>
      </c>
      <c r="U5" s="4" t="str">
        <f aca="false">IF(K5="YES",C5,IF(L5="YES","safety-officer@company.example.com; "&amp;C5,IF(Q5="YES","legal@company.example.com; safety-officer@company.example.com; "&amp;C5&amp;"; vp-ops@company.example.com","safety-officer@company.example.com; "&amp;C5&amp;"; vp-ops@company.example.com")))</f>
        <v>mgr-b@company.example.com</v>
      </c>
      <c r="V5" s="4" t="str">
        <f aca="false">IF(K5="YES","Safety Incident Documentation - "&amp;B5&amp;" - "&amp;TEXT(D5,"yyyy-mm-dd"),IF(L5="YES","Safety Incident Under Review - "&amp;B5&amp;" - "&amp;TEXT(D5,"yyyy-mm-dd"),IF(Q5="YES","URGENT OSHA Review - "&amp;B5&amp;" - "&amp;TEXT(D5,"yyyy-mm-dd"),"Serious Safety Incident - "&amp;B5&amp;" - "&amp;TEXT(D5,"yyyy-mm-dd"))))</f>
        <v>Safety Incident Documentation - Diana Osei - 2026-04-14</v>
      </c>
      <c r="W5" s="4" t="str">
        <f aca="false">"AGGREGATE_ONLY"</f>
        <v>AGGREGATE_ONLY</v>
      </c>
      <c r="X5" s="4" t="str">
        <f aca="false">"YES"</f>
        <v>YES</v>
      </c>
      <c r="Y5" s="4" t="str">
        <f aca="false">"DRAFT_NOT_SENT"</f>
        <v>DRAFT_NOT_SENT</v>
      </c>
      <c r="Z5" s="4" t="str">
        <f aca="false">"NO"</f>
        <v>NO</v>
      </c>
      <c r="AA5" s="4" t="str">
        <f aca="false">"NO"</f>
        <v>NO</v>
      </c>
      <c r="AB5" s="4" t="str">
        <f aca="false">"NO"</f>
        <v>NO</v>
      </c>
      <c r="AC5" s="4" t="n">
        <f aca="false">5</f>
        <v>5</v>
      </c>
      <c r="AD5" s="4" t="str">
        <f aca="false">IF(K5="YES","P004,P010",IF(L5="YES","P005,P007,P010",IF(Q5="YES","P006,P007,P008,P010","P006,P007,P010")))</f>
        <v>P004,P010</v>
      </c>
      <c r="AE5" s="4" t="str">
        <f aca="false">"Safety_Incident_Tracker.xlsx:Recent Incidents row "&amp;A5&amp;" | Safety_Manual.mbox:msg_safety_manual_5126 | Workflow_Context.json:meta.current_time"</f>
        <v>Safety_Incident_Tracker.xlsx:Recent Incidents row 5 | Safety_Manual.mbox:msg_safety_manual_5126 | Workflow_Context.json:meta.current_time</v>
      </c>
    </row>
    <row r="6" customFormat="false" ht="49.5" hidden="false" customHeight="true" outlineLevel="0" collapsed="false">
      <c r="A6" s="4" t="n">
        <f aca="false">INDEX(Source_Incidents!$A$2:$A$9,ROW()-1)</f>
        <v>6</v>
      </c>
      <c r="B6" s="4" t="str">
        <f aca="false">INDEX(Source_Incidents!$B$2:$B$9,ROW()-1)</f>
        <v>Ethan Park</v>
      </c>
      <c r="C6" s="4" t="str">
        <f aca="false">INDEX(Source_Incidents!$C$2:$C$9,ROW()-1)</f>
        <v>mgr-a@company.example.com</v>
      </c>
      <c r="D6" s="3" t="n">
        <f aca="false">INDEX(Source_Incidents!$D$2:$D$9,ROW()-1)</f>
        <v>46123</v>
      </c>
      <c r="E6" s="4" t="str">
        <f aca="false">INDEX(Source_Incidents!$E$2:$E$9,ROW()-1)</f>
        <v>Chemical splash in lab - eye injury</v>
      </c>
      <c r="F6" s="4" t="str">
        <f aca="false">INDEX(Source_Incidents!$F$2:$F$9,ROW()-1)</f>
        <v>Serious</v>
      </c>
      <c r="G6" s="4" t="str">
        <f aca="false">INDEX(Source_Incidents!$G$2:$G$9,ROW()-1)</f>
        <v>Hospitalization - potential loss of vision</v>
      </c>
      <c r="H6" s="4" t="str">
        <f aca="false">INDEX(Source_Incidents!$H$2:$H$9,ROW()-1)</f>
        <v>5+</v>
      </c>
      <c r="I6" s="4" t="str">
        <f aca="false">INDEX(Source_Incidents!$I$2:$I$9,ROW()-1)</f>
        <v>Pending</v>
      </c>
      <c r="J6" s="4" t="str">
        <f aca="false">Evidence_Register!D11</f>
        <v>2026-04-15T09:00:00Z</v>
      </c>
      <c r="K6" s="4" t="str">
        <f aca="false">IF(F6="Minor","YES","NO")</f>
        <v>NO</v>
      </c>
      <c r="L6" s="4" t="str">
        <f aca="false">IF(F6="Moderate","YES","NO")</f>
        <v>NO</v>
      </c>
      <c r="M6" s="4" t="str">
        <f aca="false">IF(F6="Serious","YES","NO")</f>
        <v>YES</v>
      </c>
      <c r="N6" s="4" t="str">
        <f aca="false">IF(ISNUMBER(SEARCH("hospitalization",G6)),"YES","NO")</f>
        <v>YES</v>
      </c>
      <c r="O6" s="4" t="str">
        <f aca="false">IF(ISNUMBER(SEARCH("amputation",E6&amp;" "&amp;G6)),"YES","NO")</f>
        <v>NO</v>
      </c>
      <c r="P6" s="4" t="str">
        <f aca="false">IF(ISNUMBER(SEARCH("potential loss of vision",G6)),"POTENTIAL_VISION_LOSS","NO")</f>
        <v>POTENTIAL_VISION_LOSS</v>
      </c>
      <c r="Q6" s="4" t="str">
        <f aca="false">IF(OR(N6="YES",O6="YES"),"YES","NO")</f>
        <v>YES</v>
      </c>
      <c r="R6" s="4" t="str">
        <f aca="false">IF(K6="YES","Documented",IF(L6="YES","Under Review",IF(M6="YES","Investigation","INVALID")))</f>
        <v>Investigation</v>
      </c>
      <c r="S6" s="4" t="str">
        <f aca="false">IF(OR(L6="YES",M6="YES"),"YES","NO")</f>
        <v>YES</v>
      </c>
      <c r="T6" s="4" t="str">
        <f aca="false">IF(Q6="YES","YES","NO")</f>
        <v>YES</v>
      </c>
      <c r="U6" s="4" t="str">
        <f aca="false">IF(K6="YES",C6,IF(L6="YES","safety-officer@company.example.com; "&amp;C6,IF(Q6="YES","legal@company.example.com; safety-officer@company.example.com; "&amp;C6&amp;"; vp-ops@company.example.com","safety-officer@company.example.com; "&amp;C6&amp;"; vp-ops@company.example.com")))</f>
        <v>legal@company.example.com; safety-officer@company.example.com; mgr-a@company.example.com; vp-ops@company.example.com</v>
      </c>
      <c r="V6" s="4" t="str">
        <f aca="false">IF(K6="YES","Safety Incident Documentation - "&amp;B6&amp;" - "&amp;TEXT(D6,"yyyy-mm-dd"),IF(L6="YES","Safety Incident Under Review - "&amp;B6&amp;" - "&amp;TEXT(D6,"yyyy-mm-dd"),IF(Q6="YES","URGENT OSHA Review - "&amp;B6&amp;" - "&amp;TEXT(D6,"yyyy-mm-dd"),"Serious Safety Incident - "&amp;B6&amp;" - "&amp;TEXT(D6,"yyyy-mm-dd"))))</f>
        <v>URGENT OSHA Review - Ethan Park - 2026-04-11</v>
      </c>
      <c r="W6" s="4" t="str">
        <f aca="false">"AGGREGATE_ONLY"</f>
        <v>AGGREGATE_ONLY</v>
      </c>
      <c r="X6" s="4" t="str">
        <f aca="false">"YES"</f>
        <v>YES</v>
      </c>
      <c r="Y6" s="4" t="str">
        <f aca="false">"DRAFT_NOT_SENT"</f>
        <v>DRAFT_NOT_SENT</v>
      </c>
      <c r="Z6" s="4" t="str">
        <f aca="false">"NO"</f>
        <v>NO</v>
      </c>
      <c r="AA6" s="4" t="str">
        <f aca="false">"NO"</f>
        <v>NO</v>
      </c>
      <c r="AB6" s="4" t="str">
        <f aca="false">"NO"</f>
        <v>NO</v>
      </c>
      <c r="AC6" s="4" t="n">
        <f aca="false">5</f>
        <v>5</v>
      </c>
      <c r="AD6" s="4" t="str">
        <f aca="false">IF(K6="YES","P004,P010",IF(L6="YES","P005,P007,P010",IF(Q6="YES","P006,P007,P008,P010","P006,P007,P010")))</f>
        <v>P006,P007,P008,P010</v>
      </c>
      <c r="AE6" s="4" t="str">
        <f aca="false">"Safety_Incident_Tracker.xlsx:Recent Incidents row "&amp;A6&amp;" | Safety_Manual.mbox:msg_safety_manual_5126 | Workflow_Context.json:meta.current_time"</f>
        <v>Safety_Incident_Tracker.xlsx:Recent Incidents row 6 | Safety_Manual.mbox:msg_safety_manual_5126 | Workflow_Context.json:meta.current_time</v>
      </c>
    </row>
    <row r="7" customFormat="false" ht="49.5" hidden="false" customHeight="true" outlineLevel="0" collapsed="false">
      <c r="A7" s="4" t="n">
        <f aca="false">INDEX(Source_Incidents!$A$2:$A$9,ROW()-1)</f>
        <v>7</v>
      </c>
      <c r="B7" s="4" t="str">
        <f aca="false">INDEX(Source_Incidents!$B$2:$B$9,ROW()-1)</f>
        <v>Fiona Strand</v>
      </c>
      <c r="C7" s="4" t="str">
        <f aca="false">INDEX(Source_Incidents!$C$2:$C$9,ROW()-1)</f>
        <v>mgr-b@company.example.com</v>
      </c>
      <c r="D7" s="3" t="n">
        <f aca="false">INDEX(Source_Incidents!$D$2:$D$9,ROW()-1)</f>
        <v>46126</v>
      </c>
      <c r="E7" s="4" t="str">
        <f aca="false">INDEX(Source_Incidents!$E$2:$E$9,ROW()-1)</f>
        <v>Bumped head on low clearance doorway</v>
      </c>
      <c r="F7" s="4" t="str">
        <f aca="false">INDEX(Source_Incidents!$F$2:$F$9,ROW()-1)</f>
        <v>Minor</v>
      </c>
      <c r="G7" s="4" t="str">
        <f aca="false">INDEX(Source_Incidents!$G$2:$G$9,ROW()-1)</f>
        <v>Ice pack applied</v>
      </c>
      <c r="H7" s="4" t="str">
        <f aca="false">INDEX(Source_Incidents!$H$2:$H$9,ROW()-1)</f>
        <v>0</v>
      </c>
      <c r="I7" s="4" t="str">
        <f aca="false">INDEX(Source_Incidents!$I$2:$I$9,ROW()-1)</f>
        <v>Pending</v>
      </c>
      <c r="J7" s="4" t="str">
        <f aca="false">Evidence_Register!D11</f>
        <v>2026-04-15T09:00:00Z</v>
      </c>
      <c r="K7" s="4" t="str">
        <f aca="false">IF(F7="Minor","YES","NO")</f>
        <v>YES</v>
      </c>
      <c r="L7" s="4" t="str">
        <f aca="false">IF(F7="Moderate","YES","NO")</f>
        <v>NO</v>
      </c>
      <c r="M7" s="4" t="str">
        <f aca="false">IF(F7="Serious","YES","NO")</f>
        <v>NO</v>
      </c>
      <c r="N7" s="4" t="str">
        <f aca="false">IF(ISNUMBER(SEARCH("hospitalization",G7)),"YES","NO")</f>
        <v>NO</v>
      </c>
      <c r="O7" s="4" t="str">
        <f aca="false">IF(ISNUMBER(SEARCH("amputation",E7&amp;" "&amp;G7)),"YES","NO")</f>
        <v>NO</v>
      </c>
      <c r="P7" s="4" t="str">
        <f aca="false">IF(ISNUMBER(SEARCH("potential loss of vision",G7)),"POTENTIAL_VISION_LOSS","NO")</f>
        <v>NO</v>
      </c>
      <c r="Q7" s="4" t="str">
        <f aca="false">IF(OR(N7="YES",O7="YES"),"YES","NO")</f>
        <v>NO</v>
      </c>
      <c r="R7" s="4" t="str">
        <f aca="false">IF(K7="YES","Documented",IF(L7="YES","Under Review",IF(M7="YES","Investigation","INVALID")))</f>
        <v>Documented</v>
      </c>
      <c r="S7" s="4" t="str">
        <f aca="false">IF(OR(L7="YES",M7="YES"),"YES","NO")</f>
        <v>NO</v>
      </c>
      <c r="T7" s="4" t="str">
        <f aca="false">IF(Q7="YES","YES","NO")</f>
        <v>NO</v>
      </c>
      <c r="U7" s="4" t="str">
        <f aca="false">IF(K7="YES",C7,IF(L7="YES","safety-officer@company.example.com; "&amp;C7,IF(Q7="YES","legal@company.example.com; safety-officer@company.example.com; "&amp;C7&amp;"; vp-ops@company.example.com","safety-officer@company.example.com; "&amp;C7&amp;"; vp-ops@company.example.com")))</f>
        <v>mgr-b@company.example.com</v>
      </c>
      <c r="V7" s="4" t="str">
        <f aca="false">IF(K7="YES","Safety Incident Documentation - "&amp;B7&amp;" - "&amp;TEXT(D7,"yyyy-mm-dd"),IF(L7="YES","Safety Incident Under Review - "&amp;B7&amp;" - "&amp;TEXT(D7,"yyyy-mm-dd"),IF(Q7="YES","URGENT OSHA Review - "&amp;B7&amp;" - "&amp;TEXT(D7,"yyyy-mm-dd"),"Serious Safety Incident - "&amp;B7&amp;" - "&amp;TEXT(D7,"yyyy-mm-dd"))))</f>
        <v>Safety Incident Documentation - Fiona Strand - 2026-04-14</v>
      </c>
      <c r="W7" s="4" t="str">
        <f aca="false">"AGGREGATE_ONLY"</f>
        <v>AGGREGATE_ONLY</v>
      </c>
      <c r="X7" s="4" t="str">
        <f aca="false">"YES"</f>
        <v>YES</v>
      </c>
      <c r="Y7" s="4" t="str">
        <f aca="false">"DRAFT_NOT_SENT"</f>
        <v>DRAFT_NOT_SENT</v>
      </c>
      <c r="Z7" s="4" t="str">
        <f aca="false">"NO"</f>
        <v>NO</v>
      </c>
      <c r="AA7" s="4" t="str">
        <f aca="false">"NO"</f>
        <v>NO</v>
      </c>
      <c r="AB7" s="4" t="str">
        <f aca="false">"NO"</f>
        <v>NO</v>
      </c>
      <c r="AC7" s="4" t="n">
        <f aca="false">5</f>
        <v>5</v>
      </c>
      <c r="AD7" s="4" t="str">
        <f aca="false">IF(K7="YES","P004,P010",IF(L7="YES","P005,P007,P010",IF(Q7="YES","P006,P007,P008,P010","P006,P007,P010")))</f>
        <v>P004,P010</v>
      </c>
      <c r="AE7" s="4" t="str">
        <f aca="false">"Safety_Incident_Tracker.xlsx:Recent Incidents row "&amp;A7&amp;" | Safety_Manual.mbox:msg_safety_manual_5126 | Workflow_Context.json:meta.current_time"</f>
        <v>Safety_Incident_Tracker.xlsx:Recent Incidents row 7 | Safety_Manual.mbox:msg_safety_manual_5126 | Workflow_Context.json:meta.current_time</v>
      </c>
    </row>
    <row r="8" customFormat="false" ht="49.5" hidden="false" customHeight="true" outlineLevel="0" collapsed="false">
      <c r="A8" s="4" t="n">
        <f aca="false">INDEX(Source_Incidents!$A$2:$A$9,ROW()-1)</f>
        <v>8</v>
      </c>
      <c r="B8" s="4" t="str">
        <f aca="false">INDEX(Source_Incidents!$B$2:$B$9,ROW()-1)</f>
        <v>George Tan</v>
      </c>
      <c r="C8" s="4" t="str">
        <f aca="false">INDEX(Source_Incidents!$C$2:$C$9,ROW()-1)</f>
        <v>mgr-a@company.example.com</v>
      </c>
      <c r="D8" s="3" t="n">
        <f aca="false">INDEX(Source_Incidents!$D$2:$D$9,ROW()-1)</f>
        <v>46122</v>
      </c>
      <c r="E8" s="4" t="str">
        <f aca="false">INDEX(Source_Incidents!$E$2:$E$9,ROW()-1)</f>
        <v>Repetitive strain - back pain from lifting</v>
      </c>
      <c r="F8" s="4" t="str">
        <f aca="false">INDEX(Source_Incidents!$F$2:$F$9,ROW()-1)</f>
        <v>Moderate</v>
      </c>
      <c r="G8" s="4" t="str">
        <f aca="false">INDEX(Source_Incidents!$G$2:$G$9,ROW()-1)</f>
        <v>Physical therapy referral</v>
      </c>
      <c r="H8" s="4" t="str">
        <f aca="false">INDEX(Source_Incidents!$H$2:$H$9,ROW()-1)</f>
        <v>1</v>
      </c>
      <c r="I8" s="4" t="str">
        <f aca="false">INDEX(Source_Incidents!$I$2:$I$9,ROW()-1)</f>
        <v>Pending</v>
      </c>
      <c r="J8" s="4" t="str">
        <f aca="false">Evidence_Register!D11</f>
        <v>2026-04-15T09:00:00Z</v>
      </c>
      <c r="K8" s="4" t="str">
        <f aca="false">IF(F8="Minor","YES","NO")</f>
        <v>NO</v>
      </c>
      <c r="L8" s="4" t="str">
        <f aca="false">IF(F8="Moderate","YES","NO")</f>
        <v>YES</v>
      </c>
      <c r="M8" s="4" t="str">
        <f aca="false">IF(F8="Serious","YES","NO")</f>
        <v>NO</v>
      </c>
      <c r="N8" s="4" t="str">
        <f aca="false">IF(ISNUMBER(SEARCH("hospitalization",G8)),"YES","NO")</f>
        <v>NO</v>
      </c>
      <c r="O8" s="4" t="str">
        <f aca="false">IF(ISNUMBER(SEARCH("amputation",E8&amp;" "&amp;G8)),"YES","NO")</f>
        <v>NO</v>
      </c>
      <c r="P8" s="4" t="str">
        <f aca="false">IF(ISNUMBER(SEARCH("potential loss of vision",G8)),"POTENTIAL_VISION_LOSS","NO")</f>
        <v>NO</v>
      </c>
      <c r="Q8" s="4" t="str">
        <f aca="false">IF(OR(N8="YES",O8="YES"),"YES","NO")</f>
        <v>NO</v>
      </c>
      <c r="R8" s="4" t="str">
        <f aca="false">IF(K8="YES","Documented",IF(L8="YES","Under Review",IF(M8="YES","Investigation","INVALID")))</f>
        <v>Under Review</v>
      </c>
      <c r="S8" s="4" t="str">
        <f aca="false">IF(OR(L8="YES",M8="YES"),"YES","NO")</f>
        <v>YES</v>
      </c>
      <c r="T8" s="4" t="str">
        <f aca="false">IF(Q8="YES","YES","NO")</f>
        <v>NO</v>
      </c>
      <c r="U8" s="4" t="str">
        <f aca="false">IF(K8="YES",C8,IF(L8="YES","safety-officer@company.example.com; "&amp;C8,IF(Q8="YES","legal@company.example.com; safety-officer@company.example.com; "&amp;C8&amp;"; vp-ops@company.example.com","safety-officer@company.example.com; "&amp;C8&amp;"; vp-ops@company.example.com")))</f>
        <v>safety-officer@company.example.com; mgr-a@company.example.com</v>
      </c>
      <c r="V8" s="4" t="str">
        <f aca="false">IF(K8="YES","Safety Incident Documentation - "&amp;B8&amp;" - "&amp;TEXT(D8,"yyyy-mm-dd"),IF(L8="YES","Safety Incident Under Review - "&amp;B8&amp;" - "&amp;TEXT(D8,"yyyy-mm-dd"),IF(Q8="YES","URGENT OSHA Review - "&amp;B8&amp;" - "&amp;TEXT(D8,"yyyy-mm-dd"),"Serious Safety Incident - "&amp;B8&amp;" - "&amp;TEXT(D8,"yyyy-mm-dd"))))</f>
        <v>Safety Incident Under Review - George Tan - 2026-04-10</v>
      </c>
      <c r="W8" s="4" t="str">
        <f aca="false">"AGGREGATE_ONLY"</f>
        <v>AGGREGATE_ONLY</v>
      </c>
      <c r="X8" s="4" t="str">
        <f aca="false">"YES"</f>
        <v>YES</v>
      </c>
      <c r="Y8" s="4" t="str">
        <f aca="false">"DRAFT_NOT_SENT"</f>
        <v>DRAFT_NOT_SENT</v>
      </c>
      <c r="Z8" s="4" t="str">
        <f aca="false">"NO"</f>
        <v>NO</v>
      </c>
      <c r="AA8" s="4" t="str">
        <f aca="false">"NO"</f>
        <v>NO</v>
      </c>
      <c r="AB8" s="4" t="str">
        <f aca="false">"NO"</f>
        <v>NO</v>
      </c>
      <c r="AC8" s="4" t="n">
        <f aca="false">5</f>
        <v>5</v>
      </c>
      <c r="AD8" s="4" t="str">
        <f aca="false">IF(K8="YES","P004,P010",IF(L8="YES","P005,P007,P010",IF(Q8="YES","P006,P007,P008,P010","P006,P007,P010")))</f>
        <v>P005,P007,P010</v>
      </c>
      <c r="AE8" s="4" t="str">
        <f aca="false">"Safety_Incident_Tracker.xlsx:Recent Incidents row "&amp;A8&amp;" | Safety_Manual.mbox:msg_safety_manual_5126 | Workflow_Context.json:meta.current_time"</f>
        <v>Safety_Incident_Tracker.xlsx:Recent Incidents row 8 | Safety_Manual.mbox:msg_safety_manual_5126 | Workflow_Context.json:meta.current_time</v>
      </c>
    </row>
    <row r="9" customFormat="false" ht="49.5" hidden="false" customHeight="true" outlineLevel="0" collapsed="false">
      <c r="A9" s="4" t="n">
        <f aca="false">INDEX(Source_Incidents!$A$2:$A$9,ROW()-1)</f>
        <v>9</v>
      </c>
      <c r="B9" s="4" t="str">
        <f aca="false">INDEX(Source_Incidents!$B$2:$B$9,ROW()-1)</f>
        <v>Holly Ng</v>
      </c>
      <c r="C9" s="4" t="str">
        <f aca="false">INDEX(Source_Incidents!$C$2:$C$9,ROW()-1)</f>
        <v>mgr-b@company.example.com</v>
      </c>
      <c r="D9" s="3" t="n">
        <f aca="false">INDEX(Source_Incidents!$D$2:$D$9,ROW()-1)</f>
        <v>46125</v>
      </c>
      <c r="E9" s="4" t="str">
        <f aca="false">INDEX(Source_Incidents!$E$2:$E$9,ROW()-1)</f>
        <v>Machine guard failure - finger amputation</v>
      </c>
      <c r="F9" s="4" t="str">
        <f aca="false">INDEX(Source_Incidents!$F$2:$F$9,ROW()-1)</f>
        <v>Serious</v>
      </c>
      <c r="G9" s="4" t="str">
        <f aca="false">INDEX(Source_Incidents!$G$2:$G$9,ROW()-1)</f>
        <v>Hospitalization - surgical amputation</v>
      </c>
      <c r="H9" s="4" t="str">
        <f aca="false">INDEX(Source_Incidents!$H$2:$H$9,ROW()-1)</f>
        <v>TBD</v>
      </c>
      <c r="I9" s="4" t="str">
        <f aca="false">INDEX(Source_Incidents!$I$2:$I$9,ROW()-1)</f>
        <v>Pending</v>
      </c>
      <c r="J9" s="4" t="str">
        <f aca="false">Evidence_Register!D11</f>
        <v>2026-04-15T09:00:00Z</v>
      </c>
      <c r="K9" s="4" t="str">
        <f aca="false">IF(F9="Minor","YES","NO")</f>
        <v>NO</v>
      </c>
      <c r="L9" s="4" t="str">
        <f aca="false">IF(F9="Moderate","YES","NO")</f>
        <v>NO</v>
      </c>
      <c r="M9" s="4" t="str">
        <f aca="false">IF(F9="Serious","YES","NO")</f>
        <v>YES</v>
      </c>
      <c r="N9" s="4" t="str">
        <f aca="false">IF(ISNUMBER(SEARCH("hospitalization",G9)),"YES","NO")</f>
        <v>YES</v>
      </c>
      <c r="O9" s="4" t="str">
        <f aca="false">IF(ISNUMBER(SEARCH("amputation",E9&amp;" "&amp;G9)),"YES","NO")</f>
        <v>YES</v>
      </c>
      <c r="P9" s="4" t="str">
        <f aca="false">IF(ISNUMBER(SEARCH("potential loss of vision",G9)),"POTENTIAL_VISION_LOSS","NO")</f>
        <v>NO</v>
      </c>
      <c r="Q9" s="4" t="str">
        <f aca="false">IF(OR(N9="YES",O9="YES"),"YES","NO")</f>
        <v>YES</v>
      </c>
      <c r="R9" s="4" t="str">
        <f aca="false">IF(K9="YES","Documented",IF(L9="YES","Under Review",IF(M9="YES","Investigation","INVALID")))</f>
        <v>Investigation</v>
      </c>
      <c r="S9" s="4" t="str">
        <f aca="false">IF(OR(L9="YES",M9="YES"),"YES","NO")</f>
        <v>YES</v>
      </c>
      <c r="T9" s="4" t="str">
        <f aca="false">IF(Q9="YES","YES","NO")</f>
        <v>YES</v>
      </c>
      <c r="U9" s="4" t="str">
        <f aca="false">IF(K9="YES",C9,IF(L9="YES","safety-officer@company.example.com; "&amp;C9,IF(Q9="YES","legal@company.example.com; safety-officer@company.example.com; "&amp;C9&amp;"; vp-ops@company.example.com","safety-officer@company.example.com; "&amp;C9&amp;"; vp-ops@company.example.com")))</f>
        <v>legal@company.example.com; safety-officer@company.example.com; mgr-b@company.example.com; vp-ops@company.example.com</v>
      </c>
      <c r="V9" s="4" t="str">
        <f aca="false">IF(K9="YES","Safety Incident Documentation - "&amp;B9&amp;" - "&amp;TEXT(D9,"yyyy-mm-dd"),IF(L9="YES","Safety Incident Under Review - "&amp;B9&amp;" - "&amp;TEXT(D9,"yyyy-mm-dd"),IF(Q9="YES","URGENT OSHA Review - "&amp;B9&amp;" - "&amp;TEXT(D9,"yyyy-mm-dd"),"Serious Safety Incident - "&amp;B9&amp;" - "&amp;TEXT(D9,"yyyy-mm-dd"))))</f>
        <v>URGENT OSHA Review - Holly Ng - 2026-04-13</v>
      </c>
      <c r="W9" s="4" t="str">
        <f aca="false">"AGGREGATE_ONLY"</f>
        <v>AGGREGATE_ONLY</v>
      </c>
      <c r="X9" s="4" t="str">
        <f aca="false">"YES"</f>
        <v>YES</v>
      </c>
      <c r="Y9" s="4" t="str">
        <f aca="false">"DRAFT_NOT_SENT"</f>
        <v>DRAFT_NOT_SENT</v>
      </c>
      <c r="Z9" s="4" t="str">
        <f aca="false">"NO"</f>
        <v>NO</v>
      </c>
      <c r="AA9" s="4" t="str">
        <f aca="false">"NO"</f>
        <v>NO</v>
      </c>
      <c r="AB9" s="4" t="str">
        <f aca="false">"NO"</f>
        <v>NO</v>
      </c>
      <c r="AC9" s="4" t="n">
        <f aca="false">5</f>
        <v>5</v>
      </c>
      <c r="AD9" s="4" t="str">
        <f aca="false">IF(K9="YES","P004,P010",IF(L9="YES","P005,P007,P010",IF(Q9="YES","P006,P007,P008,P010","P006,P007,P010")))</f>
        <v>P006,P007,P008,P010</v>
      </c>
      <c r="AE9" s="4" t="str">
        <f aca="false">"Safety_Incident_Tracker.xlsx:Recent Incidents row "&amp;A9&amp;" | Safety_Manual.mbox:msg_safety_manual_5126 | Workflow_Context.json:meta.current_time"</f>
        <v>Safety_Incident_Tracker.xlsx:Recent Incidents row 9 | Safety_Manual.mbox:msg_safety_manual_5126 | Workflow_Context.json:meta.current_time</v>
      </c>
    </row>
  </sheetData>
  <autoFilter ref="A1:AE9"/>
  <conditionalFormatting sqref="A2:AE9">
    <cfRule type="expression" priority="2" aboveAverage="0" equalAverage="0" bottom="0" percent="0" rank="0" text="" dxfId="6">
      <formula>$F2="Minor"</formula>
    </cfRule>
    <cfRule type="expression" priority="3" aboveAverage="0" equalAverage="0" bottom="0" percent="0" rank="0" text="" dxfId="7">
      <formula>$F2="Moderate"</formula>
    </cfRule>
    <cfRule type="expression" priority="4" aboveAverage="0" equalAverage="0" bottom="0" percent="0" rank="0" text="" dxfId="8">
      <formula>$F2="Serious"</formula>
    </cfRule>
    <cfRule type="expression" priority="5" aboveAverage="0" equalAverage="0" bottom="0" percent="0" rank="0" text="" dxfId="9">
      <formula>$Q2="YES"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incident routing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4" min="1" style="0" width="22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5</v>
      </c>
      <c r="E1" s="1" t="s">
        <v>189</v>
      </c>
      <c r="F1" s="1" t="s">
        <v>192</v>
      </c>
      <c r="G1" s="1" t="s">
        <v>193</v>
      </c>
      <c r="H1" s="1" t="s">
        <v>188</v>
      </c>
      <c r="I1" s="1" t="s">
        <v>202</v>
      </c>
      <c r="J1" s="1" t="s">
        <v>196</v>
      </c>
      <c r="K1" s="1" t="s">
        <v>197</v>
      </c>
      <c r="L1" s="1" t="s">
        <v>200</v>
      </c>
      <c r="M1" s="1" t="s">
        <v>201</v>
      </c>
      <c r="N1" s="1" t="s">
        <v>69</v>
      </c>
    </row>
    <row r="2" customFormat="false" ht="15" hidden="false" customHeight="false" outlineLevel="0" collapsed="false">
      <c r="A2" s="2" t="n">
        <f aca="false">Incident_Decisions!A2</f>
        <v>2</v>
      </c>
      <c r="B2" s="2" t="str">
        <f aca="false">Incident_Decisions!B2</f>
        <v>Ana Petrova</v>
      </c>
      <c r="C2" s="3" t="n">
        <f aca="false">Incident_Decisions!D2</f>
        <v>46126</v>
      </c>
      <c r="D2" s="2" t="str">
        <f aca="false">Incident_Decisions!F2</f>
        <v>Minor</v>
      </c>
      <c r="E2" s="2" t="str">
        <f aca="false">Incident_Decisions!R2</f>
        <v>Documented</v>
      </c>
      <c r="F2" s="2" t="str">
        <f aca="false">Incident_Decisions!U2</f>
        <v>mgr-a@company.example.com</v>
      </c>
      <c r="G2" s="2" t="str">
        <f aca="false">Incident_Decisions!V2</f>
        <v>Safety Incident Documentation - Ana Petrova - 2026-04-14</v>
      </c>
      <c r="H2" s="2" t="str">
        <f aca="false">Incident_Decisions!Q2</f>
        <v>NO</v>
      </c>
      <c r="I2" s="2" t="str">
        <f aca="false">Incident_Decisions!S2</f>
        <v>NO</v>
      </c>
      <c r="J2" s="2" t="str">
        <f aca="false">Incident_Decisions!Y2</f>
        <v>DRAFT_NOT_SENT</v>
      </c>
      <c r="K2" s="2" t="str">
        <f aca="false">Incident_Decisions!Z2</f>
        <v>NO</v>
      </c>
      <c r="L2" s="2" t="n">
        <f aca="false">Incident_Decisions!AC2</f>
        <v>5</v>
      </c>
      <c r="M2" s="2" t="str">
        <f aca="false">Incident_Decisions!AD2</f>
        <v>P004,P010</v>
      </c>
      <c r="N2" s="2" t="str">
        <f aca="false">Incident_Decisions!AE2</f>
        <v>Safety_Incident_Tracker.xlsx:Recent Incidents row 2 | Safety_Manual.mbox:msg_safety_manual_5126 | Workflow_Context.json:meta.current_time</v>
      </c>
    </row>
    <row r="3" customFormat="false" ht="15" hidden="false" customHeight="false" outlineLevel="0" collapsed="false">
      <c r="A3" s="2" t="n">
        <f aca="false">Incident_Decisions!A5</f>
        <v>5</v>
      </c>
      <c r="B3" s="2" t="str">
        <f aca="false">Incident_Decisions!B5</f>
        <v>Diana Osei</v>
      </c>
      <c r="C3" s="3" t="n">
        <f aca="false">Incident_Decisions!D5</f>
        <v>46126</v>
      </c>
      <c r="D3" s="2" t="str">
        <f aca="false">Incident_Decisions!F5</f>
        <v>Minor</v>
      </c>
      <c r="E3" s="2" t="str">
        <f aca="false">Incident_Decisions!R5</f>
        <v>Documented</v>
      </c>
      <c r="F3" s="2" t="str">
        <f aca="false">Incident_Decisions!U5</f>
        <v>mgr-b@company.example.com</v>
      </c>
      <c r="G3" s="2" t="str">
        <f aca="false">Incident_Decisions!V5</f>
        <v>Safety Incident Documentation - Diana Osei - 2026-04-14</v>
      </c>
      <c r="H3" s="2" t="str">
        <f aca="false">Incident_Decisions!Q5</f>
        <v>NO</v>
      </c>
      <c r="I3" s="2" t="str">
        <f aca="false">Incident_Decisions!S5</f>
        <v>NO</v>
      </c>
      <c r="J3" s="2" t="str">
        <f aca="false">Incident_Decisions!Y5</f>
        <v>DRAFT_NOT_SENT</v>
      </c>
      <c r="K3" s="2" t="str">
        <f aca="false">Incident_Decisions!Z5</f>
        <v>NO</v>
      </c>
      <c r="L3" s="2" t="n">
        <f aca="false">Incident_Decisions!AC5</f>
        <v>5</v>
      </c>
      <c r="M3" s="2" t="str">
        <f aca="false">Incident_Decisions!AD5</f>
        <v>P004,P010</v>
      </c>
      <c r="N3" s="2" t="str">
        <f aca="false">Incident_Decisions!AE5</f>
        <v>Safety_Incident_Tracker.xlsx:Recent Incidents row 5 | Safety_Manual.mbox:msg_safety_manual_5126 | Workflow_Context.json:meta.current_time</v>
      </c>
    </row>
    <row r="4" customFormat="false" ht="15" hidden="false" customHeight="false" outlineLevel="0" collapsed="false">
      <c r="A4" s="2" t="n">
        <f aca="false">Incident_Decisions!A7</f>
        <v>7</v>
      </c>
      <c r="B4" s="2" t="str">
        <f aca="false">Incident_Decisions!B7</f>
        <v>Fiona Strand</v>
      </c>
      <c r="C4" s="3" t="n">
        <f aca="false">Incident_Decisions!D7</f>
        <v>46126</v>
      </c>
      <c r="D4" s="2" t="str">
        <f aca="false">Incident_Decisions!F7</f>
        <v>Minor</v>
      </c>
      <c r="E4" s="2" t="str">
        <f aca="false">Incident_Decisions!R7</f>
        <v>Documented</v>
      </c>
      <c r="F4" s="2" t="str">
        <f aca="false">Incident_Decisions!U7</f>
        <v>mgr-b@company.example.com</v>
      </c>
      <c r="G4" s="2" t="str">
        <f aca="false">Incident_Decisions!V7</f>
        <v>Safety Incident Documentation - Fiona Strand - 2026-04-14</v>
      </c>
      <c r="H4" s="2" t="str">
        <f aca="false">Incident_Decisions!Q7</f>
        <v>NO</v>
      </c>
      <c r="I4" s="2" t="str">
        <f aca="false">Incident_Decisions!S7</f>
        <v>NO</v>
      </c>
      <c r="J4" s="2" t="str">
        <f aca="false">Incident_Decisions!Y7</f>
        <v>DRAFT_NOT_SENT</v>
      </c>
      <c r="K4" s="2" t="str">
        <f aca="false">Incident_Decisions!Z7</f>
        <v>NO</v>
      </c>
      <c r="L4" s="2" t="n">
        <f aca="false">Incident_Decisions!AC7</f>
        <v>5</v>
      </c>
      <c r="M4" s="2" t="str">
        <f aca="false">Incident_Decisions!AD7</f>
        <v>P004,P010</v>
      </c>
      <c r="N4" s="2" t="str">
        <f aca="false">Incident_Decisions!AE7</f>
        <v>Safety_Incident_Tracker.xlsx:Recent Incidents row 7 | Safety_Manual.mbox:msg_safety_manual_5126 | Workflow_Context.json:meta.current_time</v>
      </c>
    </row>
  </sheetData>
  <autoFilter ref="A1:N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&amp;CMinor: manager only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6" min="1" style="0" width="22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189</v>
      </c>
      <c r="I1" s="1" t="s">
        <v>192</v>
      </c>
      <c r="J1" s="1" t="s">
        <v>202</v>
      </c>
      <c r="K1" s="1" t="s">
        <v>188</v>
      </c>
      <c r="L1" s="1" t="s">
        <v>191</v>
      </c>
      <c r="M1" s="1" t="s">
        <v>196</v>
      </c>
      <c r="N1" s="1" t="s">
        <v>197</v>
      </c>
      <c r="O1" s="1" t="s">
        <v>201</v>
      </c>
      <c r="P1" s="1" t="s">
        <v>69</v>
      </c>
    </row>
    <row r="2" customFormat="false" ht="15" hidden="false" customHeight="false" outlineLevel="0" collapsed="false">
      <c r="A2" s="2" t="n">
        <f aca="false">Incident_Decisions!A3</f>
        <v>3</v>
      </c>
      <c r="B2" s="2" t="str">
        <f aca="false">Incident_Decisions!B3</f>
        <v>Ben Torres</v>
      </c>
      <c r="C2" s="3" t="n">
        <f aca="false">Incident_Decisions!D3</f>
        <v>46125</v>
      </c>
      <c r="D2" s="2" t="str">
        <f aca="false">Incident_Decisions!E3</f>
        <v>Slipped on wet floor, sprained ankle</v>
      </c>
      <c r="E2" s="2" t="str">
        <f aca="false">Incident_Decisions!G3</f>
        <v>Urgent care visit, ankle brace</v>
      </c>
      <c r="F2" s="2" t="str">
        <f aca="false">Incident_Decisions!H3</f>
        <v>2</v>
      </c>
      <c r="G2" s="2" t="str">
        <f aca="false">Incident_Decisions!F3</f>
        <v>Moderate</v>
      </c>
      <c r="H2" s="2" t="str">
        <f aca="false">Incident_Decisions!R3</f>
        <v>Under Review</v>
      </c>
      <c r="I2" s="2" t="str">
        <f aca="false">Incident_Decisions!U3</f>
        <v>safety-officer@company.example.com; mgr-b@company.example.com</v>
      </c>
      <c r="J2" s="2" t="str">
        <f aca="false">Incident_Decisions!S3</f>
        <v>YES</v>
      </c>
      <c r="K2" s="2" t="str">
        <f aca="false">Incident_Decisions!Q3</f>
        <v>NO</v>
      </c>
      <c r="L2" s="2" t="str">
        <f aca="false">Incident_Decisions!T3</f>
        <v>NO</v>
      </c>
      <c r="M2" s="2" t="str">
        <f aca="false">Incident_Decisions!Y3</f>
        <v>DRAFT_NOT_SENT</v>
      </c>
      <c r="N2" s="2" t="str">
        <f aca="false">Incident_Decisions!Z3</f>
        <v>NO</v>
      </c>
      <c r="O2" s="2" t="str">
        <f aca="false">Incident_Decisions!AD3</f>
        <v>P005,P007,P010</v>
      </c>
      <c r="P2" s="2" t="str">
        <f aca="false">Incident_Decisions!AE3</f>
        <v>Safety_Incident_Tracker.xlsx:Recent Incidents row 3 | Safety_Manual.mbox:msg_safety_manual_5126 | Workflow_Context.json:meta.current_time</v>
      </c>
    </row>
    <row r="3" customFormat="false" ht="15" hidden="false" customHeight="false" outlineLevel="0" collapsed="false">
      <c r="A3" s="2" t="n">
        <f aca="false">Incident_Decisions!A8</f>
        <v>8</v>
      </c>
      <c r="B3" s="2" t="str">
        <f aca="false">Incident_Decisions!B8</f>
        <v>George Tan</v>
      </c>
      <c r="C3" s="3" t="n">
        <f aca="false">Incident_Decisions!D8</f>
        <v>46122</v>
      </c>
      <c r="D3" s="2" t="str">
        <f aca="false">Incident_Decisions!E8</f>
        <v>Repetitive strain - back pain from lifting</v>
      </c>
      <c r="E3" s="2" t="str">
        <f aca="false">Incident_Decisions!G8</f>
        <v>Physical therapy referral</v>
      </c>
      <c r="F3" s="2" t="str">
        <f aca="false">Incident_Decisions!H8</f>
        <v>1</v>
      </c>
      <c r="G3" s="2" t="str">
        <f aca="false">Incident_Decisions!F8</f>
        <v>Moderate</v>
      </c>
      <c r="H3" s="2" t="str">
        <f aca="false">Incident_Decisions!R8</f>
        <v>Under Review</v>
      </c>
      <c r="I3" s="2" t="str">
        <f aca="false">Incident_Decisions!U8</f>
        <v>safety-officer@company.example.com; mgr-a@company.example.com</v>
      </c>
      <c r="J3" s="2" t="str">
        <f aca="false">Incident_Decisions!S8</f>
        <v>YES</v>
      </c>
      <c r="K3" s="2" t="str">
        <f aca="false">Incident_Decisions!Q8</f>
        <v>NO</v>
      </c>
      <c r="L3" s="2" t="str">
        <f aca="false">Incident_Decisions!T8</f>
        <v>NO</v>
      </c>
      <c r="M3" s="2" t="str">
        <f aca="false">Incident_Decisions!Y8</f>
        <v>DRAFT_NOT_SENT</v>
      </c>
      <c r="N3" s="2" t="str">
        <f aca="false">Incident_Decisions!Z8</f>
        <v>NO</v>
      </c>
      <c r="O3" s="2" t="str">
        <f aca="false">Incident_Decisions!AD8</f>
        <v>P005,P007,P010</v>
      </c>
      <c r="P3" s="2" t="str">
        <f aca="false">Incident_Decisions!AE8</f>
        <v>Safety_Incident_Tracker.xlsx:Recent Incidents row 8 | Safety_Manual.mbox:msg_safety_manual_5126 | Workflow_Context.json:meta.current_time</v>
      </c>
    </row>
  </sheetData>
  <autoFilter ref="A1:P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&amp;CModerate: Safety Officer plus manager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0" min="1" style="0" width="22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203</v>
      </c>
      <c r="I1" s="1" t="s">
        <v>204</v>
      </c>
      <c r="J1" s="1" t="s">
        <v>187</v>
      </c>
      <c r="K1" s="1" t="s">
        <v>188</v>
      </c>
      <c r="L1" s="1" t="s">
        <v>191</v>
      </c>
      <c r="M1" s="1" t="s">
        <v>189</v>
      </c>
      <c r="N1" s="1" t="s">
        <v>202</v>
      </c>
      <c r="O1" s="1" t="s">
        <v>192</v>
      </c>
      <c r="P1" s="1" t="s">
        <v>193</v>
      </c>
      <c r="Q1" s="1" t="s">
        <v>196</v>
      </c>
      <c r="R1" s="1" t="s">
        <v>199</v>
      </c>
      <c r="S1" s="1" t="s">
        <v>201</v>
      </c>
      <c r="T1" s="1" t="s">
        <v>69</v>
      </c>
    </row>
    <row r="2" customFormat="false" ht="15" hidden="false" customHeight="false" outlineLevel="0" collapsed="false">
      <c r="A2" s="2" t="n">
        <f aca="false">Incident_Decisions!A4</f>
        <v>4</v>
      </c>
      <c r="B2" s="2" t="str">
        <f aca="false">Incident_Decisions!B4</f>
        <v>Carlos Mendoza</v>
      </c>
      <c r="C2" s="2" t="str">
        <f aca="false">Incident_Decisions!C4</f>
        <v>mgr-a@company.example.com</v>
      </c>
      <c r="D2" s="3" t="n">
        <f aca="false">Incident_Decisions!D4</f>
        <v>46124</v>
      </c>
      <c r="E2" s="2" t="str">
        <f aca="false">Incident_Decisions!E4</f>
        <v>Fell from loading dock, broken leg</v>
      </c>
      <c r="F2" s="2" t="str">
        <f aca="false">Incident_Decisions!G4</f>
        <v>Hospitalization - emergency surgery</v>
      </c>
      <c r="G2" s="2" t="str">
        <f aca="false">Incident_Decisions!H4</f>
        <v>TBD</v>
      </c>
      <c r="H2" s="2" t="str">
        <f aca="false">Incident_Decisions!N4</f>
        <v>YES</v>
      </c>
      <c r="I2" s="2" t="str">
        <f aca="false">Incident_Decisions!O4</f>
        <v>NO</v>
      </c>
      <c r="J2" s="2" t="str">
        <f aca="false">Incident_Decisions!P4</f>
        <v>NO</v>
      </c>
      <c r="K2" s="2" t="str">
        <f aca="false">Incident_Decisions!Q4</f>
        <v>YES</v>
      </c>
      <c r="L2" s="2" t="str">
        <f aca="false">Incident_Decisions!T4</f>
        <v>YES</v>
      </c>
      <c r="M2" s="2" t="str">
        <f aca="false">Incident_Decisions!R4</f>
        <v>Investigation</v>
      </c>
      <c r="N2" s="2" t="str">
        <f aca="false">Incident_Decisions!S4</f>
        <v>YES</v>
      </c>
      <c r="O2" s="2" t="str">
        <f aca="false">Incident_Decisions!U4</f>
        <v>legal@company.example.com; safety-officer@company.example.com; mgr-a@company.example.com; vp-ops@company.example.com</v>
      </c>
      <c r="P2" s="2" t="str">
        <f aca="false">Incident_Decisions!V4</f>
        <v>URGENT OSHA Review - Carlos Mendoza - 2026-04-12</v>
      </c>
      <c r="Q2" s="2" t="str">
        <f aca="false">Incident_Decisions!Y4</f>
        <v>DRAFT_NOT_SENT</v>
      </c>
      <c r="R2" s="2" t="str">
        <f aca="false">Incident_Decisions!AB4</f>
        <v>NO</v>
      </c>
      <c r="S2" s="2" t="str">
        <f aca="false">Incident_Decisions!AD4</f>
        <v>P006,P007,P008,P010</v>
      </c>
      <c r="T2" s="2" t="str">
        <f aca="false">Incident_Decisions!AE4</f>
        <v>Safety_Incident_Tracker.xlsx:Recent Incidents row 4 | Safety_Manual.mbox:msg_safety_manual_5126 | Workflow_Context.json:meta.current_time</v>
      </c>
    </row>
    <row r="3" customFormat="false" ht="15" hidden="false" customHeight="false" outlineLevel="0" collapsed="false">
      <c r="A3" s="2" t="n">
        <f aca="false">Incident_Decisions!A6</f>
        <v>6</v>
      </c>
      <c r="B3" s="2" t="str">
        <f aca="false">Incident_Decisions!B6</f>
        <v>Ethan Park</v>
      </c>
      <c r="C3" s="2" t="str">
        <f aca="false">Incident_Decisions!C6</f>
        <v>mgr-a@company.example.com</v>
      </c>
      <c r="D3" s="3" t="n">
        <f aca="false">Incident_Decisions!D6</f>
        <v>46123</v>
      </c>
      <c r="E3" s="2" t="str">
        <f aca="false">Incident_Decisions!E6</f>
        <v>Chemical splash in lab - eye injury</v>
      </c>
      <c r="F3" s="2" t="str">
        <f aca="false">Incident_Decisions!G6</f>
        <v>Hospitalization - potential loss of vision</v>
      </c>
      <c r="G3" s="2" t="str">
        <f aca="false">Incident_Decisions!H6</f>
        <v>5+</v>
      </c>
      <c r="H3" s="2" t="str">
        <f aca="false">Incident_Decisions!N6</f>
        <v>YES</v>
      </c>
      <c r="I3" s="2" t="str">
        <f aca="false">Incident_Decisions!O6</f>
        <v>NO</v>
      </c>
      <c r="J3" s="2" t="str">
        <f aca="false">Incident_Decisions!P6</f>
        <v>POTENTIAL_VISION_LOSS</v>
      </c>
      <c r="K3" s="2" t="str">
        <f aca="false">Incident_Decisions!Q6</f>
        <v>YES</v>
      </c>
      <c r="L3" s="2" t="str">
        <f aca="false">Incident_Decisions!T6</f>
        <v>YES</v>
      </c>
      <c r="M3" s="2" t="str">
        <f aca="false">Incident_Decisions!R6</f>
        <v>Investigation</v>
      </c>
      <c r="N3" s="2" t="str">
        <f aca="false">Incident_Decisions!S6</f>
        <v>YES</v>
      </c>
      <c r="O3" s="2" t="str">
        <f aca="false">Incident_Decisions!U6</f>
        <v>legal@company.example.com; safety-officer@company.example.com; mgr-a@company.example.com; vp-ops@company.example.com</v>
      </c>
      <c r="P3" s="2" t="str">
        <f aca="false">Incident_Decisions!V6</f>
        <v>URGENT OSHA Review - Ethan Park - 2026-04-11</v>
      </c>
      <c r="Q3" s="2" t="str">
        <f aca="false">Incident_Decisions!Y6</f>
        <v>DRAFT_NOT_SENT</v>
      </c>
      <c r="R3" s="2" t="str">
        <f aca="false">Incident_Decisions!AB6</f>
        <v>NO</v>
      </c>
      <c r="S3" s="2" t="str">
        <f aca="false">Incident_Decisions!AD6</f>
        <v>P006,P007,P008,P010</v>
      </c>
      <c r="T3" s="2" t="str">
        <f aca="false">Incident_Decisions!AE6</f>
        <v>Safety_Incident_Tracker.xlsx:Recent Incidents row 6 | Safety_Manual.mbox:msg_safety_manual_5126 | Workflow_Context.json:meta.current_time</v>
      </c>
    </row>
    <row r="4" customFormat="false" ht="15" hidden="false" customHeight="false" outlineLevel="0" collapsed="false">
      <c r="A4" s="2" t="n">
        <f aca="false">Incident_Decisions!A9</f>
        <v>9</v>
      </c>
      <c r="B4" s="2" t="str">
        <f aca="false">Incident_Decisions!B9</f>
        <v>Holly Ng</v>
      </c>
      <c r="C4" s="2" t="str">
        <f aca="false">Incident_Decisions!C9</f>
        <v>mgr-b@company.example.com</v>
      </c>
      <c r="D4" s="3" t="n">
        <f aca="false">Incident_Decisions!D9</f>
        <v>46125</v>
      </c>
      <c r="E4" s="2" t="str">
        <f aca="false">Incident_Decisions!E9</f>
        <v>Machine guard failure - finger amputation</v>
      </c>
      <c r="F4" s="2" t="str">
        <f aca="false">Incident_Decisions!G9</f>
        <v>Hospitalization - surgical amputation</v>
      </c>
      <c r="G4" s="2" t="str">
        <f aca="false">Incident_Decisions!H9</f>
        <v>TBD</v>
      </c>
      <c r="H4" s="2" t="str">
        <f aca="false">Incident_Decisions!N9</f>
        <v>YES</v>
      </c>
      <c r="I4" s="2" t="str">
        <f aca="false">Incident_Decisions!O9</f>
        <v>YES</v>
      </c>
      <c r="J4" s="2" t="str">
        <f aca="false">Incident_Decisions!P9</f>
        <v>NO</v>
      </c>
      <c r="K4" s="2" t="str">
        <f aca="false">Incident_Decisions!Q9</f>
        <v>YES</v>
      </c>
      <c r="L4" s="2" t="str">
        <f aca="false">Incident_Decisions!T9</f>
        <v>YES</v>
      </c>
      <c r="M4" s="2" t="str">
        <f aca="false">Incident_Decisions!R9</f>
        <v>Investigation</v>
      </c>
      <c r="N4" s="2" t="str">
        <f aca="false">Incident_Decisions!S9</f>
        <v>YES</v>
      </c>
      <c r="O4" s="2" t="str">
        <f aca="false">Incident_Decisions!U9</f>
        <v>legal@company.example.com; safety-officer@company.example.com; mgr-b@company.example.com; vp-ops@company.example.com</v>
      </c>
      <c r="P4" s="2" t="str">
        <f aca="false">Incident_Decisions!V9</f>
        <v>URGENT OSHA Review - Holly Ng - 2026-04-13</v>
      </c>
      <c r="Q4" s="2" t="str">
        <f aca="false">Incident_Decisions!Y9</f>
        <v>DRAFT_NOT_SENT</v>
      </c>
      <c r="R4" s="2" t="str">
        <f aca="false">Incident_Decisions!AB9</f>
        <v>NO</v>
      </c>
      <c r="S4" s="2" t="str">
        <f aca="false">Incident_Decisions!AD9</f>
        <v>P006,P007,P008,P010</v>
      </c>
      <c r="T4" s="2" t="str">
        <f aca="false">Incident_Decisions!AE9</f>
        <v>Safety_Incident_Tracker.xlsx:Recent Incidents row 9 | Safety_Manual.mbox:msg_safety_manual_5126 | Workflow_Context.json:meta.current_time</v>
      </c>
    </row>
  </sheetData>
  <autoFilter ref="A1:T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&amp;CSerious and OSHA/Legal priority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.99"/>
    <col collapsed="false" customWidth="true" hidden="false" outlineLevel="0" max="3" min="3" style="0" width="19.99"/>
    <col collapsed="false" customWidth="true" hidden="false" outlineLevel="0" max="4" min="4" style="0" width="13.01"/>
    <col collapsed="false" customWidth="true" hidden="false" outlineLevel="0" max="5" min="5" style="0" width="30.01"/>
    <col collapsed="false" customWidth="true" hidden="false" outlineLevel="0" max="6" min="6" style="0" width="75"/>
    <col collapsed="false" customWidth="true" hidden="false" outlineLevel="0" max="7" min="7" style="0" width="52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9.99"/>
    <col collapsed="false" customWidth="true" hidden="false" outlineLevel="0" max="12" min="12" style="0" width="10"/>
    <col collapsed="false" customWidth="true" hidden="false" outlineLevel="0" max="13" min="13" style="0" width="14.01"/>
    <col collapsed="false" customWidth="true" hidden="false" outlineLevel="0" max="14" min="14" style="0" width="60"/>
  </cols>
  <sheetData>
    <row r="1" customFormat="false" ht="30.75" hidden="false" customHeight="true" outlineLevel="0" collapsed="false">
      <c r="A1" s="1" t="s">
        <v>205</v>
      </c>
      <c r="B1" s="1" t="s">
        <v>0</v>
      </c>
      <c r="C1" s="1" t="s">
        <v>1</v>
      </c>
      <c r="D1" s="1" t="s">
        <v>5</v>
      </c>
      <c r="E1" s="1" t="s">
        <v>206</v>
      </c>
      <c r="F1" s="1" t="s">
        <v>192</v>
      </c>
      <c r="G1" s="1" t="s">
        <v>49</v>
      </c>
      <c r="H1" s="1" t="s">
        <v>188</v>
      </c>
      <c r="I1" s="1" t="s">
        <v>202</v>
      </c>
      <c r="J1" s="1" t="s">
        <v>207</v>
      </c>
      <c r="K1" s="1" t="s">
        <v>196</v>
      </c>
      <c r="L1" s="1" t="s">
        <v>208</v>
      </c>
      <c r="M1" s="1" t="s">
        <v>209</v>
      </c>
      <c r="N1" s="1" t="s">
        <v>69</v>
      </c>
    </row>
    <row r="2" customFormat="false" ht="15" hidden="false" customHeight="false" outlineLevel="0" collapsed="false">
      <c r="A2" s="2" t="n">
        <f aca="false">1</f>
        <v>1</v>
      </c>
      <c r="B2" s="2" t="n">
        <f aca="false">Incident_Decisions!A2</f>
        <v>2</v>
      </c>
      <c r="C2" s="2" t="str">
        <f aca="false">Incident_Decisions!B2</f>
        <v>Ana Petrova</v>
      </c>
      <c r="D2" s="2" t="str">
        <f aca="false">Incident_Decisions!F2</f>
        <v>Minor</v>
      </c>
      <c r="E2" s="2" t="str">
        <f aca="false">IF(Incident_Decisions!Q2="YES","OSHA_LEGAL_AND_INTERNAL",IF(Incident_Decisions!K2="YES","MANAGER_ONLY","SAFETY_AND_INTERNAL"))</f>
        <v>MANAGER_ONLY</v>
      </c>
      <c r="F2" s="2" t="str">
        <f aca="false">Incident_Decisions!U2</f>
        <v>mgr-a@company.example.com</v>
      </c>
      <c r="G2" s="2" t="str">
        <f aca="false">Incident_Decisions!V2</f>
        <v>Safety Incident Documentation - Ana Petrova - 2026-04-14</v>
      </c>
      <c r="H2" s="2" t="str">
        <f aca="false">Incident_Decisions!Q2</f>
        <v>NO</v>
      </c>
      <c r="I2" s="2" t="str">
        <f aca="false">Incident_Decisions!S2</f>
        <v>NO</v>
      </c>
      <c r="J2" s="2" t="str">
        <f aca="false">Incident_Decisions!R2</f>
        <v>Documented</v>
      </c>
      <c r="K2" s="2" t="str">
        <f aca="false">"DRAFT_NOT_SENT"</f>
        <v>DRAFT_NOT_SENT</v>
      </c>
      <c r="L2" s="2" t="str">
        <f aca="false">"NO"</f>
        <v>NO</v>
      </c>
      <c r="M2" s="2" t="n">
        <f aca="false">0</f>
        <v>0</v>
      </c>
      <c r="N2" s="2" t="str">
        <f aca="false">Incident_Decisions!AE2</f>
        <v>Safety_Incident_Tracker.xlsx:Recent Incidents row 2 | Safety_Manual.mbox:msg_safety_manual_5126 | Workflow_Context.json:meta.current_time</v>
      </c>
    </row>
    <row r="3" customFormat="false" ht="15" hidden="false" customHeight="false" outlineLevel="0" collapsed="false">
      <c r="A3" s="2" t="n">
        <f aca="false">2</f>
        <v>2</v>
      </c>
      <c r="B3" s="2" t="n">
        <f aca="false">Incident_Decisions!A3</f>
        <v>3</v>
      </c>
      <c r="C3" s="2" t="str">
        <f aca="false">Incident_Decisions!B3</f>
        <v>Ben Torres</v>
      </c>
      <c r="D3" s="2" t="str">
        <f aca="false">Incident_Decisions!F3</f>
        <v>Moderate</v>
      </c>
      <c r="E3" s="2" t="str">
        <f aca="false">IF(Incident_Decisions!Q3="YES","OSHA_LEGAL_AND_INTERNAL",IF(Incident_Decisions!K3="YES","MANAGER_ONLY","SAFETY_AND_INTERNAL"))</f>
        <v>SAFETY_AND_INTERNAL</v>
      </c>
      <c r="F3" s="2" t="str">
        <f aca="false">Incident_Decisions!U3</f>
        <v>safety-officer@company.example.com; mgr-b@company.example.com</v>
      </c>
      <c r="G3" s="2" t="str">
        <f aca="false">Incident_Decisions!V3</f>
        <v>Safety Incident Under Review - Ben Torres - 2026-04-13</v>
      </c>
      <c r="H3" s="2" t="str">
        <f aca="false">Incident_Decisions!Q3</f>
        <v>NO</v>
      </c>
      <c r="I3" s="2" t="str">
        <f aca="false">Incident_Decisions!S3</f>
        <v>YES</v>
      </c>
      <c r="J3" s="2" t="str">
        <f aca="false">Incident_Decisions!R3</f>
        <v>Under Review</v>
      </c>
      <c r="K3" s="2" t="str">
        <f aca="false">"DRAFT_NOT_SENT"</f>
        <v>DRAFT_NOT_SENT</v>
      </c>
      <c r="L3" s="2" t="str">
        <f aca="false">"NO"</f>
        <v>NO</v>
      </c>
      <c r="M3" s="2" t="n">
        <f aca="false">0</f>
        <v>0</v>
      </c>
      <c r="N3" s="2" t="str">
        <f aca="false">Incident_Decisions!AE3</f>
        <v>Safety_Incident_Tracker.xlsx:Recent Incidents row 3 | Safety_Manual.mbox:msg_safety_manual_5126 | Workflow_Context.json:meta.current_time</v>
      </c>
    </row>
    <row r="4" customFormat="false" ht="15" hidden="false" customHeight="false" outlineLevel="0" collapsed="false">
      <c r="A4" s="2" t="n">
        <f aca="false">3</f>
        <v>3</v>
      </c>
      <c r="B4" s="2" t="n">
        <f aca="false">Incident_Decisions!A4</f>
        <v>4</v>
      </c>
      <c r="C4" s="2" t="str">
        <f aca="false">Incident_Decisions!B4</f>
        <v>Carlos Mendoza</v>
      </c>
      <c r="D4" s="2" t="str">
        <f aca="false">Incident_Decisions!F4</f>
        <v>Serious</v>
      </c>
      <c r="E4" s="2" t="str">
        <f aca="false">IF(Incident_Decisions!Q4="YES","OSHA_LEGAL_AND_INTERNAL",IF(Incident_Decisions!K4="YES","MANAGER_ONLY","SAFETY_AND_INTERNAL"))</f>
        <v>OSHA_LEGAL_AND_INTERNAL</v>
      </c>
      <c r="F4" s="2" t="str">
        <f aca="false">Incident_Decisions!U4</f>
        <v>legal@company.example.com; safety-officer@company.example.com; mgr-a@company.example.com; vp-ops@company.example.com</v>
      </c>
      <c r="G4" s="2" t="str">
        <f aca="false">Incident_Decisions!V4</f>
        <v>URGENT OSHA Review - Carlos Mendoza - 2026-04-12</v>
      </c>
      <c r="H4" s="2" t="str">
        <f aca="false">Incident_Decisions!Q4</f>
        <v>YES</v>
      </c>
      <c r="I4" s="2" t="str">
        <f aca="false">Incident_Decisions!S4</f>
        <v>YES</v>
      </c>
      <c r="J4" s="2" t="str">
        <f aca="false">Incident_Decisions!R4</f>
        <v>Investigation</v>
      </c>
      <c r="K4" s="2" t="str">
        <f aca="false">"DRAFT_NOT_SENT"</f>
        <v>DRAFT_NOT_SENT</v>
      </c>
      <c r="L4" s="2" t="str">
        <f aca="false">"NO"</f>
        <v>NO</v>
      </c>
      <c r="M4" s="2" t="n">
        <f aca="false">0</f>
        <v>0</v>
      </c>
      <c r="N4" s="2" t="str">
        <f aca="false">Incident_Decisions!AE4</f>
        <v>Safety_Incident_Tracker.xlsx:Recent Incidents row 4 | Safety_Manual.mbox:msg_safety_manual_5126 | Workflow_Context.json:meta.current_time</v>
      </c>
    </row>
    <row r="5" customFormat="false" ht="15" hidden="false" customHeight="false" outlineLevel="0" collapsed="false">
      <c r="A5" s="2" t="n">
        <f aca="false">4</f>
        <v>4</v>
      </c>
      <c r="B5" s="2" t="n">
        <f aca="false">Incident_Decisions!A5</f>
        <v>5</v>
      </c>
      <c r="C5" s="2" t="str">
        <f aca="false">Incident_Decisions!B5</f>
        <v>Diana Osei</v>
      </c>
      <c r="D5" s="2" t="str">
        <f aca="false">Incident_Decisions!F5</f>
        <v>Minor</v>
      </c>
      <c r="E5" s="2" t="str">
        <f aca="false">IF(Incident_Decisions!Q5="YES","OSHA_LEGAL_AND_INTERNAL",IF(Incident_Decisions!K5="YES","MANAGER_ONLY","SAFETY_AND_INTERNAL"))</f>
        <v>MANAGER_ONLY</v>
      </c>
      <c r="F5" s="2" t="str">
        <f aca="false">Incident_Decisions!U5</f>
        <v>mgr-b@company.example.com</v>
      </c>
      <c r="G5" s="2" t="str">
        <f aca="false">Incident_Decisions!V5</f>
        <v>Safety Incident Documentation - Diana Osei - 2026-04-14</v>
      </c>
      <c r="H5" s="2" t="str">
        <f aca="false">Incident_Decisions!Q5</f>
        <v>NO</v>
      </c>
      <c r="I5" s="2" t="str">
        <f aca="false">Incident_Decisions!S5</f>
        <v>NO</v>
      </c>
      <c r="J5" s="2" t="str">
        <f aca="false">Incident_Decisions!R5</f>
        <v>Documented</v>
      </c>
      <c r="K5" s="2" t="str">
        <f aca="false">"DRAFT_NOT_SENT"</f>
        <v>DRAFT_NOT_SENT</v>
      </c>
      <c r="L5" s="2" t="str">
        <f aca="false">"NO"</f>
        <v>NO</v>
      </c>
      <c r="M5" s="2" t="n">
        <f aca="false">0</f>
        <v>0</v>
      </c>
      <c r="N5" s="2" t="str">
        <f aca="false">Incident_Decisions!AE5</f>
        <v>Safety_Incident_Tracker.xlsx:Recent Incidents row 5 | Safety_Manual.mbox:msg_safety_manual_5126 | Workflow_Context.json:meta.current_time</v>
      </c>
    </row>
    <row r="6" customFormat="false" ht="15" hidden="false" customHeight="false" outlineLevel="0" collapsed="false">
      <c r="A6" s="2" t="n">
        <f aca="false">5</f>
        <v>5</v>
      </c>
      <c r="B6" s="2" t="n">
        <f aca="false">Incident_Decisions!A6</f>
        <v>6</v>
      </c>
      <c r="C6" s="2" t="str">
        <f aca="false">Incident_Decisions!B6</f>
        <v>Ethan Park</v>
      </c>
      <c r="D6" s="2" t="str">
        <f aca="false">Incident_Decisions!F6</f>
        <v>Serious</v>
      </c>
      <c r="E6" s="2" t="str">
        <f aca="false">IF(Incident_Decisions!Q6="YES","OSHA_LEGAL_AND_INTERNAL",IF(Incident_Decisions!K6="YES","MANAGER_ONLY","SAFETY_AND_INTERNAL"))</f>
        <v>OSHA_LEGAL_AND_INTERNAL</v>
      </c>
      <c r="F6" s="2" t="str">
        <f aca="false">Incident_Decisions!U6</f>
        <v>legal@company.example.com; safety-officer@company.example.com; mgr-a@company.example.com; vp-ops@company.example.com</v>
      </c>
      <c r="G6" s="2" t="str">
        <f aca="false">Incident_Decisions!V6</f>
        <v>URGENT OSHA Review - Ethan Park - 2026-04-11</v>
      </c>
      <c r="H6" s="2" t="str">
        <f aca="false">Incident_Decisions!Q6</f>
        <v>YES</v>
      </c>
      <c r="I6" s="2" t="str">
        <f aca="false">Incident_Decisions!S6</f>
        <v>YES</v>
      </c>
      <c r="J6" s="2" t="str">
        <f aca="false">Incident_Decisions!R6</f>
        <v>Investigation</v>
      </c>
      <c r="K6" s="2" t="str">
        <f aca="false">"DRAFT_NOT_SENT"</f>
        <v>DRAFT_NOT_SENT</v>
      </c>
      <c r="L6" s="2" t="str">
        <f aca="false">"NO"</f>
        <v>NO</v>
      </c>
      <c r="M6" s="2" t="n">
        <f aca="false">0</f>
        <v>0</v>
      </c>
      <c r="N6" s="2" t="str">
        <f aca="false">Incident_Decisions!AE6</f>
        <v>Safety_Incident_Tracker.xlsx:Recent Incidents row 6 | Safety_Manual.mbox:msg_safety_manual_5126 | Workflow_Context.json:meta.current_time</v>
      </c>
    </row>
    <row r="7" customFormat="false" ht="15" hidden="false" customHeight="false" outlineLevel="0" collapsed="false">
      <c r="A7" s="2" t="n">
        <f aca="false">6</f>
        <v>6</v>
      </c>
      <c r="B7" s="2" t="n">
        <f aca="false">Incident_Decisions!A7</f>
        <v>7</v>
      </c>
      <c r="C7" s="2" t="str">
        <f aca="false">Incident_Decisions!B7</f>
        <v>Fiona Strand</v>
      </c>
      <c r="D7" s="2" t="str">
        <f aca="false">Incident_Decisions!F7</f>
        <v>Minor</v>
      </c>
      <c r="E7" s="2" t="str">
        <f aca="false">IF(Incident_Decisions!Q7="YES","OSHA_LEGAL_AND_INTERNAL",IF(Incident_Decisions!K7="YES","MANAGER_ONLY","SAFETY_AND_INTERNAL"))</f>
        <v>MANAGER_ONLY</v>
      </c>
      <c r="F7" s="2" t="str">
        <f aca="false">Incident_Decisions!U7</f>
        <v>mgr-b@company.example.com</v>
      </c>
      <c r="G7" s="2" t="str">
        <f aca="false">Incident_Decisions!V7</f>
        <v>Safety Incident Documentation - Fiona Strand - 2026-04-14</v>
      </c>
      <c r="H7" s="2" t="str">
        <f aca="false">Incident_Decisions!Q7</f>
        <v>NO</v>
      </c>
      <c r="I7" s="2" t="str">
        <f aca="false">Incident_Decisions!S7</f>
        <v>NO</v>
      </c>
      <c r="J7" s="2" t="str">
        <f aca="false">Incident_Decisions!R7</f>
        <v>Documented</v>
      </c>
      <c r="K7" s="2" t="str">
        <f aca="false">"DRAFT_NOT_SENT"</f>
        <v>DRAFT_NOT_SENT</v>
      </c>
      <c r="L7" s="2" t="str">
        <f aca="false">"NO"</f>
        <v>NO</v>
      </c>
      <c r="M7" s="2" t="n">
        <f aca="false">0</f>
        <v>0</v>
      </c>
      <c r="N7" s="2" t="str">
        <f aca="false">Incident_Decisions!AE7</f>
        <v>Safety_Incident_Tracker.xlsx:Recent Incidents row 7 | Safety_Manual.mbox:msg_safety_manual_5126 | Workflow_Context.json:meta.current_time</v>
      </c>
    </row>
    <row r="8" customFormat="false" ht="15" hidden="false" customHeight="false" outlineLevel="0" collapsed="false">
      <c r="A8" s="2" t="n">
        <f aca="false">7</f>
        <v>7</v>
      </c>
      <c r="B8" s="2" t="n">
        <f aca="false">Incident_Decisions!A8</f>
        <v>8</v>
      </c>
      <c r="C8" s="2" t="str">
        <f aca="false">Incident_Decisions!B8</f>
        <v>George Tan</v>
      </c>
      <c r="D8" s="2" t="str">
        <f aca="false">Incident_Decisions!F8</f>
        <v>Moderate</v>
      </c>
      <c r="E8" s="2" t="str">
        <f aca="false">IF(Incident_Decisions!Q8="YES","OSHA_LEGAL_AND_INTERNAL",IF(Incident_Decisions!K8="YES","MANAGER_ONLY","SAFETY_AND_INTERNAL"))</f>
        <v>SAFETY_AND_INTERNAL</v>
      </c>
      <c r="F8" s="2" t="str">
        <f aca="false">Incident_Decisions!U8</f>
        <v>safety-officer@company.example.com; mgr-a@company.example.com</v>
      </c>
      <c r="G8" s="2" t="str">
        <f aca="false">Incident_Decisions!V8</f>
        <v>Safety Incident Under Review - George Tan - 2026-04-10</v>
      </c>
      <c r="H8" s="2" t="str">
        <f aca="false">Incident_Decisions!Q8</f>
        <v>NO</v>
      </c>
      <c r="I8" s="2" t="str">
        <f aca="false">Incident_Decisions!S8</f>
        <v>YES</v>
      </c>
      <c r="J8" s="2" t="str">
        <f aca="false">Incident_Decisions!R8</f>
        <v>Under Review</v>
      </c>
      <c r="K8" s="2" t="str">
        <f aca="false">"DRAFT_NOT_SENT"</f>
        <v>DRAFT_NOT_SENT</v>
      </c>
      <c r="L8" s="2" t="str">
        <f aca="false">"NO"</f>
        <v>NO</v>
      </c>
      <c r="M8" s="2" t="n">
        <f aca="false">0</f>
        <v>0</v>
      </c>
      <c r="N8" s="2" t="str">
        <f aca="false">Incident_Decisions!AE8</f>
        <v>Safety_Incident_Tracker.xlsx:Recent Incidents row 8 | Safety_Manual.mbox:msg_safety_manual_5126 | Workflow_Context.json:meta.current_time</v>
      </c>
    </row>
    <row r="9" customFormat="false" ht="15" hidden="false" customHeight="false" outlineLevel="0" collapsed="false">
      <c r="A9" s="2" t="n">
        <f aca="false">8</f>
        <v>8</v>
      </c>
      <c r="B9" s="2" t="n">
        <f aca="false">Incident_Decisions!A9</f>
        <v>9</v>
      </c>
      <c r="C9" s="2" t="str">
        <f aca="false">Incident_Decisions!B9</f>
        <v>Holly Ng</v>
      </c>
      <c r="D9" s="2" t="str">
        <f aca="false">Incident_Decisions!F9</f>
        <v>Serious</v>
      </c>
      <c r="E9" s="2" t="str">
        <f aca="false">IF(Incident_Decisions!Q9="YES","OSHA_LEGAL_AND_INTERNAL",IF(Incident_Decisions!K9="YES","MANAGER_ONLY","SAFETY_AND_INTERNAL"))</f>
        <v>OSHA_LEGAL_AND_INTERNAL</v>
      </c>
      <c r="F9" s="2" t="str">
        <f aca="false">Incident_Decisions!U9</f>
        <v>legal@company.example.com; safety-officer@company.example.com; mgr-b@company.example.com; vp-ops@company.example.com</v>
      </c>
      <c r="G9" s="2" t="str">
        <f aca="false">Incident_Decisions!V9</f>
        <v>URGENT OSHA Review - Holly Ng - 2026-04-13</v>
      </c>
      <c r="H9" s="2" t="str">
        <f aca="false">Incident_Decisions!Q9</f>
        <v>YES</v>
      </c>
      <c r="I9" s="2" t="str">
        <f aca="false">Incident_Decisions!S9</f>
        <v>YES</v>
      </c>
      <c r="J9" s="2" t="str">
        <f aca="false">Incident_Decisions!R9</f>
        <v>Investigation</v>
      </c>
      <c r="K9" s="2" t="str">
        <f aca="false">"DRAFT_NOT_SENT"</f>
        <v>DRAFT_NOT_SENT</v>
      </c>
      <c r="L9" s="2" t="str">
        <f aca="false">"NO"</f>
        <v>NO</v>
      </c>
      <c r="M9" s="2" t="n">
        <f aca="false">0</f>
        <v>0</v>
      </c>
      <c r="N9" s="2" t="str">
        <f aca="false">Incident_Decisions!AE9</f>
        <v>Safety_Incident_Tracker.xlsx:Recent Incidents row 9 | Safety_Manual.mbox:msg_safety_manual_5126 | Workflow_Context.json:meta.current_time</v>
      </c>
    </row>
  </sheetData>
  <autoFilter ref="A1:N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&amp;CEight ordered offline email drafts</oddFooter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.01"/>
    <col collapsed="false" customWidth="true" hidden="false" outlineLevel="0" max="3" min="3" style="0" width="10"/>
    <col collapsed="false" customWidth="true" hidden="false" outlineLevel="0" max="5" min="4" style="0" width="11.99"/>
    <col collapsed="false" customWidth="true" hidden="false" outlineLevel="0" max="6" min="6" style="0" width="14.01"/>
    <col collapsed="false" customWidth="true" hidden="false" outlineLevel="0" max="7" min="7" style="0" width="10"/>
    <col collapsed="false" customWidth="true" hidden="false" outlineLevel="0" max="8" min="8" style="0" width="11.99"/>
    <col collapsed="false" customWidth="true" hidden="false" outlineLevel="0" max="9" min="9" style="0" width="10"/>
    <col collapsed="false" customWidth="true" hidden="false" outlineLevel="0" max="10" min="10" style="0" width="19.99"/>
    <col collapsed="false" customWidth="true" hidden="false" outlineLevel="0" max="12" min="11" style="0" width="16"/>
    <col collapsed="false" customWidth="true" hidden="false" outlineLevel="0" max="13" min="13" style="0" width="23.01"/>
    <col collapsed="false" customWidth="true" hidden="false" outlineLevel="0" max="14" min="14" style="0" width="20.99"/>
    <col collapsed="false" customWidth="true" hidden="false" outlineLevel="0" max="15" min="15" style="0" width="104.99"/>
    <col collapsed="false" customWidth="true" hidden="false" outlineLevel="0" max="16" min="16" style="0" width="58"/>
  </cols>
  <sheetData>
    <row r="1" customFormat="false" ht="30.75" hidden="false" customHeight="true" outlineLevel="0" collapsed="false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13</v>
      </c>
      <c r="H1" s="1" t="s">
        <v>20</v>
      </c>
      <c r="I1" s="1" t="s">
        <v>25</v>
      </c>
      <c r="J1" s="1" t="s">
        <v>216</v>
      </c>
      <c r="K1" s="1" t="s">
        <v>202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69</v>
      </c>
    </row>
    <row r="2" customFormat="false" ht="15" hidden="false" customHeight="false" outlineLevel="0" collapsed="false">
      <c r="A2" s="2" t="s">
        <v>221</v>
      </c>
      <c r="B2" s="2" t="s">
        <v>222</v>
      </c>
      <c r="C2" s="2" t="s">
        <v>223</v>
      </c>
      <c r="D2" s="2" t="n">
        <v>1</v>
      </c>
      <c r="E2" s="2" t="n">
        <v>0</v>
      </c>
      <c r="F2" s="2" t="n">
        <v>8</v>
      </c>
      <c r="G2" s="2" t="n">
        <v>3</v>
      </c>
      <c r="H2" s="2" t="n">
        <v>2</v>
      </c>
      <c r="I2" s="2" t="n">
        <v>3</v>
      </c>
      <c r="J2" s="2" t="n">
        <v>3</v>
      </c>
      <c r="K2" s="2" t="n">
        <v>5</v>
      </c>
      <c r="L2" s="2" t="s">
        <v>224</v>
      </c>
      <c r="M2" s="2" t="s">
        <v>224</v>
      </c>
      <c r="N2" s="2" t="s">
        <v>225</v>
      </c>
      <c r="O2" s="2" t="s">
        <v>226</v>
      </c>
      <c r="P2" s="2" t="s">
        <v>227</v>
      </c>
    </row>
  </sheetData>
  <autoFilter ref="A1:P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&amp;CPublic channel aggregate only</oddFooter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3" min="2" style="0" width="14.01"/>
    <col collapsed="false" customWidth="true" hidden="false" outlineLevel="0" max="4" min="4" style="0" width="13.01"/>
    <col collapsed="false" customWidth="true" hidden="false" outlineLevel="0" max="5" min="5" style="0" width="44.99"/>
    <col collapsed="false" customWidth="true" hidden="false" outlineLevel="0" max="7" min="7" style="0" width="15"/>
  </cols>
  <sheetData>
    <row r="1" customFormat="false" ht="30.75" hidden="false" customHeight="true" outlineLevel="0" collapsed="false">
      <c r="A1" s="1" t="s">
        <v>228</v>
      </c>
      <c r="B1" s="1" t="s">
        <v>229</v>
      </c>
      <c r="C1" s="1" t="s">
        <v>230</v>
      </c>
      <c r="D1" s="1" t="s">
        <v>8</v>
      </c>
      <c r="E1" s="1" t="s">
        <v>231</v>
      </c>
    </row>
    <row r="2" customFormat="false" ht="15" hidden="false" customHeight="false" outlineLevel="0" collapsed="false">
      <c r="A2" s="2" t="s">
        <v>232</v>
      </c>
      <c r="B2" s="2" t="n">
        <f aca="false">COUNTA(Source_Incidents!B2:B9)</f>
        <v>8</v>
      </c>
      <c r="C2" s="2" t="n">
        <v>8</v>
      </c>
      <c r="D2" s="2" t="str">
        <f aca="false">IF(B2=C2,"PASS","FAIL")</f>
        <v>PASS</v>
      </c>
      <c r="E2" s="2" t="s">
        <v>233</v>
      </c>
    </row>
    <row r="3" customFormat="false" ht="15" hidden="false" customHeight="false" outlineLevel="0" collapsed="false">
      <c r="A3" s="2" t="s">
        <v>13</v>
      </c>
      <c r="B3" s="2" t="n">
        <f aca="false">COUNTIF(Incident_Decisions!F2:F9,"Minor")</f>
        <v>3</v>
      </c>
      <c r="C3" s="2" t="n">
        <v>3</v>
      </c>
      <c r="D3" s="2" t="str">
        <f aca="false">IF(B3=C3,"PASS","FAIL")</f>
        <v>PASS</v>
      </c>
      <c r="E3" s="2" t="s">
        <v>234</v>
      </c>
    </row>
    <row r="4" customFormat="false" ht="15" hidden="false" customHeight="false" outlineLevel="0" collapsed="false">
      <c r="A4" s="2" t="s">
        <v>20</v>
      </c>
      <c r="B4" s="2" t="n">
        <f aca="false">COUNTIF(Incident_Decisions!F2:F9,"Moderate")</f>
        <v>2</v>
      </c>
      <c r="C4" s="2" t="n">
        <v>2</v>
      </c>
      <c r="D4" s="2" t="str">
        <f aca="false">IF(B4=C4,"PASS","FAIL")</f>
        <v>PASS</v>
      </c>
      <c r="E4" s="2" t="s">
        <v>235</v>
      </c>
    </row>
    <row r="5" customFormat="false" ht="15" hidden="false" customHeight="false" outlineLevel="0" collapsed="false">
      <c r="A5" s="2" t="s">
        <v>25</v>
      </c>
      <c r="B5" s="2" t="n">
        <f aca="false">COUNTIF(Incident_Decisions!F2:F9,"Serious")</f>
        <v>3</v>
      </c>
      <c r="C5" s="2" t="n">
        <v>3</v>
      </c>
      <c r="D5" s="2" t="str">
        <f aca="false">IF(B5=C5,"PASS","FAIL")</f>
        <v>PASS</v>
      </c>
      <c r="E5" s="2" t="s">
        <v>236</v>
      </c>
    </row>
    <row r="6" customFormat="false" ht="15" hidden="false" customHeight="false" outlineLevel="0" collapsed="false">
      <c r="A6" s="2" t="s">
        <v>237</v>
      </c>
      <c r="B6" s="2" t="n">
        <f aca="false">COUNTIF(Incident_Decisions!R2:R9,"Documented")</f>
        <v>3</v>
      </c>
      <c r="C6" s="2" t="n">
        <v>3</v>
      </c>
      <c r="D6" s="2" t="str">
        <f aca="false">IF(B6=C6,"PASS","FAIL")</f>
        <v>PASS</v>
      </c>
      <c r="E6" s="2" t="s">
        <v>238</v>
      </c>
    </row>
    <row r="7" customFormat="false" ht="15" hidden="false" customHeight="false" outlineLevel="0" collapsed="false">
      <c r="A7" s="2" t="s">
        <v>239</v>
      </c>
      <c r="B7" s="2" t="n">
        <f aca="false">COUNTIF(Incident_Decisions!R2:R9,"Under Review")</f>
        <v>2</v>
      </c>
      <c r="C7" s="2" t="n">
        <v>2</v>
      </c>
      <c r="D7" s="2" t="str">
        <f aca="false">IF(B7=C7,"PASS","FAIL")</f>
        <v>PASS</v>
      </c>
      <c r="E7" s="2" t="s">
        <v>240</v>
      </c>
    </row>
    <row r="8" customFormat="false" ht="15" hidden="false" customHeight="false" outlineLevel="0" collapsed="false">
      <c r="A8" s="2" t="s">
        <v>241</v>
      </c>
      <c r="B8" s="2" t="n">
        <f aca="false">COUNTIF(Incident_Decisions!R2:R9,"Investigation")</f>
        <v>3</v>
      </c>
      <c r="C8" s="2" t="n">
        <v>3</v>
      </c>
      <c r="D8" s="2" t="str">
        <f aca="false">IF(B8=C8,"PASS","FAIL")</f>
        <v>PASS</v>
      </c>
      <c r="E8" s="2" t="s">
        <v>242</v>
      </c>
    </row>
    <row r="9" customFormat="false" ht="15" hidden="false" customHeight="false" outlineLevel="0" collapsed="false">
      <c r="A9" s="2" t="s">
        <v>243</v>
      </c>
      <c r="B9" s="2" t="n">
        <f aca="false">COUNTIF(Incident_Decisions!Q2:Q9,"YES")</f>
        <v>3</v>
      </c>
      <c r="C9" s="2" t="n">
        <v>3</v>
      </c>
      <c r="D9" s="2" t="str">
        <f aca="false">IF(B9=C9,"PASS","FAIL")</f>
        <v>PASS</v>
      </c>
      <c r="E9" s="2" t="s">
        <v>244</v>
      </c>
    </row>
    <row r="10" customFormat="false" ht="15" hidden="false" customHeight="false" outlineLevel="0" collapsed="false">
      <c r="A10" s="2" t="s">
        <v>245</v>
      </c>
      <c r="B10" s="2" t="n">
        <f aca="false">COUNTIF(Incident_Decisions!S2:S9,"YES")</f>
        <v>5</v>
      </c>
      <c r="C10" s="2" t="n">
        <v>5</v>
      </c>
      <c r="D10" s="2" t="str">
        <f aca="false">IF(B10=C10,"PASS","FAIL")</f>
        <v>PASS</v>
      </c>
      <c r="E10" s="2" t="s">
        <v>246</v>
      </c>
    </row>
    <row r="11" customFormat="false" ht="15" hidden="false" customHeight="false" outlineLevel="0" collapsed="false">
      <c r="A11" s="2" t="s">
        <v>247</v>
      </c>
      <c r="B11" s="2" t="n">
        <f aca="false">COUNTA(Communication_Register!C2:C9)</f>
        <v>8</v>
      </c>
      <c r="C11" s="2" t="n">
        <v>8</v>
      </c>
      <c r="D11" s="2" t="str">
        <f aca="false">IF(B11=C11,"PASS","FAIL")</f>
        <v>PASS</v>
      </c>
      <c r="E11" s="2" t="s">
        <v>248</v>
      </c>
    </row>
    <row r="12" customFormat="false" ht="15" hidden="false" customHeight="false" outlineLevel="0" collapsed="false">
      <c r="A12" s="2" t="s">
        <v>175</v>
      </c>
      <c r="B12" s="2" t="n">
        <f aca="false">COUNTIF(Communication_Register!L2:L9,"YES")</f>
        <v>0</v>
      </c>
      <c r="C12" s="2" t="n">
        <v>0</v>
      </c>
      <c r="D12" s="2" t="str">
        <f aca="false">IF(B12=C12,"PASS","FAIL")</f>
        <v>PASS</v>
      </c>
      <c r="E12" s="2" t="s">
        <v>249</v>
      </c>
    </row>
    <row r="13" customFormat="false" ht="15" hidden="false" customHeight="false" outlineLevel="0" collapsed="false">
      <c r="A13" s="2" t="s">
        <v>250</v>
      </c>
      <c r="B13" s="2" t="n">
        <f aca="false">COUNTIF(Incident_Decisions!X2:X9,"YES")</f>
        <v>8</v>
      </c>
      <c r="C13" s="2" t="n">
        <v>8</v>
      </c>
      <c r="D13" s="2" t="str">
        <f aca="false">IF(B13=C13,"PASS","FAIL")</f>
        <v>PASS</v>
      </c>
      <c r="E13" s="2" t="s">
        <v>248</v>
      </c>
    </row>
    <row r="14" customFormat="false" ht="15" hidden="false" customHeight="false" outlineLevel="0" collapsed="false">
      <c r="A14" s="2" t="s">
        <v>178</v>
      </c>
      <c r="B14" s="2" t="n">
        <f aca="false">COUNTIF(Incident_Decisions!Z2:Z9,"YES")</f>
        <v>0</v>
      </c>
      <c r="C14" s="2" t="n">
        <v>0</v>
      </c>
      <c r="D14" s="2" t="str">
        <f aca="false">IF(B14=C14,"PASS","FAIL")</f>
        <v>PASS</v>
      </c>
      <c r="E14" s="2" t="s">
        <v>251</v>
      </c>
    </row>
    <row r="15" customFormat="false" ht="15" hidden="false" customHeight="false" outlineLevel="0" collapsed="false">
      <c r="A15" s="2" t="s">
        <v>252</v>
      </c>
      <c r="B15" s="2" t="n">
        <f aca="false">Slack_Summary_Control!D2</f>
        <v>1</v>
      </c>
      <c r="C15" s="2" t="n">
        <v>1</v>
      </c>
      <c r="D15" s="2" t="str">
        <f aca="false">IF(B15=C15,"PASS","FAIL")</f>
        <v>PASS</v>
      </c>
      <c r="E15" s="2" t="s">
        <v>253</v>
      </c>
    </row>
    <row r="16" customFormat="false" ht="15" hidden="false" customHeight="false" outlineLevel="0" collapsed="false">
      <c r="A16" s="2" t="s">
        <v>254</v>
      </c>
      <c r="B16" s="2" t="n">
        <f aca="false">Slack_Summary_Control!E2</f>
        <v>0</v>
      </c>
      <c r="C16" s="2" t="n">
        <v>0</v>
      </c>
      <c r="D16" s="2" t="str">
        <f aca="false">IF(B16=C16,"PASS","FAIL")</f>
        <v>PASS</v>
      </c>
      <c r="E16" s="2" t="s">
        <v>249</v>
      </c>
    </row>
    <row r="17" customFormat="false" ht="15" hidden="false" customHeight="false" outlineLevel="0" collapsed="false">
      <c r="A17" s="2" t="s">
        <v>255</v>
      </c>
      <c r="B17" s="2" t="n">
        <f aca="false">COUNTIF(Incident_Decisions!AB2:AB9,"YES")</f>
        <v>0</v>
      </c>
      <c r="C17" s="2" t="n">
        <v>0</v>
      </c>
      <c r="D17" s="2" t="str">
        <f aca="false">IF(B17=C17,"PASS","FAIL")</f>
        <v>PASS</v>
      </c>
      <c r="E17" s="2" t="s">
        <v>256</v>
      </c>
    </row>
    <row r="18" customFormat="false" ht="15" hidden="false" customHeight="false" outlineLevel="0" collapsed="false">
      <c r="A18" s="2" t="s">
        <v>257</v>
      </c>
      <c r="B18" s="2" t="n">
        <f aca="false">0</f>
        <v>0</v>
      </c>
      <c r="C18" s="2" t="n">
        <v>0</v>
      </c>
      <c r="D18" s="2" t="str">
        <f aca="false">IF(B18=C18,"PASS","FAIL")</f>
        <v>PASS</v>
      </c>
      <c r="E18" s="2" t="s">
        <v>258</v>
      </c>
    </row>
    <row r="19" customFormat="false" ht="15" hidden="false" customHeight="false" outlineLevel="0" collapsed="false">
      <c r="A19" s="2" t="s">
        <v>259</v>
      </c>
      <c r="B19" s="2" t="n">
        <f aca="false">0</f>
        <v>0</v>
      </c>
      <c r="C19" s="2" t="n">
        <v>0</v>
      </c>
      <c r="D19" s="2" t="str">
        <f aca="false">IF(B19=C19,"PASS","FAIL")</f>
        <v>PASS</v>
      </c>
      <c r="E19" s="2" t="s">
        <v>260</v>
      </c>
    </row>
    <row r="20" customFormat="false" ht="15" hidden="false" customHeight="false" outlineLevel="0" collapsed="false">
      <c r="A20" s="2" t="s">
        <v>261</v>
      </c>
      <c r="B20" s="2" t="n">
        <f aca="false">COUNTIF(Slack_Summary_Control!L2,"YES")</f>
        <v>0</v>
      </c>
      <c r="C20" s="2" t="n">
        <v>0</v>
      </c>
      <c r="D20" s="2" t="str">
        <f aca="false">IF(B20=C20,"PASS","FAIL")</f>
        <v>PASS</v>
      </c>
      <c r="E20" s="2" t="s">
        <v>262</v>
      </c>
    </row>
    <row r="21" customFormat="false" ht="15" hidden="false" customHeight="false" outlineLevel="0" collapsed="false">
      <c r="A21" s="2" t="s">
        <v>263</v>
      </c>
      <c r="B21" s="2" t="n">
        <f aca="false">COUNTIF(Slack_Summary_Control!M2,"YES")</f>
        <v>0</v>
      </c>
      <c r="C21" s="2" t="n">
        <v>0</v>
      </c>
      <c r="D21" s="2" t="str">
        <f aca="false">IF(B21=C21,"PASS","FAIL")</f>
        <v>PASS</v>
      </c>
      <c r="E21" s="2" t="s">
        <v>262</v>
      </c>
    </row>
    <row r="22" customFormat="false" ht="15" hidden="false" customHeight="false" outlineLevel="0" collapsed="false">
      <c r="A22" s="2" t="s">
        <v>264</v>
      </c>
      <c r="B22" s="2" t="n">
        <f aca="false">MIN(Incident_Decisions!AC2:AC9)</f>
        <v>5</v>
      </c>
      <c r="C22" s="2" t="n">
        <v>5</v>
      </c>
      <c r="D22" s="2" t="str">
        <f aca="false">IF(B22=C22,"PASS","FAIL")</f>
        <v>PASS</v>
      </c>
      <c r="E22" s="2" t="s">
        <v>265</v>
      </c>
    </row>
    <row r="23" customFormat="false" ht="15" hidden="false" customHeight="false" outlineLevel="0" collapsed="false">
      <c r="A23" s="2" t="s">
        <v>180</v>
      </c>
      <c r="B23" s="2" t="n">
        <f aca="false">0</f>
        <v>0</v>
      </c>
      <c r="C23" s="2" t="n">
        <v>0</v>
      </c>
      <c r="D23" s="2" t="str">
        <f aca="false">IF(B23=C23,"PASS","FAIL")</f>
        <v>PASS</v>
      </c>
      <c r="E23" s="2" t="s">
        <v>266</v>
      </c>
    </row>
  </sheetData>
  <autoFilter ref="A1:E2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&amp;CTwenty-two count and control checks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EvoCowork / AutomationBench 5126</dc:creator>
  <dc:description>Eight frozen incidents; no external action executed.</dc:description>
  <dc:language>en-US</dc:language>
  <cp:lastModifiedBy>EvoCowork</cp:lastModifiedBy>
  <dcterms:modified xsi:type="dcterms:W3CDTF">2026-04-15T09:00:00Z</dcterms:modified>
  <cp:revision>1</cp:revision>
  <dc:subject>Source-backed offline safety incident routing and OSHA control</dc:subject>
  <dc:title>Safety Incident Audit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