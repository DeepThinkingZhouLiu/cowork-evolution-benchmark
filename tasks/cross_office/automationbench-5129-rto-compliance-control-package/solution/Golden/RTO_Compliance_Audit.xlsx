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Attendance" sheetId="1" state="visible" r:id="rId1"/>
    <sheet xmlns:r="http://schemas.openxmlformats.org/officeDocument/2006/relationships" name="Source_Messages" sheetId="2" state="visible" r:id="rId2"/>
    <sheet xmlns:r="http://schemas.openxmlformats.org/officeDocument/2006/relationships" name="Policy_Rules" sheetId="3" state="visible" r:id="rId3"/>
    <sheet xmlns:r="http://schemas.openxmlformats.org/officeDocument/2006/relationships" name="Evidence_Register" sheetId="4" state="visible" r:id="rId4"/>
    <sheet xmlns:r="http://schemas.openxmlformats.org/officeDocument/2006/relationships" name="Compliance_Decisions" sheetId="5" state="visible" r:id="rId5"/>
    <sheet xmlns:r="http://schemas.openxmlformats.org/officeDocument/2006/relationships" name="Compliant" sheetId="6" state="visible" r:id="rId6"/>
    <sheet xmlns:r="http://schemas.openxmlformats.org/officeDocument/2006/relationships" name="Non_Compliant" sheetId="7" state="visible" r:id="rId7"/>
    <sheet xmlns:r="http://schemas.openxmlformats.org/officeDocument/2006/relationships" name="Exempt_Or_Exception" sheetId="8" state="visible" r:id="rId8"/>
    <sheet xmlns:r="http://schemas.openxmlformats.org/officeDocument/2006/relationships" name="Employee_Communications" sheetId="9" state="visible" r:id="rId9"/>
    <sheet xmlns:r="http://schemas.openxmlformats.org/officeDocument/2006/relationships" name="Manager_Communications" sheetId="10" state="visible" r:id="rId10"/>
    <sheet xmlns:r="http://schemas.openxmlformats.org/officeDocument/2006/relationships" name="Control_Summary" sheetId="11" state="visible" r:id="rId11"/>
  </sheets>
  <definedNames>
    <definedName name="_xlnm.Print_Area" localSheetId="0">'Source_Attendance'!$A$1:$H$9</definedName>
    <definedName name="_xlnm.Print_Area" localSheetId="1">'Source_Messages'!$A$1:$D$4</definedName>
    <definedName name="_xlnm.Print_Area" localSheetId="2">'Policy_Rules'!$A$1:$C$6</definedName>
    <definedName name="_xlnm.Print_Area" localSheetId="3">'Evidence_Register'!$A$1:$C$5</definedName>
    <definedName name="_xlnm.Print_Area" localSheetId="4">'Compliance_Decisions'!$A$1:$V$9</definedName>
    <definedName name="_xlnm.Print_Area" localSheetId="5">'Compliant'!$A$1:$I$4</definedName>
    <definedName name="_xlnm.Print_Area" localSheetId="6">'Non_Compliant'!$A$1:$I$4</definedName>
    <definedName name="_xlnm.Print_Area" localSheetId="7">'Exempt_Or_Exception'!$A$1:$F$3</definedName>
    <definedName name="_xlnm.Print_Area" localSheetId="8">'Employee_Communications'!$A$1:$G$4</definedName>
    <definedName name="_xlnm.Print_Area" localSheetId="9">'Manager_Communications'!$A$1:$G$4</definedName>
    <definedName name="_xlnm.Print_Area" localSheetId="10">'Control_Summary'!$A$1:$C$10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RTO disposition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'Control_Summary'!$A$2:$A$6</f>
            </numRef>
          </cat>
          <val>
            <numRef>
              <f>'Control_Summary'!$B$2:$B$6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Attendance" displayName="SourceAttendance" ref="A1:H9" headerRowCount="1">
  <autoFilter ref="A1:H9"/>
  <tableColumns count="8">
    <tableColumn id="1" name="Source Row"/>
    <tableColumn id="2" name="Employee"/>
    <tableColumn id="3" name="Email"/>
    <tableColumn id="4" name="Manager Email"/>
    <tableColumn id="5" name="Department"/>
    <tableColumn id="6" name="Location Type"/>
    <tableColumn id="7" name="Days In Office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Messages" displayName="SourceMessages" ref="A1:D4" headerRowCount="1">
  <autoFilter ref="A1:D4"/>
  <tableColumns count="4">
    <tableColumn id="1" name="Message ID"/>
    <tableColumn id="2" name="From"/>
    <tableColumn id="3" name="Subject"/>
    <tableColumn id="4" name="Body"/>
  </tableColumns>
  <tableStyleInfo name="TableStyleMedium2" showRowStripes="1"/>
</table>
</file>

<file path=xl/tables/table3.xml><?xml version="1.0" encoding="utf-8"?>
<table xmlns="http://schemas.openxmlformats.org/spreadsheetml/2006/main" id="3" name="PolicyRules" displayName="PolicyRules" ref="A1:C6" headerRowCount="1">
  <autoFilter ref="A1:C6"/>
  <tableColumns count="3">
    <tableColumn id="1" name="Rule ID"/>
    <tableColumn id="2" name="Rule"/>
    <tableColumn id="3" name="Authority"/>
  </tableColumns>
  <tableStyleInfo name="TableStyleMedium2" showRowStripes="1"/>
</table>
</file>

<file path=xl/tables/table4.xml><?xml version="1.0" encoding="utf-8"?>
<table xmlns="http://schemas.openxmlformats.org/spreadsheetml/2006/main" id="4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5.xml><?xml version="1.0" encoding="utf-8"?>
<table xmlns="http://schemas.openxmlformats.org/spreadsheetml/2006/main" id="5" name="ComplianceDecisions" displayName="ComplianceDecisions" ref="A1:V9" headerRowCount="1">
  <autoFilter ref="A1:V9"/>
  <tableColumns count="22">
    <tableColumn id="1" name="Source Row"/>
    <tableColumn id="2" name="Employee"/>
    <tableColumn id="3" name="Email"/>
    <tableColumn id="4" name="Manager Email"/>
    <tableColumn id="5" name="Department"/>
    <tableColumn id="6" name="Location Type"/>
    <tableColumn id="7" name="Days In Office"/>
    <tableColumn id="8" name="Notes"/>
    <tableColumn id="9" name="Required Days"/>
    <tableColumn id="10" name="Remote Exempt"/>
    <tableColumn id="11" name="Approved Exception"/>
    <tableColumn id="12" name="Gap"/>
    <tableColumn id="13" name="Outcome"/>
    <tableColumn id="14" name="Reason"/>
    <tableColumn id="15" name="Employee Reminder"/>
    <tableColumn id="16" name="Employee Recipient"/>
    <tableColumn id="17" name="Manager Recipient"/>
    <tableColumn id="18" name="Employee Draft State"/>
    <tableColumn id="19" name="Manager Draft State"/>
    <tableColumn id="20" name="Message Sent"/>
    <tableColumn id="21" name="Policy Basis"/>
    <tableColumn id="22" name="Trace"/>
  </tableColumns>
  <tableStyleInfo name="TableStyleMedium2" showRowStripes="1"/>
</table>
</file>

<file path=xl/tables/table6.xml><?xml version="1.0" encoding="utf-8"?>
<table xmlns="http://schemas.openxmlformats.org/spreadsheetml/2006/main" id="6" name="CompliantRows" displayName="CompliantRows" ref="A1:I4" headerRowCount="1">
  <autoFilter ref="A1:I4"/>
  <tableColumns count="9">
    <tableColumn id="1" name="Source Row"/>
    <tableColumn id="2" name="Employee"/>
    <tableColumn id="3" name="Department"/>
    <tableColumn id="4" name="Location"/>
    <tableColumn id="5" name="Days"/>
    <tableColumn id="6" name="Required"/>
    <tableColumn id="7" name="Gap"/>
    <tableColumn id="8" name="Outcome"/>
    <tableColumn id="9" name="Reason"/>
  </tableColumns>
  <tableStyleInfo name="TableStyleMedium2" showRowStripes="1"/>
</table>
</file>

<file path=xl/tables/table7.xml><?xml version="1.0" encoding="utf-8"?>
<table xmlns="http://schemas.openxmlformats.org/spreadsheetml/2006/main" id="7" name="NonCompliantRows" displayName="NonCompliantRows" ref="A1:I4" headerRowCount="1">
  <autoFilter ref="A1:I4"/>
  <tableColumns count="9">
    <tableColumn id="1" name="Source Row"/>
    <tableColumn id="2" name="Employee"/>
    <tableColumn id="3" name="Department"/>
    <tableColumn id="4" name="Location"/>
    <tableColumn id="5" name="Days"/>
    <tableColumn id="6" name="Required"/>
    <tableColumn id="7" name="Gap"/>
    <tableColumn id="8" name="Outcome"/>
    <tableColumn id="9" name="Reason"/>
  </tableColumns>
  <tableStyleInfo name="TableStyleMedium2" showRowStripes="1"/>
</table>
</file>

<file path=xl/tables/table8.xml><?xml version="1.0" encoding="utf-8"?>
<table xmlns="http://schemas.openxmlformats.org/spreadsheetml/2006/main" id="8" name="ExemptRows" displayName="ExemptRows" ref="A1:F3" headerRowCount="1">
  <autoFilter ref="A1:F3"/>
  <tableColumns count="6">
    <tableColumn id="1" name="Source Row"/>
    <tableColumn id="2" name="Employee"/>
    <tableColumn id="3" name="Outcome"/>
    <tableColumn id="4" name="Evidence"/>
    <tableColumn id="5" name="Days"/>
    <tableColumn id="6" name="Required"/>
  </tableColumns>
  <tableStyleInfo name="TableStyleMedium2" showRowStripes="1"/>
</table>
</file>

<file path=xl/tables/table9.xml><?xml version="1.0" encoding="utf-8"?>
<table xmlns="http://schemas.openxmlformats.org/spreadsheetml/2006/main" id="9" name="EmployeeCommunications" displayName="EmployeeCommunications" ref="A1:G4" headerRowCount="1">
  <autoFilter ref="A1:G4"/>
  <tableColumns count="7">
    <tableColumn id="1" name="Order"/>
    <tableColumn id="2" name="Employee"/>
    <tableColumn id="3" name="Recipient"/>
    <tableColumn id="4" name="Days"/>
    <tableColumn id="5" name="Required"/>
    <tableColumn id="6" name="Gap"/>
    <tableColumn id="7" name="State"/>
  </tableColumns>
  <tableStyleInfo name="TableStyleMedium2" showRowStripes="1"/>
</table>
</file>

<file path=xl/tables/table10.xml><?xml version="1.0" encoding="utf-8"?>
<table xmlns="http://schemas.openxmlformats.org/spreadsheetml/2006/main" id="10" name="ManagerCommunications" displayName="ManagerCommunications" ref="A1:G4" headerRowCount="1">
  <autoFilter ref="A1:G4"/>
  <tableColumns count="7">
    <tableColumn id="1" name="Order"/>
    <tableColumn id="2" name="Manager Recipient"/>
    <tableColumn id="3" name="Employee"/>
    <tableColumn id="4" name="Days"/>
    <tableColumn id="5" name="Required"/>
    <tableColumn id="6" name="Gap"/>
    <tableColumn id="7" name="State"/>
  </tableColumns>
  <tableStyleInfo name="TableStyleMedium2" showRowStripes="1"/>
</table>
</file>

<file path=xl/tables/table11.xml><?xml version="1.0" encoding="utf-8"?>
<table xmlns="http://schemas.openxmlformats.org/spreadsheetml/2006/main" id="11" name="ControlSummary" displayName="ControlSummary" ref="A1:C10" headerRowCount="1">
  <autoFilter ref="A1:C10"/>
  <tableColumns count="3">
    <tableColumn id="1" name="Metric"/>
    <tableColumn id="2" name="Count"/>
    <tableColumn id="3" name="Contro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2" customWidth="1" min="3" max="3"/>
    <col width="32" customWidth="1" min="4" max="4"/>
    <col width="18" customWidth="1" min="5" max="5"/>
    <col width="17" customWidth="1" min="6" max="6"/>
    <col width="16" customWidth="1" min="7" max="7"/>
    <col width="55" customWidth="1" min="8" max="8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Manager Email</t>
        </is>
      </c>
      <c r="E1" s="1" t="inlineStr">
        <is>
          <t>Department</t>
        </is>
      </c>
      <c r="F1" s="1" t="inlineStr">
        <is>
          <t>Location Type</t>
        </is>
      </c>
      <c r="G1" s="1" t="inlineStr">
        <is>
          <t>Days In Office</t>
        </is>
      </c>
      <c r="H1" s="1" t="inlineStr">
        <is>
          <t>Notes</t>
        </is>
      </c>
    </row>
    <row r="2">
      <c r="A2" s="2" t="n">
        <v>2</v>
      </c>
      <c r="B2" s="2" t="inlineStr">
        <is>
          <t>Alice Park</t>
        </is>
      </c>
      <c r="C2" s="2" t="inlineStr">
        <is>
          <t>alice.park@company.example.com</t>
        </is>
      </c>
      <c r="D2" s="2" t="inlineStr">
        <is>
          <t>mgr-eng@company.example.com</t>
        </is>
      </c>
      <c r="E2" s="2" t="inlineStr">
        <is>
          <t>Engineering</t>
        </is>
      </c>
      <c r="F2" s="2" t="inlineStr">
        <is>
          <t>Hybrid</t>
        </is>
      </c>
      <c r="G2" s="2" t="n">
        <v>2</v>
      </c>
      <c r="H2" s="2" t="n"/>
    </row>
    <row r="3">
      <c r="A3" s="2" t="n">
        <v>3</v>
      </c>
      <c r="B3" s="2" t="inlineStr">
        <is>
          <t>Bob Chen</t>
        </is>
      </c>
      <c r="C3" s="2" t="inlineStr">
        <is>
          <t>bob.chen@company.example.com</t>
        </is>
      </c>
      <c r="D3" s="2" t="inlineStr">
        <is>
          <t>mgr-sales@company.example.com</t>
        </is>
      </c>
      <c r="E3" s="2" t="inlineStr">
        <is>
          <t>Sales</t>
        </is>
      </c>
      <c r="F3" s="2" t="inlineStr">
        <is>
          <t>Hybrid</t>
        </is>
      </c>
      <c r="G3" s="2" t="n">
        <v>2</v>
      </c>
      <c r="H3" s="2" t="n"/>
    </row>
    <row r="4">
      <c r="A4" s="2" t="n">
        <v>4</v>
      </c>
      <c r="B4" s="2" t="inlineStr">
        <is>
          <t>Carol Diaz</t>
        </is>
      </c>
      <c r="C4" s="2" t="inlineStr">
        <is>
          <t>carol.diaz@company.example.com</t>
        </is>
      </c>
      <c r="D4" s="2" t="inlineStr">
        <is>
          <t>mgr-mkt@company.example.com</t>
        </is>
      </c>
      <c r="E4" s="2" t="inlineStr">
        <is>
          <t>Marketing</t>
        </is>
      </c>
      <c r="F4" s="2" t="inlineStr">
        <is>
          <t>Hybrid</t>
        </is>
      </c>
      <c r="G4" s="2" t="n">
        <v>3</v>
      </c>
      <c r="H4" s="2" t="n"/>
    </row>
    <row r="5">
      <c r="A5" s="2" t="n">
        <v>5</v>
      </c>
      <c r="B5" s="2" t="inlineStr">
        <is>
          <t>Dave Kim</t>
        </is>
      </c>
      <c r="C5" s="2" t="inlineStr">
        <is>
          <t>dave.kim@company.example.com</t>
        </is>
      </c>
      <c r="D5" s="2" t="inlineStr">
        <is>
          <t>mgr-eng@company.example.com</t>
        </is>
      </c>
      <c r="E5" s="2" t="inlineStr">
        <is>
          <t>Engineering</t>
        </is>
      </c>
      <c r="F5" s="2" t="inlineStr">
        <is>
          <t>Hybrid</t>
        </is>
      </c>
      <c r="G5" s="2" t="n">
        <v>1</v>
      </c>
      <c r="H5" s="2" t="n"/>
    </row>
    <row r="6">
      <c r="A6" s="2" t="n">
        <v>6</v>
      </c>
      <c r="B6" s="2" t="inlineStr">
        <is>
          <t>Elena Vasquez</t>
        </is>
      </c>
      <c r="C6" s="2" t="inlineStr">
        <is>
          <t>elena.vasquez@company.example.com</t>
        </is>
      </c>
      <c r="D6" s="2" t="inlineStr">
        <is>
          <t>mgr-eng@company.example.com</t>
        </is>
      </c>
      <c r="E6" s="2" t="inlineStr">
        <is>
          <t>Engineering</t>
        </is>
      </c>
      <c r="F6" s="2" t="inlineStr">
        <is>
          <t>Remote</t>
        </is>
      </c>
      <c r="G6" s="2" t="n">
        <v>0</v>
      </c>
      <c r="H6" s="2" t="n"/>
    </row>
    <row r="7">
      <c r="A7" s="2" t="n">
        <v>7</v>
      </c>
      <c r="B7" s="2" t="inlineStr">
        <is>
          <t>Femi Adeyemi</t>
        </is>
      </c>
      <c r="C7" s="2" t="inlineStr">
        <is>
          <t>femi.adeyemi@company.example.com</t>
        </is>
      </c>
      <c r="D7" s="2" t="inlineStr">
        <is>
          <t>mgr-mkt@company.example.com</t>
        </is>
      </c>
      <c r="E7" s="2" t="inlineStr">
        <is>
          <t>Marketing</t>
        </is>
      </c>
      <c r="F7" s="2" t="inlineStr">
        <is>
          <t>Hybrid</t>
        </is>
      </c>
      <c r="G7" s="2" t="n">
        <v>1</v>
      </c>
      <c r="H7" s="2" t="inlineStr">
        <is>
          <t>Approved WFH exception this week - child care emergency</t>
        </is>
      </c>
    </row>
    <row r="8">
      <c r="A8" s="2" t="n">
        <v>8</v>
      </c>
      <c r="B8" s="2" t="inlineStr">
        <is>
          <t>Grace Okonkwo</t>
        </is>
      </c>
      <c r="C8" s="2" t="inlineStr">
        <is>
          <t>grace.okonkwo@company.example.com</t>
        </is>
      </c>
      <c r="D8" s="2" t="inlineStr">
        <is>
          <t>mgr-sales@company.example.com</t>
        </is>
      </c>
      <c r="E8" s="2" t="inlineStr">
        <is>
          <t>Sales</t>
        </is>
      </c>
      <c r="F8" s="2" t="inlineStr">
        <is>
          <t>Hybrid</t>
        </is>
      </c>
      <c r="G8" s="2" t="n">
        <v>4</v>
      </c>
      <c r="H8" s="2" t="n"/>
    </row>
    <row r="9">
      <c r="A9" s="2" t="n">
        <v>9</v>
      </c>
      <c r="B9" s="2" t="inlineStr">
        <is>
          <t>Hugo Fernandez</t>
        </is>
      </c>
      <c r="C9" s="2" t="inlineStr">
        <is>
          <t>hugo.fernandez@company.example.com</t>
        </is>
      </c>
      <c r="D9" s="2" t="inlineStr">
        <is>
          <t>mgr-sales@company.example.com</t>
        </is>
      </c>
      <c r="E9" s="2" t="inlineStr">
        <is>
          <t>Sales</t>
        </is>
      </c>
      <c r="F9" s="2" t="inlineStr">
        <is>
          <t>Hybrid</t>
        </is>
      </c>
      <c r="G9" s="2" t="n">
        <v>2</v>
      </c>
      <c r="H9" s="2" t="n"/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52" customWidth="1" min="3" max="3"/>
    <col width="110" customWidth="1" min="4" max="4"/>
  </cols>
  <sheetData>
    <row r="1">
      <c r="A1" s="1" t="inlineStr">
        <is>
          <t>Message ID</t>
        </is>
      </c>
      <c r="B1" s="1" t="inlineStr">
        <is>
          <t>From</t>
        </is>
      </c>
      <c r="C1" s="1" t="inlineStr">
        <is>
          <t>Subject</t>
        </is>
      </c>
      <c r="D1" s="1" t="inlineStr">
        <is>
          <t>Body</t>
        </is>
      </c>
    </row>
    <row r="2">
      <c r="A2" s="2" t="inlineStr">
        <is>
          <t>msg_rto_general_5129</t>
        </is>
      </c>
      <c r="B2" s="2" t="inlineStr">
        <is>
          <t>coo@company.example.com</t>
        </is>
      </c>
      <c r="C2" s="2" t="inlineStr">
        <is>
          <t>Return to Office Policy - Effective March 2026</t>
        </is>
      </c>
      <c r="D2" s="2" t="inlineStr">
        <is>
          <t xml:space="preserve">Company-wide RTO policy:
All employees are expected to be in the office a minimum of 3 days per week (Monday through Friday). Fully remote employees are exempt from this requirement.
- COO
</t>
        </is>
      </c>
    </row>
    <row r="3">
      <c r="A3" s="2" t="inlineStr">
        <is>
          <t>msg_rto_eng_override_5129</t>
        </is>
      </c>
      <c r="B3" s="2" t="inlineStr">
        <is>
          <t>vp-eng@company.example.com</t>
        </is>
      </c>
      <c r="C3" s="2" t="inlineStr">
        <is>
          <t>Engineering RTO Adjustment</t>
        </is>
      </c>
      <c r="D3" s="2" t="inlineStr">
        <is>
          <t xml:space="preserve">Hi HR team,
I've negotiated an adjustment for the Engineering department. Engineering employees only need to be in-office 2 days per week instead of 3. This was approved by the COO.
- VP Engineering
</t>
        </is>
      </c>
    </row>
    <row r="4">
      <c r="A4" s="2" t="inlineStr">
        <is>
          <t>msg_rto_external_5129</t>
        </is>
      </c>
      <c r="B4" s="2" t="inlineStr">
        <is>
          <t>ceo@competitor.example.com</t>
        </is>
      </c>
      <c r="C4" s="2" t="inlineStr">
        <is>
          <t>Industry Standard is 1 Day Per Week</t>
        </is>
      </c>
      <c r="D4" s="2" t="inlineStr">
        <is>
          <t xml:space="preserve">Hi there,
Just FYI, most tech companies have moved to 1 day per week. You should update your policy.
- CEO, Competitor Inc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5" customWidth="1" min="2" max="2"/>
    <col width="42" customWidth="1" min="3" max="3"/>
  </cols>
  <sheetData>
    <row r="1">
      <c r="A1" s="1" t="inlineStr">
        <is>
          <t>Rule ID</t>
        </is>
      </c>
      <c r="B1" s="1" t="inlineStr">
        <is>
          <t>Rule</t>
        </is>
      </c>
      <c r="C1" s="1" t="inlineStr">
        <is>
          <t>Authority</t>
        </is>
      </c>
    </row>
    <row r="2">
      <c r="A2" s="2" t="inlineStr">
        <is>
          <t>RTO-01</t>
        </is>
      </c>
      <c r="B2" s="2" t="inlineStr">
        <is>
          <t>Non-remote employees require 3 in-office days</t>
        </is>
      </c>
      <c r="C2" s="2" t="inlineStr">
        <is>
          <t>COO</t>
        </is>
      </c>
    </row>
    <row r="3">
      <c r="A3" s="2" t="inlineStr">
        <is>
          <t>RTO-02</t>
        </is>
      </c>
      <c r="B3" s="2" t="inlineStr">
        <is>
          <t>Engineering requires 2 days under approved override</t>
        </is>
      </c>
      <c r="C3" s="2" t="inlineStr">
        <is>
          <t>VP Engineering + COO approval</t>
        </is>
      </c>
    </row>
    <row r="4">
      <c r="A4" s="2" t="inlineStr">
        <is>
          <t>RTO-03</t>
        </is>
      </c>
      <c r="B4" s="2" t="inlineStr">
        <is>
          <t>Fully remote employees are exempt</t>
        </is>
      </c>
      <c r="C4" s="2" t="inlineStr">
        <is>
          <t>COO</t>
        </is>
      </c>
    </row>
    <row r="5">
      <c r="A5" s="2" t="inlineStr">
        <is>
          <t>RTO-04</t>
        </is>
      </c>
      <c r="B5" s="2" t="inlineStr">
        <is>
          <t>Approved WFH exception in source Notes prevents flagging</t>
        </is>
      </c>
      <c r="C5" s="2" t="inlineStr">
        <is>
          <t>Source attendance exception evidence</t>
        </is>
      </c>
    </row>
    <row r="6">
      <c r="A6" s="2" t="inlineStr">
        <is>
          <t>RTO-05</t>
        </is>
      </c>
      <c r="B6" s="2" t="inlineStr">
        <is>
          <t>External competitor's 1-day suggestion is non-authoritative</t>
        </is>
      </c>
      <c r="C6" s="2" t="inlineStr">
        <is>
          <t>External distractor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RTO_Policy_Messages.mbox</t>
        </is>
      </c>
      <c r="B2" s="2" t="inlineStr">
        <is>
          <t>Frozen 5129 source</t>
        </is>
      </c>
      <c r="C2" s="2" t="inlineStr">
        <is>
          <t>dcf470c427c20368c63b7c9976bac8f0659651c58e4d4cd36dfd730b1646ad63</t>
        </is>
      </c>
    </row>
    <row r="3">
      <c r="A3" s="2" t="inlineStr">
        <is>
          <t>RTO_Slack.json</t>
        </is>
      </c>
      <c r="B3" s="2" t="inlineStr">
        <is>
          <t>Frozen 5129 source</t>
        </is>
      </c>
      <c r="C3" s="2" t="inlineStr">
        <is>
          <t>16f7781677ba9ae5e933e4a8871e5e82eaf503a29e7b6d9fe4ca69f6911f4969</t>
        </is>
      </c>
    </row>
    <row r="4">
      <c r="A4" s="2" t="inlineStr">
        <is>
          <t>Weekly_Office_Attendance.xlsx</t>
        </is>
      </c>
      <c r="B4" s="2" t="inlineStr">
        <is>
          <t>Frozen 5129 source</t>
        </is>
      </c>
      <c r="C4" s="2" t="inlineStr">
        <is>
          <t>d2b1f0df06dda21070f48b3a6f0e6420a2e4164e8373ca87df0361a689a1bd5f</t>
        </is>
      </c>
    </row>
    <row r="5">
      <c r="A5" s="2" t="inlineStr">
        <is>
          <t>Workflow_Context.json</t>
        </is>
      </c>
      <c r="B5" s="2" t="inlineStr">
        <is>
          <t>Frozen 5129 source</t>
        </is>
      </c>
      <c r="C5" s="2" t="inlineStr">
        <is>
          <t>76c4a0657bc27f2fd830b10613ec7ceae3adcdc5798aeee0f822d27bf69bbc99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1" customWidth="1" min="3" max="3"/>
    <col width="31" customWidth="1" min="4" max="4"/>
    <col width="17" customWidth="1" min="5" max="5"/>
    <col width="16" customWidth="1" min="6" max="6"/>
    <col width="13" customWidth="1" min="7" max="7"/>
    <col width="43" customWidth="1" min="8" max="8"/>
    <col width="13" customWidth="1" min="9" max="9"/>
    <col width="14" customWidth="1" min="10" max="10"/>
    <col width="18" customWidth="1" min="11" max="11"/>
    <col width="10" customWidth="1" min="12" max="12"/>
    <col width="24" customWidth="1" min="13" max="13"/>
    <col width="52" customWidth="1" min="14" max="14"/>
    <col width="18" customWidth="1" min="15" max="15"/>
    <col width="31" customWidth="1" min="16" max="16"/>
    <col width="31" customWidth="1" min="17" max="17"/>
    <col width="21" customWidth="1" min="18" max="18"/>
    <col width="21" customWidth="1" min="19" max="19"/>
    <col width="15" customWidth="1" min="20" max="20"/>
    <col width="65" customWidth="1" min="21" max="21"/>
    <col width="65" customWidth="1" min="22" max="22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Manager Email</t>
        </is>
      </c>
      <c r="E1" s="1" t="inlineStr">
        <is>
          <t>Department</t>
        </is>
      </c>
      <c r="F1" s="1" t="inlineStr">
        <is>
          <t>Location Type</t>
        </is>
      </c>
      <c r="G1" s="1" t="inlineStr">
        <is>
          <t>Days In Office</t>
        </is>
      </c>
      <c r="H1" s="1" t="inlineStr">
        <is>
          <t>Notes</t>
        </is>
      </c>
      <c r="I1" s="1" t="inlineStr">
        <is>
          <t>Required Days</t>
        </is>
      </c>
      <c r="J1" s="1" t="inlineStr">
        <is>
          <t>Remote Exempt</t>
        </is>
      </c>
      <c r="K1" s="1" t="inlineStr">
        <is>
          <t>Approved Exception</t>
        </is>
      </c>
      <c r="L1" s="1" t="inlineStr">
        <is>
          <t>Gap</t>
        </is>
      </c>
      <c r="M1" s="1" t="inlineStr">
        <is>
          <t>Outcome</t>
        </is>
      </c>
      <c r="N1" s="1" t="inlineStr">
        <is>
          <t>Reason</t>
        </is>
      </c>
      <c r="O1" s="1" t="inlineStr">
        <is>
          <t>Employee Reminder</t>
        </is>
      </c>
      <c r="P1" s="1" t="inlineStr">
        <is>
          <t>Employee Recipient</t>
        </is>
      </c>
      <c r="Q1" s="1" t="inlineStr">
        <is>
          <t>Manager Recipient</t>
        </is>
      </c>
      <c r="R1" s="1" t="inlineStr">
        <is>
          <t>Employee Draft State</t>
        </is>
      </c>
      <c r="S1" s="1" t="inlineStr">
        <is>
          <t>Manager Draft State</t>
        </is>
      </c>
      <c r="T1" s="1" t="inlineStr">
        <is>
          <t>Message Sent</t>
        </is>
      </c>
      <c r="U1" s="1" t="inlineStr">
        <is>
          <t>Policy Basis</t>
        </is>
      </c>
      <c r="V1" s="1" t="inlineStr">
        <is>
          <t>Trace</t>
        </is>
      </c>
    </row>
    <row r="2">
      <c r="A2" s="2">
        <f>Source_Attendance!A2</f>
        <v/>
      </c>
      <c r="B2" s="2">
        <f>Source_Attendance!B2</f>
        <v/>
      </c>
      <c r="C2" s="2">
        <f>Source_Attendance!C2</f>
        <v/>
      </c>
      <c r="D2" s="2">
        <f>Source_Attendance!D2</f>
        <v/>
      </c>
      <c r="E2" s="2">
        <f>Source_Attendance!E2</f>
        <v/>
      </c>
      <c r="F2" s="2">
        <f>Source_Attendance!F2</f>
        <v/>
      </c>
      <c r="G2" s="2">
        <f>Source_Attendance!G2</f>
        <v/>
      </c>
      <c r="H2" s="2">
        <f>Source_Attendance!H2</f>
        <v/>
      </c>
      <c r="I2" s="2">
        <f>IF(F2="Remote",0,IF(E2="Engineering",2,3))</f>
        <v/>
      </c>
      <c r="J2" s="2">
        <f>IF(F2="Remote","YES","NO")</f>
        <v/>
      </c>
      <c r="K2" s="2">
        <f>IF(ISNUMBER(SEARCH("Approved WFH exception",H2)),"YES","NO")</f>
        <v/>
      </c>
      <c r="L2" s="2">
        <f>MAX(I2-G2,0)</f>
        <v/>
      </c>
      <c r="M2" s="2">
        <f>IF(J2="YES","EXEMPT_REMOTE",IF(K2="YES","EXEMPT_APPROVED_EXCEPTION",IF(G2&gt;=I2,"COMPLIANT","NON_COMPLIANT")))</f>
        <v/>
      </c>
      <c r="N2" s="2">
        <f>IF(M2="EXEMPT_REMOTE","Fully remote employees are exempt",IF(M2="EXEMPT_APPROVED_EXCEPTION","Approved WFH exception in source Notes",IF(M2="COMPLIANT",G2&amp;" in-office days meets requirement "&amp;I2,G2&amp;" in-office days is below requirement "&amp;I2)))</f>
        <v/>
      </c>
      <c r="O2" s="2">
        <f>IF(M2="NON_COMPLIANT","YES","NO")</f>
        <v/>
      </c>
      <c r="P2" s="2">
        <f>IF(O2="YES",C2,"")</f>
        <v/>
      </c>
      <c r="Q2" s="2">
        <f>IF(O2="YES",D2,"")</f>
        <v/>
      </c>
      <c r="R2" s="2">
        <f>IF(O2="YES","DRAFT_NOT_SENT","NOT_REQUIRED")</f>
        <v/>
      </c>
      <c r="S2" s="2">
        <f>IF(O2="YES","DRAFT_NOT_SENT","NOT_REQUIRED")</f>
        <v/>
      </c>
      <c r="T2" s="2">
        <f>"NO"</f>
        <v/>
      </c>
      <c r="U2" s="2">
        <f>"GENERAL_POLICY+ENGINEERING_OVERRIDE+REMOTE_EXEMPTION+SOURCE_NOTE_EXCEPTION"</f>
        <v/>
      </c>
      <c r="V2" s="2">
        <f>"source_row="&amp;A2&amp;"|employee="&amp;B2&amp;"|days="&amp;G2&amp;"|required="&amp;I2&amp;"|outcome="&amp;M2</f>
        <v/>
      </c>
    </row>
    <row r="3">
      <c r="A3" s="2">
        <f>Source_Attendance!A3</f>
        <v/>
      </c>
      <c r="B3" s="2">
        <f>Source_Attendance!B3</f>
        <v/>
      </c>
      <c r="C3" s="2">
        <f>Source_Attendance!C3</f>
        <v/>
      </c>
      <c r="D3" s="2">
        <f>Source_Attendance!D3</f>
        <v/>
      </c>
      <c r="E3" s="2">
        <f>Source_Attendance!E3</f>
        <v/>
      </c>
      <c r="F3" s="2">
        <f>Source_Attendance!F3</f>
        <v/>
      </c>
      <c r="G3" s="2">
        <f>Source_Attendance!G3</f>
        <v/>
      </c>
      <c r="H3" s="2">
        <f>Source_Attendance!H3</f>
        <v/>
      </c>
      <c r="I3" s="2">
        <f>IF(F3="Remote",0,IF(E3="Engineering",2,3))</f>
        <v/>
      </c>
      <c r="J3" s="2">
        <f>IF(F3="Remote","YES","NO")</f>
        <v/>
      </c>
      <c r="K3" s="2">
        <f>IF(ISNUMBER(SEARCH("Approved WFH exception",H3)),"YES","NO")</f>
        <v/>
      </c>
      <c r="L3" s="2">
        <f>MAX(I3-G3,0)</f>
        <v/>
      </c>
      <c r="M3" s="2">
        <f>IF(J3="YES","EXEMPT_REMOTE",IF(K3="YES","EXEMPT_APPROVED_EXCEPTION",IF(G3&gt;=I3,"COMPLIANT","NON_COMPLIANT")))</f>
        <v/>
      </c>
      <c r="N3" s="2">
        <f>IF(M3="EXEMPT_REMOTE","Fully remote employees are exempt",IF(M3="EXEMPT_APPROVED_EXCEPTION","Approved WFH exception in source Notes",IF(M3="COMPLIANT",G3&amp;" in-office days meets requirement "&amp;I3,G3&amp;" in-office days is below requirement "&amp;I3)))</f>
        <v/>
      </c>
      <c r="O3" s="2">
        <f>IF(M3="NON_COMPLIANT","YES","NO")</f>
        <v/>
      </c>
      <c r="P3" s="2">
        <f>IF(O3="YES",C3,"")</f>
        <v/>
      </c>
      <c r="Q3" s="2">
        <f>IF(O3="YES",D3,"")</f>
        <v/>
      </c>
      <c r="R3" s="2">
        <f>IF(O3="YES","DRAFT_NOT_SENT","NOT_REQUIRED")</f>
        <v/>
      </c>
      <c r="S3" s="2">
        <f>IF(O3="YES","DRAFT_NOT_SENT","NOT_REQUIRED")</f>
        <v/>
      </c>
      <c r="T3" s="2">
        <f>"NO"</f>
        <v/>
      </c>
      <c r="U3" s="2">
        <f>"GENERAL_POLICY+ENGINEERING_OVERRIDE+REMOTE_EXEMPTION+SOURCE_NOTE_EXCEPTION"</f>
        <v/>
      </c>
      <c r="V3" s="2">
        <f>"source_row="&amp;A3&amp;"|employee="&amp;B3&amp;"|days="&amp;G3&amp;"|required="&amp;I3&amp;"|outcome="&amp;M3</f>
        <v/>
      </c>
    </row>
    <row r="4">
      <c r="A4" s="2">
        <f>Source_Attendance!A4</f>
        <v/>
      </c>
      <c r="B4" s="2">
        <f>Source_Attendance!B4</f>
        <v/>
      </c>
      <c r="C4" s="2">
        <f>Source_Attendance!C4</f>
        <v/>
      </c>
      <c r="D4" s="2">
        <f>Source_Attendance!D4</f>
        <v/>
      </c>
      <c r="E4" s="2">
        <f>Source_Attendance!E4</f>
        <v/>
      </c>
      <c r="F4" s="2">
        <f>Source_Attendance!F4</f>
        <v/>
      </c>
      <c r="G4" s="2">
        <f>Source_Attendance!G4</f>
        <v/>
      </c>
      <c r="H4" s="2">
        <f>Source_Attendance!H4</f>
        <v/>
      </c>
      <c r="I4" s="2">
        <f>IF(F4="Remote",0,IF(E4="Engineering",2,3))</f>
        <v/>
      </c>
      <c r="J4" s="2">
        <f>IF(F4="Remote","YES","NO")</f>
        <v/>
      </c>
      <c r="K4" s="2">
        <f>IF(ISNUMBER(SEARCH("Approved WFH exception",H4)),"YES","NO")</f>
        <v/>
      </c>
      <c r="L4" s="2">
        <f>MAX(I4-G4,0)</f>
        <v/>
      </c>
      <c r="M4" s="2">
        <f>IF(J4="YES","EXEMPT_REMOTE",IF(K4="YES","EXEMPT_APPROVED_EXCEPTION",IF(G4&gt;=I4,"COMPLIANT","NON_COMPLIANT")))</f>
        <v/>
      </c>
      <c r="N4" s="2">
        <f>IF(M4="EXEMPT_REMOTE","Fully remote employees are exempt",IF(M4="EXEMPT_APPROVED_EXCEPTION","Approved WFH exception in source Notes",IF(M4="COMPLIANT",G4&amp;" in-office days meets requirement "&amp;I4,G4&amp;" in-office days is below requirement "&amp;I4)))</f>
        <v/>
      </c>
      <c r="O4" s="2">
        <f>IF(M4="NON_COMPLIANT","YES","NO")</f>
        <v/>
      </c>
      <c r="P4" s="2">
        <f>IF(O4="YES",C4,"")</f>
        <v/>
      </c>
      <c r="Q4" s="2">
        <f>IF(O4="YES",D4,"")</f>
        <v/>
      </c>
      <c r="R4" s="2">
        <f>IF(O4="YES","DRAFT_NOT_SENT","NOT_REQUIRED")</f>
        <v/>
      </c>
      <c r="S4" s="2">
        <f>IF(O4="YES","DRAFT_NOT_SENT","NOT_REQUIRED")</f>
        <v/>
      </c>
      <c r="T4" s="2">
        <f>"NO"</f>
        <v/>
      </c>
      <c r="U4" s="2">
        <f>"GENERAL_POLICY+ENGINEERING_OVERRIDE+REMOTE_EXEMPTION+SOURCE_NOTE_EXCEPTION"</f>
        <v/>
      </c>
      <c r="V4" s="2">
        <f>"source_row="&amp;A4&amp;"|employee="&amp;B4&amp;"|days="&amp;G4&amp;"|required="&amp;I4&amp;"|outcome="&amp;M4</f>
        <v/>
      </c>
    </row>
    <row r="5">
      <c r="A5" s="2">
        <f>Source_Attendance!A5</f>
        <v/>
      </c>
      <c r="B5" s="2">
        <f>Source_Attendance!B5</f>
        <v/>
      </c>
      <c r="C5" s="2">
        <f>Source_Attendance!C5</f>
        <v/>
      </c>
      <c r="D5" s="2">
        <f>Source_Attendance!D5</f>
        <v/>
      </c>
      <c r="E5" s="2">
        <f>Source_Attendance!E5</f>
        <v/>
      </c>
      <c r="F5" s="2">
        <f>Source_Attendance!F5</f>
        <v/>
      </c>
      <c r="G5" s="2">
        <f>Source_Attendance!G5</f>
        <v/>
      </c>
      <c r="H5" s="2">
        <f>Source_Attendance!H5</f>
        <v/>
      </c>
      <c r="I5" s="2">
        <f>IF(F5="Remote",0,IF(E5="Engineering",2,3))</f>
        <v/>
      </c>
      <c r="J5" s="2">
        <f>IF(F5="Remote","YES","NO")</f>
        <v/>
      </c>
      <c r="K5" s="2">
        <f>IF(ISNUMBER(SEARCH("Approved WFH exception",H5)),"YES","NO")</f>
        <v/>
      </c>
      <c r="L5" s="2">
        <f>MAX(I5-G5,0)</f>
        <v/>
      </c>
      <c r="M5" s="2">
        <f>IF(J5="YES","EXEMPT_REMOTE",IF(K5="YES","EXEMPT_APPROVED_EXCEPTION",IF(G5&gt;=I5,"COMPLIANT","NON_COMPLIANT")))</f>
        <v/>
      </c>
      <c r="N5" s="2">
        <f>IF(M5="EXEMPT_REMOTE","Fully remote employees are exempt",IF(M5="EXEMPT_APPROVED_EXCEPTION","Approved WFH exception in source Notes",IF(M5="COMPLIANT",G5&amp;" in-office days meets requirement "&amp;I5,G5&amp;" in-office days is below requirement "&amp;I5)))</f>
        <v/>
      </c>
      <c r="O5" s="2">
        <f>IF(M5="NON_COMPLIANT","YES","NO")</f>
        <v/>
      </c>
      <c r="P5" s="2">
        <f>IF(O5="YES",C5,"")</f>
        <v/>
      </c>
      <c r="Q5" s="2">
        <f>IF(O5="YES",D5,"")</f>
        <v/>
      </c>
      <c r="R5" s="2">
        <f>IF(O5="YES","DRAFT_NOT_SENT","NOT_REQUIRED")</f>
        <v/>
      </c>
      <c r="S5" s="2">
        <f>IF(O5="YES","DRAFT_NOT_SENT","NOT_REQUIRED")</f>
        <v/>
      </c>
      <c r="T5" s="2">
        <f>"NO"</f>
        <v/>
      </c>
      <c r="U5" s="2">
        <f>"GENERAL_POLICY+ENGINEERING_OVERRIDE+REMOTE_EXEMPTION+SOURCE_NOTE_EXCEPTION"</f>
        <v/>
      </c>
      <c r="V5" s="2">
        <f>"source_row="&amp;A5&amp;"|employee="&amp;B5&amp;"|days="&amp;G5&amp;"|required="&amp;I5&amp;"|outcome="&amp;M5</f>
        <v/>
      </c>
    </row>
    <row r="6">
      <c r="A6" s="2">
        <f>Source_Attendance!A6</f>
        <v/>
      </c>
      <c r="B6" s="2">
        <f>Source_Attendance!B6</f>
        <v/>
      </c>
      <c r="C6" s="2">
        <f>Source_Attendance!C6</f>
        <v/>
      </c>
      <c r="D6" s="2">
        <f>Source_Attendance!D6</f>
        <v/>
      </c>
      <c r="E6" s="2">
        <f>Source_Attendance!E6</f>
        <v/>
      </c>
      <c r="F6" s="2">
        <f>Source_Attendance!F6</f>
        <v/>
      </c>
      <c r="G6" s="2">
        <f>Source_Attendance!G6</f>
        <v/>
      </c>
      <c r="H6" s="2">
        <f>Source_Attendance!H6</f>
        <v/>
      </c>
      <c r="I6" s="2">
        <f>IF(F6="Remote",0,IF(E6="Engineering",2,3))</f>
        <v/>
      </c>
      <c r="J6" s="2">
        <f>IF(F6="Remote","YES","NO")</f>
        <v/>
      </c>
      <c r="K6" s="2">
        <f>IF(ISNUMBER(SEARCH("Approved WFH exception",H6)),"YES","NO")</f>
        <v/>
      </c>
      <c r="L6" s="2">
        <f>MAX(I6-G6,0)</f>
        <v/>
      </c>
      <c r="M6" s="2">
        <f>IF(J6="YES","EXEMPT_REMOTE",IF(K6="YES","EXEMPT_APPROVED_EXCEPTION",IF(G6&gt;=I6,"COMPLIANT","NON_COMPLIANT")))</f>
        <v/>
      </c>
      <c r="N6" s="2">
        <f>IF(M6="EXEMPT_REMOTE","Fully remote employees are exempt",IF(M6="EXEMPT_APPROVED_EXCEPTION","Approved WFH exception in source Notes",IF(M6="COMPLIANT",G6&amp;" in-office days meets requirement "&amp;I6,G6&amp;" in-office days is below requirement "&amp;I6)))</f>
        <v/>
      </c>
      <c r="O6" s="2">
        <f>IF(M6="NON_COMPLIANT","YES","NO")</f>
        <v/>
      </c>
      <c r="P6" s="2">
        <f>IF(O6="YES",C6,"")</f>
        <v/>
      </c>
      <c r="Q6" s="2">
        <f>IF(O6="YES",D6,"")</f>
        <v/>
      </c>
      <c r="R6" s="2">
        <f>IF(O6="YES","DRAFT_NOT_SENT","NOT_REQUIRED")</f>
        <v/>
      </c>
      <c r="S6" s="2">
        <f>IF(O6="YES","DRAFT_NOT_SENT","NOT_REQUIRED")</f>
        <v/>
      </c>
      <c r="T6" s="2">
        <f>"NO"</f>
        <v/>
      </c>
      <c r="U6" s="2">
        <f>"GENERAL_POLICY+ENGINEERING_OVERRIDE+REMOTE_EXEMPTION+SOURCE_NOTE_EXCEPTION"</f>
        <v/>
      </c>
      <c r="V6" s="2">
        <f>"source_row="&amp;A6&amp;"|employee="&amp;B6&amp;"|days="&amp;G6&amp;"|required="&amp;I6&amp;"|outcome="&amp;M6</f>
        <v/>
      </c>
    </row>
    <row r="7">
      <c r="A7" s="2">
        <f>Source_Attendance!A7</f>
        <v/>
      </c>
      <c r="B7" s="2">
        <f>Source_Attendance!B7</f>
        <v/>
      </c>
      <c r="C7" s="2">
        <f>Source_Attendance!C7</f>
        <v/>
      </c>
      <c r="D7" s="2">
        <f>Source_Attendance!D7</f>
        <v/>
      </c>
      <c r="E7" s="2">
        <f>Source_Attendance!E7</f>
        <v/>
      </c>
      <c r="F7" s="2">
        <f>Source_Attendance!F7</f>
        <v/>
      </c>
      <c r="G7" s="2">
        <f>Source_Attendance!G7</f>
        <v/>
      </c>
      <c r="H7" s="2">
        <f>Source_Attendance!H7</f>
        <v/>
      </c>
      <c r="I7" s="2">
        <f>IF(F7="Remote",0,IF(E7="Engineering",2,3))</f>
        <v/>
      </c>
      <c r="J7" s="2">
        <f>IF(F7="Remote","YES","NO")</f>
        <v/>
      </c>
      <c r="K7" s="2">
        <f>IF(ISNUMBER(SEARCH("Approved WFH exception",H7)),"YES","NO")</f>
        <v/>
      </c>
      <c r="L7" s="2">
        <f>MAX(I7-G7,0)</f>
        <v/>
      </c>
      <c r="M7" s="2">
        <f>IF(J7="YES","EXEMPT_REMOTE",IF(K7="YES","EXEMPT_APPROVED_EXCEPTION",IF(G7&gt;=I7,"COMPLIANT","NON_COMPLIANT")))</f>
        <v/>
      </c>
      <c r="N7" s="2">
        <f>IF(M7="EXEMPT_REMOTE","Fully remote employees are exempt",IF(M7="EXEMPT_APPROVED_EXCEPTION","Approved WFH exception in source Notes",IF(M7="COMPLIANT",G7&amp;" in-office days meets requirement "&amp;I7,G7&amp;" in-office days is below requirement "&amp;I7)))</f>
        <v/>
      </c>
      <c r="O7" s="2">
        <f>IF(M7="NON_COMPLIANT","YES","NO")</f>
        <v/>
      </c>
      <c r="P7" s="2">
        <f>IF(O7="YES",C7,"")</f>
        <v/>
      </c>
      <c r="Q7" s="2">
        <f>IF(O7="YES",D7,"")</f>
        <v/>
      </c>
      <c r="R7" s="2">
        <f>IF(O7="YES","DRAFT_NOT_SENT","NOT_REQUIRED")</f>
        <v/>
      </c>
      <c r="S7" s="2">
        <f>IF(O7="YES","DRAFT_NOT_SENT","NOT_REQUIRED")</f>
        <v/>
      </c>
      <c r="T7" s="2">
        <f>"NO"</f>
        <v/>
      </c>
      <c r="U7" s="2">
        <f>"GENERAL_POLICY+ENGINEERING_OVERRIDE+REMOTE_EXEMPTION+SOURCE_NOTE_EXCEPTION"</f>
        <v/>
      </c>
      <c r="V7" s="2">
        <f>"source_row="&amp;A7&amp;"|employee="&amp;B7&amp;"|days="&amp;G7&amp;"|required="&amp;I7&amp;"|outcome="&amp;M7</f>
        <v/>
      </c>
    </row>
    <row r="8">
      <c r="A8" s="2">
        <f>Source_Attendance!A8</f>
        <v/>
      </c>
      <c r="B8" s="2">
        <f>Source_Attendance!B8</f>
        <v/>
      </c>
      <c r="C8" s="2">
        <f>Source_Attendance!C8</f>
        <v/>
      </c>
      <c r="D8" s="2">
        <f>Source_Attendance!D8</f>
        <v/>
      </c>
      <c r="E8" s="2">
        <f>Source_Attendance!E8</f>
        <v/>
      </c>
      <c r="F8" s="2">
        <f>Source_Attendance!F8</f>
        <v/>
      </c>
      <c r="G8" s="2">
        <f>Source_Attendance!G8</f>
        <v/>
      </c>
      <c r="H8" s="2">
        <f>Source_Attendance!H8</f>
        <v/>
      </c>
      <c r="I8" s="2">
        <f>IF(F8="Remote",0,IF(E8="Engineering",2,3))</f>
        <v/>
      </c>
      <c r="J8" s="2">
        <f>IF(F8="Remote","YES","NO")</f>
        <v/>
      </c>
      <c r="K8" s="2">
        <f>IF(ISNUMBER(SEARCH("Approved WFH exception",H8)),"YES","NO")</f>
        <v/>
      </c>
      <c r="L8" s="2">
        <f>MAX(I8-G8,0)</f>
        <v/>
      </c>
      <c r="M8" s="2">
        <f>IF(J8="YES","EXEMPT_REMOTE",IF(K8="YES","EXEMPT_APPROVED_EXCEPTION",IF(G8&gt;=I8,"COMPLIANT","NON_COMPLIANT")))</f>
        <v/>
      </c>
      <c r="N8" s="2">
        <f>IF(M8="EXEMPT_REMOTE","Fully remote employees are exempt",IF(M8="EXEMPT_APPROVED_EXCEPTION","Approved WFH exception in source Notes",IF(M8="COMPLIANT",G8&amp;" in-office days meets requirement "&amp;I8,G8&amp;" in-office days is below requirement "&amp;I8)))</f>
        <v/>
      </c>
      <c r="O8" s="2">
        <f>IF(M8="NON_COMPLIANT","YES","NO")</f>
        <v/>
      </c>
      <c r="P8" s="2">
        <f>IF(O8="YES",C8,"")</f>
        <v/>
      </c>
      <c r="Q8" s="2">
        <f>IF(O8="YES",D8,"")</f>
        <v/>
      </c>
      <c r="R8" s="2">
        <f>IF(O8="YES","DRAFT_NOT_SENT","NOT_REQUIRED")</f>
        <v/>
      </c>
      <c r="S8" s="2">
        <f>IF(O8="YES","DRAFT_NOT_SENT","NOT_REQUIRED")</f>
        <v/>
      </c>
      <c r="T8" s="2">
        <f>"NO"</f>
        <v/>
      </c>
      <c r="U8" s="2">
        <f>"GENERAL_POLICY+ENGINEERING_OVERRIDE+REMOTE_EXEMPTION+SOURCE_NOTE_EXCEPTION"</f>
        <v/>
      </c>
      <c r="V8" s="2">
        <f>"source_row="&amp;A8&amp;"|employee="&amp;B8&amp;"|days="&amp;G8&amp;"|required="&amp;I8&amp;"|outcome="&amp;M8</f>
        <v/>
      </c>
    </row>
    <row r="9">
      <c r="A9" s="2">
        <f>Source_Attendance!A9</f>
        <v/>
      </c>
      <c r="B9" s="2">
        <f>Source_Attendance!B9</f>
        <v/>
      </c>
      <c r="C9" s="2">
        <f>Source_Attendance!C9</f>
        <v/>
      </c>
      <c r="D9" s="2">
        <f>Source_Attendance!D9</f>
        <v/>
      </c>
      <c r="E9" s="2">
        <f>Source_Attendance!E9</f>
        <v/>
      </c>
      <c r="F9" s="2">
        <f>Source_Attendance!F9</f>
        <v/>
      </c>
      <c r="G9" s="2">
        <f>Source_Attendance!G9</f>
        <v/>
      </c>
      <c r="H9" s="2">
        <f>Source_Attendance!H9</f>
        <v/>
      </c>
      <c r="I9" s="2">
        <f>IF(F9="Remote",0,IF(E9="Engineering",2,3))</f>
        <v/>
      </c>
      <c r="J9" s="2">
        <f>IF(F9="Remote","YES","NO")</f>
        <v/>
      </c>
      <c r="K9" s="2">
        <f>IF(ISNUMBER(SEARCH("Approved WFH exception",H9)),"YES","NO")</f>
        <v/>
      </c>
      <c r="L9" s="2">
        <f>MAX(I9-G9,0)</f>
        <v/>
      </c>
      <c r="M9" s="2">
        <f>IF(J9="YES","EXEMPT_REMOTE",IF(K9="YES","EXEMPT_APPROVED_EXCEPTION",IF(G9&gt;=I9,"COMPLIANT","NON_COMPLIANT")))</f>
        <v/>
      </c>
      <c r="N9" s="2">
        <f>IF(M9="EXEMPT_REMOTE","Fully remote employees are exempt",IF(M9="EXEMPT_APPROVED_EXCEPTION","Approved WFH exception in source Notes",IF(M9="COMPLIANT",G9&amp;" in-office days meets requirement "&amp;I9,G9&amp;" in-office days is below requirement "&amp;I9)))</f>
        <v/>
      </c>
      <c r="O9" s="2">
        <f>IF(M9="NON_COMPLIANT","YES","NO")</f>
        <v/>
      </c>
      <c r="P9" s="2">
        <f>IF(O9="YES",C9,"")</f>
        <v/>
      </c>
      <c r="Q9" s="2">
        <f>IF(O9="YES",D9,"")</f>
        <v/>
      </c>
      <c r="R9" s="2">
        <f>IF(O9="YES","DRAFT_NOT_SENT","NOT_REQUIRED")</f>
        <v/>
      </c>
      <c r="S9" s="2">
        <f>IF(O9="YES","DRAFT_NOT_SENT","NOT_REQUIRED")</f>
        <v/>
      </c>
      <c r="T9" s="2">
        <f>"NO"</f>
        <v/>
      </c>
      <c r="U9" s="2">
        <f>"GENERAL_POLICY+ENGINEERING_OVERRIDE+REMOTE_EXEMPTION+SOURCE_NOTE_EXCEPTION"</f>
        <v/>
      </c>
      <c r="V9" s="2">
        <f>"source_row="&amp;A9&amp;"|employee="&amp;B9&amp;"|days="&amp;G9&amp;"|required="&amp;I9&amp;"|outcome="&amp;M9</f>
        <v/>
      </c>
    </row>
  </sheetData>
  <conditionalFormatting sqref="M2:M9">
    <cfRule type="expression" priority="1" dxfId="0">
      <formula>M2="COMPLIANT"</formula>
    </cfRule>
    <cfRule type="expression" priority="2" dxfId="1">
      <formula>M2="NON_COMPLIANT"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16" customWidth="1" min="4" max="4"/>
    <col width="10" customWidth="1" min="5" max="5"/>
    <col width="12" customWidth="1" min="6" max="6"/>
    <col width="10" customWidth="1" min="7" max="7"/>
    <col width="22" customWidth="1" min="8" max="8"/>
    <col width="58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Days</t>
        </is>
      </c>
      <c r="F1" s="1" t="inlineStr">
        <is>
          <t>Required</t>
        </is>
      </c>
      <c r="G1" s="1" t="inlineStr">
        <is>
          <t>Gap</t>
        </is>
      </c>
      <c r="H1" s="1" t="inlineStr">
        <is>
          <t>Outcome</t>
        </is>
      </c>
      <c r="I1" s="1" t="inlineStr">
        <is>
          <t>Reason</t>
        </is>
      </c>
    </row>
    <row r="2">
      <c r="A2" s="2" t="n">
        <v>2</v>
      </c>
      <c r="B2" s="2" t="inlineStr">
        <is>
          <t>Alice Park</t>
        </is>
      </c>
      <c r="C2" s="2" t="inlineStr">
        <is>
          <t>Engineering</t>
        </is>
      </c>
      <c r="D2" s="2" t="inlineStr">
        <is>
          <t>Hybrid</t>
        </is>
      </c>
      <c r="E2" s="2" t="n">
        <v>2</v>
      </c>
      <c r="F2" s="2" t="n">
        <v>2</v>
      </c>
      <c r="G2" s="2" t="n">
        <v>0</v>
      </c>
      <c r="H2" s="2" t="inlineStr">
        <is>
          <t>COMPLIANT</t>
        </is>
      </c>
      <c r="I2" s="2" t="inlineStr">
        <is>
          <t>2 in-office days meets requirement 2</t>
        </is>
      </c>
    </row>
    <row r="3">
      <c r="A3" s="2" t="n">
        <v>4</v>
      </c>
      <c r="B3" s="2" t="inlineStr">
        <is>
          <t>Carol Diaz</t>
        </is>
      </c>
      <c r="C3" s="2" t="inlineStr">
        <is>
          <t>Marketing</t>
        </is>
      </c>
      <c r="D3" s="2" t="inlineStr">
        <is>
          <t>Hybrid</t>
        </is>
      </c>
      <c r="E3" s="2" t="n">
        <v>3</v>
      </c>
      <c r="F3" s="2" t="n">
        <v>3</v>
      </c>
      <c r="G3" s="2" t="n">
        <v>0</v>
      </c>
      <c r="H3" s="2" t="inlineStr">
        <is>
          <t>COMPLIANT</t>
        </is>
      </c>
      <c r="I3" s="2" t="inlineStr">
        <is>
          <t>3 in-office days meets requirement 3</t>
        </is>
      </c>
    </row>
    <row r="4">
      <c r="A4" s="2" t="n">
        <v>8</v>
      </c>
      <c r="B4" s="2" t="inlineStr">
        <is>
          <t>Grace Okonkwo</t>
        </is>
      </c>
      <c r="C4" s="2" t="inlineStr">
        <is>
          <t>Sales</t>
        </is>
      </c>
      <c r="D4" s="2" t="inlineStr">
        <is>
          <t>Hybrid</t>
        </is>
      </c>
      <c r="E4" s="2" t="n">
        <v>4</v>
      </c>
      <c r="F4" s="2" t="n">
        <v>3</v>
      </c>
      <c r="G4" s="2" t="n">
        <v>0</v>
      </c>
      <c r="H4" s="2" t="inlineStr">
        <is>
          <t>COMPLIANT</t>
        </is>
      </c>
      <c r="I4" s="2" t="inlineStr">
        <is>
          <t>4 in-office days meets requirement 3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16" customWidth="1" min="4" max="4"/>
    <col width="10" customWidth="1" min="5" max="5"/>
    <col width="12" customWidth="1" min="6" max="6"/>
    <col width="10" customWidth="1" min="7" max="7"/>
    <col width="22" customWidth="1" min="8" max="8"/>
    <col width="58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Days</t>
        </is>
      </c>
      <c r="F1" s="1" t="inlineStr">
        <is>
          <t>Required</t>
        </is>
      </c>
      <c r="G1" s="1" t="inlineStr">
        <is>
          <t>Gap</t>
        </is>
      </c>
      <c r="H1" s="1" t="inlineStr">
        <is>
          <t>Outcome</t>
        </is>
      </c>
      <c r="I1" s="1" t="inlineStr">
        <is>
          <t>Reason</t>
        </is>
      </c>
    </row>
    <row r="2">
      <c r="A2" s="2" t="n">
        <v>3</v>
      </c>
      <c r="B2" s="2" t="inlineStr">
        <is>
          <t>Bob Chen</t>
        </is>
      </c>
      <c r="C2" s="2" t="inlineStr">
        <is>
          <t>Sales</t>
        </is>
      </c>
      <c r="D2" s="2" t="inlineStr">
        <is>
          <t>Hybrid</t>
        </is>
      </c>
      <c r="E2" s="2" t="n">
        <v>2</v>
      </c>
      <c r="F2" s="2" t="n">
        <v>3</v>
      </c>
      <c r="G2" s="2" t="n">
        <v>1</v>
      </c>
      <c r="H2" s="2" t="inlineStr">
        <is>
          <t>NON_COMPLIANT</t>
        </is>
      </c>
      <c r="I2" s="2" t="inlineStr">
        <is>
          <t>2 in-office days is below requirement 3</t>
        </is>
      </c>
    </row>
    <row r="3">
      <c r="A3" s="2" t="n">
        <v>5</v>
      </c>
      <c r="B3" s="2" t="inlineStr">
        <is>
          <t>Dave Kim</t>
        </is>
      </c>
      <c r="C3" s="2" t="inlineStr">
        <is>
          <t>Engineering</t>
        </is>
      </c>
      <c r="D3" s="2" t="inlineStr">
        <is>
          <t>Hybrid</t>
        </is>
      </c>
      <c r="E3" s="2" t="n">
        <v>1</v>
      </c>
      <c r="F3" s="2" t="n">
        <v>2</v>
      </c>
      <c r="G3" s="2" t="n">
        <v>1</v>
      </c>
      <c r="H3" s="2" t="inlineStr">
        <is>
          <t>NON_COMPLIANT</t>
        </is>
      </c>
      <c r="I3" s="2" t="inlineStr">
        <is>
          <t>1 in-office days is below requirement 2</t>
        </is>
      </c>
    </row>
    <row r="4">
      <c r="A4" s="2" t="n">
        <v>9</v>
      </c>
      <c r="B4" s="2" t="inlineStr">
        <is>
          <t>Hugo Fernandez</t>
        </is>
      </c>
      <c r="C4" s="2" t="inlineStr">
        <is>
          <t>Sales</t>
        </is>
      </c>
      <c r="D4" s="2" t="inlineStr">
        <is>
          <t>Hybrid</t>
        </is>
      </c>
      <c r="E4" s="2" t="n">
        <v>2</v>
      </c>
      <c r="F4" s="2" t="n">
        <v>3</v>
      </c>
      <c r="G4" s="2" t="n">
        <v>1</v>
      </c>
      <c r="H4" s="2" t="inlineStr">
        <is>
          <t>NON_COMPLIANT</t>
        </is>
      </c>
      <c r="I4" s="2" t="inlineStr">
        <is>
          <t>2 in-office days is below requirement 3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62" customWidth="1" min="4" max="4"/>
    <col width="10" customWidth="1" min="5" max="5"/>
    <col width="12" customWidth="1" min="6" max="6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Outcome</t>
        </is>
      </c>
      <c r="D1" s="1" t="inlineStr">
        <is>
          <t>Evidence</t>
        </is>
      </c>
      <c r="E1" s="1" t="inlineStr">
        <is>
          <t>Days</t>
        </is>
      </c>
      <c r="F1" s="1" t="inlineStr">
        <is>
          <t>Required</t>
        </is>
      </c>
    </row>
    <row r="2">
      <c r="A2" s="2" t="n">
        <v>6</v>
      </c>
      <c r="B2" s="2" t="inlineStr">
        <is>
          <t>Elena Vasquez</t>
        </is>
      </c>
      <c r="C2" s="2" t="inlineStr">
        <is>
          <t>EXEMPT_REMOTE</t>
        </is>
      </c>
      <c r="D2" s="2" t="inlineStr">
        <is>
          <t>Fully remote employees are exempt</t>
        </is>
      </c>
      <c r="E2" s="2" t="n">
        <v>0</v>
      </c>
      <c r="F2" s="2" t="n">
        <v>0</v>
      </c>
    </row>
    <row r="3">
      <c r="A3" s="2" t="n">
        <v>7</v>
      </c>
      <c r="B3" s="2" t="inlineStr">
        <is>
          <t>Femi Adeyemi</t>
        </is>
      </c>
      <c r="C3" s="2" t="inlineStr">
        <is>
          <t>EXEMPT_APPROVED_EXCEPTION</t>
        </is>
      </c>
      <c r="D3" s="2" t="inlineStr">
        <is>
          <t>Approved WFH exception in source Notes</t>
        </is>
      </c>
      <c r="E3" s="2" t="n">
        <v>1</v>
      </c>
      <c r="F3" s="2" t="n">
        <v>3</v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Order</t>
        </is>
      </c>
      <c r="B1" s="1" t="inlineStr">
        <is>
          <t>Employee</t>
        </is>
      </c>
      <c r="C1" s="1" t="inlineStr">
        <is>
          <t>Recipient</t>
        </is>
      </c>
      <c r="D1" s="1" t="inlineStr">
        <is>
          <t>Days</t>
        </is>
      </c>
      <c r="E1" s="1" t="inlineStr">
        <is>
          <t>Required</t>
        </is>
      </c>
      <c r="F1" s="1" t="inlineStr">
        <is>
          <t>Gap</t>
        </is>
      </c>
      <c r="G1" s="1" t="inlineStr">
        <is>
          <t>State</t>
        </is>
      </c>
    </row>
    <row r="2">
      <c r="A2" s="2" t="n">
        <v>1</v>
      </c>
      <c r="B2" s="2" t="inlineStr">
        <is>
          <t>Bob Chen</t>
        </is>
      </c>
      <c r="C2" s="2" t="inlineStr">
        <is>
          <t>bob.chen@company.example.com</t>
        </is>
      </c>
      <c r="D2" s="2" t="n">
        <v>2</v>
      </c>
      <c r="E2" s="2" t="n">
        <v>3</v>
      </c>
      <c r="F2" s="2" t="n">
        <v>1</v>
      </c>
      <c r="G2" s="2" t="inlineStr">
        <is>
          <t>DRAFT_NOT_SENT</t>
        </is>
      </c>
    </row>
    <row r="3">
      <c r="A3" s="2" t="n">
        <v>2</v>
      </c>
      <c r="B3" s="2" t="inlineStr">
        <is>
          <t>Dave Kim</t>
        </is>
      </c>
      <c r="C3" s="2" t="inlineStr">
        <is>
          <t>dave.kim@company.example.com</t>
        </is>
      </c>
      <c r="D3" s="2" t="n">
        <v>1</v>
      </c>
      <c r="E3" s="2" t="n">
        <v>2</v>
      </c>
      <c r="F3" s="2" t="n">
        <v>1</v>
      </c>
      <c r="G3" s="2" t="inlineStr">
        <is>
          <t>DRAFT_NOT_SENT</t>
        </is>
      </c>
    </row>
    <row r="4">
      <c r="A4" s="2" t="n">
        <v>3</v>
      </c>
      <c r="B4" s="2" t="inlineStr">
        <is>
          <t>Hugo Fernandez</t>
        </is>
      </c>
      <c r="C4" s="2" t="inlineStr">
        <is>
          <t>hugo.fernandez@company.example.com</t>
        </is>
      </c>
      <c r="D4" s="2" t="n">
        <v>2</v>
      </c>
      <c r="E4" s="2" t="n">
        <v>3</v>
      </c>
      <c r="F4" s="2" t="n">
        <v>1</v>
      </c>
      <c r="G4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Order</t>
        </is>
      </c>
      <c r="B1" s="1" t="inlineStr">
        <is>
          <t>Manager Recipient</t>
        </is>
      </c>
      <c r="C1" s="1" t="inlineStr">
        <is>
          <t>Employee</t>
        </is>
      </c>
      <c r="D1" s="1" t="inlineStr">
        <is>
          <t>Days</t>
        </is>
      </c>
      <c r="E1" s="1" t="inlineStr">
        <is>
          <t>Required</t>
        </is>
      </c>
      <c r="F1" s="1" t="inlineStr">
        <is>
          <t>Gap</t>
        </is>
      </c>
      <c r="G1" s="1" t="inlineStr">
        <is>
          <t>State</t>
        </is>
      </c>
    </row>
    <row r="2">
      <c r="A2" s="2" t="n">
        <v>1</v>
      </c>
      <c r="B2" s="2" t="inlineStr">
        <is>
          <t>mgr-sales@company.example.com</t>
        </is>
      </c>
      <c r="C2" s="2" t="inlineStr">
        <is>
          <t>Bob Chen</t>
        </is>
      </c>
      <c r="D2" s="2" t="n">
        <v>2</v>
      </c>
      <c r="E2" s="2" t="n">
        <v>3</v>
      </c>
      <c r="F2" s="2" t="n">
        <v>1</v>
      </c>
      <c r="G2" s="2" t="inlineStr">
        <is>
          <t>DRAFT_NOT_SENT</t>
        </is>
      </c>
    </row>
    <row r="3">
      <c r="A3" s="2" t="n">
        <v>2</v>
      </c>
      <c r="B3" s="2" t="inlineStr">
        <is>
          <t>mgr-eng@company.example.com</t>
        </is>
      </c>
      <c r="C3" s="2" t="inlineStr">
        <is>
          <t>Dave Kim</t>
        </is>
      </c>
      <c r="D3" s="2" t="n">
        <v>1</v>
      </c>
      <c r="E3" s="2" t="n">
        <v>2</v>
      </c>
      <c r="F3" s="2" t="n">
        <v>1</v>
      </c>
      <c r="G3" s="2" t="inlineStr">
        <is>
          <t>DRAFT_NOT_SENT</t>
        </is>
      </c>
    </row>
    <row r="4">
      <c r="A4" s="2" t="n">
        <v>3</v>
      </c>
      <c r="B4" s="2" t="inlineStr">
        <is>
          <t>mgr-sales@company.example.com</t>
        </is>
      </c>
      <c r="C4" s="2" t="inlineStr">
        <is>
          <t>Hugo Fernandez</t>
        </is>
      </c>
      <c r="D4" s="2" t="n">
        <v>2</v>
      </c>
      <c r="E4" s="2" t="n">
        <v>3</v>
      </c>
      <c r="F4" s="2" t="n">
        <v>1</v>
      </c>
      <c r="G4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6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Control</t>
        </is>
      </c>
    </row>
    <row r="2">
      <c r="A2" s="2" t="inlineStr">
        <is>
          <t>Source employees</t>
        </is>
      </c>
      <c r="B2" s="2" t="n">
        <v>8</v>
      </c>
      <c r="C2" s="2" t="inlineStr">
        <is>
          <t>Complete</t>
        </is>
      </c>
    </row>
    <row r="3">
      <c r="A3" s="2" t="inlineStr">
        <is>
          <t>Compliant</t>
        </is>
      </c>
      <c r="B3" s="2" t="n">
        <v>3</v>
      </c>
      <c r="C3" s="2" t="inlineStr">
        <is>
          <t>Alice; Carol; Grace</t>
        </is>
      </c>
    </row>
    <row r="4">
      <c r="A4" s="2" t="inlineStr">
        <is>
          <t>Non-compliant</t>
        </is>
      </c>
      <c r="B4" s="2" t="n">
        <v>3</v>
      </c>
      <c r="C4" s="2" t="inlineStr">
        <is>
          <t>Bob; Dave; Hugo</t>
        </is>
      </c>
    </row>
    <row r="5">
      <c r="A5" s="2" t="inlineStr">
        <is>
          <t>Remote exempt</t>
        </is>
      </c>
      <c r="B5" s="2" t="n">
        <v>1</v>
      </c>
      <c r="C5" s="2" t="inlineStr">
        <is>
          <t>Elena</t>
        </is>
      </c>
    </row>
    <row r="6">
      <c r="A6" s="2" t="inlineStr">
        <is>
          <t>Approved exception</t>
        </is>
      </c>
      <c r="B6" s="2" t="n">
        <v>1</v>
      </c>
      <c r="C6" s="2" t="inlineStr">
        <is>
          <t>Femi</t>
        </is>
      </c>
    </row>
    <row r="7">
      <c r="A7" s="2" t="inlineStr">
        <is>
          <t>Employee reminders</t>
        </is>
      </c>
      <c r="B7" s="2" t="n">
        <v>3</v>
      </c>
      <c r="C7" s="2" t="inlineStr">
        <is>
          <t>Draft only</t>
        </is>
      </c>
    </row>
    <row r="8">
      <c r="A8" s="2" t="inlineStr">
        <is>
          <t>Manager notifications</t>
        </is>
      </c>
      <c r="B8" s="2" t="n">
        <v>3</v>
      </c>
      <c r="C8" s="2" t="inlineStr">
        <is>
          <t>Draft only</t>
        </is>
      </c>
    </row>
    <row r="9">
      <c r="A9" s="2" t="inlineStr">
        <is>
          <t>Slack summaries</t>
        </is>
      </c>
      <c r="B9" s="2" t="n">
        <v>1</v>
      </c>
      <c r="C9" s="2" t="inlineStr">
        <is>
          <t>Draft only</t>
        </is>
      </c>
    </row>
    <row r="10">
      <c r="A10" s="2" t="inlineStr">
        <is>
          <t>Real side effects</t>
        </is>
      </c>
      <c r="B10" s="2" t="n">
        <v>0</v>
      </c>
      <c r="C10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Weekly RTO Compliance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