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drawings/drawing1.xml" ContentType="application/vnd.openxmlformats-officedocument.drawing+xml"/>
  <Override PartName="/xl/tables/table12.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Acknowledgments" sheetId="1" state="visible" r:id="rId1"/>
    <sheet xmlns:r="http://schemas.openxmlformats.org/officeDocument/2006/relationships" name="Source_Policy" sheetId="2" state="visible" r:id="rId2"/>
    <sheet xmlns:r="http://schemas.openxmlformats.org/officeDocument/2006/relationships" name="Policy_Rules" sheetId="3" state="visible" r:id="rId3"/>
    <sheet xmlns:r="http://schemas.openxmlformats.org/officeDocument/2006/relationships" name="Evidence_Register" sheetId="4" state="visible" r:id="rId4"/>
    <sheet xmlns:r="http://schemas.openxmlformats.org/officeDocument/2006/relationships" name="Compliance_Decisions" sheetId="5" state="visible" r:id="rId5"/>
    <sheet xmlns:r="http://schemas.openxmlformats.org/officeDocument/2006/relationships" name="Compliant" sheetId="6" state="visible" r:id="rId6"/>
    <sheet xmlns:r="http://schemas.openxmlformats.org/officeDocument/2006/relationships" name="Escalations" sheetId="7" state="visible" r:id="rId7"/>
    <sheet xmlns:r="http://schemas.openxmlformats.org/officeDocument/2006/relationships" name="Leave_Exemption" sheetId="8" state="visible" r:id="rId8"/>
    <sheet xmlns:r="http://schemas.openxmlformats.org/officeDocument/2006/relationships" name="Employee_Manager_Comms" sheetId="9" state="visible" r:id="rId9"/>
    <sheet xmlns:r="http://schemas.openxmlformats.org/officeDocument/2006/relationships" name="HR_Director_Escalation" sheetId="10" state="visible" r:id="rId10"/>
    <sheet xmlns:r="http://schemas.openxmlformats.org/officeDocument/2006/relationships" name="Slack_Control" sheetId="11" state="visible" r:id="rId11"/>
    <sheet xmlns:r="http://schemas.openxmlformats.org/officeDocument/2006/relationships" name="Control_Summary" sheetId="12" state="visible" r:id="rId12"/>
  </sheets>
  <definedNames>
    <definedName name="_xlnm.Print_Area" localSheetId="0">'Source_Acknowledgments'!$A$1:$G$9</definedName>
    <definedName name="_xlnm.Print_Area" localSheetId="1">'Source_Policy'!$A$1:$D$2</definedName>
    <definedName name="_xlnm.Print_Area" localSheetId="2">'Policy_Rules'!$A$1:$B$8</definedName>
    <definedName name="_xlnm.Print_Area" localSheetId="3">'Evidence_Register'!$A$1:$C$5</definedName>
    <definedName name="_xlnm.Print_Area" localSheetId="4">'Compliance_Decisions'!$A$1:$Y$9</definedName>
    <definedName name="_xlnm.Print_Area" localSheetId="5">'Compliant'!$A$1:$G$4</definedName>
    <definedName name="_xlnm.Print_Area" localSheetId="6">'Escalations'!$A$1:$G$5</definedName>
    <definedName name="_xlnm.Print_Area" localSheetId="7">'Leave_Exemption'!$A$1:$G$2</definedName>
    <definedName name="_xlnm.Print_Area" localSheetId="8">'Employee_Manager_Comms'!$A$1:$F$5</definedName>
    <definedName name="_xlnm.Print_Area" localSheetId="9">'HR_Director_Escalation'!$A$1:$D$2</definedName>
    <definedName name="_xlnm.Print_Area" localSheetId="10">'Slack_Control'!$A$1:$F$2</definedName>
    <definedName name="_xlnm.Print_Area" localSheetId="11">'Control_Summary'!$A$1:$C$9</definedName>
  </definedNames>
  <calcPr calcId="124519" calcMode="auto" fullCalcOnLoad="1" forceFullCalc="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name val="Carlito"/>
      <b val="1"/>
      <color rgb="00FFFFFF"/>
      <sz val="9"/>
    </font>
    <font>
      <name val="Carlito"/>
      <sz val="8"/>
    </font>
  </fonts>
  <fills count="3">
    <fill>
      <patternFill/>
    </fill>
    <fill>
      <patternFill patternType="gray125"/>
    </fill>
    <fill>
      <patternFill patternType="solid">
        <fgColor rgb="0017365D"/>
      </patternFill>
    </fill>
  </fills>
  <borders count="3">
    <border>
      <left/>
      <right/>
      <top/>
      <bottom/>
      <diagonal/>
    </border>
    <border>
      <bottom style="thin">
        <color rgb="00B7C9D6"/>
      </bottom>
    </border>
    <border>
      <bottom style="hair">
        <color rgb="00D9E2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2" applyAlignment="1" pivotButton="0" quotePrefix="0" xfId="0">
      <alignment vertical="top" wrapText="1"/>
    </xf>
    <xf numFmtId="164" fontId="2" fillId="0" borderId="2"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Handbook compliance disposition</a:t>
            </a:r>
          </a:p>
        </rich>
      </tx>
    </title>
    <plotArea>
      <barChart>
        <barDir val="col"/>
        <grouping val="clustered"/>
        <ser>
          <idx val="0"/>
          <order val="0"/>
          <spPr>
            <a:ln xmlns:a="http://schemas.openxmlformats.org/drawingml/2006/main">
              <a:prstDash val="solid"/>
            </a:ln>
          </spPr>
          <cat>
            <numRef>
              <f>'Control_Summary'!$A$2:$A$5</f>
            </numRef>
          </cat>
          <val>
            <numRef>
              <f>'Control_Summary'!$B$2:$B$5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Count</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3600000" cy="21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SourceAcknowledgments" displayName="SourceAcknowledgments" ref="A1:G9" headerRowCount="1">
  <autoFilter ref="A1:G9"/>
  <tableColumns count="7">
    <tableColumn id="1" name="Source Row"/>
    <tableColumn id="2" name="Employee"/>
    <tableColumn id="3" name="Email"/>
    <tableColumn id="4" name="Manager Email"/>
    <tableColumn id="5" name="Acknowledgment Date"/>
    <tableColumn id="6" name="Status"/>
    <tableColumn id="7" name="Notes"/>
  </tableColumns>
  <tableStyleInfo name="TableStyleMedium2" showRowStripes="1"/>
</table>
</file>

<file path=xl/tables/table2.xml><?xml version="1.0" encoding="utf-8"?>
<table xmlns="http://schemas.openxmlformats.org/spreadsheetml/2006/main" id="2" name="SourcePolicy" displayName="SourcePolicy" ref="A1:D2" headerRowCount="1">
  <autoFilter ref="A1:D2"/>
  <tableColumns count="4">
    <tableColumn id="1" name="Message ID"/>
    <tableColumn id="2" name="From"/>
    <tableColumn id="3" name="Subject"/>
    <tableColumn id="4" name="Body"/>
  </tableColumns>
  <tableStyleInfo name="TableStyleMedium2" showRowStripes="1"/>
</table>
</file>

<file path=xl/tables/table3.xml><?xml version="1.0" encoding="utf-8"?>
<table xmlns="http://schemas.openxmlformats.org/spreadsheetml/2006/main" id="3" name="PolicyRules" displayName="PolicyRules" ref="A1:B8" headerRowCount="1">
  <autoFilter ref="A1:B8"/>
  <tableColumns count="2">
    <tableColumn id="1" name="Rule"/>
    <tableColumn id="2" name="Requirement"/>
  </tableColumns>
  <tableStyleInfo name="TableStyleMedium2" showRowStripes="1"/>
</table>
</file>

<file path=xl/tables/table4.xml><?xml version="1.0" encoding="utf-8"?>
<table xmlns="http://schemas.openxmlformats.org/spreadsheetml/2006/main" id="4" name="EvidenceRegister" displayName="EvidenceRegister" ref="A1:C5" headerRowCount="1">
  <autoFilter ref="A1:C5"/>
  <tableColumns count="3">
    <tableColumn id="1" name="Evidence"/>
    <tableColumn id="2" name="Supports"/>
    <tableColumn id="3" name="SHA256"/>
  </tableColumns>
  <tableStyleInfo name="TableStyleMedium2" showRowStripes="1"/>
</table>
</file>

<file path=xl/tables/table5.xml><?xml version="1.0" encoding="utf-8"?>
<table xmlns="http://schemas.openxmlformats.org/spreadsheetml/2006/main" id="5" name="ComplianceDecisions" displayName="ComplianceDecisions" ref="A1:Y9" headerRowCount="1">
  <autoFilter ref="A1:Y9"/>
  <tableColumns count="25">
    <tableColumn id="1" name="Source Row"/>
    <tableColumn id="2" name="Employee"/>
    <tableColumn id="3" name="Email"/>
    <tableColumn id="4" name="Manager Email"/>
    <tableColumn id="5" name="Acknowledgment Date"/>
    <tableColumn id="6" name="Status"/>
    <tableColumn id="7" name="Notes"/>
    <tableColumn id="8" name="Distribution Date"/>
    <tableColumn id="9" name="Deadline"/>
    <tableColumn id="10" name="Review Date"/>
    <tableColumn id="11" name="Valid Current Ack"/>
    <tableColumn id="12" name="Approved Leave"/>
    <tableColumn id="13" name="Exempt Until"/>
    <tableColumn id="14" name="Outcome"/>
    <tableColumn id="15" name="Reason"/>
    <tableColumn id="16" name="Reminder Required"/>
    <tableColumn id="17" name="Employee Recipient"/>
    <tableColumn id="18" name="Manager Cc"/>
    <tableColumn id="19" name="Employee Draft State"/>
    <tableColumn id="20" name="Escalation Required"/>
    <tableColumn id="21" name="HR Director Draft State"/>
    <tableColumn id="22" name="Email Sent"/>
    <tableColumn id="23" name="Slack State"/>
    <tableColumn id="24" name="Policy Basis"/>
    <tableColumn id="25" name="Trace"/>
  </tableColumns>
  <tableStyleInfo name="TableStyleMedium2" showRowStripes="1"/>
</table>
</file>

<file path=xl/tables/table6.xml><?xml version="1.0" encoding="utf-8"?>
<table xmlns="http://schemas.openxmlformats.org/spreadsheetml/2006/main" id="6" name="CompliantRows" displayName="CompliantRows" ref="A1:G4" headerRowCount="1">
  <autoFilter ref="A1:G4"/>
  <tableColumns count="7">
    <tableColumn id="1" name="Row"/>
    <tableColumn id="2" name="Employee"/>
    <tableColumn id="3" name="Ack Date"/>
    <tableColumn id="4" name="Source Status"/>
    <tableColumn id="5" name="Outcome"/>
    <tableColumn id="6" name="Reason"/>
    <tableColumn id="7" name="Exempt Until"/>
  </tableColumns>
  <tableStyleInfo name="TableStyleMedium2" showRowStripes="1"/>
</table>
</file>

<file path=xl/tables/table7.xml><?xml version="1.0" encoding="utf-8"?>
<table xmlns="http://schemas.openxmlformats.org/spreadsheetml/2006/main" id="7" name="EscalationRows" displayName="EscalationRows" ref="A1:G5" headerRowCount="1">
  <autoFilter ref="A1:G5"/>
  <tableColumns count="7">
    <tableColumn id="1" name="Row"/>
    <tableColumn id="2" name="Employee"/>
    <tableColumn id="3" name="Ack Date"/>
    <tableColumn id="4" name="Source Status"/>
    <tableColumn id="5" name="Outcome"/>
    <tableColumn id="6" name="Reason"/>
    <tableColumn id="7" name="Exempt Until"/>
  </tableColumns>
  <tableStyleInfo name="TableStyleMedium2" showRowStripes="1"/>
</table>
</file>

<file path=xl/tables/table8.xml><?xml version="1.0" encoding="utf-8"?>
<table xmlns="http://schemas.openxmlformats.org/spreadsheetml/2006/main" id="8" name="LeaveExemption" displayName="LeaveExemption" ref="A1:G2" headerRowCount="1">
  <autoFilter ref="A1:G2"/>
  <tableColumns count="7">
    <tableColumn id="1" name="Row"/>
    <tableColumn id="2" name="Employee"/>
    <tableColumn id="3" name="Ack Date"/>
    <tableColumn id="4" name="Source Status"/>
    <tableColumn id="5" name="Outcome"/>
    <tableColumn id="6" name="Reason"/>
    <tableColumn id="7" name="Exempt Until"/>
  </tableColumns>
  <tableStyleInfo name="TableStyleMedium2" showRowStripes="1"/>
</table>
</file>

<file path=xl/tables/table9.xml><?xml version="1.0" encoding="utf-8"?>
<table xmlns="http://schemas.openxmlformats.org/spreadsheetml/2006/main" id="9" name="EmployeeManagerComms" displayName="EmployeeManagerComms" ref="A1:F5" headerRowCount="1">
  <autoFilter ref="A1:F5"/>
  <tableColumns count="6">
    <tableColumn id="1" name="Order"/>
    <tableColumn id="2" name="Employee"/>
    <tableColumn id="3" name="To"/>
    <tableColumn id="4" name="Cc Manager"/>
    <tableColumn id="5" name="Outcome"/>
    <tableColumn id="6" name="State"/>
  </tableColumns>
  <tableStyleInfo name="TableStyleMedium2" showRowStripes="1"/>
</table>
</file>

<file path=xl/tables/table10.xml><?xml version="1.0" encoding="utf-8"?>
<table xmlns="http://schemas.openxmlformats.org/spreadsheetml/2006/main" id="10" name="HRDirectorEscalation" displayName="HRDirectorEscalation" ref="A1:D2" headerRowCount="1">
  <autoFilter ref="A1:D2"/>
  <tableColumns count="4">
    <tableColumn id="1" name="Recipient"/>
    <tableColumn id="2" name="Employees"/>
    <tableColumn id="3" name="Count"/>
    <tableColumn id="4" name="State"/>
  </tableColumns>
  <tableStyleInfo name="TableStyleMedium2" showRowStripes="1"/>
</table>
</file>

<file path=xl/tables/table11.xml><?xml version="1.0" encoding="utf-8"?>
<table xmlns="http://schemas.openxmlformats.org/spreadsheetml/2006/main" id="11" name="SlackControl" displayName="SlackControl" ref="A1:F2" headerRowCount="1">
  <autoFilter ref="A1:F2"/>
  <tableColumns count="6">
    <tableColumn id="1" name="Channel"/>
    <tableColumn id="2" name="Draft"/>
    <tableColumn id="3" name="Posted"/>
    <tableColumn id="4" name="Names Included"/>
    <tableColumn id="5" name="Text Scope"/>
    <tableColumn id="6" name="State"/>
  </tableColumns>
  <tableStyleInfo name="TableStyleMedium2" showRowStripes="1"/>
</table>
</file>

<file path=xl/tables/table12.xml><?xml version="1.0" encoding="utf-8"?>
<table xmlns="http://schemas.openxmlformats.org/spreadsheetml/2006/main" id="12" name="ControlSummary" displayName="ControlSummary" ref="A1:C9" headerRowCount="1">
  <autoFilter ref="A1:C9"/>
  <tableColumns count="3">
    <tableColumn id="1" name="Metric"/>
    <tableColumn id="2" name="Count"/>
    <tableColumn id="3" name="Contro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6.xml.rels><Relationships xmlns="http://schemas.openxmlformats.org/package/2006/relationships"><Relationship Type="http://schemas.openxmlformats.org/officeDocument/2006/relationships/table" Target="/xl/tables/table6.xml" Id="rId1"/></Relationships>
</file>

<file path=xl/worksheets/_rels/sheet7.xml.rels><Relationships xmlns="http://schemas.openxmlformats.org/package/2006/relationships"><Relationship Type="http://schemas.openxmlformats.org/officeDocument/2006/relationships/table" Target="/xl/tables/table7.xml" Id="rId1"/></Relationships>
</file>

<file path=xl/worksheets/_rels/sheet8.xml.rels><Relationships xmlns="http://schemas.openxmlformats.org/package/2006/relationships"><Relationship Type="http://schemas.openxmlformats.org/officeDocument/2006/relationships/table" Target="/xl/tables/table8.xml" Id="rId1"/></Relationships>
</file>

<file path=xl/worksheets/_rels/sheet9.xml.rels><Relationships xmlns="http://schemas.openxmlformats.org/package/2006/relationships"><Relationship Type="http://schemas.openxmlformats.org/officeDocument/2006/relationships/table" Target="/xl/tables/table9.xml" Id="rId1"/></Relationships>
</file>

<file path=xl/worksheets/_rels/sheet10.xml.rels><Relationships xmlns="http://schemas.openxmlformats.org/package/2006/relationships"><Relationship Type="http://schemas.openxmlformats.org/officeDocument/2006/relationships/table" Target="/xl/tables/table10.xml" Id="rId1"/></Relationships>
</file>

<file path=xl/worksheets/_rels/sheet11.xml.rels><Relationships xmlns="http://schemas.openxmlformats.org/package/2006/relationships"><Relationship Type="http://schemas.openxmlformats.org/officeDocument/2006/relationships/table" Target="/xl/tables/table11.xml" Id="rId1"/></Relationships>
</file>

<file path=xl/worksheets/_rels/sheet1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2.xml" Id="rId2"/></Relationships>
</file>

<file path=xl/worksheets/sheet1.xml><?xml version="1.0" encoding="utf-8"?>
<worksheet xmlns="http://schemas.openxmlformats.org/spreadsheetml/2006/main">
  <sheetPr>
    <outlinePr summaryBelow="1" summaryRight="1"/>
    <pageSetUpPr fitToPage="1"/>
  </sheetPr>
  <dimension ref="A1:G9"/>
  <sheetViews>
    <sheetView showGridLines="0" workbookViewId="0">
      <pane ySplit="1" topLeftCell="A2" activePane="bottomLeft" state="frozen"/>
      <selection pane="bottomLeft" activeCell="A1" sqref="A1"/>
    </sheetView>
  </sheetViews>
  <sheetFormatPr baseColWidth="8" defaultRowHeight="15"/>
  <cols>
    <col width="11" customWidth="1" min="1" max="1"/>
    <col width="22" customWidth="1" min="2" max="2"/>
    <col width="32" customWidth="1" min="3" max="3"/>
    <col width="32" customWidth="1" min="4" max="4"/>
    <col width="22" customWidth="1" min="5" max="5"/>
    <col width="22" customWidth="1" min="6" max="6"/>
    <col width="55" customWidth="1" min="7" max="7"/>
  </cols>
  <sheetData>
    <row r="1">
      <c r="A1" s="1" t="inlineStr">
        <is>
          <t>Source Row</t>
        </is>
      </c>
      <c r="B1" s="1" t="inlineStr">
        <is>
          <t>Employee</t>
        </is>
      </c>
      <c r="C1" s="1" t="inlineStr">
        <is>
          <t>Email</t>
        </is>
      </c>
      <c r="D1" s="1" t="inlineStr">
        <is>
          <t>Manager Email</t>
        </is>
      </c>
      <c r="E1" s="1" t="inlineStr">
        <is>
          <t>Acknowledgment Date</t>
        </is>
      </c>
      <c r="F1" s="1" t="inlineStr">
        <is>
          <t>Status</t>
        </is>
      </c>
      <c r="G1" s="1" t="inlineStr">
        <is>
          <t>Notes</t>
        </is>
      </c>
    </row>
    <row r="2">
      <c r="A2" s="2" t="n">
        <v>2</v>
      </c>
      <c r="B2" s="2" t="inlineStr">
        <is>
          <t>Alice Park</t>
        </is>
      </c>
      <c r="C2" s="2" t="inlineStr">
        <is>
          <t>alice.park@company.example.com</t>
        </is>
      </c>
      <c r="D2" s="2" t="inlineStr">
        <is>
          <t>mgr-a@company.example.com</t>
        </is>
      </c>
      <c r="E2" s="3" t="n">
        <v>46096</v>
      </c>
      <c r="F2" s="2" t="inlineStr">
        <is>
          <t>Acknowledged</t>
        </is>
      </c>
      <c r="G2" s="2" t="n"/>
    </row>
    <row r="3">
      <c r="A3" s="2" t="n">
        <v>3</v>
      </c>
      <c r="B3" s="2" t="inlineStr">
        <is>
          <t>Bob Chen</t>
        </is>
      </c>
      <c r="C3" s="2" t="inlineStr">
        <is>
          <t>bob.chen@company.example.com</t>
        </is>
      </c>
      <c r="D3" s="2" t="inlineStr">
        <is>
          <t>mgr-b@company.example.com</t>
        </is>
      </c>
      <c r="E3" s="3" t="n">
        <v>46073</v>
      </c>
      <c r="F3" s="2" t="inlineStr">
        <is>
          <t>Acknowledged</t>
        </is>
      </c>
      <c r="G3" s="2" t="n"/>
    </row>
    <row r="4">
      <c r="A4" s="2" t="n">
        <v>4</v>
      </c>
      <c r="B4" s="2" t="inlineStr">
        <is>
          <t>Carol Diaz</t>
        </is>
      </c>
      <c r="C4" s="2" t="inlineStr">
        <is>
          <t>carol.diaz@company.example.com</t>
        </is>
      </c>
      <c r="D4" s="2" t="inlineStr">
        <is>
          <t>mgr-a@company.example.com</t>
        </is>
      </c>
      <c r="E4" s="2" t="n"/>
      <c r="F4" s="2" t="inlineStr">
        <is>
          <t>Not Acknowledged</t>
        </is>
      </c>
      <c r="G4" s="2" t="n"/>
    </row>
    <row r="5">
      <c r="A5" s="2" t="n">
        <v>5</v>
      </c>
      <c r="B5" s="2" t="inlineStr">
        <is>
          <t>Dave Kim</t>
        </is>
      </c>
      <c r="C5" s="2" t="inlineStr">
        <is>
          <t>dave.kim@company.example.com</t>
        </is>
      </c>
      <c r="D5" s="2" t="inlineStr">
        <is>
          <t>mgr-b@company.example.com</t>
        </is>
      </c>
      <c r="E5" s="3" t="n">
        <v>46106</v>
      </c>
      <c r="F5" s="2" t="inlineStr">
        <is>
          <t>Acknowledged</t>
        </is>
      </c>
      <c r="G5" s="2" t="n"/>
    </row>
    <row r="6">
      <c r="A6" s="2" t="n">
        <v>6</v>
      </c>
      <c r="B6" s="2" t="inlineStr">
        <is>
          <t>Elena Vasquez</t>
        </is>
      </c>
      <c r="C6" s="2" t="inlineStr">
        <is>
          <t>elena.vasquez@company.example.com</t>
        </is>
      </c>
      <c r="D6" s="2" t="inlineStr">
        <is>
          <t>mgr-a@company.example.com</t>
        </is>
      </c>
      <c r="E6" s="2" t="n"/>
      <c r="F6" s="2" t="inlineStr">
        <is>
          <t>Not Acknowledged</t>
        </is>
      </c>
      <c r="G6" s="2" t="inlineStr">
        <is>
          <t>On medical leave - returning April 20</t>
        </is>
      </c>
    </row>
    <row r="7">
      <c r="A7" s="2" t="n">
        <v>7</v>
      </c>
      <c r="B7" s="2" t="inlineStr">
        <is>
          <t>Femi Adeyemi</t>
        </is>
      </c>
      <c r="C7" s="2" t="inlineStr">
        <is>
          <t>femi.adeyemi@company.example.com</t>
        </is>
      </c>
      <c r="D7" s="2" t="inlineStr">
        <is>
          <t>mgr-b@company.example.com</t>
        </is>
      </c>
      <c r="E7" s="3" t="n">
        <v>46068</v>
      </c>
      <c r="F7" s="2" t="inlineStr">
        <is>
          <t>Acknowledged</t>
        </is>
      </c>
      <c r="G7" s="2" t="n"/>
    </row>
    <row r="8">
      <c r="A8" s="2" t="n">
        <v>8</v>
      </c>
      <c r="B8" s="2" t="inlineStr">
        <is>
          <t>Grace Okonkwo</t>
        </is>
      </c>
      <c r="C8" s="2" t="inlineStr">
        <is>
          <t>grace.okonkwo@company.example.com</t>
        </is>
      </c>
      <c r="D8" s="2" t="inlineStr">
        <is>
          <t>mgr-a@company.example.com</t>
        </is>
      </c>
      <c r="E8" s="3" t="n">
        <v>46114</v>
      </c>
      <c r="F8" s="2" t="inlineStr">
        <is>
          <t>Acknowledged</t>
        </is>
      </c>
      <c r="G8" s="2" t="n"/>
    </row>
    <row r="9">
      <c r="A9" s="2" t="n">
        <v>9</v>
      </c>
      <c r="B9" s="2" t="inlineStr">
        <is>
          <t>Hugo Fernandez</t>
        </is>
      </c>
      <c r="C9" s="2" t="inlineStr">
        <is>
          <t>hugo.fernandez@company.example.com</t>
        </is>
      </c>
      <c r="D9" s="2" t="inlineStr">
        <is>
          <t>mgr-b@company.example.com</t>
        </is>
      </c>
      <c r="E9" s="2" t="n"/>
      <c r="F9" s="2" t="inlineStr">
        <is>
          <t>Not Acknowledged</t>
        </is>
      </c>
      <c r="G9" s="2" t="n"/>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fitToPage="1"/>
  </sheetPr>
  <dimension ref="A1:D2"/>
  <sheetViews>
    <sheetView showGridLines="0" workbookViewId="0">
      <pane ySplit="1" topLeftCell="A2" activePane="bottomLeft" state="frozen"/>
      <selection pane="bottomLeft" activeCell="A1" sqref="A1"/>
    </sheetView>
  </sheetViews>
  <sheetFormatPr baseColWidth="8" defaultRowHeight="15"/>
  <cols>
    <col width="34" customWidth="1" min="1" max="1"/>
    <col width="34" customWidth="1" min="2" max="2"/>
    <col width="58" customWidth="1" min="3" max="3"/>
    <col width="115" customWidth="1" min="4" max="4"/>
  </cols>
  <sheetData>
    <row r="1">
      <c r="A1" s="1" t="inlineStr">
        <is>
          <t>Message ID</t>
        </is>
      </c>
      <c r="B1" s="1" t="inlineStr">
        <is>
          <t>From</t>
        </is>
      </c>
      <c r="C1" s="1" t="inlineStr">
        <is>
          <t>Subject</t>
        </is>
      </c>
      <c r="D1" s="1" t="inlineStr">
        <is>
          <t>Body</t>
        </is>
      </c>
    </row>
    <row r="2">
      <c r="A2" s="2" t="inlineStr">
        <is>
          <t>msg_handbook_compliance_5131</t>
        </is>
      </c>
      <c r="B2" s="2" t="inlineStr">
        <is>
          <t>legal@company.example.com</t>
        </is>
      </c>
      <c r="C2" s="2" t="inlineStr">
        <is>
          <t>Employee Handbook Acknowledgment Compliance Requirements</t>
        </is>
      </c>
      <c r="D2" s="2" t="inlineStr">
        <is>
          <t xml:space="preserve">HANDBOOK ACKNOWLEDGMENT COMPLIANCE REQUIREMENTS
Section 1: Background
The updated 2026 employee handbook was distributed on March 1, 2026. All employees must acknowledge receipt and understanding.
Section 2: Distribution
The handbook was emailed to all active employees on March 1 with instructions to acknowledge via the HR portal.
Section 3: Tracking
Acknowledgments are tracked in the compliance tracker with date stamps. An employee is considered 'Acknowledged' ONLY if their acknowledgment date is on or after the handbook distribution date (March 1, 2026). Any acknowledgment with a date before March 1 is for the OLD handbook and does NOT count.
Section 4: Compliance Window
Employees have 30 calendar days from distribution (deadline: March 31, 2026) to acknowledge.
Section 5: Enforcement
After the deadline:
- Employees who have not acknowledged within 30 days: send a reminder email to the employee and CC their manager.
- Employees who have not acknowledged within 45 days (April 15): escalate to HR Director (hr-director@company.example.com). This is a compliance violation.
Section 6: Exemptions
Employees on approved leave are exempt until 7 days after their return.
Section 7: Record Keeping
All acknowledgment records must be retained for 3 years.
</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fitToPage="1"/>
  </sheetPr>
  <dimension ref="A1:B8"/>
  <sheetViews>
    <sheetView showGridLines="0" workbookViewId="0">
      <pane ySplit="1" topLeftCell="A2" activePane="bottomLeft" state="frozen"/>
      <selection pane="bottomLeft" activeCell="A1" sqref="A1"/>
    </sheetView>
  </sheetViews>
  <sheetFormatPr baseColWidth="8" defaultRowHeight="15"/>
  <cols>
    <col width="14" customWidth="1" min="1" max="1"/>
    <col width="100" customWidth="1" min="2" max="2"/>
  </cols>
  <sheetData>
    <row r="1">
      <c r="A1" s="1" t="inlineStr">
        <is>
          <t>Rule</t>
        </is>
      </c>
      <c r="B1" s="1" t="inlineStr">
        <is>
          <t>Requirement</t>
        </is>
      </c>
    </row>
    <row r="2">
      <c r="A2" s="2" t="inlineStr">
        <is>
          <t>HB-01</t>
        </is>
      </c>
      <c r="B2" s="2" t="inlineStr">
        <is>
          <t>Current acknowledgment date must be &gt;= 2026-03-01</t>
        </is>
      </c>
    </row>
    <row r="3">
      <c r="A3" s="2" t="inlineStr">
        <is>
          <t>HB-02</t>
        </is>
      </c>
      <c r="B3" s="2" t="inlineStr">
        <is>
          <t>30-day deadline is 2026-03-31</t>
        </is>
      </c>
    </row>
    <row r="4">
      <c r="A4" s="2" t="inlineStr">
        <is>
          <t>HB-03</t>
        </is>
      </c>
      <c r="B4" s="2" t="inlineStr">
        <is>
          <t>45-day escalation date is 2026-04-15</t>
        </is>
      </c>
    </row>
    <row r="5">
      <c r="A5" s="2" t="inlineStr">
        <is>
          <t>HB-04</t>
        </is>
      </c>
      <c r="B5" s="2" t="inlineStr">
        <is>
          <t>Reminder employee and CC manager</t>
        </is>
      </c>
    </row>
    <row r="6">
      <c r="A6" s="2" t="inlineStr">
        <is>
          <t>HB-05</t>
        </is>
      </c>
      <c r="B6" s="2" t="inlineStr">
        <is>
          <t>At 45 days escalate HR Director</t>
        </is>
      </c>
    </row>
    <row r="7">
      <c r="A7" s="2" t="inlineStr">
        <is>
          <t>HB-06</t>
        </is>
      </c>
      <c r="B7" s="2" t="inlineStr">
        <is>
          <t>Approved leave exempt until 7 days after return; Elena until 2026-04-27</t>
        </is>
      </c>
    </row>
    <row r="8">
      <c r="A8" s="2" t="inlineStr">
        <is>
          <t>HB-07</t>
        </is>
      </c>
      <c r="B8" s="2" t="inlineStr">
        <is>
          <t>Retain records 3 years</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C5"/>
  <sheetViews>
    <sheetView showGridLines="0" workbookViewId="0">
      <pane ySplit="1" topLeftCell="A2" activePane="bottomLeft" state="frozen"/>
      <selection pane="bottomLeft" activeCell="A1" sqref="A1"/>
    </sheetView>
  </sheetViews>
  <sheetFormatPr baseColWidth="8" defaultRowHeight="15"/>
  <cols>
    <col width="48" customWidth="1" min="1" max="1"/>
    <col width="55" customWidth="1" min="2" max="2"/>
    <col width="68" customWidth="1" min="3" max="3"/>
  </cols>
  <sheetData>
    <row r="1">
      <c r="A1" s="1" t="inlineStr">
        <is>
          <t>Evidence</t>
        </is>
      </c>
      <c r="B1" s="1" t="inlineStr">
        <is>
          <t>Supports</t>
        </is>
      </c>
      <c r="C1" s="1" t="inlineStr">
        <is>
          <t>SHA256</t>
        </is>
      </c>
    </row>
    <row r="2">
      <c r="A2" s="2" t="inlineStr">
        <is>
          <t>Compliance_Slack.json</t>
        </is>
      </c>
      <c r="B2" s="2" t="inlineStr">
        <is>
          <t>Frozen 5131 source</t>
        </is>
      </c>
      <c r="C2" s="2" t="inlineStr">
        <is>
          <t>992670a0e01c78752b5734ee2c0c0e3877bd15be335a3c4e01be8df1176fe91e</t>
        </is>
      </c>
    </row>
    <row r="3">
      <c r="A3" s="2" t="inlineStr">
        <is>
          <t>Handbook_Acknowledgment_Tracker.xlsx</t>
        </is>
      </c>
      <c r="B3" s="2" t="inlineStr">
        <is>
          <t>Frozen 5131 source</t>
        </is>
      </c>
      <c r="C3" s="2" t="inlineStr">
        <is>
          <t>db9f372588939f2fafbebeff8d446b721b2723a6b292d405cdbd7ff65a803831</t>
        </is>
      </c>
    </row>
    <row r="4">
      <c r="A4" s="2" t="inlineStr">
        <is>
          <t>Handbook_Compliance_Policy.mbox</t>
        </is>
      </c>
      <c r="B4" s="2" t="inlineStr">
        <is>
          <t>Frozen 5131 source</t>
        </is>
      </c>
      <c r="C4" s="2" t="inlineStr">
        <is>
          <t>5ead5590c3efd2b9b220e7910bb4a1223c2121f6e5a350c3c44d38537d2079a3</t>
        </is>
      </c>
    </row>
    <row r="5">
      <c r="A5" s="2" t="inlineStr">
        <is>
          <t>Workflow_Context.json</t>
        </is>
      </c>
      <c r="B5" s="2" t="inlineStr">
        <is>
          <t>Frozen 5131 source</t>
        </is>
      </c>
      <c r="C5" s="2" t="inlineStr">
        <is>
          <t>76c4a0657bc27f2fd830b10613ec7ceae3adcdc5798aeee0f822d27bf69bbc99</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fitToPage="1"/>
  </sheetPr>
  <dimension ref="A1:Y9"/>
  <sheetViews>
    <sheetView showGridLines="0" workbookViewId="0">
      <pane ySplit="1" topLeftCell="A2" activePane="bottomLeft" state="frozen"/>
      <selection pane="bottomLeft" activeCell="A1" sqref="A1"/>
    </sheetView>
  </sheetViews>
  <sheetFormatPr baseColWidth="8" defaultRowHeight="15"/>
  <cols>
    <col width="11" customWidth="1" min="1" max="1"/>
    <col width="20" customWidth="1" min="2" max="2"/>
    <col width="31" customWidth="1" min="3" max="3"/>
    <col width="31" customWidth="1" min="4" max="4"/>
    <col width="18" customWidth="1" min="5" max="5"/>
    <col width="18" customWidth="1" min="6" max="6"/>
    <col width="48" customWidth="1" min="7" max="7"/>
    <col width="18" customWidth="1" min="8" max="8"/>
    <col width="18" customWidth="1" min="9" max="9"/>
    <col width="18" customWidth="1" min="10" max="10"/>
    <col width="18" customWidth="1" min="11" max="11"/>
    <col width="18" customWidth="1" min="12" max="12"/>
    <col width="18" customWidth="1" min="13" max="13"/>
    <col width="28" customWidth="1" min="14" max="14"/>
    <col width="58" customWidth="1" min="15" max="15"/>
    <col width="18" customWidth="1" min="16" max="16"/>
    <col width="31" customWidth="1" min="17" max="17"/>
    <col width="31" customWidth="1" min="18" max="18"/>
    <col width="20" customWidth="1" min="19" max="19"/>
    <col width="20" customWidth="1" min="20" max="20"/>
    <col width="22" customWidth="1" min="21" max="21"/>
    <col width="14" customWidth="1" min="22" max="22"/>
    <col width="22" customWidth="1" min="23" max="23"/>
    <col width="70" customWidth="1" min="24" max="24"/>
    <col width="65" customWidth="1" min="25" max="25"/>
  </cols>
  <sheetData>
    <row r="1">
      <c r="A1" s="1" t="inlineStr">
        <is>
          <t>Source Row</t>
        </is>
      </c>
      <c r="B1" s="1" t="inlineStr">
        <is>
          <t>Employee</t>
        </is>
      </c>
      <c r="C1" s="1" t="inlineStr">
        <is>
          <t>Email</t>
        </is>
      </c>
      <c r="D1" s="1" t="inlineStr">
        <is>
          <t>Manager Email</t>
        </is>
      </c>
      <c r="E1" s="1" t="inlineStr">
        <is>
          <t>Acknowledgment Date</t>
        </is>
      </c>
      <c r="F1" s="1" t="inlineStr">
        <is>
          <t>Status</t>
        </is>
      </c>
      <c r="G1" s="1" t="inlineStr">
        <is>
          <t>Notes</t>
        </is>
      </c>
      <c r="H1" s="1" t="inlineStr">
        <is>
          <t>Distribution Date</t>
        </is>
      </c>
      <c r="I1" s="1" t="inlineStr">
        <is>
          <t>Deadline</t>
        </is>
      </c>
      <c r="J1" s="1" t="inlineStr">
        <is>
          <t>Review Date</t>
        </is>
      </c>
      <c r="K1" s="1" t="inlineStr">
        <is>
          <t>Valid Current Ack</t>
        </is>
      </c>
      <c r="L1" s="1" t="inlineStr">
        <is>
          <t>Approved Leave</t>
        </is>
      </c>
      <c r="M1" s="1" t="inlineStr">
        <is>
          <t>Exempt Until</t>
        </is>
      </c>
      <c r="N1" s="1" t="inlineStr">
        <is>
          <t>Outcome</t>
        </is>
      </c>
      <c r="O1" s="1" t="inlineStr">
        <is>
          <t>Reason</t>
        </is>
      </c>
      <c r="P1" s="1" t="inlineStr">
        <is>
          <t>Reminder Required</t>
        </is>
      </c>
      <c r="Q1" s="1" t="inlineStr">
        <is>
          <t>Employee Recipient</t>
        </is>
      </c>
      <c r="R1" s="1" t="inlineStr">
        <is>
          <t>Manager Cc</t>
        </is>
      </c>
      <c r="S1" s="1" t="inlineStr">
        <is>
          <t>Employee Draft State</t>
        </is>
      </c>
      <c r="T1" s="1" t="inlineStr">
        <is>
          <t>Escalation Required</t>
        </is>
      </c>
      <c r="U1" s="1" t="inlineStr">
        <is>
          <t>HR Director Draft State</t>
        </is>
      </c>
      <c r="V1" s="1" t="inlineStr">
        <is>
          <t>Email Sent</t>
        </is>
      </c>
      <c r="W1" s="1" t="inlineStr">
        <is>
          <t>Slack State</t>
        </is>
      </c>
      <c r="X1" s="1" t="inlineStr">
        <is>
          <t>Policy Basis</t>
        </is>
      </c>
      <c r="Y1" s="1" t="inlineStr">
        <is>
          <t>Trace</t>
        </is>
      </c>
    </row>
    <row r="2">
      <c r="A2" s="2">
        <f>Source_Acknowledgments!A2</f>
        <v/>
      </c>
      <c r="B2" s="2">
        <f>Source_Acknowledgments!B2</f>
        <v/>
      </c>
      <c r="C2" s="2">
        <f>Source_Acknowledgments!C2</f>
        <v/>
      </c>
      <c r="D2" s="2">
        <f>Source_Acknowledgments!D2</f>
        <v/>
      </c>
      <c r="E2" s="2">
        <f>Source_Acknowledgments!E2</f>
        <v/>
      </c>
      <c r="F2" s="2">
        <f>Source_Acknowledgments!F2</f>
        <v/>
      </c>
      <c r="G2" s="2">
        <f>Source_Acknowledgments!G2</f>
        <v/>
      </c>
      <c r="H2" s="2">
        <f>DATE(2026,3,1)</f>
        <v/>
      </c>
      <c r="I2" s="2">
        <f>DATE(2026,3,31)</f>
        <v/>
      </c>
      <c r="J2" s="2">
        <f>DATE(2026,4,15)</f>
        <v/>
      </c>
      <c r="K2" s="2">
        <f>IF(AND(E2&lt;&gt;"",E2&gt;=H2),"YES","NO")</f>
        <v/>
      </c>
      <c r="L2" s="2">
        <f>IF(ISNUMBER(SEARCH("On medical leave - returning April 20",G2)),"YES","NO")</f>
        <v/>
      </c>
      <c r="M2" s="2">
        <f>IF(L2="YES",DATE(2026,4,27),"")</f>
        <v/>
      </c>
      <c r="N2" s="2">
        <f>IF(L2="YES","EXEMPT_LEAVE",IF(K2="YES",IF(E2&lt;=I2,"COMPLIANT_ON_TIME","COMPLIANT_LATE_ACK"),IF(E2&lt;&gt;"","ESCALATE_INVALID_OLD_ACK","ESCALATE_MISSING_ACK")))</f>
        <v/>
      </c>
      <c r="O2" s="2">
        <f>IF(N2="EXEMPT_LEAVE","Approved leave; exempt until 2026-04-27",IF(N2="COMPLIANT_ON_TIME","Valid acknowledgment on or before 2026-03-31",IF(N2="COMPLIANT_LATE_ACK","Valid acknowledgment after deadline; no current reminder",IF(N2="ESCALATE_INVALID_OLD_ACK","Acknowledgment predates 2026-03-01 distribution; old handbook does not count","No acknowledgment date and 45-day escalation date reached"))))</f>
        <v/>
      </c>
      <c r="P2" s="2">
        <f>IF(LEFT(N2,8)="ESCALATE","YES","NO")</f>
        <v/>
      </c>
      <c r="Q2" s="2">
        <f>IF(P2="YES",C2,"")</f>
        <v/>
      </c>
      <c r="R2" s="2">
        <f>IF(P2="YES",D2,"")</f>
        <v/>
      </c>
      <c r="S2" s="2">
        <f>IF(P2="YES","DRAFT_NOT_SENT","NOT_REQUIRED")</f>
        <v/>
      </c>
      <c r="T2" s="2">
        <f>IF(P2="YES","YES","NO")</f>
        <v/>
      </c>
      <c r="U2" s="2">
        <f>IF(P2="YES","DRAFT_NOT_SENT","NOT_REQUIRED")</f>
        <v/>
      </c>
      <c r="V2" s="2">
        <f>"NO"</f>
        <v/>
      </c>
      <c r="W2" s="2">
        <f>"DRAFT_NOT_POSTED"</f>
        <v/>
      </c>
      <c r="X2" s="2">
        <f>"POLICY_DISTRIBUTION_DATE+30_DAY_DEADLINE+45_DAY_ESCALATION+LEAVE_EXEMPTION"</f>
        <v/>
      </c>
      <c r="Y2" s="2">
        <f>"row="&amp;A2&amp;"|employee="&amp;B2&amp;"|ack="&amp;TEXT(E2,"yyyy-mm-dd")&amp;"|outcome="&amp;N2</f>
        <v/>
      </c>
    </row>
    <row r="3">
      <c r="A3" s="2">
        <f>Source_Acknowledgments!A3</f>
        <v/>
      </c>
      <c r="B3" s="2">
        <f>Source_Acknowledgments!B3</f>
        <v/>
      </c>
      <c r="C3" s="2">
        <f>Source_Acknowledgments!C3</f>
        <v/>
      </c>
      <c r="D3" s="2">
        <f>Source_Acknowledgments!D3</f>
        <v/>
      </c>
      <c r="E3" s="2">
        <f>Source_Acknowledgments!E3</f>
        <v/>
      </c>
      <c r="F3" s="2">
        <f>Source_Acknowledgments!F3</f>
        <v/>
      </c>
      <c r="G3" s="2">
        <f>Source_Acknowledgments!G3</f>
        <v/>
      </c>
      <c r="H3" s="2">
        <f>DATE(2026,3,1)</f>
        <v/>
      </c>
      <c r="I3" s="2">
        <f>DATE(2026,3,31)</f>
        <v/>
      </c>
      <c r="J3" s="2">
        <f>DATE(2026,4,15)</f>
        <v/>
      </c>
      <c r="K3" s="2">
        <f>IF(AND(E3&lt;&gt;"",E3&gt;=H3),"YES","NO")</f>
        <v/>
      </c>
      <c r="L3" s="2">
        <f>IF(ISNUMBER(SEARCH("On medical leave - returning April 20",G3)),"YES","NO")</f>
        <v/>
      </c>
      <c r="M3" s="2">
        <f>IF(L3="YES",DATE(2026,4,27),"")</f>
        <v/>
      </c>
      <c r="N3" s="2">
        <f>IF(L3="YES","EXEMPT_LEAVE",IF(K3="YES",IF(E3&lt;=I3,"COMPLIANT_ON_TIME","COMPLIANT_LATE_ACK"),IF(E3&lt;&gt;"","ESCALATE_INVALID_OLD_ACK","ESCALATE_MISSING_ACK")))</f>
        <v/>
      </c>
      <c r="O3" s="2">
        <f>IF(N3="EXEMPT_LEAVE","Approved leave; exempt until 2026-04-27",IF(N3="COMPLIANT_ON_TIME","Valid acknowledgment on or before 2026-03-31",IF(N3="COMPLIANT_LATE_ACK","Valid acknowledgment after deadline; no current reminder",IF(N3="ESCALATE_INVALID_OLD_ACK","Acknowledgment predates 2026-03-01 distribution; old handbook does not count","No acknowledgment date and 45-day escalation date reached"))))</f>
        <v/>
      </c>
      <c r="P3" s="2">
        <f>IF(LEFT(N3,8)="ESCALATE","YES","NO")</f>
        <v/>
      </c>
      <c r="Q3" s="2">
        <f>IF(P3="YES",C3,"")</f>
        <v/>
      </c>
      <c r="R3" s="2">
        <f>IF(P3="YES",D3,"")</f>
        <v/>
      </c>
      <c r="S3" s="2">
        <f>IF(P3="YES","DRAFT_NOT_SENT","NOT_REQUIRED")</f>
        <v/>
      </c>
      <c r="T3" s="2">
        <f>IF(P3="YES","YES","NO")</f>
        <v/>
      </c>
      <c r="U3" s="2">
        <f>IF(P3="YES","DRAFT_NOT_SENT","NOT_REQUIRED")</f>
        <v/>
      </c>
      <c r="V3" s="2">
        <f>"NO"</f>
        <v/>
      </c>
      <c r="W3" s="2">
        <f>"DRAFT_NOT_POSTED"</f>
        <v/>
      </c>
      <c r="X3" s="2">
        <f>"POLICY_DISTRIBUTION_DATE+30_DAY_DEADLINE+45_DAY_ESCALATION+LEAVE_EXEMPTION"</f>
        <v/>
      </c>
      <c r="Y3" s="2">
        <f>"row="&amp;A3&amp;"|employee="&amp;B3&amp;"|ack="&amp;TEXT(E3,"yyyy-mm-dd")&amp;"|outcome="&amp;N3</f>
        <v/>
      </c>
    </row>
    <row r="4">
      <c r="A4" s="2">
        <f>Source_Acknowledgments!A4</f>
        <v/>
      </c>
      <c r="B4" s="2">
        <f>Source_Acknowledgments!B4</f>
        <v/>
      </c>
      <c r="C4" s="2">
        <f>Source_Acknowledgments!C4</f>
        <v/>
      </c>
      <c r="D4" s="2">
        <f>Source_Acknowledgments!D4</f>
        <v/>
      </c>
      <c r="E4" s="2">
        <f>Source_Acknowledgments!E4</f>
        <v/>
      </c>
      <c r="F4" s="2">
        <f>Source_Acknowledgments!F4</f>
        <v/>
      </c>
      <c r="G4" s="2">
        <f>Source_Acknowledgments!G4</f>
        <v/>
      </c>
      <c r="H4" s="2">
        <f>DATE(2026,3,1)</f>
        <v/>
      </c>
      <c r="I4" s="2">
        <f>DATE(2026,3,31)</f>
        <v/>
      </c>
      <c r="J4" s="2">
        <f>DATE(2026,4,15)</f>
        <v/>
      </c>
      <c r="K4" s="2">
        <f>IF(AND(E4&lt;&gt;"",E4&gt;=H4),"YES","NO")</f>
        <v/>
      </c>
      <c r="L4" s="2">
        <f>IF(ISNUMBER(SEARCH("On medical leave - returning April 20",G4)),"YES","NO")</f>
        <v/>
      </c>
      <c r="M4" s="2">
        <f>IF(L4="YES",DATE(2026,4,27),"")</f>
        <v/>
      </c>
      <c r="N4" s="2">
        <f>IF(L4="YES","EXEMPT_LEAVE",IF(K4="YES",IF(E4&lt;=I4,"COMPLIANT_ON_TIME","COMPLIANT_LATE_ACK"),IF(E4&lt;&gt;"","ESCALATE_INVALID_OLD_ACK","ESCALATE_MISSING_ACK")))</f>
        <v/>
      </c>
      <c r="O4" s="2">
        <f>IF(N4="EXEMPT_LEAVE","Approved leave; exempt until 2026-04-27",IF(N4="COMPLIANT_ON_TIME","Valid acknowledgment on or before 2026-03-31",IF(N4="COMPLIANT_LATE_ACK","Valid acknowledgment after deadline; no current reminder",IF(N4="ESCALATE_INVALID_OLD_ACK","Acknowledgment predates 2026-03-01 distribution; old handbook does not count","No acknowledgment date and 45-day escalation date reached"))))</f>
        <v/>
      </c>
      <c r="P4" s="2">
        <f>IF(LEFT(N4,8)="ESCALATE","YES","NO")</f>
        <v/>
      </c>
      <c r="Q4" s="2">
        <f>IF(P4="YES",C4,"")</f>
        <v/>
      </c>
      <c r="R4" s="2">
        <f>IF(P4="YES",D4,"")</f>
        <v/>
      </c>
      <c r="S4" s="2">
        <f>IF(P4="YES","DRAFT_NOT_SENT","NOT_REQUIRED")</f>
        <v/>
      </c>
      <c r="T4" s="2">
        <f>IF(P4="YES","YES","NO")</f>
        <v/>
      </c>
      <c r="U4" s="2">
        <f>IF(P4="YES","DRAFT_NOT_SENT","NOT_REQUIRED")</f>
        <v/>
      </c>
      <c r="V4" s="2">
        <f>"NO"</f>
        <v/>
      </c>
      <c r="W4" s="2">
        <f>"DRAFT_NOT_POSTED"</f>
        <v/>
      </c>
      <c r="X4" s="2">
        <f>"POLICY_DISTRIBUTION_DATE+30_DAY_DEADLINE+45_DAY_ESCALATION+LEAVE_EXEMPTION"</f>
        <v/>
      </c>
      <c r="Y4" s="2">
        <f>"row="&amp;A4&amp;"|employee="&amp;B4&amp;"|ack="&amp;TEXT(E4,"yyyy-mm-dd")&amp;"|outcome="&amp;N4</f>
        <v/>
      </c>
    </row>
    <row r="5">
      <c r="A5" s="2">
        <f>Source_Acknowledgments!A5</f>
        <v/>
      </c>
      <c r="B5" s="2">
        <f>Source_Acknowledgments!B5</f>
        <v/>
      </c>
      <c r="C5" s="2">
        <f>Source_Acknowledgments!C5</f>
        <v/>
      </c>
      <c r="D5" s="2">
        <f>Source_Acknowledgments!D5</f>
        <v/>
      </c>
      <c r="E5" s="2">
        <f>Source_Acknowledgments!E5</f>
        <v/>
      </c>
      <c r="F5" s="2">
        <f>Source_Acknowledgments!F5</f>
        <v/>
      </c>
      <c r="G5" s="2">
        <f>Source_Acknowledgments!G5</f>
        <v/>
      </c>
      <c r="H5" s="2">
        <f>DATE(2026,3,1)</f>
        <v/>
      </c>
      <c r="I5" s="2">
        <f>DATE(2026,3,31)</f>
        <v/>
      </c>
      <c r="J5" s="2">
        <f>DATE(2026,4,15)</f>
        <v/>
      </c>
      <c r="K5" s="2">
        <f>IF(AND(E5&lt;&gt;"",E5&gt;=H5),"YES","NO")</f>
        <v/>
      </c>
      <c r="L5" s="2">
        <f>IF(ISNUMBER(SEARCH("On medical leave - returning April 20",G5)),"YES","NO")</f>
        <v/>
      </c>
      <c r="M5" s="2">
        <f>IF(L5="YES",DATE(2026,4,27),"")</f>
        <v/>
      </c>
      <c r="N5" s="2">
        <f>IF(L5="YES","EXEMPT_LEAVE",IF(K5="YES",IF(E5&lt;=I5,"COMPLIANT_ON_TIME","COMPLIANT_LATE_ACK"),IF(E5&lt;&gt;"","ESCALATE_INVALID_OLD_ACK","ESCALATE_MISSING_ACK")))</f>
        <v/>
      </c>
      <c r="O5" s="2">
        <f>IF(N5="EXEMPT_LEAVE","Approved leave; exempt until 2026-04-27",IF(N5="COMPLIANT_ON_TIME","Valid acknowledgment on or before 2026-03-31",IF(N5="COMPLIANT_LATE_ACK","Valid acknowledgment after deadline; no current reminder",IF(N5="ESCALATE_INVALID_OLD_ACK","Acknowledgment predates 2026-03-01 distribution; old handbook does not count","No acknowledgment date and 45-day escalation date reached"))))</f>
        <v/>
      </c>
      <c r="P5" s="2">
        <f>IF(LEFT(N5,8)="ESCALATE","YES","NO")</f>
        <v/>
      </c>
      <c r="Q5" s="2">
        <f>IF(P5="YES",C5,"")</f>
        <v/>
      </c>
      <c r="R5" s="2">
        <f>IF(P5="YES",D5,"")</f>
        <v/>
      </c>
      <c r="S5" s="2">
        <f>IF(P5="YES","DRAFT_NOT_SENT","NOT_REQUIRED")</f>
        <v/>
      </c>
      <c r="T5" s="2">
        <f>IF(P5="YES","YES","NO")</f>
        <v/>
      </c>
      <c r="U5" s="2">
        <f>IF(P5="YES","DRAFT_NOT_SENT","NOT_REQUIRED")</f>
        <v/>
      </c>
      <c r="V5" s="2">
        <f>"NO"</f>
        <v/>
      </c>
      <c r="W5" s="2">
        <f>"DRAFT_NOT_POSTED"</f>
        <v/>
      </c>
      <c r="X5" s="2">
        <f>"POLICY_DISTRIBUTION_DATE+30_DAY_DEADLINE+45_DAY_ESCALATION+LEAVE_EXEMPTION"</f>
        <v/>
      </c>
      <c r="Y5" s="2">
        <f>"row="&amp;A5&amp;"|employee="&amp;B5&amp;"|ack="&amp;TEXT(E5,"yyyy-mm-dd")&amp;"|outcome="&amp;N5</f>
        <v/>
      </c>
    </row>
    <row r="6">
      <c r="A6" s="2">
        <f>Source_Acknowledgments!A6</f>
        <v/>
      </c>
      <c r="B6" s="2">
        <f>Source_Acknowledgments!B6</f>
        <v/>
      </c>
      <c r="C6" s="2">
        <f>Source_Acknowledgments!C6</f>
        <v/>
      </c>
      <c r="D6" s="2">
        <f>Source_Acknowledgments!D6</f>
        <v/>
      </c>
      <c r="E6" s="2">
        <f>Source_Acknowledgments!E6</f>
        <v/>
      </c>
      <c r="F6" s="2">
        <f>Source_Acknowledgments!F6</f>
        <v/>
      </c>
      <c r="G6" s="2">
        <f>Source_Acknowledgments!G6</f>
        <v/>
      </c>
      <c r="H6" s="2">
        <f>DATE(2026,3,1)</f>
        <v/>
      </c>
      <c r="I6" s="2">
        <f>DATE(2026,3,31)</f>
        <v/>
      </c>
      <c r="J6" s="2">
        <f>DATE(2026,4,15)</f>
        <v/>
      </c>
      <c r="K6" s="2">
        <f>IF(AND(E6&lt;&gt;"",E6&gt;=H6),"YES","NO")</f>
        <v/>
      </c>
      <c r="L6" s="2">
        <f>IF(ISNUMBER(SEARCH("On medical leave - returning April 20",G6)),"YES","NO")</f>
        <v/>
      </c>
      <c r="M6" s="2">
        <f>IF(L6="YES",DATE(2026,4,27),"")</f>
        <v/>
      </c>
      <c r="N6" s="2">
        <f>IF(L6="YES","EXEMPT_LEAVE",IF(K6="YES",IF(E6&lt;=I6,"COMPLIANT_ON_TIME","COMPLIANT_LATE_ACK"),IF(E6&lt;&gt;"","ESCALATE_INVALID_OLD_ACK","ESCALATE_MISSING_ACK")))</f>
        <v/>
      </c>
      <c r="O6" s="2">
        <f>IF(N6="EXEMPT_LEAVE","Approved leave; exempt until 2026-04-27",IF(N6="COMPLIANT_ON_TIME","Valid acknowledgment on or before 2026-03-31",IF(N6="COMPLIANT_LATE_ACK","Valid acknowledgment after deadline; no current reminder",IF(N6="ESCALATE_INVALID_OLD_ACK","Acknowledgment predates 2026-03-01 distribution; old handbook does not count","No acknowledgment date and 45-day escalation date reached"))))</f>
        <v/>
      </c>
      <c r="P6" s="2">
        <f>IF(LEFT(N6,8)="ESCALATE","YES","NO")</f>
        <v/>
      </c>
      <c r="Q6" s="2">
        <f>IF(P6="YES",C6,"")</f>
        <v/>
      </c>
      <c r="R6" s="2">
        <f>IF(P6="YES",D6,"")</f>
        <v/>
      </c>
      <c r="S6" s="2">
        <f>IF(P6="YES","DRAFT_NOT_SENT","NOT_REQUIRED")</f>
        <v/>
      </c>
      <c r="T6" s="2">
        <f>IF(P6="YES","YES","NO")</f>
        <v/>
      </c>
      <c r="U6" s="2">
        <f>IF(P6="YES","DRAFT_NOT_SENT","NOT_REQUIRED")</f>
        <v/>
      </c>
      <c r="V6" s="2">
        <f>"NO"</f>
        <v/>
      </c>
      <c r="W6" s="2">
        <f>"DRAFT_NOT_POSTED"</f>
        <v/>
      </c>
      <c r="X6" s="2">
        <f>"POLICY_DISTRIBUTION_DATE+30_DAY_DEADLINE+45_DAY_ESCALATION+LEAVE_EXEMPTION"</f>
        <v/>
      </c>
      <c r="Y6" s="2">
        <f>"row="&amp;A6&amp;"|employee="&amp;B6&amp;"|ack="&amp;TEXT(E6,"yyyy-mm-dd")&amp;"|outcome="&amp;N6</f>
        <v/>
      </c>
    </row>
    <row r="7">
      <c r="A7" s="2">
        <f>Source_Acknowledgments!A7</f>
        <v/>
      </c>
      <c r="B7" s="2">
        <f>Source_Acknowledgments!B7</f>
        <v/>
      </c>
      <c r="C7" s="2">
        <f>Source_Acknowledgments!C7</f>
        <v/>
      </c>
      <c r="D7" s="2">
        <f>Source_Acknowledgments!D7</f>
        <v/>
      </c>
      <c r="E7" s="2">
        <f>Source_Acknowledgments!E7</f>
        <v/>
      </c>
      <c r="F7" s="2">
        <f>Source_Acknowledgments!F7</f>
        <v/>
      </c>
      <c r="G7" s="2">
        <f>Source_Acknowledgments!G7</f>
        <v/>
      </c>
      <c r="H7" s="2">
        <f>DATE(2026,3,1)</f>
        <v/>
      </c>
      <c r="I7" s="2">
        <f>DATE(2026,3,31)</f>
        <v/>
      </c>
      <c r="J7" s="2">
        <f>DATE(2026,4,15)</f>
        <v/>
      </c>
      <c r="K7" s="2">
        <f>IF(AND(E7&lt;&gt;"",E7&gt;=H7),"YES","NO")</f>
        <v/>
      </c>
      <c r="L7" s="2">
        <f>IF(ISNUMBER(SEARCH("On medical leave - returning April 20",G7)),"YES","NO")</f>
        <v/>
      </c>
      <c r="M7" s="2">
        <f>IF(L7="YES",DATE(2026,4,27),"")</f>
        <v/>
      </c>
      <c r="N7" s="2">
        <f>IF(L7="YES","EXEMPT_LEAVE",IF(K7="YES",IF(E7&lt;=I7,"COMPLIANT_ON_TIME","COMPLIANT_LATE_ACK"),IF(E7&lt;&gt;"","ESCALATE_INVALID_OLD_ACK","ESCALATE_MISSING_ACK")))</f>
        <v/>
      </c>
      <c r="O7" s="2">
        <f>IF(N7="EXEMPT_LEAVE","Approved leave; exempt until 2026-04-27",IF(N7="COMPLIANT_ON_TIME","Valid acknowledgment on or before 2026-03-31",IF(N7="COMPLIANT_LATE_ACK","Valid acknowledgment after deadline; no current reminder",IF(N7="ESCALATE_INVALID_OLD_ACK","Acknowledgment predates 2026-03-01 distribution; old handbook does not count","No acknowledgment date and 45-day escalation date reached"))))</f>
        <v/>
      </c>
      <c r="P7" s="2">
        <f>IF(LEFT(N7,8)="ESCALATE","YES","NO")</f>
        <v/>
      </c>
      <c r="Q7" s="2">
        <f>IF(P7="YES",C7,"")</f>
        <v/>
      </c>
      <c r="R7" s="2">
        <f>IF(P7="YES",D7,"")</f>
        <v/>
      </c>
      <c r="S7" s="2">
        <f>IF(P7="YES","DRAFT_NOT_SENT","NOT_REQUIRED")</f>
        <v/>
      </c>
      <c r="T7" s="2">
        <f>IF(P7="YES","YES","NO")</f>
        <v/>
      </c>
      <c r="U7" s="2">
        <f>IF(P7="YES","DRAFT_NOT_SENT","NOT_REQUIRED")</f>
        <v/>
      </c>
      <c r="V7" s="2">
        <f>"NO"</f>
        <v/>
      </c>
      <c r="W7" s="2">
        <f>"DRAFT_NOT_POSTED"</f>
        <v/>
      </c>
      <c r="X7" s="2">
        <f>"POLICY_DISTRIBUTION_DATE+30_DAY_DEADLINE+45_DAY_ESCALATION+LEAVE_EXEMPTION"</f>
        <v/>
      </c>
      <c r="Y7" s="2">
        <f>"row="&amp;A7&amp;"|employee="&amp;B7&amp;"|ack="&amp;TEXT(E7,"yyyy-mm-dd")&amp;"|outcome="&amp;N7</f>
        <v/>
      </c>
    </row>
    <row r="8">
      <c r="A8" s="2">
        <f>Source_Acknowledgments!A8</f>
        <v/>
      </c>
      <c r="B8" s="2">
        <f>Source_Acknowledgments!B8</f>
        <v/>
      </c>
      <c r="C8" s="2">
        <f>Source_Acknowledgments!C8</f>
        <v/>
      </c>
      <c r="D8" s="2">
        <f>Source_Acknowledgments!D8</f>
        <v/>
      </c>
      <c r="E8" s="2">
        <f>Source_Acknowledgments!E8</f>
        <v/>
      </c>
      <c r="F8" s="2">
        <f>Source_Acknowledgments!F8</f>
        <v/>
      </c>
      <c r="G8" s="2">
        <f>Source_Acknowledgments!G8</f>
        <v/>
      </c>
      <c r="H8" s="2">
        <f>DATE(2026,3,1)</f>
        <v/>
      </c>
      <c r="I8" s="2">
        <f>DATE(2026,3,31)</f>
        <v/>
      </c>
      <c r="J8" s="2">
        <f>DATE(2026,4,15)</f>
        <v/>
      </c>
      <c r="K8" s="2">
        <f>IF(AND(E8&lt;&gt;"",E8&gt;=H8),"YES","NO")</f>
        <v/>
      </c>
      <c r="L8" s="2">
        <f>IF(ISNUMBER(SEARCH("On medical leave - returning April 20",G8)),"YES","NO")</f>
        <v/>
      </c>
      <c r="M8" s="2">
        <f>IF(L8="YES",DATE(2026,4,27),"")</f>
        <v/>
      </c>
      <c r="N8" s="2">
        <f>IF(L8="YES","EXEMPT_LEAVE",IF(K8="YES",IF(E8&lt;=I8,"COMPLIANT_ON_TIME","COMPLIANT_LATE_ACK"),IF(E8&lt;&gt;"","ESCALATE_INVALID_OLD_ACK","ESCALATE_MISSING_ACK")))</f>
        <v/>
      </c>
      <c r="O8" s="2">
        <f>IF(N8="EXEMPT_LEAVE","Approved leave; exempt until 2026-04-27",IF(N8="COMPLIANT_ON_TIME","Valid acknowledgment on or before 2026-03-31",IF(N8="COMPLIANT_LATE_ACK","Valid acknowledgment after deadline; no current reminder",IF(N8="ESCALATE_INVALID_OLD_ACK","Acknowledgment predates 2026-03-01 distribution; old handbook does not count","No acknowledgment date and 45-day escalation date reached"))))</f>
        <v/>
      </c>
      <c r="P8" s="2">
        <f>IF(LEFT(N8,8)="ESCALATE","YES","NO")</f>
        <v/>
      </c>
      <c r="Q8" s="2">
        <f>IF(P8="YES",C8,"")</f>
        <v/>
      </c>
      <c r="R8" s="2">
        <f>IF(P8="YES",D8,"")</f>
        <v/>
      </c>
      <c r="S8" s="2">
        <f>IF(P8="YES","DRAFT_NOT_SENT","NOT_REQUIRED")</f>
        <v/>
      </c>
      <c r="T8" s="2">
        <f>IF(P8="YES","YES","NO")</f>
        <v/>
      </c>
      <c r="U8" s="2">
        <f>IF(P8="YES","DRAFT_NOT_SENT","NOT_REQUIRED")</f>
        <v/>
      </c>
      <c r="V8" s="2">
        <f>"NO"</f>
        <v/>
      </c>
      <c r="W8" s="2">
        <f>"DRAFT_NOT_POSTED"</f>
        <v/>
      </c>
      <c r="X8" s="2">
        <f>"POLICY_DISTRIBUTION_DATE+30_DAY_DEADLINE+45_DAY_ESCALATION+LEAVE_EXEMPTION"</f>
        <v/>
      </c>
      <c r="Y8" s="2">
        <f>"row="&amp;A8&amp;"|employee="&amp;B8&amp;"|ack="&amp;TEXT(E8,"yyyy-mm-dd")&amp;"|outcome="&amp;N8</f>
        <v/>
      </c>
    </row>
    <row r="9">
      <c r="A9" s="2">
        <f>Source_Acknowledgments!A9</f>
        <v/>
      </c>
      <c r="B9" s="2">
        <f>Source_Acknowledgments!B9</f>
        <v/>
      </c>
      <c r="C9" s="2">
        <f>Source_Acknowledgments!C9</f>
        <v/>
      </c>
      <c r="D9" s="2">
        <f>Source_Acknowledgments!D9</f>
        <v/>
      </c>
      <c r="E9" s="2">
        <f>Source_Acknowledgments!E9</f>
        <v/>
      </c>
      <c r="F9" s="2">
        <f>Source_Acknowledgments!F9</f>
        <v/>
      </c>
      <c r="G9" s="2">
        <f>Source_Acknowledgments!G9</f>
        <v/>
      </c>
      <c r="H9" s="2">
        <f>DATE(2026,3,1)</f>
        <v/>
      </c>
      <c r="I9" s="2">
        <f>DATE(2026,3,31)</f>
        <v/>
      </c>
      <c r="J9" s="2">
        <f>DATE(2026,4,15)</f>
        <v/>
      </c>
      <c r="K9" s="2">
        <f>IF(AND(E9&lt;&gt;"",E9&gt;=H9),"YES","NO")</f>
        <v/>
      </c>
      <c r="L9" s="2">
        <f>IF(ISNUMBER(SEARCH("On medical leave - returning April 20",G9)),"YES","NO")</f>
        <v/>
      </c>
      <c r="M9" s="2">
        <f>IF(L9="YES",DATE(2026,4,27),"")</f>
        <v/>
      </c>
      <c r="N9" s="2">
        <f>IF(L9="YES","EXEMPT_LEAVE",IF(K9="YES",IF(E9&lt;=I9,"COMPLIANT_ON_TIME","COMPLIANT_LATE_ACK"),IF(E9&lt;&gt;"","ESCALATE_INVALID_OLD_ACK","ESCALATE_MISSING_ACK")))</f>
        <v/>
      </c>
      <c r="O9" s="2">
        <f>IF(N9="EXEMPT_LEAVE","Approved leave; exempt until 2026-04-27",IF(N9="COMPLIANT_ON_TIME","Valid acknowledgment on or before 2026-03-31",IF(N9="COMPLIANT_LATE_ACK","Valid acknowledgment after deadline; no current reminder",IF(N9="ESCALATE_INVALID_OLD_ACK","Acknowledgment predates 2026-03-01 distribution; old handbook does not count","No acknowledgment date and 45-day escalation date reached"))))</f>
        <v/>
      </c>
      <c r="P9" s="2">
        <f>IF(LEFT(N9,8)="ESCALATE","YES","NO")</f>
        <v/>
      </c>
      <c r="Q9" s="2">
        <f>IF(P9="YES",C9,"")</f>
        <v/>
      </c>
      <c r="R9" s="2">
        <f>IF(P9="YES",D9,"")</f>
        <v/>
      </c>
      <c r="S9" s="2">
        <f>IF(P9="YES","DRAFT_NOT_SENT","NOT_REQUIRED")</f>
        <v/>
      </c>
      <c r="T9" s="2">
        <f>IF(P9="YES","YES","NO")</f>
        <v/>
      </c>
      <c r="U9" s="2">
        <f>IF(P9="YES","DRAFT_NOT_SENT","NOT_REQUIRED")</f>
        <v/>
      </c>
      <c r="V9" s="2">
        <f>"NO"</f>
        <v/>
      </c>
      <c r="W9" s="2">
        <f>"DRAFT_NOT_POSTED"</f>
        <v/>
      </c>
      <c r="X9" s="2">
        <f>"POLICY_DISTRIBUTION_DATE+30_DAY_DEADLINE+45_DAY_ESCALATION+LEAVE_EXEMPTION"</f>
        <v/>
      </c>
      <c r="Y9" s="2">
        <f>"row="&amp;A9&amp;"|employee="&amp;B9&amp;"|ack="&amp;TEXT(E9,"yyyy-mm-dd")&amp;"|outcome="&amp;N9</f>
        <v/>
      </c>
    </row>
  </sheetData>
  <conditionalFormatting sqref="N2:N9">
    <cfRule type="expression" priority="1" dxfId="0">
      <formula>N2="COMPLIANT_ON_TIME"</formula>
    </cfRule>
    <cfRule type="expression" priority="2" dxfId="1">
      <formula>LEFT(N2,8)="ESCALATE"</formula>
    </cfRule>
  </conditionalFormatting>
  <pageMargins left="0.75" right="0.75" top="1" bottom="1" header="0.5" footer="0.5"/>
  <pageSetup orientation="landscape" fitToHeight="1" fitToWidth="1"/>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fitToPage="1"/>
  </sheetPr>
  <dimension ref="A1:G4"/>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18" customWidth="1" min="3" max="3"/>
    <col width="20" customWidth="1" min="4" max="4"/>
    <col width="30" customWidth="1" min="5" max="5"/>
    <col width="70" customWidth="1" min="6" max="6"/>
    <col width="18" customWidth="1" min="7" max="7"/>
  </cols>
  <sheetData>
    <row r="1">
      <c r="A1" s="1" t="inlineStr">
        <is>
          <t>Row</t>
        </is>
      </c>
      <c r="B1" s="1" t="inlineStr">
        <is>
          <t>Employee</t>
        </is>
      </c>
      <c r="C1" s="1" t="inlineStr">
        <is>
          <t>Ack Date</t>
        </is>
      </c>
      <c r="D1" s="1" t="inlineStr">
        <is>
          <t>Source Status</t>
        </is>
      </c>
      <c r="E1" s="1" t="inlineStr">
        <is>
          <t>Outcome</t>
        </is>
      </c>
      <c r="F1" s="1" t="inlineStr">
        <is>
          <t>Reason</t>
        </is>
      </c>
      <c r="G1" s="1" t="inlineStr">
        <is>
          <t>Exempt Until</t>
        </is>
      </c>
    </row>
    <row r="2">
      <c r="A2" s="2" t="n">
        <v>2</v>
      </c>
      <c r="B2" s="2" t="inlineStr">
        <is>
          <t>Alice Park</t>
        </is>
      </c>
      <c r="C2" s="3" t="n">
        <v>46096</v>
      </c>
      <c r="D2" s="2" t="inlineStr">
        <is>
          <t>Acknowledged</t>
        </is>
      </c>
      <c r="E2" s="2" t="inlineStr">
        <is>
          <t>COMPLIANT_ON_TIME</t>
        </is>
      </c>
      <c r="F2" s="2" t="inlineStr">
        <is>
          <t>Valid acknowledgment on or before 2026-03-31</t>
        </is>
      </c>
      <c r="G2" s="2" t="n"/>
    </row>
    <row r="3">
      <c r="A3" s="2" t="n">
        <v>5</v>
      </c>
      <c r="B3" s="2" t="inlineStr">
        <is>
          <t>Dave Kim</t>
        </is>
      </c>
      <c r="C3" s="3" t="n">
        <v>46106</v>
      </c>
      <c r="D3" s="2" t="inlineStr">
        <is>
          <t>Acknowledged</t>
        </is>
      </c>
      <c r="E3" s="2" t="inlineStr">
        <is>
          <t>COMPLIANT_ON_TIME</t>
        </is>
      </c>
      <c r="F3" s="2" t="inlineStr">
        <is>
          <t>Valid acknowledgment on or before 2026-03-31</t>
        </is>
      </c>
      <c r="G3" s="2" t="n"/>
    </row>
    <row r="4">
      <c r="A4" s="2" t="n">
        <v>8</v>
      </c>
      <c r="B4" s="2" t="inlineStr">
        <is>
          <t>Grace Okonkwo</t>
        </is>
      </c>
      <c r="C4" s="3" t="n">
        <v>46114</v>
      </c>
      <c r="D4" s="2" t="inlineStr">
        <is>
          <t>Acknowledged</t>
        </is>
      </c>
      <c r="E4" s="2" t="inlineStr">
        <is>
          <t>COMPLIANT_LATE_ACK</t>
        </is>
      </c>
      <c r="F4" s="2" t="inlineStr">
        <is>
          <t>Valid acknowledgment after deadline; no current reminder</t>
        </is>
      </c>
      <c r="G4" s="2" t="n"/>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fitToPage="1"/>
  </sheetPr>
  <dimension ref="A1:G5"/>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18" customWidth="1" min="3" max="3"/>
    <col width="20" customWidth="1" min="4" max="4"/>
    <col width="30" customWidth="1" min="5" max="5"/>
    <col width="70" customWidth="1" min="6" max="6"/>
    <col width="18" customWidth="1" min="7" max="7"/>
  </cols>
  <sheetData>
    <row r="1">
      <c r="A1" s="1" t="inlineStr">
        <is>
          <t>Row</t>
        </is>
      </c>
      <c r="B1" s="1" t="inlineStr">
        <is>
          <t>Employee</t>
        </is>
      </c>
      <c r="C1" s="1" t="inlineStr">
        <is>
          <t>Ack Date</t>
        </is>
      </c>
      <c r="D1" s="1" t="inlineStr">
        <is>
          <t>Source Status</t>
        </is>
      </c>
      <c r="E1" s="1" t="inlineStr">
        <is>
          <t>Outcome</t>
        </is>
      </c>
      <c r="F1" s="1" t="inlineStr">
        <is>
          <t>Reason</t>
        </is>
      </c>
      <c r="G1" s="1" t="inlineStr">
        <is>
          <t>Exempt Until</t>
        </is>
      </c>
    </row>
    <row r="2">
      <c r="A2" s="2" t="n">
        <v>3</v>
      </c>
      <c r="B2" s="2" t="inlineStr">
        <is>
          <t>Bob Chen</t>
        </is>
      </c>
      <c r="C2" s="3" t="n">
        <v>46073</v>
      </c>
      <c r="D2" s="2" t="inlineStr">
        <is>
          <t>Acknowledged</t>
        </is>
      </c>
      <c r="E2" s="2" t="inlineStr">
        <is>
          <t>ESCALATE_INVALID_OLD_ACK</t>
        </is>
      </c>
      <c r="F2" s="2" t="inlineStr">
        <is>
          <t>Acknowledgment predates 2026-03-01 distribution; old handbook does not count</t>
        </is>
      </c>
      <c r="G2" s="2" t="n"/>
    </row>
    <row r="3">
      <c r="A3" s="2" t="n">
        <v>4</v>
      </c>
      <c r="B3" s="2" t="inlineStr">
        <is>
          <t>Carol Diaz</t>
        </is>
      </c>
      <c r="C3" s="2" t="n"/>
      <c r="D3" s="2" t="inlineStr">
        <is>
          <t>Not Acknowledged</t>
        </is>
      </c>
      <c r="E3" s="2" t="inlineStr">
        <is>
          <t>ESCALATE_MISSING_ACK</t>
        </is>
      </c>
      <c r="F3" s="2" t="inlineStr">
        <is>
          <t>No acknowledgment date and 45-day escalation date reached</t>
        </is>
      </c>
      <c r="G3" s="2" t="n"/>
    </row>
    <row r="4">
      <c r="A4" s="2" t="n">
        <v>7</v>
      </c>
      <c r="B4" s="2" t="inlineStr">
        <is>
          <t>Femi Adeyemi</t>
        </is>
      </c>
      <c r="C4" s="3" t="n">
        <v>46068</v>
      </c>
      <c r="D4" s="2" t="inlineStr">
        <is>
          <t>Acknowledged</t>
        </is>
      </c>
      <c r="E4" s="2" t="inlineStr">
        <is>
          <t>ESCALATE_INVALID_OLD_ACK</t>
        </is>
      </c>
      <c r="F4" s="2" t="inlineStr">
        <is>
          <t>Acknowledgment predates 2026-03-01 distribution; old handbook does not count</t>
        </is>
      </c>
      <c r="G4" s="2" t="n"/>
    </row>
    <row r="5">
      <c r="A5" s="2" t="n">
        <v>9</v>
      </c>
      <c r="B5" s="2" t="inlineStr">
        <is>
          <t>Hugo Fernandez</t>
        </is>
      </c>
      <c r="C5" s="2" t="n"/>
      <c r="D5" s="2" t="inlineStr">
        <is>
          <t>Not Acknowledged</t>
        </is>
      </c>
      <c r="E5" s="2" t="inlineStr">
        <is>
          <t>ESCALATE_MISSING_ACK</t>
        </is>
      </c>
      <c r="F5" s="2" t="inlineStr">
        <is>
          <t>No acknowledgment date and 45-day escalation date reached</t>
        </is>
      </c>
      <c r="G5" s="2" t="n"/>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fitToPage="1"/>
  </sheetPr>
  <dimension ref="A1:G2"/>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18" customWidth="1" min="3" max="3"/>
    <col width="20" customWidth="1" min="4" max="4"/>
    <col width="30" customWidth="1" min="5" max="5"/>
    <col width="70" customWidth="1" min="6" max="6"/>
    <col width="18" customWidth="1" min="7" max="7"/>
  </cols>
  <sheetData>
    <row r="1">
      <c r="A1" s="1" t="inlineStr">
        <is>
          <t>Row</t>
        </is>
      </c>
      <c r="B1" s="1" t="inlineStr">
        <is>
          <t>Employee</t>
        </is>
      </c>
      <c r="C1" s="1" t="inlineStr">
        <is>
          <t>Ack Date</t>
        </is>
      </c>
      <c r="D1" s="1" t="inlineStr">
        <is>
          <t>Source Status</t>
        </is>
      </c>
      <c r="E1" s="1" t="inlineStr">
        <is>
          <t>Outcome</t>
        </is>
      </c>
      <c r="F1" s="1" t="inlineStr">
        <is>
          <t>Reason</t>
        </is>
      </c>
      <c r="G1" s="1" t="inlineStr">
        <is>
          <t>Exempt Until</t>
        </is>
      </c>
    </row>
    <row r="2">
      <c r="A2" s="2" t="n">
        <v>6</v>
      </c>
      <c r="B2" s="2" t="inlineStr">
        <is>
          <t>Elena Vasquez</t>
        </is>
      </c>
      <c r="C2" s="2" t="n"/>
      <c r="D2" s="2" t="inlineStr">
        <is>
          <t>Not Acknowledged</t>
        </is>
      </c>
      <c r="E2" s="2" t="inlineStr">
        <is>
          <t>EXEMPT_LEAVE</t>
        </is>
      </c>
      <c r="F2" s="2" t="inlineStr">
        <is>
          <t>Approved leave; exempt until 2026-04-27</t>
        </is>
      </c>
      <c r="G2" s="3" t="n">
        <v>46139</v>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fitToPage="1"/>
  </sheetPr>
  <dimension ref="A1:F5"/>
  <sheetViews>
    <sheetView showGridLines="0" workbookViewId="0">
      <pane ySplit="1" topLeftCell="A2" activePane="bottomLeft" state="frozen"/>
      <selection pane="bottomLeft" activeCell="A1" sqref="A1"/>
    </sheetView>
  </sheetViews>
  <sheetFormatPr baseColWidth="8" defaultRowHeight="15"/>
  <cols>
    <col width="10" customWidth="1" min="1" max="1"/>
    <col width="22" customWidth="1" min="2" max="2"/>
    <col width="32" customWidth="1" min="3" max="3"/>
    <col width="32" customWidth="1" min="4" max="4"/>
    <col width="30" customWidth="1" min="5" max="5"/>
    <col width="22" customWidth="1" min="6" max="6"/>
  </cols>
  <sheetData>
    <row r="1">
      <c r="A1" s="1" t="inlineStr">
        <is>
          <t>Order</t>
        </is>
      </c>
      <c r="B1" s="1" t="inlineStr">
        <is>
          <t>Employee</t>
        </is>
      </c>
      <c r="C1" s="1" t="inlineStr">
        <is>
          <t>To</t>
        </is>
      </c>
      <c r="D1" s="1" t="inlineStr">
        <is>
          <t>Cc Manager</t>
        </is>
      </c>
      <c r="E1" s="1" t="inlineStr">
        <is>
          <t>Outcome</t>
        </is>
      </c>
      <c r="F1" s="1" t="inlineStr">
        <is>
          <t>State</t>
        </is>
      </c>
    </row>
    <row r="2">
      <c r="A2" s="2" t="n">
        <v>1</v>
      </c>
      <c r="B2" s="2" t="inlineStr">
        <is>
          <t>Bob Chen</t>
        </is>
      </c>
      <c r="C2" s="2" t="inlineStr">
        <is>
          <t>bob.chen@company.example.com</t>
        </is>
      </c>
      <c r="D2" s="2" t="inlineStr">
        <is>
          <t>mgr-b@company.example.com</t>
        </is>
      </c>
      <c r="E2" s="2" t="inlineStr">
        <is>
          <t>ESCALATE_INVALID_OLD_ACK</t>
        </is>
      </c>
      <c r="F2" s="2" t="inlineStr">
        <is>
          <t>DRAFT_NOT_SENT</t>
        </is>
      </c>
    </row>
    <row r="3">
      <c r="A3" s="2" t="n">
        <v>2</v>
      </c>
      <c r="B3" s="2" t="inlineStr">
        <is>
          <t>Carol Diaz</t>
        </is>
      </c>
      <c r="C3" s="2" t="inlineStr">
        <is>
          <t>carol.diaz@company.example.com</t>
        </is>
      </c>
      <c r="D3" s="2" t="inlineStr">
        <is>
          <t>mgr-a@company.example.com</t>
        </is>
      </c>
      <c r="E3" s="2" t="inlineStr">
        <is>
          <t>ESCALATE_MISSING_ACK</t>
        </is>
      </c>
      <c r="F3" s="2" t="inlineStr">
        <is>
          <t>DRAFT_NOT_SENT</t>
        </is>
      </c>
    </row>
    <row r="4">
      <c r="A4" s="2" t="n">
        <v>3</v>
      </c>
      <c r="B4" s="2" t="inlineStr">
        <is>
          <t>Femi Adeyemi</t>
        </is>
      </c>
      <c r="C4" s="2" t="inlineStr">
        <is>
          <t>femi.adeyemi@company.example.com</t>
        </is>
      </c>
      <c r="D4" s="2" t="inlineStr">
        <is>
          <t>mgr-b@company.example.com</t>
        </is>
      </c>
      <c r="E4" s="2" t="inlineStr">
        <is>
          <t>ESCALATE_INVALID_OLD_ACK</t>
        </is>
      </c>
      <c r="F4" s="2" t="inlineStr">
        <is>
          <t>DRAFT_NOT_SENT</t>
        </is>
      </c>
    </row>
    <row r="5">
      <c r="A5" s="2" t="n">
        <v>4</v>
      </c>
      <c r="B5" s="2" t="inlineStr">
        <is>
          <t>Hugo Fernandez</t>
        </is>
      </c>
      <c r="C5" s="2" t="inlineStr">
        <is>
          <t>hugo.fernandez@company.example.com</t>
        </is>
      </c>
      <c r="D5" s="2" t="inlineStr">
        <is>
          <t>mgr-b@company.example.com</t>
        </is>
      </c>
      <c r="E5" s="2" t="inlineStr">
        <is>
          <t>ESCALATE_MISSING_ACK</t>
        </is>
      </c>
      <c r="F5" s="2" t="inlineStr">
        <is>
          <t>DRAFT_NOT_SENT</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fitToPage="1"/>
  </sheetPr>
  <dimension ref="A1:D2"/>
  <sheetViews>
    <sheetView showGridLines="0" workbookViewId="0">
      <pane ySplit="1" topLeftCell="A2" activePane="bottomLeft" state="frozen"/>
      <selection pane="bottomLeft" activeCell="A1" sqref="A1"/>
    </sheetView>
  </sheetViews>
  <sheetFormatPr baseColWidth="8" defaultRowHeight="15"/>
  <cols>
    <col width="38" customWidth="1" min="1" max="1"/>
    <col width="75" customWidth="1" min="2" max="2"/>
    <col width="14" customWidth="1" min="3" max="3"/>
    <col width="22" customWidth="1" min="4" max="4"/>
  </cols>
  <sheetData>
    <row r="1">
      <c r="A1" s="1" t="inlineStr">
        <is>
          <t>Recipient</t>
        </is>
      </c>
      <c r="B1" s="1" t="inlineStr">
        <is>
          <t>Employees</t>
        </is>
      </c>
      <c r="C1" s="1" t="inlineStr">
        <is>
          <t>Count</t>
        </is>
      </c>
      <c r="D1" s="1" t="inlineStr">
        <is>
          <t>State</t>
        </is>
      </c>
    </row>
    <row r="2">
      <c r="A2" s="2" t="inlineStr">
        <is>
          <t>hr-director@company.example.com</t>
        </is>
      </c>
      <c r="B2" s="2" t="inlineStr">
        <is>
          <t>Bob Chen; Carol Diaz; Femi Adeyemi; Hugo Fernandez</t>
        </is>
      </c>
      <c r="C2" s="2" t="n">
        <v>4</v>
      </c>
      <c r="D2" s="2" t="inlineStr">
        <is>
          <t>DRAFT_NOT_SENT</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fitToPage="1"/>
  </sheetPr>
  <dimension ref="A1:F2"/>
  <sheetViews>
    <sheetView showGridLines="0"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20" customWidth="1" min="4" max="4"/>
    <col width="70" customWidth="1" min="5" max="5"/>
    <col width="24" customWidth="1" min="6" max="6"/>
  </cols>
  <sheetData>
    <row r="1">
      <c r="A1" s="1" t="inlineStr">
        <is>
          <t>Channel</t>
        </is>
      </c>
      <c r="B1" s="1" t="inlineStr">
        <is>
          <t>Draft</t>
        </is>
      </c>
      <c r="C1" s="1" t="inlineStr">
        <is>
          <t>Posted</t>
        </is>
      </c>
      <c r="D1" s="1" t="inlineStr">
        <is>
          <t>Names Included</t>
        </is>
      </c>
      <c r="E1" s="1" t="inlineStr">
        <is>
          <t>Text Scope</t>
        </is>
      </c>
      <c r="F1" s="1" t="inlineStr">
        <is>
          <t>State</t>
        </is>
      </c>
    </row>
    <row r="2">
      <c r="A2" s="2" t="inlineStr">
        <is>
          <t>compliance</t>
        </is>
      </c>
      <c r="B2" s="2" t="n">
        <v>1</v>
      </c>
      <c r="C2" s="2" t="n">
        <v>0</v>
      </c>
      <c r="D2" s="2" t="n">
        <v>0</v>
      </c>
      <c r="E2" s="2" t="inlineStr">
        <is>
          <t>8 reviewed; 3 compliant; 4 escalated; 1 leave exempt</t>
        </is>
      </c>
      <c r="F2" s="2" t="inlineStr">
        <is>
          <t>DRAFT_NOT_POSTED</t>
        </is>
      </c>
    </row>
  </sheetData>
  <pageMargins left="0.75" right="0.75" top="1" bottom="1" header="0.5" footer="0.5"/>
  <pageSetup orientation="landscape" fitToHeight="1" fitToWidth="1"/>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fitToPage="1"/>
  </sheetPr>
  <dimension ref="A1:C9"/>
  <sheetViews>
    <sheetView showGridLines="0" workbookViewId="0">
      <pane ySplit="1" topLeftCell="A2" activePane="bottomLeft" state="frozen"/>
      <selection pane="bottomLeft" activeCell="A1" sqref="A1"/>
    </sheetView>
  </sheetViews>
  <sheetFormatPr baseColWidth="8" defaultRowHeight="15"/>
  <cols>
    <col width="38" customWidth="1" min="1" max="1"/>
    <col width="16" customWidth="1" min="2" max="2"/>
    <col width="70" customWidth="1" min="3" max="3"/>
  </cols>
  <sheetData>
    <row r="1">
      <c r="A1" s="1" t="inlineStr">
        <is>
          <t>Metric</t>
        </is>
      </c>
      <c r="B1" s="1" t="inlineStr">
        <is>
          <t>Count</t>
        </is>
      </c>
      <c r="C1" s="1" t="inlineStr">
        <is>
          <t>Control</t>
        </is>
      </c>
    </row>
    <row r="2">
      <c r="A2" s="2" t="inlineStr">
        <is>
          <t>Reviewed</t>
        </is>
      </c>
      <c r="B2" s="2" t="n">
        <v>8</v>
      </c>
      <c r="C2" s="2" t="inlineStr">
        <is>
          <t>Complete</t>
        </is>
      </c>
    </row>
    <row r="3">
      <c r="A3" s="2" t="inlineStr">
        <is>
          <t>Compliant</t>
        </is>
      </c>
      <c r="B3" s="2" t="n">
        <v>3</v>
      </c>
      <c r="C3" s="2" t="inlineStr">
        <is>
          <t>Alice; Dave; Grace</t>
        </is>
      </c>
    </row>
    <row r="4">
      <c r="A4" s="2" t="inlineStr">
        <is>
          <t>Escalated</t>
        </is>
      </c>
      <c r="B4" s="2" t="n">
        <v>4</v>
      </c>
      <c r="C4" s="2" t="inlineStr">
        <is>
          <t>Bob; Carol; Femi; Hugo</t>
        </is>
      </c>
    </row>
    <row r="5">
      <c r="A5" s="2" t="inlineStr">
        <is>
          <t>Leave exempt</t>
        </is>
      </c>
      <c r="B5" s="2" t="n">
        <v>1</v>
      </c>
      <c r="C5" s="2" t="inlineStr">
        <is>
          <t>Elena until 2026-04-27</t>
        </is>
      </c>
    </row>
    <row r="6">
      <c r="A6" s="2" t="inlineStr">
        <is>
          <t>Employee/manager drafts</t>
        </is>
      </c>
      <c r="B6" s="2" t="n">
        <v>4</v>
      </c>
      <c r="C6" s="2" t="inlineStr">
        <is>
          <t>Not sent</t>
        </is>
      </c>
    </row>
    <row r="7">
      <c r="A7" s="2" t="inlineStr">
        <is>
          <t>HR Director drafts</t>
        </is>
      </c>
      <c r="B7" s="2" t="n">
        <v>1</v>
      </c>
      <c r="C7" s="2" t="inlineStr">
        <is>
          <t>Not sent</t>
        </is>
      </c>
    </row>
    <row r="8">
      <c r="A8" s="2" t="inlineStr">
        <is>
          <t>Slack drafts</t>
        </is>
      </c>
      <c r="B8" s="2" t="n">
        <v>1</v>
      </c>
      <c r="C8" s="2" t="inlineStr">
        <is>
          <t>Not posted</t>
        </is>
      </c>
    </row>
    <row r="9">
      <c r="A9" s="2" t="inlineStr">
        <is>
          <t>Real side effects</t>
        </is>
      </c>
      <c r="B9" s="2" t="n">
        <v>0</v>
      </c>
      <c r="C9" s="2" t="inlineStr">
        <is>
          <t>None</t>
        </is>
      </c>
    </row>
  </sheetData>
  <pageMargins left="0.75" right="0.75" top="1" bottom="1" header="0.5" footer="0.5"/>
  <pageSetup orientation="landscape" fitToHeight="1" fitToWidth="1"/>
  <drawing xmlns:r="http://schemas.openxmlformats.org/officeDocument/2006/relationships" r:id="rId1"/>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EvoCowork reference solution</dc:creator>
  <dc:title xmlns:dc="http://purl.org/dc/elements/1.1/">Handbook Acknowledgment Compliance Audit</dc:title>
  <dcterms:created xmlns:dcterms="http://purl.org/dc/terms/" xmlns:xsi="http://www.w3.org/2001/XMLSchema-instance" xsi:type="dcterms:W3CDTF">2026-04-15T09:00:00Z</dcterms:created>
  <dcterms:modified xmlns:dcterms="http://purl.org/dc/terms/" xmlns:xsi="http://www.w3.org/2001/XMLSchema-instance" xsi:type="dcterms:W3CDTF">2026-04-15T09:00:00Z</dcterms:modified>
</cp:coreProperties>
</file>