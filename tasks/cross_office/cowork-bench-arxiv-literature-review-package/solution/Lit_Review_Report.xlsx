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>
    <definedName name="_xlnm._FilterDatabase" localSheetId="0" hidden="1">'Data_Analysis'!$A$1:$G$5</definedName>
    <definedName name="_xlnm._FilterDatabase" localSheetId="1" hidden="1">'Metrics'!$A$1:$B$7</definedName>
    <definedName name="_xlnm._FilterDatabase" localSheetId="2" hidden="1">'Recommendations'!$A$1:$E$4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7324D"/>
      <sz val="10"/>
    </font>
    <font>
      <name val="Aptos"/>
      <b val="1"/>
      <color rgb="0017324D"/>
      <sz val="1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F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itReviewData" displayName="LitReviewData" ref="A1:G5" headerRowCount="1">
  <autoFilter ref="A1:G5"/>
  <tableColumns count="7">
    <tableColumn id="1" name="Paper_ID"/>
    <tableColumn id="2" name="Title"/>
    <tableColumn id="3" name="Primary_Category"/>
    <tableColumn id="4" name="Published"/>
    <tableColumn id="5" name="Benchmark_Area"/>
    <tableColumn id="6" name="Growth_Pct"/>
    <tableColumn id="7" name="Match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tReviewMetrics" displayName="LitReviewMetrics" ref="A1:B7" headerRowCount="1">
  <autoFilter ref="A1:B7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itReviewRecommendations" displayName="LitReviewRecommendations" ref="A1:E4" headerRowCount="1">
  <autoFilter ref="A1:E4"/>
  <tableColumns count="5">
    <tableColumn id="1" name="Rank"/>
    <tableColumn id="2" name="Priority"/>
    <tableColumn id="3" name="Action"/>
    <tableColumn id="4" name="Area"/>
    <tableColumn id="5" name="Growth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9" customWidth="1" min="3" max="3"/>
    <col width="15" customWidth="1" min="4" max="4"/>
    <col width="24" customWidth="1" min="5" max="5"/>
    <col width="14" customWidth="1" min="6" max="6"/>
    <col width="16" customWidth="1" min="7" max="7"/>
  </cols>
  <sheetData>
    <row r="1" ht="30" customHeight="1">
      <c r="A1" s="1" t="inlineStr">
        <is>
          <t>Paper_ID</t>
        </is>
      </c>
      <c r="B1" s="1" t="inlineStr">
        <is>
          <t>Title</t>
        </is>
      </c>
      <c r="C1" s="1" t="inlineStr">
        <is>
          <t>Primary_Category</t>
        </is>
      </c>
      <c r="D1" s="1" t="inlineStr">
        <is>
          <t>Published</t>
        </is>
      </c>
      <c r="E1" s="1" t="inlineStr">
        <is>
          <t>Benchmark_Area</t>
        </is>
      </c>
      <c r="F1" s="1" t="inlineStr">
        <is>
          <t>Growth_Pct</t>
        </is>
      </c>
      <c r="G1" s="1" t="inlineStr">
        <is>
          <t>Match_Status</t>
        </is>
      </c>
    </row>
    <row r="2">
      <c r="A2" s="2" t="inlineStr">
        <is>
          <t>2301.01234</t>
        </is>
      </c>
      <c r="B2" s="2" t="inlineStr">
        <is>
          <t>Scaling Laws for Large Language Models</t>
        </is>
      </c>
      <c r="C2" s="2" t="inlineStr">
        <is>
          <t>cs.CL</t>
        </is>
      </c>
      <c r="D2" s="2" t="inlineStr">
        <is>
          <t>2023-01-15</t>
        </is>
      </c>
      <c r="E2" s="2" t="inlineStr">
        <is>
          <t>LLMs</t>
        </is>
      </c>
      <c r="F2" s="3" t="n">
        <v>45</v>
      </c>
      <c r="G2" s="4" t="inlineStr">
        <is>
          <t>Matched</t>
        </is>
      </c>
    </row>
    <row r="3">
      <c r="A3" s="2" t="inlineStr">
        <is>
          <t>2302.05678</t>
        </is>
      </c>
      <c r="B3" s="2" t="inlineStr">
        <is>
          <t>Advances in Vision Transformers</t>
        </is>
      </c>
      <c r="C3" s="2" t="inlineStr">
        <is>
          <t>cs.CV</t>
        </is>
      </c>
      <c r="D3" s="2" t="inlineStr">
        <is>
          <t>2023-02-20</t>
        </is>
      </c>
      <c r="E3" s="2" t="inlineStr">
        <is>
          <t>Computer Vision</t>
        </is>
      </c>
      <c r="F3" s="3" t="n">
        <v>12</v>
      </c>
      <c r="G3" s="4" t="inlineStr">
        <is>
          <t>Matched</t>
        </is>
      </c>
    </row>
    <row r="4">
      <c r="A4" s="2" t="inlineStr">
        <is>
          <t>2303.09012</t>
        </is>
      </c>
      <c r="B4" s="2" t="inlineStr">
        <is>
          <t>Multi-Agent Reinforcement Learning Framework</t>
        </is>
      </c>
      <c r="C4" s="2" t="inlineStr">
        <is>
          <t>cs.AI</t>
        </is>
      </c>
      <c r="D4" s="2" t="inlineStr">
        <is>
          <t>2023-03-10</t>
        </is>
      </c>
      <c r="E4" s="2" t="inlineStr">
        <is>
          <t>RL</t>
        </is>
      </c>
      <c r="F4" s="3" t="n">
        <v>8</v>
      </c>
      <c r="G4" s="4" t="inlineStr">
        <is>
          <t>Matched</t>
        </is>
      </c>
    </row>
    <row r="5">
      <c r="A5" s="2" t="inlineStr">
        <is>
          <t>2304.03456</t>
        </is>
      </c>
      <c r="B5" s="2" t="inlineStr">
        <is>
          <t>Federated Learning: A Comprehensive Survey</t>
        </is>
      </c>
      <c r="C5" s="2" t="inlineStr">
        <is>
          <t>cs.LG</t>
        </is>
      </c>
      <c r="D5" s="2" t="inlineStr">
        <is>
          <t>2023-04-05</t>
        </is>
      </c>
      <c r="E5" s="2" t="n"/>
      <c r="F5" s="3" t="n"/>
      <c r="G5" s="5" t="inlineStr">
        <is>
          <t>Unmatched</t>
        </is>
      </c>
    </row>
  </sheetData>
  <autoFilter ref="A1:G5"/>
  <conditionalFormatting sqref="F2:F5">
    <cfRule type="colorScale" priority="1">
      <colorScale>
        <cfvo type="min"/>
        <cfvo type="max"/>
        <color rgb="00FFF2CC"/>
        <color rgb="0063BE7B"/>
      </colorScale>
    </cfRule>
  </conditionalFormatting>
  <pageMargins left="0.75" right="0.75" top="1" bottom="1" header="0.5" footer="0.5"/>
  <pageSetup orientation="landscape" fitToHeight="1" fitToWidth="1"/>
  <headerFooter>
    <oddHeader/>
    <oddFooter>&amp;C&amp;8 &amp;K64748BCowork-Bench · Offline reproducible artifact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6" t="inlineStr">
        <is>
          <t>Total_Papers</t>
        </is>
      </c>
      <c r="B2" s="2">
        <f>COUNTA(Data_Analysis!$A$2:$A$5)</f>
        <v/>
      </c>
    </row>
    <row r="3">
      <c r="A3" s="6" t="inlineStr">
        <is>
          <t>Excluded_Noise_Papers</t>
        </is>
      </c>
      <c r="B3" s="2" t="n">
        <v>1</v>
      </c>
    </row>
    <row r="4">
      <c r="A4" s="6" t="inlineStr">
        <is>
          <t>Benchmark_Matched_Papers</t>
        </is>
      </c>
      <c r="B4" s="2">
        <f>COUNT(Data_Analysis!$F$2:$F$5)</f>
        <v/>
      </c>
    </row>
    <row r="5">
      <c r="A5" s="6" t="inlineStr">
        <is>
          <t>Avg_Matched_Growth_Pct</t>
        </is>
      </c>
      <c r="B5" s="3">
        <f>ROUND(AVERAGE(Data_Analysis!$F$2:$F$5),2)</f>
        <v/>
      </c>
    </row>
    <row r="6">
      <c r="A6" s="6" t="inlineStr">
        <is>
          <t>Top_Growth_Area</t>
        </is>
      </c>
      <c r="B6" s="2">
        <f>INDEX(Data_Analysis!$E$2:$E$5,MATCH(MAX(Data_Analysis!$F$2:$F$5),Data_Analysis!$F$2:$F$5,0))</f>
        <v/>
      </c>
    </row>
    <row r="7">
      <c r="A7" s="6" t="inlineStr">
        <is>
          <t>Benchmark_Coverage_Pct</t>
        </is>
      </c>
      <c r="B7" s="7">
        <f>COUNT(Data_Analysis!$F$2:$F$5)/COUNTA(Data_Analysis!$A$2:$A$5)</f>
        <v/>
      </c>
    </row>
  </sheetData>
  <autoFilter ref="A1:B7"/>
  <pageMargins left="0.75" right="0.75" top="1" bottom="1" header="0.5" footer="0.5"/>
  <pageSetup orientation="portrait" fitToHeight="1" fitToWidth="1"/>
  <headerFooter>
    <oddHeader/>
    <oddFooter>&amp;C&amp;8 &amp;K64748BCowork-Bench · Offline reproducible artifact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62" customWidth="1" min="3" max="3"/>
    <col width="24" customWidth="1" min="4" max="4"/>
    <col width="15" customWidth="1" min="5" max="5"/>
  </cols>
  <sheetData>
    <row r="1" ht="30" customHeight="1">
      <c r="A1" s="1" t="inlineStr">
        <is>
          <t>Rank</t>
        </is>
      </c>
      <c r="B1" s="1" t="inlineStr">
        <is>
          <t>Priority</t>
        </is>
      </c>
      <c r="C1" s="1" t="inlineStr">
        <is>
          <t>Action</t>
        </is>
      </c>
      <c r="D1" s="1" t="inlineStr">
        <is>
          <t>Area</t>
        </is>
      </c>
      <c r="E1" s="1" t="inlineStr">
        <is>
          <t>Growth_Pct</t>
        </is>
      </c>
    </row>
    <row r="2">
      <c r="A2" s="2" t="n">
        <v>1</v>
      </c>
      <c r="B2" s="2" t="inlineStr">
        <is>
          <t>High</t>
        </is>
      </c>
      <c r="C2" s="2" t="inlineStr">
        <is>
          <t>Prioritize an in-depth literature synthesis for this matched area.</t>
        </is>
      </c>
      <c r="D2" s="2" t="inlineStr">
        <is>
          <t>LLMs</t>
        </is>
      </c>
      <c r="E2" s="3" t="n">
        <v>45</v>
      </c>
    </row>
    <row r="3">
      <c r="A3" s="2" t="n">
        <v>2</v>
      </c>
      <c r="B3" s="2" t="inlineStr">
        <is>
          <t>Medium</t>
        </is>
      </c>
      <c r="C3" s="2" t="inlineStr">
        <is>
          <t>Schedule a focused comparative review for this matched area.</t>
        </is>
      </c>
      <c r="D3" s="2" t="inlineStr">
        <is>
          <t>Computer Vision</t>
        </is>
      </c>
      <c r="E3" s="3" t="n">
        <v>12</v>
      </c>
    </row>
    <row r="4">
      <c r="A4" s="2" t="n">
        <v>3</v>
      </c>
      <c r="B4" s="2" t="inlineStr">
        <is>
          <t>Monitor</t>
        </is>
      </c>
      <c r="C4" s="2" t="inlineStr">
        <is>
          <t>Maintain a monitoring queue for this matched area.</t>
        </is>
      </c>
      <c r="D4" s="2" t="inlineStr">
        <is>
          <t>RL</t>
        </is>
      </c>
      <c r="E4" s="3" t="n">
        <v>8</v>
      </c>
    </row>
  </sheetData>
  <autoFilter ref="A1:E4"/>
  <pageMargins left="0.75" right="0.75" top="1" bottom="1" header="0.5" footer="0.5"/>
  <pageSetup orientation="landscape" fitToHeight="1" fitToWidth="1"/>
  <headerFooter>
    <oddHeader/>
    <oddFooter>&amp;C&amp;8 &amp;K64748BCowork-Bench · Offline reproducible artifact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2026-08-24T08:38:41Z</dcterms:created>
  <dcterms:modified xmlns:dcterms="http://purl.org/dc/terms/" xmlns:xsi="http://www.w3.org/2001/XMLSchema-instance" xsi:type="dcterms:W3CDTF">2026-08-24T08:38:41Z</dcterms:modified>
</cp:coreProperties>
</file>