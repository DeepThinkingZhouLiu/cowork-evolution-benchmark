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y_Prices" sheetId="1" state="visible" r:id="rId1"/>
    <sheet xmlns:r="http://schemas.openxmlformats.org/officeDocument/2006/relationships" name="Recipe_Cost_Analysis" sheetId="2" state="visible" r:id="rId2"/>
    <sheet xmlns:r="http://schemas.openxmlformats.org/officeDocument/2006/relationships" name="Weekly_Meal_Plan" sheetId="3" state="visible" r:id="rId3"/>
  </sheets>
  <definedNames>
    <definedName name="_xlnm._FilterDatabase" localSheetId="0" hidden="1">'Grocery_Prices'!$A$1:$G$23</definedName>
    <definedName name="_xlnm._FilterDatabase" localSheetId="1" hidden="1">'Recipe_Cost_Analysis'!$A$1:$H$6</definedName>
    <definedName name="_xlnm._FilterDatabase" localSheetId="2" hidden="1">'Weekly_Meal_Plan'!$A$1:$F$11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7E0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eal_Grocery_Prices" displayName="Meal_Grocery_Prices" ref="A1:G23" headerRowCount="1">
  <autoFilter ref="A1:G23"/>
  <tableColumns count="7">
    <tableColumn id="1" name="Item"/>
    <tableColumn id="2" name="Unit"/>
    <tableColumn id="3" name="FreshMart_Price"/>
    <tableColumn id="4" name="ValueGrocer_Price"/>
    <tableColumn id="5" name="BulkBarn_Price"/>
    <tableColumn id="6" name="Cheapest_Store"/>
    <tableColumn id="7" name="Cheapest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al_Recipe_Costs" displayName="Meal_Recipe_Costs" ref="A1:H6" headerRowCount="1">
  <autoFilter ref="A1:H6"/>
  <tableColumns count="8">
    <tableColumn id="1" name="Recipe_ID"/>
    <tableColumn id="2" name="Recipe"/>
    <tableColumn id="3" name="Matched_Ingredient_Count"/>
    <tableColumn id="4" name="Unpriced_Ingredient_Count"/>
    <tableColumn id="5" name="Total_Cost"/>
    <tableColumn id="6" name="Cheapest_Store_Mix"/>
    <tableColumn id="7" name="Cost_Per_Serving"/>
    <tableColumn id="8" name="Unpriced_Ingredi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al_Weekly_Plan" displayName="Meal_Weekly_Plan" ref="A1:F11" headerRowCount="1">
  <autoFilter ref="A1:F11"/>
  <tableColumns count="6">
    <tableColumn id="1" name="Date"/>
    <tableColumn id="2" name="Day"/>
    <tableColumn id="3" name="Meal"/>
    <tableColumn id="4" name="Recipe_ID"/>
    <tableColumn id="5" name="Recipe"/>
    <tableColumn id="6" name="Estimated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8" customWidth="1" min="3" max="3"/>
    <col width="20" customWidth="1" min="4" max="4"/>
    <col width="18" customWidth="1" min="5" max="5"/>
    <col width="19" customWidth="1" min="6" max="6"/>
    <col width="17" customWidth="1" min="7" max="7"/>
  </cols>
  <sheetData>
    <row r="1" ht="34" customHeight="1">
      <c r="A1" s="1" t="inlineStr">
        <is>
          <t>Item</t>
        </is>
      </c>
      <c r="B1" s="1" t="inlineStr">
        <is>
          <t>Unit</t>
        </is>
      </c>
      <c r="C1" s="1" t="inlineStr">
        <is>
          <t>FreshMart_Price</t>
        </is>
      </c>
      <c r="D1" s="1" t="inlineStr">
        <is>
          <t>ValueGrocer_Price</t>
        </is>
      </c>
      <c r="E1" s="1" t="inlineStr">
        <is>
          <t>BulkBarn_Price</t>
        </is>
      </c>
      <c r="F1" s="1" t="inlineStr">
        <is>
          <t>Cheapest_Store</t>
        </is>
      </c>
      <c r="G1" s="1" t="inlineStr">
        <is>
          <t>Cheapest_Price</t>
        </is>
      </c>
    </row>
    <row r="2" ht="24" customHeight="1">
      <c r="A2" s="2" t="inlineStr">
        <is>
          <t>Баранина</t>
        </is>
      </c>
      <c r="B2" s="2" t="inlineStr">
        <is>
          <t>за кг</t>
        </is>
      </c>
      <c r="C2" s="3" t="n">
        <v>720</v>
      </c>
      <c r="D2" s="3" t="n">
        <v>690</v>
      </c>
      <c r="E2" s="3" t="n">
        <v>650</v>
      </c>
      <c r="F2" s="2">
        <f>SUBSTITUTE(INDEX($C$1:$E$1,1,MATCH(MIN(C2:E2),C2:E2,0)),"_Price","")</f>
        <v/>
      </c>
      <c r="G2" s="3">
        <f>MIN(C2:E2)</f>
        <v/>
      </c>
    </row>
    <row r="3" ht="24" customHeight="1">
      <c r="A3" s="2" t="inlineStr">
        <is>
          <t>Говядина</t>
        </is>
      </c>
      <c r="B3" s="2" t="inlineStr">
        <is>
          <t>за кг</t>
        </is>
      </c>
      <c r="C3" s="3" t="n">
        <v>620</v>
      </c>
      <c r="D3" s="3" t="n">
        <v>560</v>
      </c>
      <c r="E3" s="3" t="n">
        <v>590</v>
      </c>
      <c r="F3" s="2">
        <f>SUBSTITUTE(INDEX($C$1:$E$1,1,MATCH(MIN(C3:E3),C3:E3,0)),"_Price","")</f>
        <v/>
      </c>
      <c r="G3" s="3">
        <f>MIN(C3:E3)</f>
        <v/>
      </c>
    </row>
    <row r="4" ht="24" customHeight="1">
      <c r="A4" s="2" t="inlineStr">
        <is>
          <t>Капуста белокочанная</t>
        </is>
      </c>
      <c r="B4" s="2" t="inlineStr">
        <is>
          <t>за кг</t>
        </is>
      </c>
      <c r="C4" s="3" t="n">
        <v>38</v>
      </c>
      <c r="D4" s="3" t="n">
        <v>28</v>
      </c>
      <c r="E4" s="3" t="n">
        <v>33</v>
      </c>
      <c r="F4" s="2">
        <f>SUBSTITUTE(INDEX($C$1:$E$1,1,MATCH(MIN(C4:E4),C4:E4,0)),"_Price","")</f>
        <v/>
      </c>
      <c r="G4" s="3">
        <f>MIN(C4:E4)</f>
        <v/>
      </c>
    </row>
    <row r="5" ht="24" customHeight="1">
      <c r="A5" s="2" t="inlineStr">
        <is>
          <t>Картофель</t>
        </is>
      </c>
      <c r="B5" s="2" t="inlineStr">
        <is>
          <t>за кг</t>
        </is>
      </c>
      <c r="C5" s="3" t="n">
        <v>45</v>
      </c>
      <c r="D5" s="3" t="n">
        <v>35</v>
      </c>
      <c r="E5" s="3" t="n">
        <v>39</v>
      </c>
      <c r="F5" s="2">
        <f>SUBSTITUTE(INDEX($C$1:$E$1,1,MATCH(MIN(C5:E5),C5:E5,0)),"_Price","")</f>
        <v/>
      </c>
      <c r="G5" s="3">
        <f>MIN(C5:E5)</f>
        <v/>
      </c>
    </row>
    <row r="6" ht="24" customHeight="1">
      <c r="A6" s="2" t="inlineStr">
        <is>
          <t>Крупа гречневая</t>
        </is>
      </c>
      <c r="B6" s="2" t="inlineStr">
        <is>
          <t>за кг</t>
        </is>
      </c>
      <c r="C6" s="3" t="n">
        <v>109</v>
      </c>
      <c r="D6" s="3" t="n">
        <v>119</v>
      </c>
      <c r="E6" s="3" t="n">
        <v>129</v>
      </c>
      <c r="F6" s="2">
        <f>SUBSTITUTE(INDEX($C$1:$E$1,1,MATCH(MIN(C6:E6),C6:E6,0)),"_Price","")</f>
        <v/>
      </c>
      <c r="G6" s="3">
        <f>MIN(C6:E6)</f>
        <v/>
      </c>
    </row>
    <row r="7" ht="24" customHeight="1">
      <c r="A7" s="2" t="inlineStr">
        <is>
          <t>Куриные бёдра</t>
        </is>
      </c>
      <c r="B7" s="2" t="inlineStr">
        <is>
          <t>за кг</t>
        </is>
      </c>
      <c r="C7" s="3" t="n">
        <v>280</v>
      </c>
      <c r="D7" s="3" t="n">
        <v>240</v>
      </c>
      <c r="E7" s="3" t="n">
        <v>260</v>
      </c>
      <c r="F7" s="2">
        <f>SUBSTITUTE(INDEX($C$1:$E$1,1,MATCH(MIN(C7:E7),C7:E7,0)),"_Price","")</f>
        <v/>
      </c>
      <c r="G7" s="3">
        <f>MIN(C7:E7)</f>
        <v/>
      </c>
    </row>
    <row r="8" ht="24" customHeight="1">
      <c r="A8" s="2" t="inlineStr">
        <is>
          <t>Лук репчатый</t>
        </is>
      </c>
      <c r="B8" s="2" t="inlineStr">
        <is>
          <t>за кг</t>
        </is>
      </c>
      <c r="C8" s="3" t="n">
        <v>40</v>
      </c>
      <c r="D8" s="3" t="n">
        <v>29</v>
      </c>
      <c r="E8" s="3" t="n">
        <v>34</v>
      </c>
      <c r="F8" s="2">
        <f>SUBSTITUTE(INDEX($C$1:$E$1,1,MATCH(MIN(C8:E8),C8:E8,0)),"_Price","")</f>
        <v/>
      </c>
      <c r="G8" s="3">
        <f>MIN(C8:E8)</f>
        <v/>
      </c>
    </row>
    <row r="9" ht="24" customHeight="1">
      <c r="A9" s="2" t="inlineStr">
        <is>
          <t>Масло растительное</t>
        </is>
      </c>
      <c r="B9" s="2" t="inlineStr">
        <is>
          <t>за литр</t>
        </is>
      </c>
      <c r="C9" s="3" t="n">
        <v>160</v>
      </c>
      <c r="D9" s="3" t="n">
        <v>139</v>
      </c>
      <c r="E9" s="3" t="n">
        <v>120</v>
      </c>
      <c r="F9" s="2">
        <f>SUBSTITUTE(INDEX($C$1:$E$1,1,MATCH(MIN(C9:E9),C9:E9,0)),"_Price","")</f>
        <v/>
      </c>
      <c r="G9" s="3">
        <f>MIN(C9:E9)</f>
        <v/>
      </c>
    </row>
    <row r="10" ht="24" customHeight="1">
      <c r="A10" s="2" t="inlineStr">
        <is>
          <t>Масло сливочное</t>
        </is>
      </c>
      <c r="B10" s="2" t="inlineStr">
        <is>
          <t>за 200 г</t>
        </is>
      </c>
      <c r="C10" s="3" t="n">
        <v>220</v>
      </c>
      <c r="D10" s="3" t="n">
        <v>190</v>
      </c>
      <c r="E10" s="3" t="n">
        <v>175</v>
      </c>
      <c r="F10" s="2">
        <f>SUBSTITUTE(INDEX($C$1:$E$1,1,MATCH(MIN(C10:E10),C10:E10,0)),"_Price","")</f>
        <v/>
      </c>
      <c r="G10" s="3">
        <f>MIN(C10:E10)</f>
        <v/>
      </c>
    </row>
    <row r="11" ht="24" customHeight="1">
      <c r="A11" s="2" t="inlineStr">
        <is>
          <t>Морковь</t>
        </is>
      </c>
      <c r="B11" s="2" t="inlineStr">
        <is>
          <t>за кг</t>
        </is>
      </c>
      <c r="C11" s="3" t="n">
        <v>50</v>
      </c>
      <c r="D11" s="3" t="n">
        <v>39</v>
      </c>
      <c r="E11" s="3" t="n">
        <v>44</v>
      </c>
      <c r="F11" s="2">
        <f>SUBSTITUTE(INDEX($C$1:$E$1,1,MATCH(MIN(C11:E11),C11:E11,0)),"_Price","")</f>
        <v/>
      </c>
      <c r="G11" s="3">
        <f>MIN(C11:E11)</f>
        <v/>
      </c>
    </row>
    <row r="12" ht="24" customHeight="1">
      <c r="A12" s="2" t="inlineStr">
        <is>
          <t>Мука пшеничная</t>
        </is>
      </c>
      <c r="B12" s="2" t="inlineStr">
        <is>
          <t>за кг</t>
        </is>
      </c>
      <c r="C12" s="3" t="n">
        <v>75</v>
      </c>
      <c r="D12" s="3" t="n">
        <v>62</v>
      </c>
      <c r="E12" s="3" t="n">
        <v>68</v>
      </c>
      <c r="F12" s="2">
        <f>SUBSTITUTE(INDEX($C$1:$E$1,1,MATCH(MIN(C12:E12),C12:E12,0)),"_Price","")</f>
        <v/>
      </c>
      <c r="G12" s="3">
        <f>MIN(C12:E12)</f>
        <v/>
      </c>
    </row>
    <row r="13" ht="24" customHeight="1">
      <c r="A13" s="2" t="inlineStr">
        <is>
          <t>Паста томатная</t>
        </is>
      </c>
      <c r="B13" s="2" t="inlineStr">
        <is>
          <t>за банку</t>
        </is>
      </c>
      <c r="C13" s="3" t="n">
        <v>90</v>
      </c>
      <c r="D13" s="3" t="n">
        <v>75</v>
      </c>
      <c r="E13" s="3" t="n">
        <v>69</v>
      </c>
      <c r="F13" s="2">
        <f>SUBSTITUTE(INDEX($C$1:$E$1,1,MATCH(MIN(C13:E13),C13:E13,0)),"_Price","")</f>
        <v/>
      </c>
      <c r="G13" s="3">
        <f>MIN(C13:E13)</f>
        <v/>
      </c>
    </row>
    <row r="14" ht="24" customHeight="1">
      <c r="A14" s="2" t="inlineStr">
        <is>
          <t>Рис круглый</t>
        </is>
      </c>
      <c r="B14" s="2" t="inlineStr">
        <is>
          <t>за кг</t>
        </is>
      </c>
      <c r="C14" s="3" t="n">
        <v>120</v>
      </c>
      <c r="D14" s="3" t="n">
        <v>99</v>
      </c>
      <c r="E14" s="3" t="n">
        <v>109</v>
      </c>
      <c r="F14" s="2">
        <f>SUBSTITUTE(INDEX($C$1:$E$1,1,MATCH(MIN(C14:E14),C14:E14,0)),"_Price","")</f>
        <v/>
      </c>
      <c r="G14" s="3">
        <f>MIN(C14:E14)</f>
        <v/>
      </c>
    </row>
    <row r="15" ht="24" customHeight="1">
      <c r="A15" s="2" t="inlineStr">
        <is>
          <t>Свинина</t>
        </is>
      </c>
      <c r="B15" s="2" t="inlineStr">
        <is>
          <t>за кг</t>
        </is>
      </c>
      <c r="C15" s="3" t="n">
        <v>450</v>
      </c>
      <c r="D15" s="3" t="n">
        <v>410</v>
      </c>
      <c r="E15" s="3" t="n">
        <v>430</v>
      </c>
      <c r="F15" s="2">
        <f>SUBSTITUTE(INDEX($C$1:$E$1,1,MATCH(MIN(C15:E15),C15:E15,0)),"_Price","")</f>
        <v/>
      </c>
      <c r="G15" s="3">
        <f>MIN(C15:E15)</f>
        <v/>
      </c>
    </row>
    <row r="16" ht="24" customHeight="1">
      <c r="A16" s="2" t="inlineStr">
        <is>
          <t>Сметана</t>
        </is>
      </c>
      <c r="B16" s="2" t="inlineStr">
        <is>
          <t>за 400 г</t>
        </is>
      </c>
      <c r="C16" s="3" t="n">
        <v>130</v>
      </c>
      <c r="D16" s="3" t="n">
        <v>110</v>
      </c>
      <c r="E16" s="3" t="n">
        <v>120</v>
      </c>
      <c r="F16" s="2">
        <f>SUBSTITUTE(INDEX($C$1:$E$1,1,MATCH(MIN(C16:E16),C16:E16,0)),"_Price","")</f>
        <v/>
      </c>
      <c r="G16" s="3">
        <f>MIN(C16:E16)</f>
        <v/>
      </c>
    </row>
    <row r="17" ht="24" customHeight="1">
      <c r="A17" s="2" t="inlineStr">
        <is>
          <t>Сыр твёрдый</t>
        </is>
      </c>
      <c r="B17" s="2" t="inlineStr">
        <is>
          <t>за кг</t>
        </is>
      </c>
      <c r="C17" s="3" t="n">
        <v>739</v>
      </c>
      <c r="D17" s="3" t="n">
        <v>760</v>
      </c>
      <c r="E17" s="3" t="n">
        <v>790</v>
      </c>
      <c r="F17" s="2">
        <f>SUBSTITUTE(INDEX($C$1:$E$1,1,MATCH(MIN(C17:E17),C17:E17,0)),"_Price","")</f>
        <v/>
      </c>
      <c r="G17" s="3">
        <f>MIN(C17:E17)</f>
        <v/>
      </c>
    </row>
    <row r="18" ht="24" customHeight="1">
      <c r="A18" s="2" t="inlineStr">
        <is>
          <t>Тушёнка говяжья</t>
        </is>
      </c>
      <c r="B18" s="2" t="inlineStr">
        <is>
          <t>за банку</t>
        </is>
      </c>
      <c r="C18" s="3" t="n">
        <v>320</v>
      </c>
      <c r="D18" s="3" t="n">
        <v>290</v>
      </c>
      <c r="E18" s="3" t="n">
        <v>300</v>
      </c>
      <c r="F18" s="2">
        <f>SUBSTITUTE(INDEX($C$1:$E$1,1,MATCH(MIN(C18:E18),C18:E18,0)),"_Price","")</f>
        <v/>
      </c>
      <c r="G18" s="3">
        <f>MIN(C18:E18)</f>
        <v/>
      </c>
    </row>
    <row r="19" ht="24" customHeight="1">
      <c r="A19" s="2" t="inlineStr">
        <is>
          <t>Фарш мясной</t>
        </is>
      </c>
      <c r="B19" s="2" t="inlineStr">
        <is>
          <t>за кг</t>
        </is>
      </c>
      <c r="C19" s="3" t="n">
        <v>480</v>
      </c>
      <c r="D19" s="3" t="n">
        <v>499</v>
      </c>
      <c r="E19" s="3" t="n">
        <v>460</v>
      </c>
      <c r="F19" s="2">
        <f>SUBSTITUTE(INDEX($C$1:$E$1,1,MATCH(MIN(C19:E19),C19:E19,0)),"_Price","")</f>
        <v/>
      </c>
      <c r="G19" s="3">
        <f>MIN(C19:E19)</f>
        <v/>
      </c>
    </row>
    <row r="20" ht="24" customHeight="1">
      <c r="A20" s="2" t="inlineStr">
        <is>
          <t>Филе рыбы</t>
        </is>
      </c>
      <c r="B20" s="2" t="inlineStr">
        <is>
          <t>за кг</t>
        </is>
      </c>
      <c r="C20" s="3" t="n">
        <v>540</v>
      </c>
      <c r="D20" s="3" t="n">
        <v>490</v>
      </c>
      <c r="E20" s="3" t="n">
        <v>520</v>
      </c>
      <c r="F20" s="2">
        <f>SUBSTITUTE(INDEX($C$1:$E$1,1,MATCH(MIN(C20:E20),C20:E20,0)),"_Price","")</f>
        <v/>
      </c>
      <c r="G20" s="3">
        <f>MIN(C20:E20)</f>
        <v/>
      </c>
    </row>
    <row r="21" ht="24" customHeight="1">
      <c r="A21" s="2" t="inlineStr">
        <is>
          <t>Цыплёнок</t>
        </is>
      </c>
      <c r="B21" s="2" t="inlineStr">
        <is>
          <t>за кг</t>
        </is>
      </c>
      <c r="C21" s="3" t="n">
        <v>229</v>
      </c>
      <c r="D21" s="3" t="n">
        <v>245</v>
      </c>
      <c r="E21" s="3" t="n">
        <v>250</v>
      </c>
      <c r="F21" s="2">
        <f>SUBSTITUTE(INDEX($C$1:$E$1,1,MATCH(MIN(C21:E21),C21:E21,0)),"_Price","")</f>
        <v/>
      </c>
      <c r="G21" s="3">
        <f>MIN(C21:E21)</f>
        <v/>
      </c>
    </row>
    <row r="22" ht="24" customHeight="1">
      <c r="A22" s="2" t="inlineStr">
        <is>
          <t>Чеснок</t>
        </is>
      </c>
      <c r="B22" s="2" t="inlineStr">
        <is>
          <t>за кг</t>
        </is>
      </c>
      <c r="C22" s="3" t="n">
        <v>269</v>
      </c>
      <c r="D22" s="3" t="n">
        <v>280</v>
      </c>
      <c r="E22" s="3" t="n">
        <v>300</v>
      </c>
      <c r="F22" s="2">
        <f>SUBSTITUTE(INDEX($C$1:$E$1,1,MATCH(MIN(C22:E22),C22:E22,0)),"_Price","")</f>
        <v/>
      </c>
      <c r="G22" s="3">
        <f>MIN(C22:E22)</f>
        <v/>
      </c>
    </row>
    <row r="23" ht="24" customHeight="1">
      <c r="A23" s="2" t="inlineStr">
        <is>
          <t>Яйцо куриное</t>
        </is>
      </c>
      <c r="B23" s="2" t="inlineStr">
        <is>
          <t>за десяток</t>
        </is>
      </c>
      <c r="C23" s="3" t="n">
        <v>110</v>
      </c>
      <c r="D23" s="3" t="n">
        <v>95</v>
      </c>
      <c r="E23" s="3" t="n">
        <v>105</v>
      </c>
      <c r="F23" s="2">
        <f>SUBSTITUTE(INDEX($C$1:$E$1,1,MATCH(MIN(C23:E23),C23:E23,0)),"_Price","")</f>
        <v/>
      </c>
      <c r="G23" s="3">
        <f>MIN(C23:E23)</f>
        <v/>
      </c>
    </row>
  </sheetData>
  <autoFilter ref="A1:G23"/>
  <conditionalFormatting sqref="G2:G23">
    <cfRule type="colorScale" priority="1">
      <colorScale>
        <cfvo type="min"/>
        <cfvo type="max"/>
        <color rgb="0063BE7B"/>
        <color rgb="00F8696B"/>
      </colorScale>
    </cfRule>
  </conditionalFormatting>
  <pageMargins left="0.25" right="0.25" top="0.35" bottom="0.35" header="0.5" footer="0.5"/>
  <pageSetup orientation="landscape" paperSize="8" fitToHeight="1" fitToWidth="1"/>
  <headerFooter>
    <oddHeader/>
    <oddFooter>&amp;CCowork-Bench · Cafeteria Meal Planning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19" customWidth="1" min="4" max="4"/>
    <col width="15" customWidth="1" min="5" max="5"/>
    <col width="31" customWidth="1" min="6" max="6"/>
    <col width="18" customWidth="1" min="7" max="7"/>
    <col width="43" customWidth="1" min="8" max="8"/>
  </cols>
  <sheetData>
    <row r="1" ht="34" customHeight="1">
      <c r="A1" s="1" t="inlineStr">
        <is>
          <t>Recipe_ID</t>
        </is>
      </c>
      <c r="B1" s="1" t="inlineStr">
        <is>
          <t>Recipe</t>
        </is>
      </c>
      <c r="C1" s="1" t="inlineStr">
        <is>
          <t>Matched_Ingredient_Count</t>
        </is>
      </c>
      <c r="D1" s="1" t="inlineStr">
        <is>
          <t>Unpriced_Ingredient_Count</t>
        </is>
      </c>
      <c r="E1" s="1" t="inlineStr">
        <is>
          <t>Total_Cost</t>
        </is>
      </c>
      <c r="F1" s="1" t="inlineStr">
        <is>
          <t>Cheapest_Store_Mix</t>
        </is>
      </c>
      <c r="G1" s="1" t="inlineStr">
        <is>
          <t>Cost_Per_Serving</t>
        </is>
      </c>
      <c r="H1" s="1" t="inlineStr">
        <is>
          <t>Unpriced_Ingredients</t>
        </is>
      </c>
    </row>
    <row r="2" ht="24" customHeight="1">
      <c r="A2" s="2" t="inlineStr">
        <is>
          <t>goryachee-grechka-s-tushenkoy</t>
        </is>
      </c>
      <c r="B2" s="2" t="inlineStr">
        <is>
          <t>Гречка с тушёнкой</t>
        </is>
      </c>
      <c r="C2" s="2" t="n">
        <v>5</v>
      </c>
      <c r="D2" s="2" t="n">
        <v>2</v>
      </c>
      <c r="E2" s="3" t="n">
        <v>587</v>
      </c>
      <c r="F2" s="2" t="inlineStr">
        <is>
          <t>FreshMart/ValueGrocer/BulkBarn</t>
        </is>
      </c>
      <c r="G2" s="3">
        <f>ROUND(E2/4,2)</f>
        <v/>
      </c>
      <c r="H2" s="2" t="inlineStr">
        <is>
          <t>Соль; Перец чёрный молотый</t>
        </is>
      </c>
    </row>
    <row r="3" ht="24" customHeight="1">
      <c r="A3" s="2" t="inlineStr">
        <is>
          <t>goryachee-tsyplenok-tabaka</t>
        </is>
      </c>
      <c r="B3" s="2" t="inlineStr">
        <is>
          <t>Цыплёнок табака</t>
        </is>
      </c>
      <c r="C3" s="2" t="n">
        <v>3</v>
      </c>
      <c r="D3" s="2" t="n">
        <v>3</v>
      </c>
      <c r="E3" s="3" t="n">
        <v>673</v>
      </c>
      <c r="F3" s="2" t="inlineStr">
        <is>
          <t>FreshMart/BulkBarn</t>
        </is>
      </c>
      <c r="G3" s="3">
        <f>ROUND(E3/4,2)</f>
        <v/>
      </c>
      <c r="H3" s="2" t="inlineStr">
        <is>
          <t>Перец чёрный молотый; Паприка; Соль</t>
        </is>
      </c>
    </row>
    <row r="4" ht="24" customHeight="1">
      <c r="A4" s="2" t="inlineStr">
        <is>
          <t>goryachee-kuritsa-v-smetane</t>
        </is>
      </c>
      <c r="B4" s="2" t="inlineStr">
        <is>
          <t>Курица в сметане</t>
        </is>
      </c>
      <c r="C4" s="2" t="n">
        <v>6</v>
      </c>
      <c r="D4" s="2" t="n">
        <v>2</v>
      </c>
      <c r="E4" s="3" t="n">
        <v>830</v>
      </c>
      <c r="F4" s="2" t="inlineStr">
        <is>
          <t>FreshMart/ValueGrocer/BulkBarn</t>
        </is>
      </c>
      <c r="G4" s="3">
        <f>ROUND(E4/4,2)</f>
        <v/>
      </c>
      <c r="H4" s="2" t="inlineStr">
        <is>
          <t>Соль; Перец чёрный молотый</t>
        </is>
      </c>
    </row>
    <row r="5" ht="24" customHeight="1">
      <c r="A5" s="2" t="inlineStr">
        <is>
          <t>goryachee-golubtsy</t>
        </is>
      </c>
      <c r="B5" s="2" t="inlineStr">
        <is>
          <t>Голубцы</t>
        </is>
      </c>
      <c r="C5" s="2" t="n">
        <v>7</v>
      </c>
      <c r="D5" s="2" t="n">
        <v>2</v>
      </c>
      <c r="E5" s="3" t="n">
        <v>834</v>
      </c>
      <c r="F5" s="2" t="inlineStr">
        <is>
          <t>ValueGrocer/BulkBarn</t>
        </is>
      </c>
      <c r="G5" s="3">
        <f>ROUND(E5/4,2)</f>
        <v/>
      </c>
      <c r="H5" s="2" t="inlineStr">
        <is>
          <t>Соль; Перец чёрный молотый</t>
        </is>
      </c>
    </row>
    <row r="6" ht="24" customHeight="1">
      <c r="A6" s="2" t="inlineStr">
        <is>
          <t>goryachee-zharkoe-v-gorshochkah</t>
        </is>
      </c>
      <c r="B6" s="2" t="inlineStr">
        <is>
          <t>Жаркое в горшочках</t>
        </is>
      </c>
      <c r="C6" s="2" t="n">
        <v>6</v>
      </c>
      <c r="D6" s="2" t="n">
        <v>3</v>
      </c>
      <c r="E6" s="3" t="n">
        <v>892</v>
      </c>
      <c r="F6" s="2" t="inlineStr">
        <is>
          <t>FreshMart/ValueGrocer</t>
        </is>
      </c>
      <c r="G6" s="3">
        <f>ROUND(E6/4,2)</f>
        <v/>
      </c>
      <c r="H6" s="2" t="inlineStr">
        <is>
          <t>Бульон мясной; Лавровый лист; Соль</t>
        </is>
      </c>
    </row>
  </sheetData>
  <autoFilter ref="A1:H6"/>
  <pageMargins left="0.25" right="0.25" top="0.35" bottom="0.35" header="0.5" footer="0.5"/>
  <pageSetup orientation="landscape" paperSize="8" fitToHeight="1" fitToWidth="1"/>
  <headerFooter>
    <oddHeader/>
    <oddFooter>&amp;CCowork-Bench · Cafeteria Meal Planning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4" customWidth="1" min="4" max="4"/>
    <col width="28" customWidth="1" min="5" max="5"/>
    <col width="18" customWidth="1" min="6" max="6"/>
  </cols>
  <sheetData>
    <row r="1" ht="34" customHeight="1">
      <c r="A1" s="1" t="inlineStr">
        <is>
          <t>Date</t>
        </is>
      </c>
      <c r="B1" s="1" t="inlineStr">
        <is>
          <t>Day</t>
        </is>
      </c>
      <c r="C1" s="1" t="inlineStr">
        <is>
          <t>Meal</t>
        </is>
      </c>
      <c r="D1" s="1" t="inlineStr">
        <is>
          <t>Recipe_ID</t>
        </is>
      </c>
      <c r="E1" s="1" t="inlineStr">
        <is>
          <t>Recipe</t>
        </is>
      </c>
      <c r="F1" s="1" t="inlineStr">
        <is>
          <t>Estimated_Cost</t>
        </is>
      </c>
    </row>
    <row r="2" ht="24" customHeight="1">
      <c r="A2" s="2" t="inlineStr">
        <is>
          <t>2026-03-16</t>
        </is>
      </c>
      <c r="B2" s="2" t="inlineStr">
        <is>
          <t>Monday</t>
        </is>
      </c>
      <c r="C2" s="2" t="inlineStr">
        <is>
          <t>Lunch</t>
        </is>
      </c>
      <c r="D2" s="2" t="inlineStr">
        <is>
          <t>goryachee-grechka-s-tushenkoy</t>
        </is>
      </c>
      <c r="E2" s="2" t="inlineStr">
        <is>
          <t>Гречка с тушёнкой</t>
        </is>
      </c>
      <c r="F2" s="3">
        <f>VLOOKUP(D2,Recipe_Cost_Analysis!$A$2:$E$6,5,FALSE)</f>
        <v/>
      </c>
    </row>
    <row r="3" ht="24" customHeight="1">
      <c r="A3" s="2" t="inlineStr">
        <is>
          <t>2026-03-16</t>
        </is>
      </c>
      <c r="B3" s="2" t="inlineStr">
        <is>
          <t>Monday</t>
        </is>
      </c>
      <c r="C3" s="2" t="inlineStr">
        <is>
          <t>Dinner</t>
        </is>
      </c>
      <c r="D3" s="2" t="inlineStr">
        <is>
          <t>goryachee-zharkoe-v-gorshochkah</t>
        </is>
      </c>
      <c r="E3" s="2" t="inlineStr">
        <is>
          <t>Жаркое в горшочках</t>
        </is>
      </c>
      <c r="F3" s="3">
        <f>VLOOKUP(D3,Recipe_Cost_Analysis!$A$2:$E$6,5,FALSE)</f>
        <v/>
      </c>
    </row>
    <row r="4" ht="24" customHeight="1">
      <c r="A4" s="2" t="inlineStr">
        <is>
          <t>2026-03-17</t>
        </is>
      </c>
      <c r="B4" s="2" t="inlineStr">
        <is>
          <t>Tuesday</t>
        </is>
      </c>
      <c r="C4" s="2" t="inlineStr">
        <is>
          <t>Lunch</t>
        </is>
      </c>
      <c r="D4" s="2" t="inlineStr">
        <is>
          <t>goryachee-tsyplenok-tabaka</t>
        </is>
      </c>
      <c r="E4" s="2" t="inlineStr">
        <is>
          <t>Цыплёнок табака</t>
        </is>
      </c>
      <c r="F4" s="3">
        <f>VLOOKUP(D4,Recipe_Cost_Analysis!$A$2:$E$6,5,FALSE)</f>
        <v/>
      </c>
    </row>
    <row r="5" ht="24" customHeight="1">
      <c r="A5" s="2" t="inlineStr">
        <is>
          <t>2026-03-17</t>
        </is>
      </c>
      <c r="B5" s="2" t="inlineStr">
        <is>
          <t>Tuesday</t>
        </is>
      </c>
      <c r="C5" s="2" t="inlineStr">
        <is>
          <t>Dinner</t>
        </is>
      </c>
      <c r="D5" s="2" t="inlineStr">
        <is>
          <t>goryachee-golubtsy</t>
        </is>
      </c>
      <c r="E5" s="2" t="inlineStr">
        <is>
          <t>Голубцы</t>
        </is>
      </c>
      <c r="F5" s="3">
        <f>VLOOKUP(D5,Recipe_Cost_Analysis!$A$2:$E$6,5,FALSE)</f>
        <v/>
      </c>
    </row>
    <row r="6" ht="24" customHeight="1">
      <c r="A6" s="2" t="inlineStr">
        <is>
          <t>2026-03-18</t>
        </is>
      </c>
      <c r="B6" s="2" t="inlineStr">
        <is>
          <t>Wednesday</t>
        </is>
      </c>
      <c r="C6" s="2" t="inlineStr">
        <is>
          <t>Lunch</t>
        </is>
      </c>
      <c r="D6" s="2" t="inlineStr">
        <is>
          <t>goryachee-kuritsa-v-smetane</t>
        </is>
      </c>
      <c r="E6" s="2" t="inlineStr">
        <is>
          <t>Курица в сметане</t>
        </is>
      </c>
      <c r="F6" s="3">
        <f>VLOOKUP(D6,Recipe_Cost_Analysis!$A$2:$E$6,5,FALSE)</f>
        <v/>
      </c>
    </row>
    <row r="7" ht="24" customHeight="1">
      <c r="A7" s="2" t="inlineStr">
        <is>
          <t>2026-03-18</t>
        </is>
      </c>
      <c r="B7" s="2" t="inlineStr">
        <is>
          <t>Wednesday</t>
        </is>
      </c>
      <c r="C7" s="2" t="inlineStr">
        <is>
          <t>Dinner</t>
        </is>
      </c>
      <c r="D7" s="2" t="inlineStr">
        <is>
          <t>goryachee-kuritsa-v-smetane</t>
        </is>
      </c>
      <c r="E7" s="2" t="inlineStr">
        <is>
          <t>Курица в сметане</t>
        </is>
      </c>
      <c r="F7" s="3">
        <f>VLOOKUP(D7,Recipe_Cost_Analysis!$A$2:$E$6,5,FALSE)</f>
        <v/>
      </c>
    </row>
    <row r="8" ht="24" customHeight="1">
      <c r="A8" s="2" t="inlineStr">
        <is>
          <t>2026-03-19</t>
        </is>
      </c>
      <c r="B8" s="2" t="inlineStr">
        <is>
          <t>Thursday</t>
        </is>
      </c>
      <c r="C8" s="2" t="inlineStr">
        <is>
          <t>Lunch</t>
        </is>
      </c>
      <c r="D8" s="2" t="inlineStr">
        <is>
          <t>goryachee-golubtsy</t>
        </is>
      </c>
      <c r="E8" s="2" t="inlineStr">
        <is>
          <t>Голубцы</t>
        </is>
      </c>
      <c r="F8" s="3">
        <f>VLOOKUP(D8,Recipe_Cost_Analysis!$A$2:$E$6,5,FALSE)</f>
        <v/>
      </c>
    </row>
    <row r="9" ht="24" customHeight="1">
      <c r="A9" s="2" t="inlineStr">
        <is>
          <t>2026-03-19</t>
        </is>
      </c>
      <c r="B9" s="2" t="inlineStr">
        <is>
          <t>Thursday</t>
        </is>
      </c>
      <c r="C9" s="2" t="inlineStr">
        <is>
          <t>Dinner</t>
        </is>
      </c>
      <c r="D9" s="2" t="inlineStr">
        <is>
          <t>goryachee-tsyplenok-tabaka</t>
        </is>
      </c>
      <c r="E9" s="2" t="inlineStr">
        <is>
          <t>Цыплёнок табака</t>
        </is>
      </c>
      <c r="F9" s="3">
        <f>VLOOKUP(D9,Recipe_Cost_Analysis!$A$2:$E$6,5,FALSE)</f>
        <v/>
      </c>
    </row>
    <row r="10" ht="24" customHeight="1">
      <c r="A10" s="2" t="inlineStr">
        <is>
          <t>2026-03-20</t>
        </is>
      </c>
      <c r="B10" s="2" t="inlineStr">
        <is>
          <t>Friday</t>
        </is>
      </c>
      <c r="C10" s="2" t="inlineStr">
        <is>
          <t>Lunch</t>
        </is>
      </c>
      <c r="D10" s="2" t="inlineStr">
        <is>
          <t>goryachee-zharkoe-v-gorshochkah</t>
        </is>
      </c>
      <c r="E10" s="2" t="inlineStr">
        <is>
          <t>Жаркое в горшочках</t>
        </is>
      </c>
      <c r="F10" s="3">
        <f>VLOOKUP(D10,Recipe_Cost_Analysis!$A$2:$E$6,5,FALSE)</f>
        <v/>
      </c>
    </row>
    <row r="11" ht="24" customHeight="1">
      <c r="A11" s="2" t="inlineStr">
        <is>
          <t>2026-03-20</t>
        </is>
      </c>
      <c r="B11" s="2" t="inlineStr">
        <is>
          <t>Friday</t>
        </is>
      </c>
      <c r="C11" s="2" t="inlineStr">
        <is>
          <t>Dinner</t>
        </is>
      </c>
      <c r="D11" s="2" t="inlineStr">
        <is>
          <t>goryachee-grechka-s-tushenkoy</t>
        </is>
      </c>
      <c r="E11" s="2" t="inlineStr">
        <is>
          <t>Гречка с тушёнкой</t>
        </is>
      </c>
      <c r="F11" s="3">
        <f>VLOOKUP(D11,Recipe_Cost_Analysis!$A$2:$E$6,5,FALSE)</f>
        <v/>
      </c>
    </row>
  </sheetData>
  <autoFilter ref="A1:F11"/>
  <pageMargins left="0.25" right="0.25" top="0.35" bottom="0.35" header="0.5" footer="0.5"/>
  <pageSetup orientation="landscape" paperSize="8" fitToHeight="1" fitToWidth="1"/>
  <headerFooter>
    <oddHeader/>
    <oddFooter>&amp;CCowork-Bench · Cafeteria Meal Planning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2026-08-24T08:45:44Z</dcterms:created>
  <dcterms:modified xmlns:dcterms="http://purl.org/dc/terms/" xmlns:xsi="http://www.w3.org/2001/XMLSchema-instance" xsi:type="dcterms:W3CDTF">2026-08-24T08:45:44Z</dcterms:modified>
</cp:coreProperties>
</file>