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All_Submissions" sheetId="1" state="visible" r:id="rId2"/>
    <sheet name="Accepted_Program" sheetId="2" state="visible" r:id="rId3"/>
    <sheet name="Control_Summary" sheetId="3" state="visible" r:id="rId4"/>
  </sheets>
  <definedNames>
    <definedName function="false" hidden="false" localSheetId="1" name="_xlnm.Print_Area" vbProcedure="false">Accepted_Program!$A$1:$I$8</definedName>
    <definedName function="false" hidden="false" localSheetId="1" name="_xlnm.Print_Titles" vbProcedure="false">Accepted_Program!$1:$1</definedName>
    <definedName function="false" hidden="true" localSheetId="1" name="_xlnm._FilterDatabase" vbProcedure="false">Accepted_Program!$A$1:$I$8</definedName>
    <definedName function="false" hidden="false" localSheetId="0" name="_xlnm.Print_Area" vbProcedure="false">All_Submissions!$A$1:$M$11</definedName>
    <definedName function="false" hidden="false" localSheetId="0" name="_xlnm.Print_Titles" vbProcedure="false">All_Submissions!$1:$1</definedName>
    <definedName function="false" hidden="true" localSheetId="0" name="_xlnm._FilterDatabase" vbProcedure="false">All_Submissions!$A$1:$M$11</definedName>
    <definedName function="false" hidden="false" localSheetId="2" name="_xlnm.Print_Area" vbProcedure="false">Control_Summary!$A$1:$B$10</definedName>
    <definedName function="false" hidden="false" localSheetId="2" name="_xlnm.Print_Titles" vbProcedure="false">Control_Summary!$1:$1</definedName>
    <definedName function="false" hidden="true" localSheetId="2" name="_xlnm._FilterDatabase" vbProcedure="false">Control_Summary!$A$1:$B$10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<sst xmlns="http://schemas.openxmlformats.org/spreadsheetml/2006/main" count="93" uniqueCount="78">
  <si>
    <t xml:space="preserve">ID</t>
  </si>
  <si>
    <t xml:space="preserve">ФИО автора</t>
  </si>
  <si>
    <t xml:space="preserve">Email</t>
  </si>
  <si>
    <t xml:space="preserve">Аффилиация</t>
  </si>
  <si>
    <t xml:space="preserve">Название доклада</t>
  </si>
  <si>
    <t xml:space="preserve">Тематика</t>
  </si>
  <si>
    <t xml:space="preserve">Аннотация</t>
  </si>
  <si>
    <t xml:space="preserve">Рецензент 1</t>
  </si>
  <si>
    <t xml:space="preserve">Рецензент 2</t>
  </si>
  <si>
    <t xml:space="preserve">Рецензент 3</t>
  </si>
  <si>
    <t xml:space="preserve">Средняя оценка</t>
  </si>
  <si>
    <t xml:space="preserve">Статус</t>
  </si>
  <si>
    <t xml:space="preserve">Секция</t>
  </si>
  <si>
    <t xml:space="preserve">Хабибуллин М.Х.</t>
  </si>
  <si>
    <t xml:space="preserve">habibullin@kfu.ru</t>
  </si>
  <si>
    <t xml:space="preserve">Казанский федеральный университет</t>
  </si>
  <si>
    <t xml:space="preserve">Археология средневекового Болгара: новые раскопки 2024–2025 гг.</t>
  </si>
  <si>
    <t xml:space="preserve">Археология</t>
  </si>
  <si>
    <t xml:space="preserve">В докладе представлены результаты двухгодичных полевых работ на территории Болгарского городища; описаны находки IX–X вв. (керамика, нумизматика, фрагменты деревянных конструкций).</t>
  </si>
  <si>
    <t xml:space="preserve">Дроздова О.В.</t>
  </si>
  <si>
    <t xml:space="preserve">drozdova@iling.spb.ru</t>
  </si>
  <si>
    <t xml:space="preserve">ИЛИ РАН, Санкт-Петербург</t>
  </si>
  <si>
    <t xml:space="preserve">Берестяные грамоты XII века: новые находки в Новгороде</t>
  </si>
  <si>
    <t xml:space="preserve">Источниковедение</t>
  </si>
  <si>
    <t xml:space="preserve">Обзор берестяных грамот, найденных при раскопках Троицкого раскопа в 2023–2024 гг.; уточнение датировок и палеографический анализ.</t>
  </si>
  <si>
    <t xml:space="preserve">Петров А.С.</t>
  </si>
  <si>
    <t xml:space="preserve">petrov@hist.msu.ru</t>
  </si>
  <si>
    <t xml:space="preserve">Исторический факультет МГУ</t>
  </si>
  <si>
    <t xml:space="preserve">Княжеские договоры XIII века как источник по политической истории</t>
  </si>
  <si>
    <t xml:space="preserve">История</t>
  </si>
  <si>
    <t xml:space="preserve">Анализируются договорные грамоты Александра Невского, Ярослава Ярославича и Дмитрия Александровича; реконструируется механика княжеских соглашений.</t>
  </si>
  <si>
    <t xml:space="preserve">Шарифуллина Е.Р.</t>
  </si>
  <si>
    <t xml:space="preserve">sharifullina@kfu.ru</t>
  </si>
  <si>
    <t xml:space="preserve">Нумизматика волжских булгар: дирхемы и подражания</t>
  </si>
  <si>
    <t xml:space="preserve">Каталог волжско-булгарских монетных находок 2010–2025 гг. Изотопный анализ серебра и реконструкция торговых связей с Багдадским халифатом.</t>
  </si>
  <si>
    <t xml:space="preserve">Иванов К.М.</t>
  </si>
  <si>
    <t xml:space="preserve">ivanov@nov-arch.ru</t>
  </si>
  <si>
    <t xml:space="preserve">Новгородский гос. университет</t>
  </si>
  <si>
    <t xml:space="preserve">Софийский собор: археология подземных слоёв</t>
  </si>
  <si>
    <t xml:space="preserve">Результаты георадарного исследования и пробных раскопок под Софийским собором Великого Новгорода. Выявлены три горизонта застройки XI–XIV вв.</t>
  </si>
  <si>
    <t xml:space="preserve">Ласкина Н.Ю.</t>
  </si>
  <si>
    <t xml:space="preserve">laskina@inion.ru</t>
  </si>
  <si>
    <t xml:space="preserve">ИНИОН РАН, Москва</t>
  </si>
  <si>
    <t xml:space="preserve">Древнерусская летопись и булгарская хроника: сравнительный анализ</t>
  </si>
  <si>
    <t xml:space="preserve">Сопоставление Лаврентьевской летописи и сообщений Ибн-Фадлана о булгарах. Текстологические параллели и противоречия.</t>
  </si>
  <si>
    <t xml:space="preserve">Соколов Д.А.</t>
  </si>
  <si>
    <t xml:space="preserve">sokolov@kfu.ru</t>
  </si>
  <si>
    <t xml:space="preserve">Торговые пути Волги в IX–XI вв.: археологические свидетельства</t>
  </si>
  <si>
    <t xml:space="preserve">Систематизация находок арабских дирхемов и византийских изделий на Волжском пути. Картирование основных торговых узлов.</t>
  </si>
  <si>
    <t xml:space="preserve">Краснов В.П.</t>
  </si>
  <si>
    <t xml:space="preserve">krasnov@example.ru</t>
  </si>
  <si>
    <t xml:space="preserve">Тверской частный исследовательский институт</t>
  </si>
  <si>
    <t xml:space="preserve">Тайна копья Святого Олега</t>
  </si>
  <si>
    <t xml:space="preserve">Гипотеза о происхождении и сакральном значении копья князя Олега. Реконструкция по фольклорным источникам.</t>
  </si>
  <si>
    <t xml:space="preserve">Михайлов С.К.</t>
  </si>
  <si>
    <t xml:space="preserve">mikhailov@yandex.ru</t>
  </si>
  <si>
    <t xml:space="preserve">Независимый исследователь</t>
  </si>
  <si>
    <t xml:space="preserve">Криптокурс по Древней Руси</t>
  </si>
  <si>
    <t xml:space="preserve">Иное</t>
  </si>
  <si>
    <t xml:space="preserve">Авторская трактовка криптографических символов в граффити Софийского собора. Реконструкция «утерянной» системы письма.</t>
  </si>
  <si>
    <t xml:space="preserve">Орлов Р.Е.</t>
  </si>
  <si>
    <t xml:space="preserve">orlov@rambler.ru</t>
  </si>
  <si>
    <t xml:space="preserve">Уфимский центр альтернативной истории</t>
  </si>
  <si>
    <t xml:space="preserve">Космогония булгар: версии и факты</t>
  </si>
  <si>
    <t xml:space="preserve">Анализ космогонических представлений булгар через призму современных эзотерических концепций.</t>
  </si>
  <si>
    <t xml:space="preserve">День</t>
  </si>
  <si>
    <t xml:space="preserve">Начало</t>
  </si>
  <si>
    <t xml:space="preserve">Окончание</t>
  </si>
  <si>
    <t xml:space="preserve">Докладчик</t>
  </si>
  <si>
    <t xml:space="preserve">Source ID</t>
  </si>
  <si>
    <t xml:space="preserve">Metric</t>
  </si>
  <si>
    <t xml:space="preserve">Value</t>
  </si>
  <si>
    <t xml:space="preserve">Total_Submissions</t>
  </si>
  <si>
    <t xml:space="preserve">Accepted</t>
  </si>
  <si>
    <t xml:space="preserve">Rejected</t>
  </si>
  <si>
    <t xml:space="preserve">Earliest_Start</t>
  </si>
  <si>
    <t xml:space="preserve">Latest_End</t>
  </si>
  <si>
    <t xml:space="preserve">Schedule_Conflicts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</si>
</sst>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"/>
    <numFmt numFmtId="166" formatCode="yyyy\-mm\-dd"/>
    <numFmt numFmtId="167" formatCode="hh:mm"/>
    <numFmt numFmtId="168" formatCode="General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8"/>
      <color rgb="FFFFFFFF"/>
      <name val="Aptos"/>
      <family val="0"/>
      <charset val="1"/>
    </font>
    <font>
      <sz val="8"/>
      <color rgb="FF18324A"/>
      <name val="Aptos"/>
      <family val="0"/>
      <charset val="1"/>
    </font>
    <font>
      <b val="true"/>
      <sz val="10"/>
      <color rgb="FF18324A"/>
      <name val="Aptos"/>
      <family val="0"/>
      <charset val="1"/>
    </font>
    <font>
      <b val="true"/>
      <sz val="12"/>
      <color rgb="FF0E7C86"/>
      <name val="Aptos Display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8324A"/>
        <bgColor rgb="FF333333"/>
      </patternFill>
    </fill>
    <fill>
      <patternFill patternType="solid">
        <fgColor rgb="FFEAF1F8"/>
        <bgColor rgb="FFE3F2E8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9D5D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8324A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FFFFFF"/>
        </patternFill>
      </fill>
    </dxf>
    <dxf>
      <fill>
        <patternFill patternType="solid">
          <fgColor rgb="FFE3F2E8"/>
        </patternFill>
      </fill>
    </dxf>
    <dxf>
      <fill>
        <patternFill patternType="solid">
          <fgColor rgb="FFFCE8E6"/>
        </patternFill>
      </fill>
    </dxf>
    <dxf>
      <fill>
        <patternFill>
          <bgColor rgb="FFE3F2E8"/>
        </patternFill>
      </fill>
    </dxf>
    <dxf>
      <fill>
        <patternFill>
          <bgColor rgb="FFFCE8E6"/>
        </patternFill>
      </fill>
    </dxf>
    <dxf>
      <fill>
        <patternFill patternType="solid">
          <fgColor rgb="FFFFF4D6"/>
        </patternFill>
      </fill>
    </dxf>
    <dxf>
      <fill>
        <patternFill>
          <bgColor rgb="FFFFF4D6"/>
        </patternFill>
      </fill>
    </dxf>
    <dxf>
      <fill>
        <patternFill patternType="solid">
          <fgColor rgb="FFEAF1F8"/>
        </patternFill>
      </fill>
    </dxf>
    <dxf>
      <fill>
        <patternFill patternType="solid">
          <fgColor rgb="FF0E7C8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7C86"/>
      <rgbColor rgb="FFC0C0C0"/>
      <rgbColor rgb="FF808080"/>
      <rgbColor rgb="FF9999FF"/>
      <rgbColor rgb="FF993366"/>
      <rgbColor rgb="FFFFF4D6"/>
      <rgbColor rgb="FFE3F2E8"/>
      <rgbColor rgb="FF660066"/>
      <rgbColor rgb="FFFF8080"/>
      <rgbColor rgb="FF0066CC"/>
      <rgbColor rgb="FFC9D5D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1F8"/>
      <rgbColor rgb="FFCCFFCC"/>
      <rgbColor rgb="FFFCE8E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8324A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AcceptedProgramTable" displayName="AcceptedProgramTable" ref="A1:I8" headerRowCount="1" totalsRowCount="0" totalsRowShown="0">
  <autoFilter ref="A1:I8"/>
  <tableColumns count="9">
    <tableColumn id="1" name="Секция"/>
    <tableColumn id="2" name="День"/>
    <tableColumn id="3" name="Начало"/>
    <tableColumn id="4" name="Окончание"/>
    <tableColumn id="5" name="Докладчик"/>
    <tableColumn id="6" name="Email"/>
    <tableColumn id="7" name="Название доклада"/>
    <tableColumn id="8" name="Аффилиация"/>
    <tableColumn id="9" name="Source ID"/>
  </tableColumns>
</table>
</file>

<file path=xl/tables/table2.xml><?xml version="1.0" encoding="utf-8"?>
<table xmlns="http://schemas.openxmlformats.org/spreadsheetml/2006/main" id="2" name="AllSubmissionsTable" displayName="AllSubmissionsTable" ref="A1:M11" headerRowCount="1" totalsRowCount="0" totalsRowShown="0">
  <autoFilter ref="A1:M11"/>
  <tableColumns count="13">
    <tableColumn id="1" name="ID"/>
    <tableColumn id="2" name="ФИО автора"/>
    <tableColumn id="3" name="Email"/>
    <tableColumn id="4" name="Аффилиация"/>
    <tableColumn id="5" name="Название доклада"/>
    <tableColumn id="6" name="Тематика"/>
    <tableColumn id="7" name="Аннотация"/>
    <tableColumn id="8" name="Рецензент 1"/>
    <tableColumn id="9" name="Рецензент 2"/>
    <tableColumn id="10" name="Рецензент 3"/>
    <tableColumn id="11" name="Средняя оценка"/>
    <tableColumn id="12" name="Статус"/>
    <tableColumn id="13" name="Секция"/>
  </tableColumns>
</table>
</file>

<file path=xl/tables/table3.xml><?xml version="1.0" encoding="utf-8"?>
<table xmlns="http://schemas.openxmlformats.org/spreadsheetml/2006/main" id="3" name="ControlSummaryTable" displayName="ControlSummaryTable" ref="A1:B10" headerRowCount="1" totalsRowCount="0" totalsRowShown="0">
  <autoFilter ref="A1:B10"/>
  <tableColumns count="2">
    <tableColumn id="1" name="Metric"/>
    <tableColumn id="2" name="Value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2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table" Target="../tables/table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M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pane ySplit="1" topLeftCell="A2" activePane="bottomLeft" state="frozen"/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5.01"/>
    <col collapsed="false" customWidth="true" hidden="false" outlineLevel="0" max="2" min="2" style="0" width="19.99"/>
    <col collapsed="false" customWidth="true" hidden="false" outlineLevel="0" max="3" min="3" style="0" width="25"/>
    <col collapsed="false" customWidth="true" hidden="false" outlineLevel="0" max="4" min="4" style="0" width="30.01"/>
    <col collapsed="false" customWidth="true" hidden="false" outlineLevel="0" max="5" min="5" style="0" width="44.99"/>
    <col collapsed="false" customWidth="true" hidden="false" outlineLevel="0" max="6" min="6" style="0" width="22.01"/>
    <col collapsed="false" customWidth="true" hidden="false" outlineLevel="0" max="7" min="7" style="0" width="52"/>
    <col collapsed="false" customWidth="true" hidden="false" outlineLevel="0" max="10" min="8" style="0" width="11.99"/>
    <col collapsed="false" customWidth="true" hidden="false" outlineLevel="0" max="11" min="11" style="0" width="15"/>
    <col collapsed="false" customWidth="true" hidden="false" outlineLevel="0" max="12" min="12" style="0" width="14.01"/>
    <col collapsed="false" customWidth="true" hidden="false" outlineLevel="0" max="13" min="13" style="0" width="22.01"/>
  </cols>
  <sheetData>
    <row r="1" customFormat="false" ht="33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57.75" hidden="false" customHeight="true" outlineLevel="0" collapsed="false">
      <c r="A2" s="2" t="n">
        <v>1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n">
        <v>5</v>
      </c>
      <c r="I2" s="2" t="n">
        <v>5</v>
      </c>
      <c r="J2" s="2" t="n">
        <v>4</v>
      </c>
      <c r="K2" s="3" t="n">
        <f aca="false">ROUND(AVERAGE(H2:J2),2)</f>
        <v>4.67</v>
      </c>
      <c r="L2" s="2" t="str">
        <f aca="false">IF(K2&gt;=4,"Принят","Отклонён")</f>
        <v>Принят</v>
      </c>
      <c r="M2" s="2" t="str">
        <f aca="false">IF(L2="Принят",F2,"")</f>
        <v>Археология</v>
      </c>
    </row>
    <row r="3" customFormat="false" ht="57.75" hidden="false" customHeight="true" outlineLevel="0" collapsed="false">
      <c r="A3" s="2" t="n">
        <v>2</v>
      </c>
      <c r="B3" s="2" t="s">
        <v>19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n">
        <v>5</v>
      </c>
      <c r="I3" s="2" t="n">
        <v>4</v>
      </c>
      <c r="J3" s="2" t="n">
        <v>4</v>
      </c>
      <c r="K3" s="3" t="n">
        <f aca="false">ROUND(AVERAGE(H3:J3),2)</f>
        <v>4.33</v>
      </c>
      <c r="L3" s="2" t="str">
        <f aca="false">IF(K3&gt;=4,"Принят","Отклонён")</f>
        <v>Принят</v>
      </c>
      <c r="M3" s="2" t="str">
        <f aca="false">IF(L3="Принят",F3,"")</f>
        <v>Источниковедение</v>
      </c>
    </row>
    <row r="4" customFormat="false" ht="57.75" hidden="false" customHeight="true" outlineLevel="0" collapsed="false">
      <c r="A4" s="2" t="n">
        <v>3</v>
      </c>
      <c r="B4" s="2" t="s">
        <v>25</v>
      </c>
      <c r="C4" s="2" t="s">
        <v>26</v>
      </c>
      <c r="D4" s="2" t="s">
        <v>27</v>
      </c>
      <c r="E4" s="2" t="s">
        <v>28</v>
      </c>
      <c r="F4" s="2" t="s">
        <v>29</v>
      </c>
      <c r="G4" s="2" t="s">
        <v>30</v>
      </c>
      <c r="H4" s="2" t="n">
        <v>4</v>
      </c>
      <c r="I4" s="2" t="n">
        <v>4</v>
      </c>
      <c r="J4" s="2" t="n">
        <v>4</v>
      </c>
      <c r="K4" s="3" t="n">
        <f aca="false">ROUND(AVERAGE(H4:J4),2)</f>
        <v>4</v>
      </c>
      <c r="L4" s="2" t="str">
        <f aca="false">IF(K4&gt;=4,"Принят","Отклонён")</f>
        <v>Принят</v>
      </c>
      <c r="M4" s="2" t="str">
        <f aca="false">IF(L4="Принят",F4,"")</f>
        <v>История</v>
      </c>
    </row>
    <row r="5" customFormat="false" ht="57.75" hidden="false" customHeight="true" outlineLevel="0" collapsed="false">
      <c r="A5" s="2" t="n">
        <v>4</v>
      </c>
      <c r="B5" s="2" t="s">
        <v>31</v>
      </c>
      <c r="C5" s="2" t="s">
        <v>32</v>
      </c>
      <c r="D5" s="2" t="s">
        <v>15</v>
      </c>
      <c r="E5" s="2" t="s">
        <v>33</v>
      </c>
      <c r="F5" s="2" t="s">
        <v>17</v>
      </c>
      <c r="G5" s="2" t="s">
        <v>34</v>
      </c>
      <c r="H5" s="2" t="n">
        <v>5</v>
      </c>
      <c r="I5" s="2" t="n">
        <v>5</v>
      </c>
      <c r="J5" s="2" t="n">
        <v>5</v>
      </c>
      <c r="K5" s="3" t="n">
        <f aca="false">ROUND(AVERAGE(H5:J5),2)</f>
        <v>5</v>
      </c>
      <c r="L5" s="2" t="str">
        <f aca="false">IF(K5&gt;=4,"Принят","Отклонён")</f>
        <v>Принят</v>
      </c>
      <c r="M5" s="2" t="str">
        <f aca="false">IF(L5="Принят",F5,"")</f>
        <v>Археология</v>
      </c>
    </row>
    <row r="6" customFormat="false" ht="57.75" hidden="false" customHeight="true" outlineLevel="0" collapsed="false">
      <c r="A6" s="2" t="n">
        <v>5</v>
      </c>
      <c r="B6" s="2" t="s">
        <v>35</v>
      </c>
      <c r="C6" s="2" t="s">
        <v>36</v>
      </c>
      <c r="D6" s="2" t="s">
        <v>37</v>
      </c>
      <c r="E6" s="2" t="s">
        <v>38</v>
      </c>
      <c r="F6" s="2" t="s">
        <v>17</v>
      </c>
      <c r="G6" s="2" t="s">
        <v>39</v>
      </c>
      <c r="H6" s="2" t="n">
        <v>5</v>
      </c>
      <c r="I6" s="2" t="n">
        <v>4</v>
      </c>
      <c r="J6" s="2" t="n">
        <v>4</v>
      </c>
      <c r="K6" s="3" t="n">
        <f aca="false">ROUND(AVERAGE(H6:J6),2)</f>
        <v>4.33</v>
      </c>
      <c r="L6" s="2" t="str">
        <f aca="false">IF(K6&gt;=4,"Принят","Отклонён")</f>
        <v>Принят</v>
      </c>
      <c r="M6" s="2" t="str">
        <f aca="false">IF(L6="Принят",F6,"")</f>
        <v>Археология</v>
      </c>
    </row>
    <row r="7" customFormat="false" ht="57.75" hidden="false" customHeight="true" outlineLevel="0" collapsed="false">
      <c r="A7" s="2" t="n">
        <v>6</v>
      </c>
      <c r="B7" s="2" t="s">
        <v>40</v>
      </c>
      <c r="C7" s="2" t="s">
        <v>41</v>
      </c>
      <c r="D7" s="2" t="s">
        <v>42</v>
      </c>
      <c r="E7" s="2" t="s">
        <v>43</v>
      </c>
      <c r="F7" s="2" t="s">
        <v>23</v>
      </c>
      <c r="G7" s="2" t="s">
        <v>44</v>
      </c>
      <c r="H7" s="2" t="n">
        <v>4</v>
      </c>
      <c r="I7" s="2" t="n">
        <v>5</v>
      </c>
      <c r="J7" s="2" t="n">
        <v>4</v>
      </c>
      <c r="K7" s="3" t="n">
        <f aca="false">ROUND(AVERAGE(H7:J7),2)</f>
        <v>4.33</v>
      </c>
      <c r="L7" s="2" t="str">
        <f aca="false">IF(K7&gt;=4,"Принят","Отклонён")</f>
        <v>Принят</v>
      </c>
      <c r="M7" s="2" t="str">
        <f aca="false">IF(L7="Принят",F7,"")</f>
        <v>Источниковедение</v>
      </c>
    </row>
    <row r="8" customFormat="false" ht="57.75" hidden="false" customHeight="true" outlineLevel="0" collapsed="false">
      <c r="A8" s="2" t="n">
        <v>7</v>
      </c>
      <c r="B8" s="2" t="s">
        <v>45</v>
      </c>
      <c r="C8" s="2" t="s">
        <v>46</v>
      </c>
      <c r="D8" s="2" t="s">
        <v>15</v>
      </c>
      <c r="E8" s="2" t="s">
        <v>47</v>
      </c>
      <c r="F8" s="2" t="s">
        <v>29</v>
      </c>
      <c r="G8" s="2" t="s">
        <v>48</v>
      </c>
      <c r="H8" s="2" t="n">
        <v>5</v>
      </c>
      <c r="I8" s="2" t="n">
        <v>4</v>
      </c>
      <c r="J8" s="2" t="n">
        <v>5</v>
      </c>
      <c r="K8" s="3" t="n">
        <f aca="false">ROUND(AVERAGE(H8:J8),2)</f>
        <v>4.67</v>
      </c>
      <c r="L8" s="2" t="str">
        <f aca="false">IF(K8&gt;=4,"Принят","Отклонён")</f>
        <v>Принят</v>
      </c>
      <c r="M8" s="2" t="str">
        <f aca="false">IF(L8="Принят",F8,"")</f>
        <v>История</v>
      </c>
    </row>
    <row r="9" customFormat="false" ht="57.75" hidden="false" customHeight="true" outlineLevel="0" collapsed="false">
      <c r="A9" s="2" t="n">
        <v>8</v>
      </c>
      <c r="B9" s="2" t="s">
        <v>49</v>
      </c>
      <c r="C9" s="2" t="s">
        <v>50</v>
      </c>
      <c r="D9" s="2" t="s">
        <v>51</v>
      </c>
      <c r="E9" s="2" t="s">
        <v>52</v>
      </c>
      <c r="F9" s="2" t="s">
        <v>29</v>
      </c>
      <c r="G9" s="2" t="s">
        <v>53</v>
      </c>
      <c r="H9" s="2" t="n">
        <v>2</v>
      </c>
      <c r="I9" s="2" t="n">
        <v>3</v>
      </c>
      <c r="J9" s="2" t="n">
        <v>3</v>
      </c>
      <c r="K9" s="3" t="n">
        <f aca="false">ROUND(AVERAGE(H9:J9),2)</f>
        <v>2.67</v>
      </c>
      <c r="L9" s="2" t="str">
        <f aca="false">IF(K9&gt;=4,"Принят","Отклонён")</f>
        <v>Отклонён</v>
      </c>
      <c r="M9" s="2" t="str">
        <f aca="false">IF(L9="Принят",F9,"")</f>
        <v/>
      </c>
    </row>
    <row r="10" customFormat="false" ht="57.75" hidden="false" customHeight="true" outlineLevel="0" collapsed="false">
      <c r="A10" s="2" t="n">
        <v>9</v>
      </c>
      <c r="B10" s="2" t="s">
        <v>54</v>
      </c>
      <c r="C10" s="2" t="s">
        <v>55</v>
      </c>
      <c r="D10" s="2" t="s">
        <v>56</v>
      </c>
      <c r="E10" s="2" t="s">
        <v>57</v>
      </c>
      <c r="F10" s="2" t="s">
        <v>58</v>
      </c>
      <c r="G10" s="2" t="s">
        <v>59</v>
      </c>
      <c r="H10" s="2" t="n">
        <v>1</v>
      </c>
      <c r="I10" s="2" t="n">
        <v>2</v>
      </c>
      <c r="J10" s="2" t="n">
        <v>2</v>
      </c>
      <c r="K10" s="3" t="n">
        <f aca="false">ROUND(AVERAGE(H10:J10),2)</f>
        <v>1.67</v>
      </c>
      <c r="L10" s="2" t="str">
        <f aca="false">IF(K10&gt;=4,"Принят","Отклонён")</f>
        <v>Отклонён</v>
      </c>
      <c r="M10" s="2" t="str">
        <f aca="false">IF(L10="Принят",F10,"")</f>
        <v/>
      </c>
    </row>
    <row r="11" customFormat="false" ht="57.75" hidden="false" customHeight="true" outlineLevel="0" collapsed="false">
      <c r="A11" s="2" t="n">
        <v>10</v>
      </c>
      <c r="B11" s="2" t="s">
        <v>60</v>
      </c>
      <c r="C11" s="2" t="s">
        <v>61</v>
      </c>
      <c r="D11" s="2" t="s">
        <v>62</v>
      </c>
      <c r="E11" s="2" t="s">
        <v>63</v>
      </c>
      <c r="F11" s="2" t="s">
        <v>58</v>
      </c>
      <c r="G11" s="2" t="s">
        <v>64</v>
      </c>
      <c r="H11" s="2" t="n">
        <v>3</v>
      </c>
      <c r="I11" s="2" t="n">
        <v>2</v>
      </c>
      <c r="J11" s="2" t="n">
        <v>3</v>
      </c>
      <c r="K11" s="3" t="n">
        <f aca="false">ROUND(AVERAGE(H11:J11),2)</f>
        <v>2.67</v>
      </c>
      <c r="L11" s="2" t="str">
        <f aca="false">IF(K11&gt;=4,"Принят","Отклонён")</f>
        <v>Отклонён</v>
      </c>
      <c r="M11" s="2" t="str">
        <f aca="false">IF(L11="Принят",F11,"")</f>
        <v/>
      </c>
    </row>
  </sheetData>
  <autoFilter ref="A1:M11"/>
  <conditionalFormatting sqref="L2:M11">
    <cfRule type="expression" priority="2" aboveAverage="0" equalAverage="0" bottom="0" percent="0" rank="0" text="" dxfId="5">
      <formula>$L2="Принят"</formula>
    </cfRule>
    <cfRule type="expression" priority="3" aboveAverage="0" equalAverage="0" bottom="0" percent="0" rank="0" text="" dxfId="6">
      <formula>$L2="Отклонён"</formula>
    </cfRule>
  </conditionalFormatting>
  <dataValidations count="1">
    <dataValidation allowBlank="false" errorStyle="stop" operator="between" showDropDown="false" showErrorMessage="false" showInputMessage="false" sqref="H2:J11" type="whole">
      <formula1>0</formula1>
      <formula2>5</formula2>
    </dataValidation>
  </dataValidations>
  <printOptions headings="false" gridLines="false" gridLinesSet="true" horizontalCentered="false" verticalCentered="false"/>
  <pageMargins left="0.2" right="0.2" top="0.35" bottom="0.35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I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pane ySplit="1" topLeftCell="A2" activePane="bottomLeft" state="frozen"/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23.01"/>
    <col collapsed="false" customWidth="true" hidden="false" outlineLevel="0" max="2" min="2" style="0" width="14.01"/>
    <col collapsed="false" customWidth="true" hidden="false" outlineLevel="0" max="4" min="3" style="0" width="10.99"/>
    <col collapsed="false" customWidth="true" hidden="false" outlineLevel="0" max="5" min="5" style="0" width="20.99"/>
    <col collapsed="false" customWidth="true" hidden="false" outlineLevel="0" max="6" min="6" style="0" width="26"/>
    <col collapsed="false" customWidth="true" hidden="false" outlineLevel="0" max="7" min="7" style="0" width="50"/>
    <col collapsed="false" customWidth="true" hidden="false" outlineLevel="0" max="8" min="8" style="0" width="32"/>
    <col collapsed="false" customWidth="true" hidden="false" outlineLevel="0" max="9" min="9" style="0" width="10"/>
  </cols>
  <sheetData>
    <row r="1" customFormat="false" ht="33.75" hidden="false" customHeight="true" outlineLevel="0" collapsed="false">
      <c r="A1" s="1" t="s">
        <v>12</v>
      </c>
      <c r="B1" s="1" t="s">
        <v>65</v>
      </c>
      <c r="C1" s="1" t="s">
        <v>66</v>
      </c>
      <c r="D1" s="1" t="s">
        <v>67</v>
      </c>
      <c r="E1" s="1" t="s">
        <v>68</v>
      </c>
      <c r="F1" s="1" t="s">
        <v>2</v>
      </c>
      <c r="G1" s="1" t="s">
        <v>4</v>
      </c>
      <c r="H1" s="1" t="s">
        <v>3</v>
      </c>
      <c r="I1" s="1" t="s">
        <v>69</v>
      </c>
    </row>
    <row r="2" customFormat="false" ht="45" hidden="false" customHeight="true" outlineLevel="0" collapsed="false">
      <c r="A2" s="2" t="str">
        <f aca="false">All_Submissions!M2</f>
        <v>Археология</v>
      </c>
      <c r="B2" s="4" t="n">
        <v>46098</v>
      </c>
      <c r="C2" s="5" t="n">
        <v>0.416666666666667</v>
      </c>
      <c r="D2" s="5" t="n">
        <f aca="false">C2+TIME(0,30,0)</f>
        <v>0.4375</v>
      </c>
      <c r="E2" s="2" t="str">
        <f aca="false">All_Submissions!B2</f>
        <v>Хабибуллин М.Х.</v>
      </c>
      <c r="F2" s="2" t="str">
        <f aca="false">All_Submissions!C2</f>
        <v>habibullin@kfu.ru</v>
      </c>
      <c r="G2" s="2" t="str">
        <f aca="false">All_Submissions!E2</f>
        <v>Археология средневекового Болгара: новые раскопки 2024–2025 гг.</v>
      </c>
      <c r="H2" s="2" t="str">
        <f aca="false">All_Submissions!D2</f>
        <v>Казанский федеральный университет</v>
      </c>
      <c r="I2" s="2" t="n">
        <f aca="false">All_Submissions!A2</f>
        <v>1</v>
      </c>
    </row>
    <row r="3" customFormat="false" ht="45" hidden="false" customHeight="true" outlineLevel="0" collapsed="false">
      <c r="A3" s="2" t="str">
        <f aca="false">All_Submissions!M5</f>
        <v>Археология</v>
      </c>
      <c r="B3" s="4" t="n">
        <v>46098</v>
      </c>
      <c r="C3" s="5" t="n">
        <v>0.4375</v>
      </c>
      <c r="D3" s="5" t="n">
        <f aca="false">C3+TIME(0,30,0)</f>
        <v>0.458333333333333</v>
      </c>
      <c r="E3" s="2" t="str">
        <f aca="false">All_Submissions!B5</f>
        <v>Шарифуллина Е.Р.</v>
      </c>
      <c r="F3" s="2" t="str">
        <f aca="false">All_Submissions!C5</f>
        <v>sharifullina@kfu.ru</v>
      </c>
      <c r="G3" s="2" t="str">
        <f aca="false">All_Submissions!E5</f>
        <v>Нумизматика волжских булгар: дирхемы и подражания</v>
      </c>
      <c r="H3" s="2" t="str">
        <f aca="false">All_Submissions!D5</f>
        <v>Казанский федеральный университет</v>
      </c>
      <c r="I3" s="2" t="n">
        <f aca="false">All_Submissions!A5</f>
        <v>4</v>
      </c>
    </row>
    <row r="4" customFormat="false" ht="45" hidden="false" customHeight="true" outlineLevel="0" collapsed="false">
      <c r="A4" s="2" t="str">
        <f aca="false">All_Submissions!M6</f>
        <v>Археология</v>
      </c>
      <c r="B4" s="4" t="n">
        <v>46098</v>
      </c>
      <c r="C4" s="5" t="n">
        <v>0.458333333333333</v>
      </c>
      <c r="D4" s="5" t="n">
        <f aca="false">C4+TIME(0,30,0)</f>
        <v>0.479166666666667</v>
      </c>
      <c r="E4" s="2" t="str">
        <f aca="false">All_Submissions!B6</f>
        <v>Иванов К.М.</v>
      </c>
      <c r="F4" s="2" t="str">
        <f aca="false">All_Submissions!C6</f>
        <v>ivanov@nov-arch.ru</v>
      </c>
      <c r="G4" s="2" t="str">
        <f aca="false">All_Submissions!E6</f>
        <v>Софийский собор: археология подземных слоёв</v>
      </c>
      <c r="H4" s="2" t="str">
        <f aca="false">All_Submissions!D6</f>
        <v>Новгородский гос. университет</v>
      </c>
      <c r="I4" s="2" t="n">
        <f aca="false">All_Submissions!A6</f>
        <v>5</v>
      </c>
    </row>
    <row r="5" customFormat="false" ht="45" hidden="false" customHeight="true" outlineLevel="0" collapsed="false">
      <c r="A5" s="2" t="str">
        <f aca="false">All_Submissions!M3</f>
        <v>Источниковедение</v>
      </c>
      <c r="B5" s="4" t="n">
        <v>46099</v>
      </c>
      <c r="C5" s="5" t="n">
        <v>0.416666666666667</v>
      </c>
      <c r="D5" s="5" t="n">
        <f aca="false">C5+TIME(0,30,0)</f>
        <v>0.4375</v>
      </c>
      <c r="E5" s="2" t="str">
        <f aca="false">All_Submissions!B3</f>
        <v>Дроздова О.В.</v>
      </c>
      <c r="F5" s="2" t="str">
        <f aca="false">All_Submissions!C3</f>
        <v>drozdova@iling.spb.ru</v>
      </c>
      <c r="G5" s="2" t="str">
        <f aca="false">All_Submissions!E3</f>
        <v>Берестяные грамоты XII века: новые находки в Новгороде</v>
      </c>
      <c r="H5" s="2" t="str">
        <f aca="false">All_Submissions!D3</f>
        <v>ИЛИ РАН, Санкт-Петербург</v>
      </c>
      <c r="I5" s="2" t="n">
        <f aca="false">All_Submissions!A3</f>
        <v>2</v>
      </c>
    </row>
    <row r="6" customFormat="false" ht="45" hidden="false" customHeight="true" outlineLevel="0" collapsed="false">
      <c r="A6" s="2" t="str">
        <f aca="false">All_Submissions!M7</f>
        <v>Источниковедение</v>
      </c>
      <c r="B6" s="4" t="n">
        <v>46099</v>
      </c>
      <c r="C6" s="5" t="n">
        <v>0.4375</v>
      </c>
      <c r="D6" s="5" t="n">
        <f aca="false">C6+TIME(0,30,0)</f>
        <v>0.458333333333333</v>
      </c>
      <c r="E6" s="2" t="str">
        <f aca="false">All_Submissions!B7</f>
        <v>Ласкина Н.Ю.</v>
      </c>
      <c r="F6" s="2" t="str">
        <f aca="false">All_Submissions!C7</f>
        <v>laskina@inion.ru</v>
      </c>
      <c r="G6" s="2" t="str">
        <f aca="false">All_Submissions!E7</f>
        <v>Древнерусская летопись и булгарская хроника: сравнительный анализ</v>
      </c>
      <c r="H6" s="2" t="str">
        <f aca="false">All_Submissions!D7</f>
        <v>ИНИОН РАН, Москва</v>
      </c>
      <c r="I6" s="2" t="n">
        <f aca="false">All_Submissions!A7</f>
        <v>6</v>
      </c>
    </row>
    <row r="7" customFormat="false" ht="45" hidden="false" customHeight="true" outlineLevel="0" collapsed="false">
      <c r="A7" s="2" t="str">
        <f aca="false">All_Submissions!M4</f>
        <v>История</v>
      </c>
      <c r="B7" s="4" t="n">
        <v>46100</v>
      </c>
      <c r="C7" s="5" t="n">
        <v>0.416666666666667</v>
      </c>
      <c r="D7" s="5" t="n">
        <f aca="false">C7+TIME(0,30,0)</f>
        <v>0.4375</v>
      </c>
      <c r="E7" s="2" t="str">
        <f aca="false">All_Submissions!B4</f>
        <v>Петров А.С.</v>
      </c>
      <c r="F7" s="2" t="str">
        <f aca="false">All_Submissions!C4</f>
        <v>petrov@hist.msu.ru</v>
      </c>
      <c r="G7" s="2" t="str">
        <f aca="false">All_Submissions!E4</f>
        <v>Княжеские договоры XIII века как источник по политической истории</v>
      </c>
      <c r="H7" s="2" t="str">
        <f aca="false">All_Submissions!D4</f>
        <v>Исторический факультет МГУ</v>
      </c>
      <c r="I7" s="2" t="n">
        <f aca="false">All_Submissions!A4</f>
        <v>3</v>
      </c>
    </row>
    <row r="8" customFormat="false" ht="45" hidden="false" customHeight="true" outlineLevel="0" collapsed="false">
      <c r="A8" s="2" t="str">
        <f aca="false">All_Submissions!M8</f>
        <v>История</v>
      </c>
      <c r="B8" s="4" t="n">
        <v>46100</v>
      </c>
      <c r="C8" s="5" t="n">
        <v>0.4375</v>
      </c>
      <c r="D8" s="5" t="n">
        <f aca="false">C8+TIME(0,30,0)</f>
        <v>0.458333333333333</v>
      </c>
      <c r="E8" s="2" t="str">
        <f aca="false">All_Submissions!B8</f>
        <v>Соколов Д.А.</v>
      </c>
      <c r="F8" s="2" t="str">
        <f aca="false">All_Submissions!C8</f>
        <v>sokolov@kfu.ru</v>
      </c>
      <c r="G8" s="2" t="str">
        <f aca="false">All_Submissions!E8</f>
        <v>Торговые пути Волги в IX–XI вв.: археологические свидетельства</v>
      </c>
      <c r="H8" s="2" t="str">
        <f aca="false">All_Submissions!D8</f>
        <v>Казанский федеральный университет</v>
      </c>
      <c r="I8" s="2" t="n">
        <f aca="false">All_Submissions!A8</f>
        <v>7</v>
      </c>
    </row>
  </sheetData>
  <autoFilter ref="A1:I8"/>
  <conditionalFormatting sqref="A2:I8">
    <cfRule type="expression" priority="2" aboveAverage="0" equalAverage="0" bottom="0" percent="0" rank="0" text="" dxfId="8">
      <formula>$A2="Археология"</formula>
    </cfRule>
  </conditionalFormatting>
  <printOptions headings="false" gridLines="false" gridLinesSet="true" horizontalCentered="false" verticalCentered="false"/>
  <pageMargins left="0.2" right="0.2" top="0.35" bottom="0.3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pane ySplit="1" topLeftCell="A2" activePane="bottomLeft" state="frozen"/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4"/>
  </cols>
  <sheetData>
    <row r="1" customFormat="false" ht="33.75" hidden="false" customHeight="true" outlineLevel="0" collapsed="false">
      <c r="A1" s="1" t="s">
        <v>70</v>
      </c>
      <c r="B1" s="1" t="s">
        <v>71</v>
      </c>
    </row>
    <row r="2" customFormat="false" ht="15" hidden="false" customHeight="false" outlineLevel="0" collapsed="false">
      <c r="A2" s="6" t="s">
        <v>72</v>
      </c>
      <c r="B2" s="7" t="n">
        <f aca="false">COUNTA(All_Submissions!A2:A11)</f>
        <v>10</v>
      </c>
    </row>
    <row r="3" customFormat="false" ht="15" hidden="false" customHeight="false" outlineLevel="0" collapsed="false">
      <c r="A3" s="6" t="s">
        <v>73</v>
      </c>
      <c r="B3" s="7" t="n">
        <f aca="false">COUNTIF(All_Submissions!L2:L11,"Принят")</f>
        <v>7</v>
      </c>
    </row>
    <row r="4" customFormat="false" ht="15" hidden="false" customHeight="false" outlineLevel="0" collapsed="false">
      <c r="A4" s="6" t="s">
        <v>74</v>
      </c>
      <c r="B4" s="7" t="n">
        <f aca="false">COUNTIF(All_Submissions!L2:L11,"Отклонён")</f>
        <v>3</v>
      </c>
    </row>
    <row r="5" customFormat="false" ht="15" hidden="false" customHeight="false" outlineLevel="0" collapsed="false">
      <c r="A5" s="6" t="s">
        <v>17</v>
      </c>
      <c r="B5" s="7" t="n">
        <f aca="false">COUNTIF(Accepted_Program!A2:A8,A5)</f>
        <v>3</v>
      </c>
    </row>
    <row r="6" customFormat="false" ht="15" hidden="false" customHeight="false" outlineLevel="0" collapsed="false">
      <c r="A6" s="6" t="s">
        <v>23</v>
      </c>
      <c r="B6" s="7" t="n">
        <f aca="false">COUNTIF(Accepted_Program!A2:A8,A6)</f>
        <v>2</v>
      </c>
    </row>
    <row r="7" customFormat="false" ht="15" hidden="false" customHeight="false" outlineLevel="0" collapsed="false">
      <c r="A7" s="6" t="s">
        <v>29</v>
      </c>
      <c r="B7" s="7" t="n">
        <f aca="false">COUNTIF(Accepted_Program!A2:A8,A7)</f>
        <v>2</v>
      </c>
    </row>
    <row r="8" customFormat="false" ht="15" hidden="false" customHeight="false" outlineLevel="0" collapsed="false">
      <c r="A8" s="6" t="s">
        <v>75</v>
      </c>
      <c r="B8" s="8" t="n">
        <f aca="false">MIN(Accepted_Program!C2:C8)</f>
        <v>0.416666666666667</v>
      </c>
    </row>
    <row r="9" customFormat="false" ht="15" hidden="false" customHeight="false" outlineLevel="0" collapsed="false">
      <c r="A9" s="6" t="s">
        <v>76</v>
      </c>
      <c r="B9" s="8" t="n">
        <f aca="false">MAX(Accepted_Program!D2:D8)</f>
        <v>0.479166666666667</v>
      </c>
    </row>
    <row r="10" customFormat="false" ht="15" hidden="false" customHeight="false" outlineLevel="0" collapsed="false">
      <c r="A10" s="6" t="s">
        <v>77</v>
      </c>
      <c r="B10" s="7" t="n">
        <f aca="false">IF(OR(AND(Accepted_Program!B2=Accepted_Program!B3,Accepted_Program!D2&gt;Accepted_Program!C3),AND(Accepted_Program!B3=Accepted_Program!B4,Accepted_Program!D3&gt;Accepted_Program!C4),AND(Accepted_Program!B4=Accepted_Program!B5,Accepted_Program!D4&gt;Accepted_Program!C5),AND(Accepted_Program!B5=Accepted_Program!B6,Accepted_Program!D5&gt;Accepted_Program!C6),AND(Accepted_Program!B6=Accepted_Program!B7,Accepted_Program!D6&gt;Accepted_Program!C7),AND(Accepted_Program!B7=Accepted_Program!B8,Accepted_Program!D7&gt;Accepted_Program!C8)),1,0)</f>
        <v>0</v>
      </c>
    </row>
  </sheetData>
  <autoFilter ref="A1:B10"/>
  <conditionalFormatting sqref="B10">
    <cfRule type="expression" priority="2" aboveAverage="0" equalAverage="0" bottom="0" percent="0" rank="0" text="" dxfId="6">
      <formula>B10&gt;0</formula>
    </cfRule>
  </conditionalFormatting>
  <printOptions headings="false" gridLines="false" gridLinesSet="true" horizontalCentered="false" verticalCentered="false"/>
  <pageMargins left="0.2" right="0.2" top="0.35" bottom="0.3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2026-03-02T09:00:00Z</dcterms:created>
  <dc:creator>EvoCowork benchmark adapter</dc:creator>
  <dc:description/>
  <dc:language>en-US</dc:language>
  <cp:lastModifiedBy/>
  <dcterms:modified xsi:type="dcterms:W3CDTF">2026-03-02T09:00:00Z</dcterms:modified>
  <cp:revision>0</cp:revision>
  <dc:subject/>
  <dc:title>DRVB-2026 Program Committee Package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