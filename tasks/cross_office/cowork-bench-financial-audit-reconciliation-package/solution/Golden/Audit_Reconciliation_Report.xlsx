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conciliation" sheetId="1" state="visible" r:id="rId2"/>
    <sheet name="Exception Register" sheetId="2" state="visible" r:id="rId3"/>
    <sheet name="Summary" sheetId="3" state="visible" r:id="rId4"/>
  </sheets>
  <definedNames>
    <definedName function="false" hidden="false" localSheetId="1" name="_xlnm.Print_Area" vbProcedure="false">'Exception Register'!$A$1:$F$5</definedName>
    <definedName function="false" hidden="false" localSheetId="1" name="_xlnm.Print_Titles" vbProcedure="false">'Exception Register'!$1:$1</definedName>
    <definedName function="false" hidden="true" localSheetId="1" name="_xlnm._FilterDatabase" vbProcedure="false">'Exception Register'!$A$1:$F$5</definedName>
    <definedName function="false" hidden="false" localSheetId="0" name="_xlnm.Print_Area" vbProcedure="false">Reconciliation!$A$1:$O$16</definedName>
    <definedName function="false" hidden="false" localSheetId="0" name="_xlnm.Print_Titles" vbProcedure="false">Reconciliation!$1:$1</definedName>
    <definedName function="false" hidden="true" localSheetId="0" name="_xlnm._FilterDatabase" vbProcedure="false">Reconciliation!$A$1:$O$16</definedName>
    <definedName function="false" hidden="false" localSheetId="2" name="_xlnm.Print_Area" vbProcedure="false">Summary!$A$1:$B$12</definedName>
    <definedName function="false" hidden="false" localSheetId="2" name="_xlnm.Print_Titles" vbProcedure="false">Summary!$1:$1</definedName>
    <definedName function="false" hidden="true" localSheetId="2" name="_xlnm._FilterDatabase" vbProcedure="false">Summary!$A$1:$B$12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<sst xmlns="http://schemas.openxmlformats.org/spreadsheetml/2006/main" count="102" uniqueCount="70">
  <si>
    <t xml:space="preserve">Order ID</t>
  </si>
  <si>
    <t xml:space="preserve">Manual Date</t>
  </si>
  <si>
    <t xml:space="preserve">Ledger Date</t>
  </si>
  <si>
    <t xml:space="preserve">Date Delta Days</t>
  </si>
  <si>
    <t xml:space="preserve">Manual Amount</t>
  </si>
  <si>
    <t xml:space="preserve">Ledger Amount</t>
  </si>
  <si>
    <t xml:space="preserve">Amount Delta</t>
  </si>
  <si>
    <t xml:space="preserve">Manual Status</t>
  </si>
  <si>
    <t xml:space="preserve">Ledger Status</t>
  </si>
  <si>
    <t xml:space="preserve">Presence Check</t>
  </si>
  <si>
    <t xml:space="preserve">Date Check</t>
  </si>
  <si>
    <t xml:space="preserve">Amount Check</t>
  </si>
  <si>
    <t xml:space="preserve">Status Check</t>
  </si>
  <si>
    <t xml:space="preserve">Match Status</t>
  </si>
  <si>
    <t xml:space="preserve">Discrepancy Reason</t>
  </si>
  <si>
    <t xml:space="preserve">WC-001</t>
  </si>
  <si>
    <t xml:space="preserve">Completed</t>
  </si>
  <si>
    <t xml:space="preserve">completed</t>
  </si>
  <si>
    <t xml:space="preserve">WC-002</t>
  </si>
  <si>
    <t xml:space="preserve">WC-003</t>
  </si>
  <si>
    <t xml:space="preserve">WC-004</t>
  </si>
  <si>
    <t xml:space="preserve">WC-005</t>
  </si>
  <si>
    <t xml:space="preserve">WC-006</t>
  </si>
  <si>
    <t xml:space="preserve">Pending</t>
  </si>
  <si>
    <t xml:space="preserve">pending</t>
  </si>
  <si>
    <t xml:space="preserve">WC-007</t>
  </si>
  <si>
    <t xml:space="preserve">WC-008</t>
  </si>
  <si>
    <t xml:space="preserve">WC-009</t>
  </si>
  <si>
    <t xml:space="preserve">WC-010</t>
  </si>
  <si>
    <t xml:space="preserve">WC-011</t>
  </si>
  <si>
    <t xml:space="preserve">WC-012</t>
  </si>
  <si>
    <t xml:space="preserve">WC-013</t>
  </si>
  <si>
    <t xml:space="preserve">WC-014</t>
  </si>
  <si>
    <t xml:space="preserve">WC-015</t>
  </si>
  <si>
    <t xml:space="preserve">Exception Type</t>
  </si>
  <si>
    <t xml:space="preserve">Manual Evidence</t>
  </si>
  <si>
    <t xml:space="preserve">Ledger Evidence</t>
  </si>
  <si>
    <t xml:space="preserve">Impact</t>
  </si>
  <si>
    <t xml:space="preserve">Required Follow-up</t>
  </si>
  <si>
    <t xml:space="preserve">Amount mismatch</t>
  </si>
  <si>
    <t xml:space="preserve">2024-01-15 | RUB 312.25 | Completed</t>
  </si>
  <si>
    <t xml:space="preserve">2024-01-15 | RUB 310.00 | completed</t>
  </si>
  <si>
    <t xml:space="preserve">Manual register overstates the authoritative amount by RUB 2.25.</t>
  </si>
  <si>
    <t xml:space="preserve">Validate supporting evidence and correct the manual amount against the authoritative ledger if confirmed.</t>
  </si>
  <si>
    <t xml:space="preserve">Missing in authoritative ledger</t>
  </si>
  <si>
    <t xml:space="preserve">2024-02-01 | RUB 445.75 | Completed</t>
  </si>
  <si>
    <t xml:space="preserve">No corresponding order in authoritative ledger</t>
  </si>
  <si>
    <t xml:space="preserve">RUB 445.75 in the manual register cannot be verified against the authoritative ledger.</t>
  </si>
  <si>
    <t xml:space="preserve">Investigate the missing authoritative record before retaining, correcting, or removing the manual entry.</t>
  </si>
  <si>
    <t xml:space="preserve">Date mismatch</t>
  </si>
  <si>
    <t xml:space="preserve">2024-02-15 | RUB 234.00 | Completed</t>
  </si>
  <si>
    <t xml:space="preserve">2024-02-20 | RUB 234.00 | completed</t>
  </si>
  <si>
    <t xml:space="preserve">Recorded dates differ by 5 days, exceeding the 1-day tolerance.</t>
  </si>
  <si>
    <t xml:space="preserve">Verify transaction evidence and correct the manual date if the authoritative date is confirmed.</t>
  </si>
  <si>
    <t xml:space="preserve">2024-03-02 | RUB 145.75 | Completed</t>
  </si>
  <si>
    <t xml:space="preserve">2024-03-02 | RUB 154.75 | completed</t>
  </si>
  <si>
    <t xml:space="preserve">Manual register understates the authoritative amount by RUB 9.00.</t>
  </si>
  <si>
    <t xml:space="preserve">Metric</t>
  </si>
  <si>
    <t xml:space="preserve">Value</t>
  </si>
  <si>
    <t xml:space="preserve">Total Manual Orders</t>
  </si>
  <si>
    <t xml:space="preserve">Matched</t>
  </si>
  <si>
    <t xml:space="preserve">Discrepancies</t>
  </si>
  <si>
    <t xml:space="preserve">Manual Total Amount</t>
  </si>
  <si>
    <t xml:space="preserve">Authoritative Amount Represented</t>
  </si>
  <si>
    <t xml:space="preserve">Missing Authoritative Amount</t>
  </si>
  <si>
    <t xml:space="preserve">Absolute Amount Mismatch</t>
  </si>
  <si>
    <t xml:space="preserve">Date Mismatches</t>
  </si>
  <si>
    <t xml:space="preserve">Amount Mismatches</t>
  </si>
  <si>
    <t xml:space="preserve">Missing Records</t>
  </si>
  <si>
    <t xml:space="preserve">Control Conclusion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</si>
</sst>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[$RUB]\ #,##0.00;[RED]\-[$RUB]\ #,##0.00"/>
    <numFmt numFmtId="167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ptos"/>
      <family val="0"/>
      <charset val="1"/>
    </font>
    <font>
      <sz val="9"/>
      <color rgb="FF17324D"/>
      <name val="Aptos"/>
      <family val="0"/>
      <charset val="1"/>
    </font>
    <font>
      <b val="true"/>
      <sz val="10"/>
      <color rgb="FF17324D"/>
      <name val="Aptos"/>
      <family val="0"/>
      <charset val="1"/>
    </font>
    <font>
      <b val="true"/>
      <sz val="12"/>
      <color rgb="FF177E89"/>
      <name val="Aptos Display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AF1F8"/>
        <bgColor rgb="FFFCE8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BD5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24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CE8E6"/>
        </patternFill>
      </fill>
    </dxf>
    <dxf>
      <fill>
        <patternFill>
          <bgColor rgb="FFFCE8E6"/>
        </patternFill>
      </fill>
    </dxf>
    <dxf>
      <fill>
        <patternFill patternType="solid">
          <fgColor rgb="FFFFF2CC"/>
        </patternFill>
      </fill>
    </dxf>
    <dxf>
      <fill>
        <patternFill>
          <bgColor rgb="FFFFF2CC"/>
        </patternFill>
      </fill>
    </dxf>
    <dxf>
      <fill>
        <patternFill patternType="solid">
          <fgColor rgb="FFEAF1F8"/>
        </patternFill>
      </fill>
    </dxf>
    <dxf>
      <fill>
        <patternFill patternType="solid">
          <fgColor rgb="FF177E8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77E89"/>
      <rgbColor rgb="FFC0C0C0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CBD5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uditSummaryTable" displayName="AuditSummaryTable" ref="A1:B12" headerRowCount="1" totalsRowCount="0" totalsRowShown="0">
  <autoFilter ref="A1:B12"/>
  <tableColumns count="2">
    <tableColumn id="1" name="Metric"/>
    <tableColumn id="2" name="Value"/>
  </tableColumns>
</table>
</file>

<file path=xl/tables/table2.xml><?xml version="1.0" encoding="utf-8"?>
<table xmlns="http://schemas.openxmlformats.org/spreadsheetml/2006/main" id="2" name="ExceptionRegisterTable" displayName="ExceptionRegisterTable" ref="A1:F5" headerRowCount="1" totalsRowCount="0" totalsRowShown="0">
  <autoFilter ref="A1:F5"/>
  <tableColumns count="6">
    <tableColumn id="1" name="Order ID"/>
    <tableColumn id="2" name="Exception Type"/>
    <tableColumn id="3" name="Manual Evidence"/>
    <tableColumn id="4" name="Ledger Evidence"/>
    <tableColumn id="5" name="Impact"/>
    <tableColumn id="6" name="Required Follow-up"/>
  </tableColumns>
</table>
</file>

<file path=xl/tables/table3.xml><?xml version="1.0" encoding="utf-8"?>
<table xmlns="http://schemas.openxmlformats.org/spreadsheetml/2006/main" id="3" name="ReconciliationTable" displayName="ReconciliationTable" ref="A1:O16" headerRowCount="1" totalsRowCount="0" totalsRowShown="0">
  <autoFilter ref="A1:O16"/>
  <tableColumns count="15">
    <tableColumn id="1" name="Order ID"/>
    <tableColumn id="2" name="Manual Date"/>
    <tableColumn id="3" name="Ledger Date"/>
    <tableColumn id="4" name="Date Delta Days"/>
    <tableColumn id="5" name="Manual Amount"/>
    <tableColumn id="6" name="Ledger Amount"/>
    <tableColumn id="7" name="Amount Delta"/>
    <tableColumn id="8" name="Manual Status"/>
    <tableColumn id="9" name="Ledger Status"/>
    <tableColumn id="10" name="Presence Check"/>
    <tableColumn id="11" name="Date Check"/>
    <tableColumn id="12" name="Amount Check"/>
    <tableColumn id="13" name="Status Check"/>
    <tableColumn id="14" name="Match Status"/>
    <tableColumn id="15" name="Discrepancy Reason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3" min="2" style="0" width="14.01"/>
    <col collapsed="false" customWidth="true" hidden="false" outlineLevel="0" max="6" min="4" style="0" width="16"/>
    <col collapsed="false" customWidth="true" hidden="false" outlineLevel="0" max="7" min="7" style="0" width="14.01"/>
    <col collapsed="false" customWidth="true" hidden="false" outlineLevel="0" max="10" min="8" style="0" width="15"/>
    <col collapsed="false" customWidth="true" hidden="false" outlineLevel="0" max="11" min="11" style="0" width="13.01"/>
    <col collapsed="false" customWidth="true" hidden="false" outlineLevel="0" max="12" min="12" style="0" width="14.01"/>
    <col collapsed="false" customWidth="true" hidden="false" outlineLevel="0" max="13" min="13" style="0" width="13.01"/>
    <col collapsed="false" customWidth="true" hidden="false" outlineLevel="0" max="14" min="14" style="0" width="15"/>
    <col collapsed="false" customWidth="true" hidden="false" outlineLevel="0" max="15" min="15" style="0" width="3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n">
        <v>45296</v>
      </c>
      <c r="C2" s="3" t="n">
        <v>45296</v>
      </c>
      <c r="D2" s="2" t="n">
        <f aca="false">IF(OR(B2="",C2=""),"",ABS(B2-C2))</f>
        <v>0</v>
      </c>
      <c r="E2" s="4" t="n">
        <v>125.5</v>
      </c>
      <c r="F2" s="4" t="n">
        <v>125.5</v>
      </c>
      <c r="G2" s="4" t="n">
        <f aca="false">IF(OR(E2="",F2=""),"",ROUND(E2-F2,2))</f>
        <v>0</v>
      </c>
      <c r="H2" s="2" t="s">
        <v>16</v>
      </c>
      <c r="I2" s="2" t="s">
        <v>17</v>
      </c>
      <c r="J2" s="2" t="str">
        <f aca="false">IF(C2="","fail","pass")</f>
        <v>pass</v>
      </c>
      <c r="K2" s="2" t="str">
        <f aca="false">IF(AND(J2="pass",D2&lt;=1),"pass","fail")</f>
        <v>pass</v>
      </c>
      <c r="L2" s="2" t="str">
        <f aca="false">IF(J2="fail","fail",IF(ABS(G2)&lt;0.005,"pass","fail"))</f>
        <v>pass</v>
      </c>
      <c r="M2" s="2" t="str">
        <f aca="false">IF(AND(J2="pass",OR(LOWER(H2)="completed",LOWER(H2)="pending"),OR(LOWER(I2)="completed",LOWER(I2)="pending")),"pass","fail")</f>
        <v>pass</v>
      </c>
      <c r="N2" s="2" t="str">
        <f aca="false">IF(COUNTIF(J2:M2,"fail")=0,"matched","discrepancy")</f>
        <v>matched</v>
      </c>
      <c r="O2" s="2" t="str">
        <f aca="false">IF(N2="matched","none",IF(J2="fail","missing_in_authoritative_ledger",IF(K2="fail","date_mismatch","")&amp;IF(AND(K2="fail",L2="fail"),";","")&amp;IF(L2="fail","amount_mismatch","")&amp;IF(AND(M2="fail",OR(K2="fail",L2="fail")),";","")&amp;IF(M2="fail","invalid_status","")))</f>
        <v>none</v>
      </c>
    </row>
    <row r="3" customFormat="false" ht="15" hidden="false" customHeight="false" outlineLevel="0" collapsed="false">
      <c r="A3" s="2" t="s">
        <v>18</v>
      </c>
      <c r="B3" s="3" t="n">
        <v>45297</v>
      </c>
      <c r="C3" s="3" t="n">
        <v>45297</v>
      </c>
      <c r="D3" s="2" t="n">
        <f aca="false">IF(OR(B3="",C3=""),"",ABS(B3-C3))</f>
        <v>0</v>
      </c>
      <c r="E3" s="4" t="n">
        <v>89.99</v>
      </c>
      <c r="F3" s="4" t="n">
        <v>89.99</v>
      </c>
      <c r="G3" s="4" t="n">
        <f aca="false">IF(OR(E3="",F3=""),"",ROUND(E3-F3,2))</f>
        <v>0</v>
      </c>
      <c r="H3" s="2" t="s">
        <v>16</v>
      </c>
      <c r="I3" s="2" t="s">
        <v>17</v>
      </c>
      <c r="J3" s="2" t="str">
        <f aca="false">IF(C3="","fail","pass")</f>
        <v>pass</v>
      </c>
      <c r="K3" s="2" t="str">
        <f aca="false">IF(AND(J3="pass",D3&lt;=1),"pass","fail")</f>
        <v>pass</v>
      </c>
      <c r="L3" s="2" t="str">
        <f aca="false">IF(J3="fail","fail",IF(ABS(G3)&lt;0.005,"pass","fail"))</f>
        <v>pass</v>
      </c>
      <c r="M3" s="2" t="str">
        <f aca="false">IF(AND(J3="pass",OR(LOWER(H3)="completed",LOWER(H3)="pending"),OR(LOWER(I3)="completed",LOWER(I3)="pending")),"pass","fail")</f>
        <v>pass</v>
      </c>
      <c r="N3" s="2" t="str">
        <f aca="false">IF(COUNTIF(J3:M3,"fail")=0,"matched","discrepancy")</f>
        <v>matched</v>
      </c>
      <c r="O3" s="2" t="str">
        <f aca="false">IF(N3="matched","none",IF(J3="fail","missing_in_authoritative_ledger",IF(K3="fail","date_mismatch","")&amp;IF(AND(K3="fail",L3="fail"),";","")&amp;IF(L3="fail","amount_mismatch","")&amp;IF(AND(M3="fail",OR(K3="fail",L3="fail")),";","")&amp;IF(M3="fail","invalid_status","")))</f>
        <v>none</v>
      </c>
    </row>
    <row r="4" customFormat="false" ht="15" hidden="false" customHeight="false" outlineLevel="0" collapsed="false">
      <c r="A4" s="2" t="s">
        <v>19</v>
      </c>
      <c r="B4" s="3" t="n">
        <v>45299</v>
      </c>
      <c r="C4" s="3" t="n">
        <v>45299</v>
      </c>
      <c r="D4" s="2" t="n">
        <f aca="false">IF(OR(B4="",C4=""),"",ABS(B4-C4))</f>
        <v>0</v>
      </c>
      <c r="E4" s="4" t="n">
        <v>245</v>
      </c>
      <c r="F4" s="4" t="n">
        <v>245</v>
      </c>
      <c r="G4" s="4" t="n">
        <f aca="false">IF(OR(E4="",F4=""),"",ROUND(E4-F4,2))</f>
        <v>0</v>
      </c>
      <c r="H4" s="2" t="s">
        <v>16</v>
      </c>
      <c r="I4" s="2" t="s">
        <v>17</v>
      </c>
      <c r="J4" s="2" t="str">
        <f aca="false">IF(C4="","fail","pass")</f>
        <v>pass</v>
      </c>
      <c r="K4" s="2" t="str">
        <f aca="false">IF(AND(J4="pass",D4&lt;=1),"pass","fail")</f>
        <v>pass</v>
      </c>
      <c r="L4" s="2" t="str">
        <f aca="false">IF(J4="fail","fail",IF(ABS(G4)&lt;0.005,"pass","fail"))</f>
        <v>pass</v>
      </c>
      <c r="M4" s="2" t="str">
        <f aca="false">IF(AND(J4="pass",OR(LOWER(H4)="completed",LOWER(H4)="pending"),OR(LOWER(I4)="completed",LOWER(I4)="pending")),"pass","fail")</f>
        <v>pass</v>
      </c>
      <c r="N4" s="2" t="str">
        <f aca="false">IF(COUNTIF(J4:M4,"fail")=0,"matched","discrepancy")</f>
        <v>matched</v>
      </c>
      <c r="O4" s="2" t="str">
        <f aca="false">IF(N4="matched","none",IF(J4="fail","missing_in_authoritative_ledger",IF(K4="fail","date_mismatch","")&amp;IF(AND(K4="fail",L4="fail"),";","")&amp;IF(L4="fail","amount_mismatch","")&amp;IF(AND(M4="fail",OR(K4="fail",L4="fail")),";","")&amp;IF(M4="fail","invalid_status","")))</f>
        <v>none</v>
      </c>
    </row>
    <row r="5" customFormat="false" ht="15" hidden="false" customHeight="false" outlineLevel="0" collapsed="false">
      <c r="A5" s="2" t="s">
        <v>20</v>
      </c>
      <c r="B5" s="3" t="n">
        <v>45301</v>
      </c>
      <c r="C5" s="3" t="n">
        <v>45301</v>
      </c>
      <c r="D5" s="2" t="n">
        <f aca="false">IF(OR(B5="",C5=""),"",ABS(B5-C5))</f>
        <v>0</v>
      </c>
      <c r="E5" s="4" t="n">
        <v>156.75</v>
      </c>
      <c r="F5" s="4" t="n">
        <v>156.75</v>
      </c>
      <c r="G5" s="4" t="n">
        <f aca="false">IF(OR(E5="",F5=""),"",ROUND(E5-F5,2))</f>
        <v>0</v>
      </c>
      <c r="H5" s="2" t="s">
        <v>16</v>
      </c>
      <c r="I5" s="2" t="s">
        <v>17</v>
      </c>
      <c r="J5" s="2" t="str">
        <f aca="false">IF(C5="","fail","pass")</f>
        <v>pass</v>
      </c>
      <c r="K5" s="2" t="str">
        <f aca="false">IF(AND(J5="pass",D5&lt;=1),"pass","fail")</f>
        <v>pass</v>
      </c>
      <c r="L5" s="2" t="str">
        <f aca="false">IF(J5="fail","fail",IF(ABS(G5)&lt;0.005,"pass","fail"))</f>
        <v>pass</v>
      </c>
      <c r="M5" s="2" t="str">
        <f aca="false">IF(AND(J5="pass",OR(LOWER(H5)="completed",LOWER(H5)="pending"),OR(LOWER(I5)="completed",LOWER(I5)="pending")),"pass","fail")</f>
        <v>pass</v>
      </c>
      <c r="N5" s="2" t="str">
        <f aca="false">IF(COUNTIF(J5:M5,"fail")=0,"matched","discrepancy")</f>
        <v>matched</v>
      </c>
      <c r="O5" s="2" t="str">
        <f aca="false">IF(N5="matched","none",IF(J5="fail","missing_in_authoritative_ledger",IF(K5="fail","date_mismatch","")&amp;IF(AND(K5="fail",L5="fail"),";","")&amp;IF(L5="fail","amount_mismatch","")&amp;IF(AND(M5="fail",OR(K5="fail",L5="fail")),";","")&amp;IF(M5="fail","invalid_status","")))</f>
        <v>none</v>
      </c>
    </row>
    <row r="6" customFormat="false" ht="15" hidden="false" customHeight="false" outlineLevel="0" collapsed="false">
      <c r="A6" s="2" t="s">
        <v>21</v>
      </c>
      <c r="B6" s="3" t="n">
        <v>45306</v>
      </c>
      <c r="C6" s="3" t="n">
        <v>45306</v>
      </c>
      <c r="D6" s="2" t="n">
        <f aca="false">IF(OR(B6="",C6=""),"",ABS(B6-C6))</f>
        <v>0</v>
      </c>
      <c r="E6" s="4" t="n">
        <v>312.25</v>
      </c>
      <c r="F6" s="4" t="n">
        <v>310</v>
      </c>
      <c r="G6" s="4" t="n">
        <f aca="false">IF(OR(E6="",F6=""),"",ROUND(E6-F6,2))</f>
        <v>2.25</v>
      </c>
      <c r="H6" s="2" t="s">
        <v>16</v>
      </c>
      <c r="I6" s="2" t="s">
        <v>17</v>
      </c>
      <c r="J6" s="2" t="str">
        <f aca="false">IF(C6="","fail","pass")</f>
        <v>pass</v>
      </c>
      <c r="K6" s="2" t="str">
        <f aca="false">IF(AND(J6="pass",D6&lt;=1),"pass","fail")</f>
        <v>pass</v>
      </c>
      <c r="L6" s="2" t="str">
        <f aca="false">IF(J6="fail","fail",IF(ABS(G6)&lt;0.005,"pass","fail"))</f>
        <v>fail</v>
      </c>
      <c r="M6" s="2" t="str">
        <f aca="false">IF(AND(J6="pass",OR(LOWER(H6)="completed",LOWER(H6)="pending"),OR(LOWER(I6)="completed",LOWER(I6)="pending")),"pass","fail")</f>
        <v>pass</v>
      </c>
      <c r="N6" s="2" t="str">
        <f aca="false">IF(COUNTIF(J6:M6,"fail")=0,"matched","discrepancy")</f>
        <v>discrepancy</v>
      </c>
      <c r="O6" s="2" t="str">
        <f aca="false">IF(N6="matched","none",IF(J6="fail","missing_in_authoritative_ledger",IF(K6="fail","date_mismatch","")&amp;IF(AND(K6="fail",L6="fail"),";","")&amp;IF(L6="fail","amount_mismatch","")&amp;IF(AND(M6="fail",OR(K6="fail",L6="fail")),";","")&amp;IF(M6="fail","invalid_status","")))</f>
        <v>amount_mismatch</v>
      </c>
    </row>
    <row r="7" customFormat="false" ht="15" hidden="false" customHeight="false" outlineLevel="0" collapsed="false">
      <c r="A7" s="2" t="s">
        <v>22</v>
      </c>
      <c r="B7" s="3" t="n">
        <v>45309</v>
      </c>
      <c r="C7" s="3" t="n">
        <v>45309</v>
      </c>
      <c r="D7" s="2" t="n">
        <f aca="false">IF(OR(B7="",C7=""),"",ABS(B7-C7))</f>
        <v>0</v>
      </c>
      <c r="E7" s="4" t="n">
        <v>78.5</v>
      </c>
      <c r="F7" s="4" t="n">
        <v>78.5</v>
      </c>
      <c r="G7" s="4" t="n">
        <f aca="false">IF(OR(E7="",F7=""),"",ROUND(E7-F7,2))</f>
        <v>0</v>
      </c>
      <c r="H7" s="2" t="s">
        <v>23</v>
      </c>
      <c r="I7" s="2" t="s">
        <v>24</v>
      </c>
      <c r="J7" s="2" t="str">
        <f aca="false">IF(C7="","fail","pass")</f>
        <v>pass</v>
      </c>
      <c r="K7" s="2" t="str">
        <f aca="false">IF(AND(J7="pass",D7&lt;=1),"pass","fail")</f>
        <v>pass</v>
      </c>
      <c r="L7" s="2" t="str">
        <f aca="false">IF(J7="fail","fail",IF(ABS(G7)&lt;0.005,"pass","fail"))</f>
        <v>pass</v>
      </c>
      <c r="M7" s="2" t="str">
        <f aca="false">IF(AND(J7="pass",OR(LOWER(H7)="completed",LOWER(H7)="pending"),OR(LOWER(I7)="completed",LOWER(I7)="pending")),"pass","fail")</f>
        <v>pass</v>
      </c>
      <c r="N7" s="2" t="str">
        <f aca="false">IF(COUNTIF(J7:M7,"fail")=0,"matched","discrepancy")</f>
        <v>matched</v>
      </c>
      <c r="O7" s="2" t="str">
        <f aca="false">IF(N7="matched","none",IF(J7="fail","missing_in_authoritative_ledger",IF(K7="fail","date_mismatch","")&amp;IF(AND(K7="fail",L7="fail"),";","")&amp;IF(L7="fail","amount_mismatch","")&amp;IF(AND(M7="fail",OR(K7="fail",L7="fail")),";","")&amp;IF(M7="fail","invalid_status","")))</f>
        <v>none</v>
      </c>
    </row>
    <row r="8" customFormat="false" ht="15" hidden="false" customHeight="false" outlineLevel="0" collapsed="false">
      <c r="A8" s="2" t="s">
        <v>25</v>
      </c>
      <c r="B8" s="3" t="n">
        <v>45311</v>
      </c>
      <c r="C8" s="3" t="n">
        <v>45311</v>
      </c>
      <c r="D8" s="2" t="n">
        <f aca="false">IF(OR(B8="",C8=""),"",ABS(B8-C8))</f>
        <v>0</v>
      </c>
      <c r="E8" s="4" t="n">
        <v>201</v>
      </c>
      <c r="F8" s="4" t="n">
        <v>201</v>
      </c>
      <c r="G8" s="4" t="n">
        <f aca="false">IF(OR(E8="",F8=""),"",ROUND(E8-F8,2))</f>
        <v>0</v>
      </c>
      <c r="H8" s="2" t="s">
        <v>16</v>
      </c>
      <c r="I8" s="2" t="s">
        <v>17</v>
      </c>
      <c r="J8" s="2" t="str">
        <f aca="false">IF(C8="","fail","pass")</f>
        <v>pass</v>
      </c>
      <c r="K8" s="2" t="str">
        <f aca="false">IF(AND(J8="pass",D8&lt;=1),"pass","fail")</f>
        <v>pass</v>
      </c>
      <c r="L8" s="2" t="str">
        <f aca="false">IF(J8="fail","fail",IF(ABS(G8)&lt;0.005,"pass","fail"))</f>
        <v>pass</v>
      </c>
      <c r="M8" s="2" t="str">
        <f aca="false">IF(AND(J8="pass",OR(LOWER(H8)="completed",LOWER(H8)="pending"),OR(LOWER(I8)="completed",LOWER(I8)="pending")),"pass","fail")</f>
        <v>pass</v>
      </c>
      <c r="N8" s="2" t="str">
        <f aca="false">IF(COUNTIF(J8:M8,"fail")=0,"matched","discrepancy")</f>
        <v>matched</v>
      </c>
      <c r="O8" s="2" t="str">
        <f aca="false">IF(N8="matched","none",IF(J8="fail","missing_in_authoritative_ledger",IF(K8="fail","date_mismatch","")&amp;IF(AND(K8="fail",L8="fail"),";","")&amp;IF(L8="fail","amount_mismatch","")&amp;IF(AND(M8="fail",OR(K8="fail",L8="fail")),";","")&amp;IF(M8="fail","invalid_status","")))</f>
        <v>none</v>
      </c>
    </row>
    <row r="9" customFormat="false" ht="15" hidden="false" customHeight="false" outlineLevel="0" collapsed="false">
      <c r="A9" s="2" t="s">
        <v>26</v>
      </c>
      <c r="B9" s="3" t="n">
        <v>45323</v>
      </c>
      <c r="C9" s="3"/>
      <c r="D9" s="2" t="str">
        <f aca="false">IF(OR(B9="",C9=""),"",ABS(B9-C9))</f>
        <v/>
      </c>
      <c r="E9" s="4" t="n">
        <v>445.75</v>
      </c>
      <c r="F9" s="4"/>
      <c r="G9" s="4" t="str">
        <f aca="false">IF(OR(E9="",F9=""),"",ROUND(E9-F9,2))</f>
        <v/>
      </c>
      <c r="H9" s="2" t="s">
        <v>16</v>
      </c>
      <c r="I9" s="2"/>
      <c r="J9" s="2" t="str">
        <f aca="false">IF(C9="","fail","pass")</f>
        <v>fail</v>
      </c>
      <c r="K9" s="2" t="str">
        <f aca="false">IF(AND(J9="pass",D9&lt;=1),"pass","fail")</f>
        <v>fail</v>
      </c>
      <c r="L9" s="2" t="str">
        <f aca="false">IF(J9="fail","fail",IF(ABS(G9)&lt;0.005,"pass","fail"))</f>
        <v>fail</v>
      </c>
      <c r="M9" s="2" t="str">
        <f aca="false">IF(AND(J9="pass",OR(LOWER(H9)="completed",LOWER(H9)="pending"),OR(LOWER(I9)="completed",LOWER(I9)="pending")),"pass","fail")</f>
        <v>fail</v>
      </c>
      <c r="N9" s="2" t="str">
        <f aca="false">IF(COUNTIF(J9:M9,"fail")=0,"matched","discrepancy")</f>
        <v>discrepancy</v>
      </c>
      <c r="O9" s="2" t="str">
        <f aca="false">IF(N9="matched","none",IF(J9="fail","missing_in_authoritative_ledger",IF(K9="fail","date_mismatch","")&amp;IF(AND(K9="fail",L9="fail"),";","")&amp;IF(L9="fail","amount_mismatch","")&amp;IF(AND(M9="fail",OR(K9="fail",L9="fail")),";","")&amp;IF(M9="fail","invalid_status","")))</f>
        <v>missing_in_authoritative_ledger</v>
      </c>
    </row>
    <row r="10" customFormat="false" ht="15" hidden="false" customHeight="false" outlineLevel="0" collapsed="false">
      <c r="A10" s="2" t="s">
        <v>27</v>
      </c>
      <c r="B10" s="3" t="n">
        <v>45327</v>
      </c>
      <c r="C10" s="3" t="n">
        <v>45327</v>
      </c>
      <c r="D10" s="2" t="n">
        <f aca="false">IF(OR(B10="",C10=""),"",ABS(B10-C10))</f>
        <v>0</v>
      </c>
      <c r="E10" s="4" t="n">
        <v>92.25</v>
      </c>
      <c r="F10" s="4" t="n">
        <v>92.25</v>
      </c>
      <c r="G10" s="4" t="n">
        <f aca="false">IF(OR(E10="",F10=""),"",ROUND(E10-F10,2))</f>
        <v>0</v>
      </c>
      <c r="H10" s="2" t="s">
        <v>16</v>
      </c>
      <c r="I10" s="2" t="s">
        <v>17</v>
      </c>
      <c r="J10" s="2" t="str">
        <f aca="false">IF(C10="","fail","pass")</f>
        <v>pass</v>
      </c>
      <c r="K10" s="2" t="str">
        <f aca="false">IF(AND(J10="pass",D10&lt;=1),"pass","fail")</f>
        <v>pass</v>
      </c>
      <c r="L10" s="2" t="str">
        <f aca="false">IF(J10="fail","fail",IF(ABS(G10)&lt;0.005,"pass","fail"))</f>
        <v>pass</v>
      </c>
      <c r="M10" s="2" t="str">
        <f aca="false">IF(AND(J10="pass",OR(LOWER(H10)="completed",LOWER(H10)="pending"),OR(LOWER(I10)="completed",LOWER(I10)="pending")),"pass","fail")</f>
        <v>pass</v>
      </c>
      <c r="N10" s="2" t="str">
        <f aca="false">IF(COUNTIF(J10:M10,"fail")=0,"matched","discrepancy")</f>
        <v>matched</v>
      </c>
      <c r="O10" s="2" t="str">
        <f aca="false">IF(N10="matched","none",IF(J10="fail","missing_in_authoritative_ledger",IF(K10="fail","date_mismatch","")&amp;IF(AND(K10="fail",L10="fail"),";","")&amp;IF(L10="fail","amount_mismatch","")&amp;IF(AND(M10="fail",OR(K10="fail",L10="fail")),";","")&amp;IF(M10="fail","invalid_status","")))</f>
        <v>none</v>
      </c>
    </row>
    <row r="11" customFormat="false" ht="15" hidden="false" customHeight="false" outlineLevel="0" collapsed="false">
      <c r="A11" s="2" t="s">
        <v>28</v>
      </c>
      <c r="B11" s="3" t="n">
        <v>45332</v>
      </c>
      <c r="C11" s="3" t="n">
        <v>45332</v>
      </c>
      <c r="D11" s="2" t="n">
        <f aca="false">IF(OR(B11="",C11=""),"",ABS(B11-C11))</f>
        <v>0</v>
      </c>
      <c r="E11" s="4" t="n">
        <v>167.5</v>
      </c>
      <c r="F11" s="4" t="n">
        <v>167.5</v>
      </c>
      <c r="G11" s="4" t="n">
        <f aca="false">IF(OR(E11="",F11=""),"",ROUND(E11-F11,2))</f>
        <v>0</v>
      </c>
      <c r="H11" s="2" t="s">
        <v>16</v>
      </c>
      <c r="I11" s="2" t="s">
        <v>17</v>
      </c>
      <c r="J11" s="2" t="str">
        <f aca="false">IF(C11="","fail","pass")</f>
        <v>pass</v>
      </c>
      <c r="K11" s="2" t="str">
        <f aca="false">IF(AND(J11="pass",D11&lt;=1),"pass","fail")</f>
        <v>pass</v>
      </c>
      <c r="L11" s="2" t="str">
        <f aca="false">IF(J11="fail","fail",IF(ABS(G11)&lt;0.005,"pass","fail"))</f>
        <v>pass</v>
      </c>
      <c r="M11" s="2" t="str">
        <f aca="false">IF(AND(J11="pass",OR(LOWER(H11)="completed",LOWER(H11)="pending"),OR(LOWER(I11)="completed",LOWER(I11)="pending")),"pass","fail")</f>
        <v>pass</v>
      </c>
      <c r="N11" s="2" t="str">
        <f aca="false">IF(COUNTIF(J11:M11,"fail")=0,"matched","discrepancy")</f>
        <v>matched</v>
      </c>
      <c r="O11" s="2" t="str">
        <f aca="false">IF(N11="matched","none",IF(J11="fail","missing_in_authoritative_ledger",IF(K11="fail","date_mismatch","")&amp;IF(AND(K11="fail",L11="fail"),";","")&amp;IF(L11="fail","amount_mismatch","")&amp;IF(AND(M11="fail",OR(K11="fail",L11="fail")),";","")&amp;IF(M11="fail","invalid_status","")))</f>
        <v>none</v>
      </c>
    </row>
    <row r="12" customFormat="false" ht="15" hidden="false" customHeight="false" outlineLevel="0" collapsed="false">
      <c r="A12" s="2" t="s">
        <v>29</v>
      </c>
      <c r="B12" s="3" t="n">
        <v>45337</v>
      </c>
      <c r="C12" s="3" t="n">
        <v>45342</v>
      </c>
      <c r="D12" s="2" t="n">
        <f aca="false">IF(OR(B12="",C12=""),"",ABS(B12-C12))</f>
        <v>5</v>
      </c>
      <c r="E12" s="4" t="n">
        <v>234</v>
      </c>
      <c r="F12" s="4" t="n">
        <v>234</v>
      </c>
      <c r="G12" s="4" t="n">
        <f aca="false">IF(OR(E12="",F12=""),"",ROUND(E12-F12,2))</f>
        <v>0</v>
      </c>
      <c r="H12" s="2" t="s">
        <v>16</v>
      </c>
      <c r="I12" s="2" t="s">
        <v>17</v>
      </c>
      <c r="J12" s="2" t="str">
        <f aca="false">IF(C12="","fail","pass")</f>
        <v>pass</v>
      </c>
      <c r="K12" s="2" t="str">
        <f aca="false">IF(AND(J12="pass",D12&lt;=1),"pass","fail")</f>
        <v>fail</v>
      </c>
      <c r="L12" s="2" t="str">
        <f aca="false">IF(J12="fail","fail",IF(ABS(G12)&lt;0.005,"pass","fail"))</f>
        <v>pass</v>
      </c>
      <c r="M12" s="2" t="str">
        <f aca="false">IF(AND(J12="pass",OR(LOWER(H12)="completed",LOWER(H12)="pending"),OR(LOWER(I12)="completed",LOWER(I12)="pending")),"pass","fail")</f>
        <v>pass</v>
      </c>
      <c r="N12" s="2" t="str">
        <f aca="false">IF(COUNTIF(J12:M12,"fail")=0,"matched","discrepancy")</f>
        <v>discrepancy</v>
      </c>
      <c r="O12" s="2" t="str">
        <f aca="false">IF(N12="matched","none",IF(J12="fail","missing_in_authoritative_ledger",IF(K12="fail","date_mismatch","")&amp;IF(AND(K12="fail",L12="fail"),";","")&amp;IF(L12="fail","amount_mismatch","")&amp;IF(AND(M12="fail",OR(K12="fail",L12="fail")),";","")&amp;IF(M12="fail","invalid_status","")))</f>
        <v>date_mismatch</v>
      </c>
    </row>
    <row r="13" customFormat="false" ht="15" hidden="false" customHeight="false" outlineLevel="0" collapsed="false">
      <c r="A13" s="2" t="s">
        <v>30</v>
      </c>
      <c r="B13" s="3" t="n">
        <v>45340</v>
      </c>
      <c r="C13" s="3" t="n">
        <v>45340</v>
      </c>
      <c r="D13" s="2" t="n">
        <f aca="false">IF(OR(B13="",C13=""),"",ABS(B13-C13))</f>
        <v>0</v>
      </c>
      <c r="E13" s="4" t="n">
        <v>501.25</v>
      </c>
      <c r="F13" s="4" t="n">
        <v>501.25</v>
      </c>
      <c r="G13" s="4" t="n">
        <f aca="false">IF(OR(E13="",F13=""),"",ROUND(E13-F13,2))</f>
        <v>0</v>
      </c>
      <c r="H13" s="2" t="s">
        <v>16</v>
      </c>
      <c r="I13" s="2" t="s">
        <v>17</v>
      </c>
      <c r="J13" s="2" t="str">
        <f aca="false">IF(C13="","fail","pass")</f>
        <v>pass</v>
      </c>
      <c r="K13" s="2" t="str">
        <f aca="false">IF(AND(J13="pass",D13&lt;=1),"pass","fail")</f>
        <v>pass</v>
      </c>
      <c r="L13" s="2" t="str">
        <f aca="false">IF(J13="fail","fail",IF(ABS(G13)&lt;0.005,"pass","fail"))</f>
        <v>pass</v>
      </c>
      <c r="M13" s="2" t="str">
        <f aca="false">IF(AND(J13="pass",OR(LOWER(H13)="completed",LOWER(H13)="pending"),OR(LOWER(I13)="completed",LOWER(I13)="pending")),"pass","fail")</f>
        <v>pass</v>
      </c>
      <c r="N13" s="2" t="str">
        <f aca="false">IF(COUNTIF(J13:M13,"fail")=0,"matched","discrepancy")</f>
        <v>matched</v>
      </c>
      <c r="O13" s="2" t="str">
        <f aca="false">IF(N13="matched","none",IF(J13="fail","missing_in_authoritative_ledger",IF(K13="fail","date_mismatch","")&amp;IF(AND(K13="fail",L13="fail"),";","")&amp;IF(L13="fail","amount_mismatch","")&amp;IF(AND(M13="fail",OR(K13="fail",L13="fail")),";","")&amp;IF(M13="fail","invalid_status","")))</f>
        <v>none</v>
      </c>
    </row>
    <row r="14" customFormat="false" ht="15" hidden="false" customHeight="false" outlineLevel="0" collapsed="false">
      <c r="A14" s="2" t="s">
        <v>31</v>
      </c>
      <c r="B14" s="3" t="n">
        <v>45353</v>
      </c>
      <c r="C14" s="3" t="n">
        <v>45353</v>
      </c>
      <c r="D14" s="2" t="n">
        <f aca="false">IF(OR(B14="",C14=""),"",ABS(B14-C14))</f>
        <v>0</v>
      </c>
      <c r="E14" s="4" t="n">
        <v>145.75</v>
      </c>
      <c r="F14" s="4" t="n">
        <v>154.75</v>
      </c>
      <c r="G14" s="4" t="n">
        <f aca="false">IF(OR(E14="",F14=""),"",ROUND(E14-F14,2))</f>
        <v>-9</v>
      </c>
      <c r="H14" s="2" t="s">
        <v>16</v>
      </c>
      <c r="I14" s="2" t="s">
        <v>17</v>
      </c>
      <c r="J14" s="2" t="str">
        <f aca="false">IF(C14="","fail","pass")</f>
        <v>pass</v>
      </c>
      <c r="K14" s="2" t="str">
        <f aca="false">IF(AND(J14="pass",D14&lt;=1),"pass","fail")</f>
        <v>pass</v>
      </c>
      <c r="L14" s="2" t="str">
        <f aca="false">IF(J14="fail","fail",IF(ABS(G14)&lt;0.005,"pass","fail"))</f>
        <v>fail</v>
      </c>
      <c r="M14" s="2" t="str">
        <f aca="false">IF(AND(J14="pass",OR(LOWER(H14)="completed",LOWER(H14)="pending"),OR(LOWER(I14)="completed",LOWER(I14)="pending")),"pass","fail")</f>
        <v>pass</v>
      </c>
      <c r="N14" s="2" t="str">
        <f aca="false">IF(COUNTIF(J14:M14,"fail")=0,"matched","discrepancy")</f>
        <v>discrepancy</v>
      </c>
      <c r="O14" s="2" t="str">
        <f aca="false">IF(N14="matched","none",IF(J14="fail","missing_in_authoritative_ledger",IF(K14="fail","date_mismatch","")&amp;IF(AND(K14="fail",L14="fail"),";","")&amp;IF(L14="fail","amount_mismatch","")&amp;IF(AND(M14="fail",OR(K14="fail",L14="fail")),";","")&amp;IF(M14="fail","invalid_status","")))</f>
        <v>amount_mismatch</v>
      </c>
    </row>
    <row r="15" customFormat="false" ht="15" hidden="false" customHeight="false" outlineLevel="0" collapsed="false">
      <c r="A15" s="2" t="s">
        <v>32</v>
      </c>
      <c r="B15" s="3" t="n">
        <v>45359</v>
      </c>
      <c r="C15" s="3" t="n">
        <v>45359</v>
      </c>
      <c r="D15" s="2" t="n">
        <f aca="false">IF(OR(B15="",C15=""),"",ABS(B15-C15))</f>
        <v>0</v>
      </c>
      <c r="E15" s="4" t="n">
        <v>278.5</v>
      </c>
      <c r="F15" s="4" t="n">
        <v>278.5</v>
      </c>
      <c r="G15" s="4" t="n">
        <f aca="false">IF(OR(E15="",F15=""),"",ROUND(E15-F15,2))</f>
        <v>0</v>
      </c>
      <c r="H15" s="2" t="s">
        <v>16</v>
      </c>
      <c r="I15" s="2" t="s">
        <v>17</v>
      </c>
      <c r="J15" s="2" t="str">
        <f aca="false">IF(C15="","fail","pass")</f>
        <v>pass</v>
      </c>
      <c r="K15" s="2" t="str">
        <f aca="false">IF(AND(J15="pass",D15&lt;=1),"pass","fail")</f>
        <v>pass</v>
      </c>
      <c r="L15" s="2" t="str">
        <f aca="false">IF(J15="fail","fail",IF(ABS(G15)&lt;0.005,"pass","fail"))</f>
        <v>pass</v>
      </c>
      <c r="M15" s="2" t="str">
        <f aca="false">IF(AND(J15="pass",OR(LOWER(H15)="completed",LOWER(H15)="pending"),OR(LOWER(I15)="completed",LOWER(I15)="pending")),"pass","fail")</f>
        <v>pass</v>
      </c>
      <c r="N15" s="2" t="str">
        <f aca="false">IF(COUNTIF(J15:M15,"fail")=0,"matched","discrepancy")</f>
        <v>matched</v>
      </c>
      <c r="O15" s="2" t="str">
        <f aca="false">IF(N15="matched","none",IF(J15="fail","missing_in_authoritative_ledger",IF(K15="fail","date_mismatch","")&amp;IF(AND(K15="fail",L15="fail"),";","")&amp;IF(L15="fail","amount_mismatch","")&amp;IF(AND(M15="fail",OR(K15="fail",L15="fail")),";","")&amp;IF(M15="fail","invalid_status","")))</f>
        <v>none</v>
      </c>
    </row>
    <row r="16" customFormat="false" ht="15" hidden="false" customHeight="false" outlineLevel="0" collapsed="false">
      <c r="A16" s="2" t="s">
        <v>33</v>
      </c>
      <c r="B16" s="3" t="n">
        <v>45363</v>
      </c>
      <c r="C16" s="3" t="n">
        <v>45363</v>
      </c>
      <c r="D16" s="2" t="n">
        <f aca="false">IF(OR(B16="",C16=""),"",ABS(B16-C16))</f>
        <v>0</v>
      </c>
      <c r="E16" s="4" t="n">
        <v>189.99</v>
      </c>
      <c r="F16" s="4" t="n">
        <v>189.99</v>
      </c>
      <c r="G16" s="4" t="n">
        <f aca="false">IF(OR(E16="",F16=""),"",ROUND(E16-F16,2))</f>
        <v>0</v>
      </c>
      <c r="H16" s="2" t="s">
        <v>16</v>
      </c>
      <c r="I16" s="2" t="s">
        <v>17</v>
      </c>
      <c r="J16" s="2" t="str">
        <f aca="false">IF(C16="","fail","pass")</f>
        <v>pass</v>
      </c>
      <c r="K16" s="2" t="str">
        <f aca="false">IF(AND(J16="pass",D16&lt;=1),"pass","fail")</f>
        <v>pass</v>
      </c>
      <c r="L16" s="2" t="str">
        <f aca="false">IF(J16="fail","fail",IF(ABS(G16)&lt;0.005,"pass","fail"))</f>
        <v>pass</v>
      </c>
      <c r="M16" s="2" t="str">
        <f aca="false">IF(AND(J16="pass",OR(LOWER(H16)="completed",LOWER(H16)="pending"),OR(LOWER(I16)="completed",LOWER(I16)="pending")),"pass","fail")</f>
        <v>pass</v>
      </c>
      <c r="N16" s="2" t="str">
        <f aca="false">IF(COUNTIF(J16:M16,"fail")=0,"matched","discrepancy")</f>
        <v>matched</v>
      </c>
      <c r="O16" s="2" t="str">
        <f aca="false">IF(N16="matched","none",IF(J16="fail","missing_in_authoritative_ledger",IF(K16="fail","date_mismatch","")&amp;IF(AND(K16="fail",L16="fail"),";","")&amp;IF(L16="fail","amount_mismatch","")&amp;IF(AND(M16="fail",OR(K16="fail",L16="fail")),";","")&amp;IF(M16="fail","invalid_status","")))</f>
        <v>none</v>
      </c>
    </row>
  </sheetData>
  <autoFilter ref="A1:O16"/>
  <conditionalFormatting sqref="N2:N16">
    <cfRule type="expression" priority="2" aboveAverage="0" equalAverage="0" bottom="0" percent="0" rank="0" text="" dxfId="4">
      <formula>N2="discrepancy"</formula>
    </cfRule>
  </conditionalFormatting>
  <printOptions headings="false" gridLines="false" gridLinesSet="true" horizontalCentered="false" verticalCentered="false"/>
  <pageMargins left="0.2" right="0.2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3" min="2" style="0" width="28.99"/>
    <col collapsed="false" customWidth="true" hidden="false" outlineLevel="0" max="4" min="4" style="0" width="39.01"/>
    <col collapsed="false" customWidth="true" hidden="false" outlineLevel="0" max="5" min="5" style="0" width="48.01"/>
    <col collapsed="false" customWidth="true" hidden="false" outlineLevel="0" max="6" min="6" style="0" width="58"/>
  </cols>
  <sheetData>
    <row r="1" customFormat="false" ht="31.5" hidden="false" customHeight="tru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customFormat="false" ht="55.5" hidden="false" customHeight="true" outlineLevel="0" collapsed="false">
      <c r="A2" s="2" t="s">
        <v>21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</row>
    <row r="3" customFormat="false" ht="55.5" hidden="false" customHeight="true" outlineLevel="0" collapsed="false">
      <c r="A3" s="2" t="s">
        <v>26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</row>
    <row r="4" customFormat="false" ht="55.5" hidden="false" customHeight="true" outlineLevel="0" collapsed="false">
      <c r="A4" s="2" t="s">
        <v>29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</row>
    <row r="5" customFormat="false" ht="55.5" hidden="false" customHeight="true" outlineLevel="0" collapsed="false">
      <c r="A5" s="2" t="s">
        <v>31</v>
      </c>
      <c r="B5" s="2" t="s">
        <v>39</v>
      </c>
      <c r="C5" s="2" t="s">
        <v>54</v>
      </c>
      <c r="D5" s="2" t="s">
        <v>55</v>
      </c>
      <c r="E5" s="2" t="s">
        <v>56</v>
      </c>
      <c r="F5" s="2" t="s">
        <v>43</v>
      </c>
    </row>
  </sheetData>
  <autoFilter ref="A1:F5"/>
  <conditionalFormatting sqref="A2:F5">
    <cfRule type="expression" priority="2" aboveAverage="0" equalAverage="0" bottom="0" percent="0" rank="0" text="" dxfId="6">
      <formula>$A2&lt;&gt;""</formula>
    </cfRule>
  </conditionalFormatting>
  <printOptions headings="false" gridLines="false" gridLinesSet="true" horizontalCentered="false" verticalCentered="false"/>
  <pageMargins left="0.2" right="0.2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7.99"/>
  </cols>
  <sheetData>
    <row r="1" customFormat="false" ht="31.5" hidden="false" customHeight="true" outlineLevel="0" collapsed="false">
      <c r="A1" s="1" t="s">
        <v>57</v>
      </c>
      <c r="B1" s="1" t="s">
        <v>58</v>
      </c>
    </row>
    <row r="2" customFormat="false" ht="15" hidden="false" customHeight="false" outlineLevel="0" collapsed="false">
      <c r="A2" s="5" t="s">
        <v>59</v>
      </c>
      <c r="B2" s="6" t="n">
        <f aca="false">COUNTA(Reconciliation!A2:A16)</f>
        <v>15</v>
      </c>
    </row>
    <row r="3" customFormat="false" ht="15" hidden="false" customHeight="false" outlineLevel="0" collapsed="false">
      <c r="A3" s="5" t="s">
        <v>60</v>
      </c>
      <c r="B3" s="6" t="n">
        <f aca="false">COUNTIF(Reconciliation!N2:N16,"matched")</f>
        <v>11</v>
      </c>
    </row>
    <row r="4" customFormat="false" ht="15" hidden="false" customHeight="false" outlineLevel="0" collapsed="false">
      <c r="A4" s="5" t="s">
        <v>61</v>
      </c>
      <c r="B4" s="6" t="n">
        <f aca="false">COUNTIF(Reconciliation!N2:N16,"discrepancy")</f>
        <v>4</v>
      </c>
    </row>
    <row r="5" customFormat="false" ht="15" hidden="false" customHeight="false" outlineLevel="0" collapsed="false">
      <c r="A5" s="5" t="s">
        <v>62</v>
      </c>
      <c r="B5" s="7" t="n">
        <f aca="false">ROUND(SUM(Reconciliation!E2:E16),2)</f>
        <v>3263.98</v>
      </c>
    </row>
    <row r="6" customFormat="false" ht="15" hidden="false" customHeight="false" outlineLevel="0" collapsed="false">
      <c r="A6" s="5" t="s">
        <v>63</v>
      </c>
      <c r="B6" s="7" t="n">
        <f aca="false">ROUND(SUM(Reconciliation!F2:F16),2)</f>
        <v>2824.98</v>
      </c>
    </row>
    <row r="7" customFormat="false" ht="15" hidden="false" customHeight="false" outlineLevel="0" collapsed="false">
      <c r="A7" s="5" t="s">
        <v>64</v>
      </c>
      <c r="B7" s="7" t="n">
        <f aca="false">ROUND(SUMIF(Reconciliation!J2:J16,"fail",Reconciliation!E2:E16),2)</f>
        <v>445.75</v>
      </c>
    </row>
    <row r="8" customFormat="false" ht="15" hidden="false" customHeight="false" outlineLevel="0" collapsed="false">
      <c r="A8" s="5" t="s">
        <v>65</v>
      </c>
      <c r="B8" s="7" t="n">
        <f aca="false">ROUND(SUMIF(Reconciliation!G2:G16,"&gt;0",Reconciliation!G2:G16)-SUMIF(Reconciliation!G2:G16,"&lt;0",Reconciliation!G2:G16),2)</f>
        <v>11.25</v>
      </c>
    </row>
    <row r="9" customFormat="false" ht="15" hidden="false" customHeight="false" outlineLevel="0" collapsed="false">
      <c r="A9" s="5" t="s">
        <v>66</v>
      </c>
      <c r="B9" s="6" t="n">
        <f aca="false">COUNTIF(Reconciliation!O2:O16,"*date_mismatch*")</f>
        <v>1</v>
      </c>
    </row>
    <row r="10" customFormat="false" ht="15" hidden="false" customHeight="false" outlineLevel="0" collapsed="false">
      <c r="A10" s="5" t="s">
        <v>67</v>
      </c>
      <c r="B10" s="6" t="n">
        <f aca="false">COUNTIF(Reconciliation!O2:O16,"*amount_mismatch*")</f>
        <v>2</v>
      </c>
    </row>
    <row r="11" customFormat="false" ht="15" hidden="false" customHeight="false" outlineLevel="0" collapsed="false">
      <c r="A11" s="5" t="s">
        <v>68</v>
      </c>
      <c r="B11" s="6" t="n">
        <f aca="false">COUNTIF(Reconciliation!O2:O16,"*missing_in_authoritative_ledger*")</f>
        <v>1</v>
      </c>
    </row>
    <row r="12" customFormat="false" ht="15" hidden="false" customHeight="false" outlineLevel="0" collapsed="false">
      <c r="A12" s="5" t="s">
        <v>69</v>
      </c>
      <c r="B12" s="6" t="str">
        <f aca="false">IF(B4=0,"Reconciled","Needs remediation")</f>
        <v>Needs remediation</v>
      </c>
    </row>
  </sheetData>
  <autoFilter ref="A1:B12"/>
  <conditionalFormatting sqref="B4">
    <cfRule type="expression" priority="2" aboveAverage="0" equalAverage="0" bottom="0" percent="0" rank="0" text="" dxfId="4">
      <formula>B4&gt;0</formula>
    </cfRule>
  </conditionalFormatting>
  <printOptions headings="false" gridLines="false" gridLinesSet="true" horizontalCentered="false" verticalCentered="false"/>
  <pageMargins left="0.2" right="0.2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2024-04-01T00:00:00Z</dcterms:created>
  <dc:creator>EvoCowork benchmark adapter</dc:creator>
  <dc:description/>
  <dc:language>en-US</dc:language>
  <cp:lastModifiedBy/>
  <dcterms:modified xsi:type="dcterms:W3CDTF">2024-04-01T00:00:00Z</dcterms:modified>
  <cp:revision>0</cp:revision>
  <dc:subject/>
  <dc:title>Q1 2024 Financial Audit Reconciliation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