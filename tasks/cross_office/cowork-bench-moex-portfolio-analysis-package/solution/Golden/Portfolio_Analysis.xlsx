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ldings" sheetId="1" state="visible" r:id="rId2"/>
    <sheet name="Summary" sheetId="2" state="visible" r:id="rId3"/>
    <sheet name="Source_Prices" sheetId="3" state="visible" r:id="rId4"/>
  </sheets>
  <definedNames>
    <definedName function="false" hidden="false" localSheetId="0" name="_xlnm.Print_Area" vbProcedure="false">Holdings!$A$1:$P$6</definedName>
    <definedName function="false" hidden="false" localSheetId="0" name="_xlnm.Print_Titles" vbProcedure="false">Holdings!$1:$1</definedName>
    <definedName function="false" hidden="true" localSheetId="0" name="_xlnm._FilterDatabase" vbProcedure="false">Holdings!$A$1:$P$6</definedName>
    <definedName function="false" hidden="false" localSheetId="2" name="_xlnm.Print_Area" vbProcedure="false">Source_Prices!$A$1:$H$116</definedName>
    <definedName function="false" hidden="false" localSheetId="2" name="_xlnm.Print_Titles" vbProcedure="false">Source_Prices!$1:$1</definedName>
    <definedName function="false" hidden="true" localSheetId="2" name="_xlnm._FilterDatabase" vbProcedure="false">Source_Prices!$A$1:$H$116</definedName>
    <definedName function="false" hidden="false" localSheetId="1" name="_xlnm.Print_Area" vbProcedure="false">Summary!$A$1:$L$11</definedName>
    <definedName function="false" hidden="false" localSheetId="1" name="_xlnm.Print_Titles" vbProcedure="false">Summary!$1:$1</definedName>
    <definedName function="false" hidden="true" localSheetId="1" name="_xlnm._FilterDatabase" vbProcedure="false">Summary!$A$1:$B$11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<sst xmlns="http://schemas.openxmlformats.org/spreadsheetml/2006/main" count="636" uniqueCount="43">
  <si>
    <t xml:space="preserve">Symbol</t>
  </si>
  <si>
    <t xml:space="preserve">Company</t>
  </si>
  <si>
    <t xml:space="preserve">Sector</t>
  </si>
  <si>
    <t xml:space="preserve">Quantity</t>
  </si>
  <si>
    <t xml:space="preserve">Baseline_Date</t>
  </si>
  <si>
    <t xml:space="preserve">Baseline_Close</t>
  </si>
  <si>
    <t xml:space="preserve">Current_Date</t>
  </si>
  <si>
    <t xml:space="preserve">Current_Price</t>
  </si>
  <si>
    <t xml:space="preserve">Current_Value</t>
  </si>
  <si>
    <t xml:space="preserve">Return_30d_Pct</t>
  </si>
  <si>
    <t xml:space="preserve">Weight_Pct</t>
  </si>
  <si>
    <t xml:space="preserve">Market_Cap_RUB</t>
  </si>
  <si>
    <t xml:space="preserve">Market_Cap_Category</t>
  </si>
  <si>
    <t xml:space="preserve">Currency</t>
  </si>
  <si>
    <t xml:space="preserve">Exchange</t>
  </si>
  <si>
    <t xml:space="preserve">Policy_Status</t>
  </si>
  <si>
    <t xml:space="preserve">SBER.ME</t>
  </si>
  <si>
    <t xml:space="preserve">ПАО Сбербанк</t>
  </si>
  <si>
    <t xml:space="preserve">Financial Services</t>
  </si>
  <si>
    <t xml:space="preserve">RUB</t>
  </si>
  <si>
    <t xml:space="preserve">MCX</t>
  </si>
  <si>
    <t xml:space="preserve">GAZP.ME</t>
  </si>
  <si>
    <t xml:space="preserve">ПАО Газпром</t>
  </si>
  <si>
    <t xml:space="preserve">Energy</t>
  </si>
  <si>
    <t xml:space="preserve">LKOH.ME</t>
  </si>
  <si>
    <t xml:space="preserve">ПАО ЛУКОЙЛ</t>
  </si>
  <si>
    <t xml:space="preserve">MGNT.ME</t>
  </si>
  <si>
    <t xml:space="preserve">ПАО Магнит</t>
  </si>
  <si>
    <t xml:space="preserve">Consumer Defensive</t>
  </si>
  <si>
    <t xml:space="preserve">MTSS.ME</t>
  </si>
  <si>
    <t xml:space="preserve">ПАО МТС</t>
  </si>
  <si>
    <t xml:space="preserve">Communication Services</t>
  </si>
  <si>
    <t xml:space="preserve">Metric</t>
  </si>
  <si>
    <t xml:space="preserve">Value</t>
  </si>
  <si>
    <t xml:space="preserve">Total_Portfolio_Value</t>
  </si>
  <si>
    <t xml:space="preserve">Best_Performer</t>
  </si>
  <si>
    <t xml:space="preserve">Worst_Performer</t>
  </si>
  <si>
    <t xml:space="preserve">Largest_Sector</t>
  </si>
  <si>
    <t xml:space="preserve">Largest_Sector_Weight</t>
  </si>
  <si>
    <t xml:space="preserve">Policy_Compliant_Positions</t>
  </si>
  <si>
    <t xml:space="preserve">Market_Cap</t>
  </si>
  <si>
    <t xml:space="preserve">Date</t>
  </si>
  <si>
    <t xml:space="preserve">Close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</si>
</sst>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0&quot; RUB&quot;"/>
    <numFmt numFmtId="167" formatCode="0.00%"/>
    <numFmt numFmtId="168" formatCode="#,##0&quot; RUB&quot;"/>
    <numFmt numFmtId="169" formatCode="#,##0.0000&quot; RUB&quot;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8"/>
      <color rgb="FF17324D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12"/>
      <color rgb="FF168AAD"/>
      <name val="Aptos Display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3F8"/>
        <bgColor rgb="FFE7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D8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24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BE9E7"/>
        </patternFill>
      </fill>
    </dxf>
    <dxf>
      <fill>
        <patternFill patternType="solid">
          <fgColor rgb="FFE7F4EC"/>
        </patternFill>
      </fill>
    </dxf>
    <dxf>
      <fill>
        <patternFill>
          <bgColor rgb="FFFBE9E7"/>
        </patternFill>
      </fill>
    </dxf>
    <dxf>
      <fill>
        <patternFill>
          <bgColor rgb="FFE7F4EC"/>
        </patternFill>
      </fill>
    </dxf>
    <dxf>
      <fill>
        <patternFill patternType="solid">
          <fgColor rgb="FFEAF3F8"/>
        </patternFill>
      </fill>
    </dxf>
    <dxf>
      <fill>
        <patternFill patternType="solid">
          <fgColor rgb="FFFFF5DB"/>
        </patternFill>
      </fill>
    </dxf>
    <dxf>
      <fill>
        <patternFill patternType="solid">
          <fgColor rgb="FF168AAD"/>
        </patternFill>
      </fill>
    </dxf>
    <dxf>
      <fill>
        <patternFill>
          <bgColor rgb="FFFFF5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D9D9D9"/>
      <rgbColor rgb="FF878787"/>
      <rgbColor rgb="FF9999FF"/>
      <rgbColor rgb="FF993366"/>
      <rgbColor rgb="FFFFF5DB"/>
      <rgbColor rgb="FFE7F4EC"/>
      <rgbColor rgb="FF660066"/>
      <rgbColor rgb="FFFF8080"/>
      <rgbColor rgb="FF0066CC"/>
      <rgbColor rgb="FFCCD8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F9F9F9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 exposure (RUB)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Financial Services</c:v>
                </c:pt>
                <c:pt idx="1">
                  <c:v>Energy</c:v>
                </c:pt>
                <c:pt idx="2">
                  <c:v>Consumer Defensive</c:v>
                </c:pt>
                <c:pt idx="3">
                  <c:v>Communication Services</c:v>
                </c:pt>
              </c:strCache>
            </c:strRef>
          </c:cat>
          <c:val>
            <c:numRef>
              <c:f>Summary!$B$5:$B$8</c:f>
              <c:numCache>
                <c:formatCode>General</c:formatCode>
                <c:ptCount val="4"/>
                <c:pt idx="0">
                  <c:v>12081.71</c:v>
                </c:pt>
                <c:pt idx="1">
                  <c:v>78997.085</c:v>
                </c:pt>
                <c:pt idx="2">
                  <c:v>62732.8845</c:v>
                </c:pt>
                <c:pt idx="3">
                  <c:v>38259.345</c:v>
                </c:pt>
              </c:numCache>
            </c:numRef>
          </c:val>
        </c:ser>
        <c:gapWidth val="150"/>
        <c:overlap val="0"/>
        <c:axId val="11084706"/>
        <c:axId val="27695691"/>
      </c:barChart>
      <c:catAx>
        <c:axId val="1108470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95691"/>
        <c:crosses val="autoZero"/>
        <c:auto val="1"/>
        <c:lblAlgn val="ctr"/>
        <c:lblOffset val="100"/>
        <c:noMultiLvlLbl val="0"/>
      </c:catAx>
      <c:valAx>
        <c:axId val="27695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RUB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84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34920</xdr:colOff>
      <xdr:row>12</xdr:row>
      <xdr:rowOff>136440</xdr:rowOff>
    </xdr:to>
    <xdr:graphicFrame>
      <xdr:nvGraphicFramePr>
        <xdr:cNvPr id="0" name="Chart 1"/>
        <xdr:cNvGraphicFramePr/>
      </xdr:nvGraphicFramePr>
      <xdr:xfrm>
        <a:off x="4704840" y="428760"/>
        <a:ext cx="431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ortfolioHoldingsTable" displayName="PortfolioHoldingsTable" ref="A1:P6" headerRowCount="1" totalsRowCount="0" totalsRowShown="0">
  <autoFilter ref="A1:P6"/>
  <tableColumns count="16">
    <tableColumn id="1" name="Symbol"/>
    <tableColumn id="2" name="Company"/>
    <tableColumn id="3" name="Sector"/>
    <tableColumn id="4" name="Quantity"/>
    <tableColumn id="5" name="Baseline_Date"/>
    <tableColumn id="6" name="Baseline_Close"/>
    <tableColumn id="7" name="Current_Date"/>
    <tableColumn id="8" name="Current_Price"/>
    <tableColumn id="9" name="Current_Value"/>
    <tableColumn id="10" name="Return_30d_Pct"/>
    <tableColumn id="11" name="Weight_Pct"/>
    <tableColumn id="12" name="Market_Cap_RUB"/>
    <tableColumn id="13" name="Market_Cap_Category"/>
    <tableColumn id="14" name="Currency"/>
    <tableColumn id="15" name="Exchange"/>
    <tableColumn id="16" name="Policy_Status"/>
  </tableColumns>
</table>
</file>

<file path=xl/tables/table2.xml><?xml version="1.0" encoding="utf-8"?>
<table xmlns="http://schemas.openxmlformats.org/spreadsheetml/2006/main" id="2" name="PortfolioSummaryTable" displayName="PortfolioSummaryTable" ref="A1:B11" headerRowCount="1" totalsRowCount="0" totalsRowShown="0">
  <autoFilter ref="A1:B11"/>
  <tableColumns count="2">
    <tableColumn id="1" name="Metric"/>
    <tableColumn id="2" name="Value"/>
  </tableColumns>
</table>
</file>

<file path=xl/tables/table3.xml><?xml version="1.0" encoding="utf-8"?>
<table xmlns="http://schemas.openxmlformats.org/spreadsheetml/2006/main" id="3" name="SourcePricesTable" displayName="SourcePricesTable" ref="A1:H116" headerRowCount="1" totalsRowCount="0" totalsRowShown="0">
  <autoFilter ref="A1:H116"/>
  <tableColumns count="8">
    <tableColumn id="1" name="Symbol"/>
    <tableColumn id="2" name="Company"/>
    <tableColumn id="3" name="Sector"/>
    <tableColumn id="4" name="Currency"/>
    <tableColumn id="5" name="Exchange"/>
    <tableColumn id="6" name="Market_Cap"/>
    <tableColumn id="7" name="Date"/>
    <tableColumn id="8" name="Clos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9"/>
    <col collapsed="false" customWidth="true" hidden="false" outlineLevel="0" max="3" min="3" style="0" width="22.01"/>
    <col collapsed="false" customWidth="true" hidden="false" outlineLevel="0" max="4" min="4" style="0" width="9"/>
    <col collapsed="false" customWidth="true" hidden="false" outlineLevel="0" max="5" min="5" style="0" width="13.01"/>
    <col collapsed="false" customWidth="true" hidden="false" outlineLevel="0" max="6" min="6" style="0" width="14.01"/>
    <col collapsed="false" customWidth="true" hidden="false" outlineLevel="0" max="7" min="7" style="0" width="13.01"/>
    <col collapsed="false" customWidth="true" hidden="false" outlineLevel="0" max="8" min="8" style="0" width="14.01"/>
    <col collapsed="false" customWidth="true" hidden="false" outlineLevel="0" max="9" min="9" style="0" width="15"/>
    <col collapsed="false" customWidth="true" hidden="false" outlineLevel="0" max="10" min="10" style="0" width="14.01"/>
    <col collapsed="false" customWidth="true" hidden="false" outlineLevel="0" max="11" min="11" style="0" width="11.99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5" min="14" style="0" width="10"/>
    <col collapsed="false" customWidth="true" hidden="false" outlineLevel="0" max="16" min="16" style="0" width="14.0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3.75" hidden="false" customHeight="true" outlineLevel="0" collapsed="false">
      <c r="A2" s="2" t="s">
        <v>16</v>
      </c>
      <c r="B2" s="2" t="s">
        <v>17</v>
      </c>
      <c r="C2" s="2" t="s">
        <v>18</v>
      </c>
      <c r="D2" s="2" t="n">
        <v>100</v>
      </c>
      <c r="E2" s="3" t="n">
        <v>46136</v>
      </c>
      <c r="F2" s="4" t="n">
        <v>127.728</v>
      </c>
      <c r="G2" s="3" t="n">
        <v>46168</v>
      </c>
      <c r="H2" s="4" t="n">
        <v>120.8171</v>
      </c>
      <c r="I2" s="4" t="n">
        <f aca="false">D2*H2</f>
        <v>12081.71</v>
      </c>
      <c r="J2" s="5" t="n">
        <f aca="false">H2/F2-1</f>
        <v>-0.0541063823124138</v>
      </c>
      <c r="K2" s="5" t="n">
        <f aca="false">I2/SUM($I$2:$I$6)</f>
        <v>0.0629023041421846</v>
      </c>
      <c r="L2" s="6" t="n">
        <v>2877540270080</v>
      </c>
      <c r="M2" s="2" t="str">
        <f aca="false">IF(L2&gt;100000000000,"Large Cap","Below Large Cap")</f>
        <v>Large Cap</v>
      </c>
      <c r="N2" s="2" t="s">
        <v>19</v>
      </c>
      <c r="O2" s="2" t="s">
        <v>20</v>
      </c>
      <c r="P2" s="2" t="str">
        <f aca="false">IF(AND(OR(C2="Communication Services",C2="Consumer Defensive",C2="Energy",C2="Financial Services",C2="Healthcare"),N2="RUB",O2="MCX",M2="Large Cap"),"Compliant","Review")</f>
        <v>Compliant</v>
      </c>
    </row>
    <row r="3" customFormat="false" ht="33.75" hidden="false" customHeight="true" outlineLevel="0" collapsed="false">
      <c r="A3" s="2" t="s">
        <v>21</v>
      </c>
      <c r="B3" s="2" t="s">
        <v>22</v>
      </c>
      <c r="C3" s="2" t="s">
        <v>23</v>
      </c>
      <c r="D3" s="2" t="n">
        <v>200</v>
      </c>
      <c r="E3" s="3" t="n">
        <v>46136</v>
      </c>
      <c r="F3" s="4" t="n">
        <v>211.298</v>
      </c>
      <c r="G3" s="3" t="n">
        <v>46168</v>
      </c>
      <c r="H3" s="4" t="n">
        <v>208.6306</v>
      </c>
      <c r="I3" s="4" t="n">
        <f aca="false">D3*H3</f>
        <v>41726.12</v>
      </c>
      <c r="J3" s="5" t="n">
        <f aca="false">H3/F3-1</f>
        <v>-0.0126238771782033</v>
      </c>
      <c r="K3" s="5" t="n">
        <f aca="false">I3/SUM($I$2:$I$6)</f>
        <v>0.217243179228213</v>
      </c>
      <c r="L3" s="6" t="n">
        <v>4681709912064</v>
      </c>
      <c r="M3" s="2" t="str">
        <f aca="false">IF(L3&gt;100000000000,"Large Cap","Below Large Cap")</f>
        <v>Large Cap</v>
      </c>
      <c r="N3" s="2" t="s">
        <v>19</v>
      </c>
      <c r="O3" s="2" t="s">
        <v>20</v>
      </c>
      <c r="P3" s="2" t="str">
        <f aca="false">IF(AND(OR(C3="Communication Services",C3="Consumer Defensive",C3="Energy",C3="Financial Services",C3="Healthcare"),N3="RUB",O3="MCX",M3="Large Cap"),"Compliant","Review")</f>
        <v>Compliant</v>
      </c>
    </row>
    <row r="4" customFormat="false" ht="33.75" hidden="false" customHeight="true" outlineLevel="0" collapsed="false">
      <c r="A4" s="2" t="s">
        <v>24</v>
      </c>
      <c r="B4" s="2" t="s">
        <v>25</v>
      </c>
      <c r="C4" s="2" t="s">
        <v>23</v>
      </c>
      <c r="D4" s="2" t="n">
        <v>10</v>
      </c>
      <c r="E4" s="3" t="n">
        <v>46136</v>
      </c>
      <c r="F4" s="4" t="n">
        <v>3754.0441</v>
      </c>
      <c r="G4" s="3" t="n">
        <v>46168</v>
      </c>
      <c r="H4" s="4" t="n">
        <v>3727.0965</v>
      </c>
      <c r="I4" s="4" t="n">
        <f aca="false">D4*H4</f>
        <v>37270.965</v>
      </c>
      <c r="J4" s="5" t="n">
        <f aca="false">H4/F4-1</f>
        <v>-0.00717828541225718</v>
      </c>
      <c r="K4" s="5" t="n">
        <f aca="false">I4/SUM($I$2:$I$6)</f>
        <v>0.194047827344202</v>
      </c>
      <c r="L4" s="6" t="n">
        <v>2543495413760</v>
      </c>
      <c r="M4" s="2" t="str">
        <f aca="false">IF(L4&gt;100000000000,"Large Cap","Below Large Cap")</f>
        <v>Large Cap</v>
      </c>
      <c r="N4" s="2" t="s">
        <v>19</v>
      </c>
      <c r="O4" s="2" t="s">
        <v>20</v>
      </c>
      <c r="P4" s="2" t="str">
        <f aca="false">IF(AND(OR(C4="Communication Services",C4="Consumer Defensive",C4="Energy",C4="Financial Services",C4="Healthcare"),N4="RUB",O4="MCX",M4="Large Cap"),"Compliant","Review")</f>
        <v>Compliant</v>
      </c>
    </row>
    <row r="5" customFormat="false" ht="33.75" hidden="false" customHeight="true" outlineLevel="0" collapsed="false">
      <c r="A5" s="2" t="s">
        <v>26</v>
      </c>
      <c r="B5" s="2" t="s">
        <v>27</v>
      </c>
      <c r="C5" s="2" t="s">
        <v>28</v>
      </c>
      <c r="D5" s="2" t="n">
        <v>15</v>
      </c>
      <c r="E5" s="3" t="n">
        <v>46136</v>
      </c>
      <c r="F5" s="4" t="n">
        <v>4216.7609</v>
      </c>
      <c r="G5" s="3" t="n">
        <v>46168</v>
      </c>
      <c r="H5" s="4" t="n">
        <v>4182.1923</v>
      </c>
      <c r="I5" s="4" t="n">
        <f aca="false">D5*H5</f>
        <v>62732.8845</v>
      </c>
      <c r="J5" s="5" t="n">
        <f aca="false">H5/F5-1</f>
        <v>-0.00819790375119456</v>
      </c>
      <c r="K5" s="5" t="n">
        <f aca="false">I5/SUM($I$2:$I$6)</f>
        <v>0.326612953012077</v>
      </c>
      <c r="L5" s="6" t="n">
        <v>435439271936</v>
      </c>
      <c r="M5" s="2" t="str">
        <f aca="false">IF(L5&gt;100000000000,"Large Cap","Below Large Cap")</f>
        <v>Large Cap</v>
      </c>
      <c r="N5" s="2" t="s">
        <v>19</v>
      </c>
      <c r="O5" s="2" t="s">
        <v>20</v>
      </c>
      <c r="P5" s="2" t="str">
        <f aca="false">IF(AND(OR(C5="Communication Services",C5="Consumer Defensive",C5="Energy",C5="Financial Services",C5="Healthcare"),N5="RUB",O5="MCX",M5="Large Cap"),"Compliant","Review")</f>
        <v>Compliant</v>
      </c>
    </row>
    <row r="6" customFormat="false" ht="33.75" hidden="false" customHeight="true" outlineLevel="0" collapsed="false">
      <c r="A6" s="2" t="s">
        <v>29</v>
      </c>
      <c r="B6" s="2" t="s">
        <v>30</v>
      </c>
      <c r="C6" s="2" t="s">
        <v>31</v>
      </c>
      <c r="D6" s="2" t="n">
        <v>150</v>
      </c>
      <c r="E6" s="3" t="n">
        <v>46136</v>
      </c>
      <c r="F6" s="4" t="n">
        <v>250.1673</v>
      </c>
      <c r="G6" s="3" t="n">
        <v>46168</v>
      </c>
      <c r="H6" s="4" t="n">
        <v>255.0623</v>
      </c>
      <c r="I6" s="4" t="n">
        <f aca="false">D6*H6</f>
        <v>38259.345</v>
      </c>
      <c r="J6" s="5" t="n">
        <f aca="false">H6/F6-1</f>
        <v>0.0195669058266208</v>
      </c>
      <c r="K6" s="5" t="n">
        <f aca="false">I6/SUM($I$2:$I$6)</f>
        <v>0.199193736273323</v>
      </c>
      <c r="L6" s="6" t="n">
        <v>465162960896</v>
      </c>
      <c r="M6" s="2" t="str">
        <f aca="false">IF(L6&gt;100000000000,"Large Cap","Below Large Cap")</f>
        <v>Large Cap</v>
      </c>
      <c r="N6" s="2" t="s">
        <v>19</v>
      </c>
      <c r="O6" s="2" t="s">
        <v>20</v>
      </c>
      <c r="P6" s="2" t="str">
        <f aca="false">IF(AND(OR(C6="Communication Services",C6="Consumer Defensive",C6="Energy",C6="Financial Services",C6="Healthcare"),N6="RUB",O6="MCX",M6="Large Cap"),"Compliant","Review")</f>
        <v>Compliant</v>
      </c>
    </row>
  </sheetData>
  <autoFilter ref="A1:P6"/>
  <conditionalFormatting sqref="J2:J6">
    <cfRule type="expression" priority="2" aboveAverage="0" equalAverage="0" bottom="0" percent="0" rank="0" text="" dxfId="5">
      <formula>J2&lt;0</formula>
    </cfRule>
  </conditionalFormatting>
  <conditionalFormatting sqref="P2:P6">
    <cfRule type="expression" priority="3" aboveAverage="0" equalAverage="0" bottom="0" percent="0" rank="0" text="" dxfId="6">
      <formula>P2="Compliant"</formula>
    </cfRule>
  </conditionalFormatting>
  <printOptions headings="false" gridLines="false" gridLinesSet="true" horizontalCentered="false" verticalCentered="false"/>
  <pageMargins left="0.2" right="0.2" top="0.35" bottom="0.3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</cols>
  <sheetData>
    <row r="1" customFormat="false" ht="33.75" hidden="false" customHeight="true" outlineLevel="0" collapsed="false">
      <c r="A1" s="1" t="s">
        <v>32</v>
      </c>
      <c r="B1" s="1" t="s">
        <v>33</v>
      </c>
    </row>
    <row r="2" customFormat="false" ht="15" hidden="false" customHeight="false" outlineLevel="0" collapsed="false">
      <c r="A2" s="7" t="s">
        <v>34</v>
      </c>
      <c r="B2" s="8" t="n">
        <f aca="false">SUM(Holdings!I2:I6)</f>
        <v>192071.0245</v>
      </c>
    </row>
    <row r="3" customFormat="false" ht="15" hidden="false" customHeight="false" outlineLevel="0" collapsed="false">
      <c r="A3" s="7" t="s">
        <v>35</v>
      </c>
      <c r="B3" s="9" t="str">
        <f aca="false">INDEX(Holdings!A2:A6,MATCH(MAX(Holdings!J2:J6),Holdings!J2:J6,0))</f>
        <v>MTSS.ME</v>
      </c>
    </row>
    <row r="4" customFormat="false" ht="15" hidden="false" customHeight="false" outlineLevel="0" collapsed="false">
      <c r="A4" s="7" t="s">
        <v>36</v>
      </c>
      <c r="B4" s="9" t="str">
        <f aca="false">INDEX(Holdings!A2:A6,MATCH(MIN(Holdings!J2:J6),Holdings!J2:J6,0))</f>
        <v>SBER.ME</v>
      </c>
    </row>
    <row r="5" customFormat="false" ht="15" hidden="false" customHeight="false" outlineLevel="0" collapsed="false">
      <c r="A5" s="7" t="s">
        <v>18</v>
      </c>
      <c r="B5" s="8" t="n">
        <f aca="false">SUMIF(Holdings!C2:C6,A5,Holdings!I2:I6)</f>
        <v>12081.71</v>
      </c>
    </row>
    <row r="6" customFormat="false" ht="15" hidden="false" customHeight="false" outlineLevel="0" collapsed="false">
      <c r="A6" s="7" t="s">
        <v>23</v>
      </c>
      <c r="B6" s="8" t="n">
        <f aca="false">SUMIF(Holdings!C2:C6,A6,Holdings!I2:I6)</f>
        <v>78997.085</v>
      </c>
    </row>
    <row r="7" customFormat="false" ht="15" hidden="false" customHeight="false" outlineLevel="0" collapsed="false">
      <c r="A7" s="7" t="s">
        <v>28</v>
      </c>
      <c r="B7" s="8" t="n">
        <f aca="false">SUMIF(Holdings!C2:C6,A7,Holdings!I2:I6)</f>
        <v>62732.8845</v>
      </c>
    </row>
    <row r="8" customFormat="false" ht="15" hidden="false" customHeight="false" outlineLevel="0" collapsed="false">
      <c r="A8" s="7" t="s">
        <v>31</v>
      </c>
      <c r="B8" s="8" t="n">
        <f aca="false">SUMIF(Holdings!C2:C6,A8,Holdings!I2:I6)</f>
        <v>38259.345</v>
      </c>
    </row>
    <row r="9" customFormat="false" ht="15" hidden="false" customHeight="false" outlineLevel="0" collapsed="false">
      <c r="A9" s="7" t="s">
        <v>37</v>
      </c>
      <c r="B9" s="9" t="str">
        <f aca="false">INDEX(A5:A8,MATCH(MAX(B5:B8),B5:B8,0))</f>
        <v>Energy</v>
      </c>
    </row>
    <row r="10" customFormat="false" ht="15" hidden="false" customHeight="false" outlineLevel="0" collapsed="false">
      <c r="A10" s="7" t="s">
        <v>38</v>
      </c>
      <c r="B10" s="10" t="n">
        <f aca="false">MAX(B5:B8)/B2</f>
        <v>0.411291006572415</v>
      </c>
    </row>
    <row r="11" customFormat="false" ht="15" hidden="false" customHeight="false" outlineLevel="0" collapsed="false">
      <c r="A11" s="7" t="s">
        <v>39</v>
      </c>
      <c r="B11" s="9" t="n">
        <f aca="false">COUNTIF(Holdings!P2:P6,"Compliant")</f>
        <v>5</v>
      </c>
    </row>
  </sheetData>
  <autoFilter ref="A1:B11"/>
  <conditionalFormatting sqref="B10">
    <cfRule type="expression" priority="2" aboveAverage="0" equalAverage="0" bottom="0" percent="0" rank="0" text="" dxfId="10">
      <formula>B10&gt;0.4</formula>
    </cfRule>
  </conditionalFormatting>
  <printOptions headings="false" gridLines="false" gridLinesSet="true" horizontalCentered="false" verticalCentered="false"/>
  <pageMargins left="0.2" right="0.2" top="0.35" bottom="0.3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9.99"/>
    <col collapsed="false" customWidth="true" hidden="false" outlineLevel="0" max="3" min="3" style="0" width="23.01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13.01"/>
    <col collapsed="false" customWidth="true" hidden="false" outlineLevel="0" max="8" min="8" style="0" width="14.0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40</v>
      </c>
      <c r="G1" s="1" t="s">
        <v>41</v>
      </c>
      <c r="H1" s="1" t="s">
        <v>42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6" t="n">
        <v>2877540270080</v>
      </c>
      <c r="G2" s="3" t="n">
        <v>46136</v>
      </c>
      <c r="H2" s="11" t="n">
        <v>127.728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6" t="n">
        <v>2877540270080</v>
      </c>
      <c r="G3" s="3" t="n">
        <v>46139</v>
      </c>
      <c r="H3" s="11" t="n">
        <v>127.5883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6" t="n">
        <v>2877540270080</v>
      </c>
      <c r="G4" s="3" t="n">
        <v>46140</v>
      </c>
      <c r="H4" s="11" t="n">
        <v>125.5313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6" t="n">
        <v>2877540270080</v>
      </c>
      <c r="G5" s="3" t="n">
        <v>46141</v>
      </c>
      <c r="H5" s="11" t="n">
        <v>126.6815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6" t="n">
        <v>2877540270080</v>
      </c>
      <c r="G6" s="3" t="n">
        <v>46142</v>
      </c>
      <c r="H6" s="11" t="n">
        <v>126.1881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6" t="n">
        <v>2877540270080</v>
      </c>
      <c r="G7" s="3" t="n">
        <v>46143</v>
      </c>
      <c r="H7" s="11" t="n">
        <v>124.6244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6" t="n">
        <v>2877540270080</v>
      </c>
      <c r="G8" s="3" t="n">
        <v>46146</v>
      </c>
      <c r="H8" s="11" t="n">
        <v>123.3772</v>
      </c>
    </row>
    <row r="9" customFormat="false" ht="15" hidden="false" customHeight="false" outlineLevel="0" collapsed="false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6" t="n">
        <v>2877540270080</v>
      </c>
      <c r="G9" s="3" t="n">
        <v>46147</v>
      </c>
      <c r="H9" s="11" t="n">
        <v>123.6255</v>
      </c>
    </row>
    <row r="10" customFormat="false" ht="15" hidden="false" customHeight="false" outlineLevel="0" collapsed="false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6" t="n">
        <v>2877540270080</v>
      </c>
      <c r="G10" s="3" t="n">
        <v>46148</v>
      </c>
      <c r="H10" s="11" t="n">
        <v>125.9447</v>
      </c>
    </row>
    <row r="11" customFormat="false" ht="15" hidden="false" customHeight="false" outlineLevel="0" collapsed="false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6" t="n">
        <v>2877540270080</v>
      </c>
      <c r="G11" s="3" t="n">
        <v>46149</v>
      </c>
      <c r="H11" s="11" t="n">
        <v>125.8724</v>
      </c>
    </row>
    <row r="12" customFormat="false" ht="15" hidden="false" customHeight="false" outlineLevel="0" collapsed="false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6" t="n">
        <v>2877540270080</v>
      </c>
      <c r="G12" s="3" t="n">
        <v>46150</v>
      </c>
      <c r="H12" s="11" t="n">
        <v>125.263</v>
      </c>
    </row>
    <row r="13" customFormat="false" ht="15" hidden="false" customHeight="false" outlineLevel="0" collapsed="false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6" t="n">
        <v>2877540270080</v>
      </c>
      <c r="G13" s="3" t="n">
        <v>46153</v>
      </c>
      <c r="H13" s="11" t="n">
        <v>125.0376</v>
      </c>
    </row>
    <row r="14" customFormat="false" ht="15" hidden="false" customHeight="false" outlineLevel="0" collapsed="false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6" t="n">
        <v>2877540270080</v>
      </c>
      <c r="G14" s="3" t="n">
        <v>46154</v>
      </c>
      <c r="H14" s="11" t="n">
        <v>125.3165</v>
      </c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6" t="n">
        <v>2877540270080</v>
      </c>
      <c r="G15" s="3" t="n">
        <v>46155</v>
      </c>
      <c r="H15" s="11" t="n">
        <v>127.666</v>
      </c>
    </row>
    <row r="16" customFormat="false" ht="15" hidden="false" customHeight="false" outlineLevel="0" collapsed="false">
      <c r="A16" s="2" t="s">
        <v>16</v>
      </c>
      <c r="B16" s="2" t="s">
        <v>17</v>
      </c>
      <c r="C16" s="2" t="s">
        <v>18</v>
      </c>
      <c r="D16" s="2" t="s">
        <v>19</v>
      </c>
      <c r="E16" s="2" t="s">
        <v>20</v>
      </c>
      <c r="F16" s="6" t="n">
        <v>2877540270080</v>
      </c>
      <c r="G16" s="3" t="n">
        <v>46156</v>
      </c>
      <c r="H16" s="11" t="n">
        <v>125.4046</v>
      </c>
    </row>
    <row r="17" customFormat="false" ht="15" hidden="false" customHeight="false" outlineLevel="0" collapsed="false">
      <c r="A17" s="2" t="s">
        <v>16</v>
      </c>
      <c r="B17" s="2" t="s">
        <v>17</v>
      </c>
      <c r="C17" s="2" t="s">
        <v>18</v>
      </c>
      <c r="D17" s="2" t="s">
        <v>19</v>
      </c>
      <c r="E17" s="2" t="s">
        <v>20</v>
      </c>
      <c r="F17" s="6" t="n">
        <v>2877540270080</v>
      </c>
      <c r="G17" s="3" t="n">
        <v>46157</v>
      </c>
      <c r="H17" s="11" t="n">
        <v>123.6862</v>
      </c>
    </row>
    <row r="18" customFormat="false" ht="15" hidden="false" customHeight="false" outlineLevel="0" collapsed="false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6" t="n">
        <v>2877540270080</v>
      </c>
      <c r="G18" s="3" t="n">
        <v>46160</v>
      </c>
      <c r="H18" s="11" t="n">
        <v>124.1564</v>
      </c>
    </row>
    <row r="19" customFormat="false" ht="15" hidden="false" customHeight="false" outlineLevel="0" collapsed="false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6" t="n">
        <v>2877540270080</v>
      </c>
      <c r="G19" s="3" t="n">
        <v>46161</v>
      </c>
      <c r="H19" s="11" t="n">
        <v>126.0947</v>
      </c>
    </row>
    <row r="20" customFormat="false" ht="15" hidden="false" customHeight="false" outlineLevel="0" collapsed="false">
      <c r="A20" s="2" t="s">
        <v>16</v>
      </c>
      <c r="B20" s="2" t="s">
        <v>17</v>
      </c>
      <c r="C20" s="2" t="s">
        <v>18</v>
      </c>
      <c r="D20" s="2" t="s">
        <v>19</v>
      </c>
      <c r="E20" s="2" t="s">
        <v>20</v>
      </c>
      <c r="F20" s="6" t="n">
        <v>2877540270080</v>
      </c>
      <c r="G20" s="3" t="n">
        <v>46162</v>
      </c>
      <c r="H20" s="11" t="n">
        <v>125.6873</v>
      </c>
    </row>
    <row r="21" customFormat="false" ht="15" hidden="false" customHeight="false" outlineLevel="0" collapsed="false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20</v>
      </c>
      <c r="F21" s="6" t="n">
        <v>2877540270080</v>
      </c>
      <c r="G21" s="3" t="n">
        <v>46163</v>
      </c>
      <c r="H21" s="11" t="n">
        <v>124.2004</v>
      </c>
    </row>
    <row r="22" customFormat="false" ht="15" hidden="false" customHeight="false" outlineLevel="0" collapsed="false">
      <c r="A22" s="2" t="s">
        <v>16</v>
      </c>
      <c r="B22" s="2" t="s">
        <v>17</v>
      </c>
      <c r="C22" s="2" t="s">
        <v>18</v>
      </c>
      <c r="D22" s="2" t="s">
        <v>19</v>
      </c>
      <c r="E22" s="2" t="s">
        <v>20</v>
      </c>
      <c r="F22" s="6" t="n">
        <v>2877540270080</v>
      </c>
      <c r="G22" s="3" t="n">
        <v>46164</v>
      </c>
      <c r="H22" s="11" t="n">
        <v>125.0534</v>
      </c>
    </row>
    <row r="23" customFormat="false" ht="15" hidden="false" customHeight="false" outlineLevel="0" collapsed="false">
      <c r="A23" s="2" t="s">
        <v>16</v>
      </c>
      <c r="B23" s="2" t="s">
        <v>17</v>
      </c>
      <c r="C23" s="2" t="s">
        <v>18</v>
      </c>
      <c r="D23" s="2" t="s">
        <v>19</v>
      </c>
      <c r="E23" s="2" t="s">
        <v>20</v>
      </c>
      <c r="F23" s="6" t="n">
        <v>2877540270080</v>
      </c>
      <c r="G23" s="3" t="n">
        <v>46167</v>
      </c>
      <c r="H23" s="11" t="n">
        <v>122.9152</v>
      </c>
    </row>
    <row r="24" customFormat="false" ht="15" hidden="false" customHeight="false" outlineLevel="0" collapsed="false">
      <c r="A24" s="2" t="s">
        <v>16</v>
      </c>
      <c r="B24" s="2" t="s">
        <v>17</v>
      </c>
      <c r="C24" s="2" t="s">
        <v>18</v>
      </c>
      <c r="D24" s="2" t="s">
        <v>19</v>
      </c>
      <c r="E24" s="2" t="s">
        <v>20</v>
      </c>
      <c r="F24" s="6" t="n">
        <v>2877540270080</v>
      </c>
      <c r="G24" s="3" t="n">
        <v>46168</v>
      </c>
      <c r="H24" s="11" t="n">
        <v>120.8171</v>
      </c>
    </row>
    <row r="25" customFormat="false" ht="15" hidden="false" customHeight="false" outlineLevel="0" collapsed="false">
      <c r="A25" s="2" t="s">
        <v>21</v>
      </c>
      <c r="B25" s="2" t="s">
        <v>22</v>
      </c>
      <c r="C25" s="2" t="s">
        <v>23</v>
      </c>
      <c r="D25" s="2" t="s">
        <v>19</v>
      </c>
      <c r="E25" s="2" t="s">
        <v>20</v>
      </c>
      <c r="F25" s="6" t="n">
        <v>4681709912064</v>
      </c>
      <c r="G25" s="3" t="n">
        <v>46136</v>
      </c>
      <c r="H25" s="11" t="n">
        <v>211.298</v>
      </c>
    </row>
    <row r="26" customFormat="false" ht="15" hidden="false" customHeight="false" outlineLevel="0" collapsed="false">
      <c r="A26" s="2" t="s">
        <v>21</v>
      </c>
      <c r="B26" s="2" t="s">
        <v>22</v>
      </c>
      <c r="C26" s="2" t="s">
        <v>23</v>
      </c>
      <c r="D26" s="2" t="s">
        <v>19</v>
      </c>
      <c r="E26" s="2" t="s">
        <v>20</v>
      </c>
      <c r="F26" s="6" t="n">
        <v>4681709912064</v>
      </c>
      <c r="G26" s="3" t="n">
        <v>46139</v>
      </c>
      <c r="H26" s="11" t="n">
        <v>208.5586</v>
      </c>
    </row>
    <row r="27" customFormat="false" ht="15" hidden="false" customHeight="false" outlineLevel="0" collapsed="false">
      <c r="A27" s="2" t="s">
        <v>21</v>
      </c>
      <c r="B27" s="2" t="s">
        <v>22</v>
      </c>
      <c r="C27" s="2" t="s">
        <v>23</v>
      </c>
      <c r="D27" s="2" t="s">
        <v>19</v>
      </c>
      <c r="E27" s="2" t="s">
        <v>20</v>
      </c>
      <c r="F27" s="6" t="n">
        <v>4681709912064</v>
      </c>
      <c r="G27" s="3" t="n">
        <v>46140</v>
      </c>
      <c r="H27" s="11" t="n">
        <v>206.4664</v>
      </c>
    </row>
    <row r="28" customFormat="false" ht="15" hidden="false" customHeight="false" outlineLevel="0" collapsed="false">
      <c r="A28" s="2" t="s">
        <v>21</v>
      </c>
      <c r="B28" s="2" t="s">
        <v>22</v>
      </c>
      <c r="C28" s="2" t="s">
        <v>23</v>
      </c>
      <c r="D28" s="2" t="s">
        <v>19</v>
      </c>
      <c r="E28" s="2" t="s">
        <v>20</v>
      </c>
      <c r="F28" s="6" t="n">
        <v>4681709912064</v>
      </c>
      <c r="G28" s="3" t="n">
        <v>46141</v>
      </c>
      <c r="H28" s="11" t="n">
        <v>207.8503</v>
      </c>
    </row>
    <row r="29" customFormat="false" ht="15" hidden="false" customHeight="false" outlineLevel="0" collapsed="false">
      <c r="A29" s="2" t="s">
        <v>21</v>
      </c>
      <c r="B29" s="2" t="s">
        <v>22</v>
      </c>
      <c r="C29" s="2" t="s">
        <v>23</v>
      </c>
      <c r="D29" s="2" t="s">
        <v>19</v>
      </c>
      <c r="E29" s="2" t="s">
        <v>20</v>
      </c>
      <c r="F29" s="6" t="n">
        <v>4681709912064</v>
      </c>
      <c r="G29" s="3" t="n">
        <v>46142</v>
      </c>
      <c r="H29" s="11" t="n">
        <v>211.1046</v>
      </c>
    </row>
    <row r="30" customFormat="false" ht="15" hidden="false" customHeight="false" outlineLevel="0" collapsed="false">
      <c r="A30" s="2" t="s">
        <v>21</v>
      </c>
      <c r="B30" s="2" t="s">
        <v>22</v>
      </c>
      <c r="C30" s="2" t="s">
        <v>23</v>
      </c>
      <c r="D30" s="2" t="s">
        <v>19</v>
      </c>
      <c r="E30" s="2" t="s">
        <v>20</v>
      </c>
      <c r="F30" s="6" t="n">
        <v>4681709912064</v>
      </c>
      <c r="G30" s="3" t="n">
        <v>46143</v>
      </c>
      <c r="H30" s="11" t="n">
        <v>213.896</v>
      </c>
    </row>
    <row r="31" customFormat="false" ht="15" hidden="false" customHeight="false" outlineLevel="0" collapsed="false">
      <c r="A31" s="2" t="s">
        <v>21</v>
      </c>
      <c r="B31" s="2" t="s">
        <v>22</v>
      </c>
      <c r="C31" s="2" t="s">
        <v>23</v>
      </c>
      <c r="D31" s="2" t="s">
        <v>19</v>
      </c>
      <c r="E31" s="2" t="s">
        <v>20</v>
      </c>
      <c r="F31" s="6" t="n">
        <v>4681709912064</v>
      </c>
      <c r="G31" s="3" t="n">
        <v>46146</v>
      </c>
      <c r="H31" s="11" t="n">
        <v>213.6793</v>
      </c>
    </row>
    <row r="32" customFormat="false" ht="15" hidden="false" customHeight="false" outlineLevel="0" collapsed="false">
      <c r="A32" s="2" t="s">
        <v>21</v>
      </c>
      <c r="B32" s="2" t="s">
        <v>22</v>
      </c>
      <c r="C32" s="2" t="s">
        <v>23</v>
      </c>
      <c r="D32" s="2" t="s">
        <v>19</v>
      </c>
      <c r="E32" s="2" t="s">
        <v>20</v>
      </c>
      <c r="F32" s="6" t="n">
        <v>4681709912064</v>
      </c>
      <c r="G32" s="3" t="n">
        <v>46147</v>
      </c>
      <c r="H32" s="11" t="n">
        <v>215.9513</v>
      </c>
    </row>
    <row r="33" customFormat="false" ht="15" hidden="false" customHeight="false" outlineLevel="0" collapsed="false">
      <c r="A33" s="2" t="s">
        <v>21</v>
      </c>
      <c r="B33" s="2" t="s">
        <v>22</v>
      </c>
      <c r="C33" s="2" t="s">
        <v>23</v>
      </c>
      <c r="D33" s="2" t="s">
        <v>19</v>
      </c>
      <c r="E33" s="2" t="s">
        <v>20</v>
      </c>
      <c r="F33" s="6" t="n">
        <v>4681709912064</v>
      </c>
      <c r="G33" s="3" t="n">
        <v>46148</v>
      </c>
      <c r="H33" s="11" t="n">
        <v>212.3016</v>
      </c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19</v>
      </c>
      <c r="E34" s="2" t="s">
        <v>20</v>
      </c>
      <c r="F34" s="6" t="n">
        <v>4681709912064</v>
      </c>
      <c r="G34" s="3" t="n">
        <v>46149</v>
      </c>
      <c r="H34" s="11" t="n">
        <v>212.6426</v>
      </c>
    </row>
    <row r="35" customFormat="false" ht="15" hidden="false" customHeight="false" outlineLevel="0" collapsed="false">
      <c r="A35" s="2" t="s">
        <v>21</v>
      </c>
      <c r="B35" s="2" t="s">
        <v>22</v>
      </c>
      <c r="C35" s="2" t="s">
        <v>23</v>
      </c>
      <c r="D35" s="2" t="s">
        <v>19</v>
      </c>
      <c r="E35" s="2" t="s">
        <v>20</v>
      </c>
      <c r="F35" s="6" t="n">
        <v>4681709912064</v>
      </c>
      <c r="G35" s="3" t="n">
        <v>46150</v>
      </c>
      <c r="H35" s="11" t="n">
        <v>214.3983</v>
      </c>
    </row>
    <row r="36" customFormat="false" ht="15" hidden="false" customHeight="false" outlineLevel="0" collapsed="false">
      <c r="A36" s="2" t="s">
        <v>21</v>
      </c>
      <c r="B36" s="2" t="s">
        <v>22</v>
      </c>
      <c r="C36" s="2" t="s">
        <v>23</v>
      </c>
      <c r="D36" s="2" t="s">
        <v>19</v>
      </c>
      <c r="E36" s="2" t="s">
        <v>20</v>
      </c>
      <c r="F36" s="6" t="n">
        <v>4681709912064</v>
      </c>
      <c r="G36" s="3" t="n">
        <v>46153</v>
      </c>
      <c r="H36" s="11" t="n">
        <v>213.676</v>
      </c>
    </row>
    <row r="37" customFormat="false" ht="15" hidden="false" customHeight="false" outlineLevel="0" collapsed="false">
      <c r="A37" s="2" t="s">
        <v>21</v>
      </c>
      <c r="B37" s="2" t="s">
        <v>22</v>
      </c>
      <c r="C37" s="2" t="s">
        <v>23</v>
      </c>
      <c r="D37" s="2" t="s">
        <v>19</v>
      </c>
      <c r="E37" s="2" t="s">
        <v>20</v>
      </c>
      <c r="F37" s="6" t="n">
        <v>4681709912064</v>
      </c>
      <c r="G37" s="3" t="n">
        <v>46154</v>
      </c>
      <c r="H37" s="11" t="n">
        <v>214.3946</v>
      </c>
    </row>
    <row r="38" customFormat="false" ht="15" hidden="false" customHeight="false" outlineLevel="0" collapsed="false">
      <c r="A38" s="2" t="s">
        <v>21</v>
      </c>
      <c r="B38" s="2" t="s">
        <v>22</v>
      </c>
      <c r="C38" s="2" t="s">
        <v>23</v>
      </c>
      <c r="D38" s="2" t="s">
        <v>19</v>
      </c>
      <c r="E38" s="2" t="s">
        <v>20</v>
      </c>
      <c r="F38" s="6" t="n">
        <v>4681709912064</v>
      </c>
      <c r="G38" s="3" t="n">
        <v>46155</v>
      </c>
      <c r="H38" s="11" t="n">
        <v>213.3688</v>
      </c>
    </row>
    <row r="39" customFormat="false" ht="15" hidden="false" customHeight="false" outlineLevel="0" collapsed="false">
      <c r="A39" s="2" t="s">
        <v>21</v>
      </c>
      <c r="B39" s="2" t="s">
        <v>22</v>
      </c>
      <c r="C39" s="2" t="s">
        <v>23</v>
      </c>
      <c r="D39" s="2" t="s">
        <v>19</v>
      </c>
      <c r="E39" s="2" t="s">
        <v>20</v>
      </c>
      <c r="F39" s="6" t="n">
        <v>4681709912064</v>
      </c>
      <c r="G39" s="3" t="n">
        <v>46156</v>
      </c>
      <c r="H39" s="11" t="n">
        <v>216.3854</v>
      </c>
    </row>
    <row r="40" customFormat="false" ht="15" hidden="false" customHeight="false" outlineLevel="0" collapsed="false">
      <c r="A40" s="2" t="s">
        <v>21</v>
      </c>
      <c r="B40" s="2" t="s">
        <v>22</v>
      </c>
      <c r="C40" s="2" t="s">
        <v>23</v>
      </c>
      <c r="D40" s="2" t="s">
        <v>19</v>
      </c>
      <c r="E40" s="2" t="s">
        <v>20</v>
      </c>
      <c r="F40" s="6" t="n">
        <v>4681709912064</v>
      </c>
      <c r="G40" s="3" t="n">
        <v>46157</v>
      </c>
      <c r="H40" s="11" t="n">
        <v>216.7847</v>
      </c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19</v>
      </c>
      <c r="E41" s="2" t="s">
        <v>20</v>
      </c>
      <c r="F41" s="6" t="n">
        <v>4681709912064</v>
      </c>
      <c r="G41" s="3" t="n">
        <v>46160</v>
      </c>
      <c r="H41" s="11" t="n">
        <v>216.2283</v>
      </c>
    </row>
    <row r="42" customFormat="false" ht="15" hidden="false" customHeight="false" outlineLevel="0" collapsed="false">
      <c r="A42" s="2" t="s">
        <v>21</v>
      </c>
      <c r="B42" s="2" t="s">
        <v>22</v>
      </c>
      <c r="C42" s="2" t="s">
        <v>23</v>
      </c>
      <c r="D42" s="2" t="s">
        <v>19</v>
      </c>
      <c r="E42" s="2" t="s">
        <v>20</v>
      </c>
      <c r="F42" s="6" t="n">
        <v>4681709912064</v>
      </c>
      <c r="G42" s="3" t="n">
        <v>46161</v>
      </c>
      <c r="H42" s="11" t="n">
        <v>215.4007</v>
      </c>
    </row>
    <row r="43" customFormat="false" ht="15" hidden="false" customHeight="false" outlineLevel="0" collapsed="false">
      <c r="A43" s="2" t="s">
        <v>21</v>
      </c>
      <c r="B43" s="2" t="s">
        <v>22</v>
      </c>
      <c r="C43" s="2" t="s">
        <v>23</v>
      </c>
      <c r="D43" s="2" t="s">
        <v>19</v>
      </c>
      <c r="E43" s="2" t="s">
        <v>20</v>
      </c>
      <c r="F43" s="6" t="n">
        <v>4681709912064</v>
      </c>
      <c r="G43" s="3" t="n">
        <v>46162</v>
      </c>
      <c r="H43" s="11" t="n">
        <v>216.4541</v>
      </c>
    </row>
    <row r="44" customFormat="false" ht="15" hidden="false" customHeight="false" outlineLevel="0" collapsed="false">
      <c r="A44" s="2" t="s">
        <v>21</v>
      </c>
      <c r="B44" s="2" t="s">
        <v>22</v>
      </c>
      <c r="C44" s="2" t="s">
        <v>23</v>
      </c>
      <c r="D44" s="2" t="s">
        <v>19</v>
      </c>
      <c r="E44" s="2" t="s">
        <v>20</v>
      </c>
      <c r="F44" s="6" t="n">
        <v>4681709912064</v>
      </c>
      <c r="G44" s="3" t="n">
        <v>46163</v>
      </c>
      <c r="H44" s="11" t="n">
        <v>212.3596</v>
      </c>
    </row>
    <row r="45" customFormat="false" ht="15" hidden="false" customHeight="false" outlineLevel="0" collapsed="false">
      <c r="A45" s="2" t="s">
        <v>21</v>
      </c>
      <c r="B45" s="2" t="s">
        <v>22</v>
      </c>
      <c r="C45" s="2" t="s">
        <v>23</v>
      </c>
      <c r="D45" s="2" t="s">
        <v>19</v>
      </c>
      <c r="E45" s="2" t="s">
        <v>20</v>
      </c>
      <c r="F45" s="6" t="n">
        <v>4681709912064</v>
      </c>
      <c r="G45" s="3" t="n">
        <v>46164</v>
      </c>
      <c r="H45" s="11" t="n">
        <v>208.5396</v>
      </c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19</v>
      </c>
      <c r="E46" s="2" t="s">
        <v>20</v>
      </c>
      <c r="F46" s="6" t="n">
        <v>4681709912064</v>
      </c>
      <c r="G46" s="3" t="n">
        <v>46167</v>
      </c>
      <c r="H46" s="11" t="n">
        <v>210.7187</v>
      </c>
    </row>
    <row r="47" customFormat="false" ht="15" hidden="false" customHeight="false" outlineLevel="0" collapsed="false">
      <c r="A47" s="2" t="s">
        <v>21</v>
      </c>
      <c r="B47" s="2" t="s">
        <v>22</v>
      </c>
      <c r="C47" s="2" t="s">
        <v>23</v>
      </c>
      <c r="D47" s="2" t="s">
        <v>19</v>
      </c>
      <c r="E47" s="2" t="s">
        <v>20</v>
      </c>
      <c r="F47" s="6" t="n">
        <v>4681709912064</v>
      </c>
      <c r="G47" s="3" t="n">
        <v>46168</v>
      </c>
      <c r="H47" s="11" t="n">
        <v>208.6306</v>
      </c>
    </row>
    <row r="48" customFormat="false" ht="15" hidden="false" customHeight="false" outlineLevel="0" collapsed="false">
      <c r="A48" s="2" t="s">
        <v>24</v>
      </c>
      <c r="B48" s="2" t="s">
        <v>25</v>
      </c>
      <c r="C48" s="2" t="s">
        <v>23</v>
      </c>
      <c r="D48" s="2" t="s">
        <v>19</v>
      </c>
      <c r="E48" s="2" t="s">
        <v>20</v>
      </c>
      <c r="F48" s="6" t="n">
        <v>2543495413760</v>
      </c>
      <c r="G48" s="3" t="n">
        <v>46136</v>
      </c>
      <c r="H48" s="11" t="n">
        <v>3754.0441</v>
      </c>
    </row>
    <row r="49" customFormat="false" ht="15" hidden="false" customHeight="false" outlineLevel="0" collapsed="false">
      <c r="A49" s="2" t="s">
        <v>24</v>
      </c>
      <c r="B49" s="2" t="s">
        <v>25</v>
      </c>
      <c r="C49" s="2" t="s">
        <v>23</v>
      </c>
      <c r="D49" s="2" t="s">
        <v>19</v>
      </c>
      <c r="E49" s="2" t="s">
        <v>20</v>
      </c>
      <c r="F49" s="6" t="n">
        <v>2543495413760</v>
      </c>
      <c r="G49" s="3" t="n">
        <v>46139</v>
      </c>
      <c r="H49" s="11" t="n">
        <v>3782.1822</v>
      </c>
    </row>
    <row r="50" customFormat="false" ht="15" hidden="false" customHeight="false" outlineLevel="0" collapsed="false">
      <c r="A50" s="2" t="s">
        <v>24</v>
      </c>
      <c r="B50" s="2" t="s">
        <v>25</v>
      </c>
      <c r="C50" s="2" t="s">
        <v>23</v>
      </c>
      <c r="D50" s="2" t="s">
        <v>19</v>
      </c>
      <c r="E50" s="2" t="s">
        <v>20</v>
      </c>
      <c r="F50" s="6" t="n">
        <v>2543495413760</v>
      </c>
      <c r="G50" s="3" t="n">
        <v>46140</v>
      </c>
      <c r="H50" s="11" t="n">
        <v>3806.5671</v>
      </c>
    </row>
    <row r="51" customFormat="false" ht="15" hidden="false" customHeight="false" outlineLevel="0" collapsed="false">
      <c r="A51" s="2" t="s">
        <v>24</v>
      </c>
      <c r="B51" s="2" t="s">
        <v>25</v>
      </c>
      <c r="C51" s="2" t="s">
        <v>23</v>
      </c>
      <c r="D51" s="2" t="s">
        <v>19</v>
      </c>
      <c r="E51" s="2" t="s">
        <v>20</v>
      </c>
      <c r="F51" s="6" t="n">
        <v>2543495413760</v>
      </c>
      <c r="G51" s="3" t="n">
        <v>46141</v>
      </c>
      <c r="H51" s="11" t="n">
        <v>3829.0464</v>
      </c>
    </row>
    <row r="52" customFormat="false" ht="15" hidden="false" customHeight="false" outlineLevel="0" collapsed="false">
      <c r="A52" s="2" t="s">
        <v>24</v>
      </c>
      <c r="B52" s="2" t="s">
        <v>25</v>
      </c>
      <c r="C52" s="2" t="s">
        <v>23</v>
      </c>
      <c r="D52" s="2" t="s">
        <v>19</v>
      </c>
      <c r="E52" s="2" t="s">
        <v>20</v>
      </c>
      <c r="F52" s="6" t="n">
        <v>2543495413760</v>
      </c>
      <c r="G52" s="3" t="n">
        <v>46142</v>
      </c>
      <c r="H52" s="11" t="n">
        <v>3777.8785</v>
      </c>
    </row>
    <row r="53" customFormat="false" ht="15" hidden="false" customHeight="false" outlineLevel="0" collapsed="false">
      <c r="A53" s="2" t="s">
        <v>24</v>
      </c>
      <c r="B53" s="2" t="s">
        <v>25</v>
      </c>
      <c r="C53" s="2" t="s">
        <v>23</v>
      </c>
      <c r="D53" s="2" t="s">
        <v>19</v>
      </c>
      <c r="E53" s="2" t="s">
        <v>20</v>
      </c>
      <c r="F53" s="6" t="n">
        <v>2543495413760</v>
      </c>
      <c r="G53" s="3" t="n">
        <v>46143</v>
      </c>
      <c r="H53" s="11" t="n">
        <v>3745.9343</v>
      </c>
    </row>
    <row r="54" customFormat="false" ht="15" hidden="false" customHeight="false" outlineLevel="0" collapsed="false">
      <c r="A54" s="2" t="s">
        <v>24</v>
      </c>
      <c r="B54" s="2" t="s">
        <v>25</v>
      </c>
      <c r="C54" s="2" t="s">
        <v>23</v>
      </c>
      <c r="D54" s="2" t="s">
        <v>19</v>
      </c>
      <c r="E54" s="2" t="s">
        <v>20</v>
      </c>
      <c r="F54" s="6" t="n">
        <v>2543495413760</v>
      </c>
      <c r="G54" s="3" t="n">
        <v>46146</v>
      </c>
      <c r="H54" s="11" t="n">
        <v>3812.2638</v>
      </c>
    </row>
    <row r="55" customFormat="false" ht="15" hidden="false" customHeight="false" outlineLevel="0" collapsed="false">
      <c r="A55" s="2" t="s">
        <v>24</v>
      </c>
      <c r="B55" s="2" t="s">
        <v>25</v>
      </c>
      <c r="C55" s="2" t="s">
        <v>23</v>
      </c>
      <c r="D55" s="2" t="s">
        <v>19</v>
      </c>
      <c r="E55" s="2" t="s">
        <v>20</v>
      </c>
      <c r="F55" s="6" t="n">
        <v>2543495413760</v>
      </c>
      <c r="G55" s="3" t="n">
        <v>46147</v>
      </c>
      <c r="H55" s="11" t="n">
        <v>3742.0969</v>
      </c>
    </row>
    <row r="56" customFormat="false" ht="15" hidden="false" customHeight="false" outlineLevel="0" collapsed="false">
      <c r="A56" s="2" t="s">
        <v>24</v>
      </c>
      <c r="B56" s="2" t="s">
        <v>25</v>
      </c>
      <c r="C56" s="2" t="s">
        <v>23</v>
      </c>
      <c r="D56" s="2" t="s">
        <v>19</v>
      </c>
      <c r="E56" s="2" t="s">
        <v>20</v>
      </c>
      <c r="F56" s="6" t="n">
        <v>2543495413760</v>
      </c>
      <c r="G56" s="3" t="n">
        <v>46148</v>
      </c>
      <c r="H56" s="11" t="n">
        <v>3680.9251</v>
      </c>
    </row>
    <row r="57" customFormat="false" ht="15" hidden="false" customHeight="false" outlineLevel="0" collapsed="false">
      <c r="A57" s="2" t="s">
        <v>24</v>
      </c>
      <c r="B57" s="2" t="s">
        <v>25</v>
      </c>
      <c r="C57" s="2" t="s">
        <v>23</v>
      </c>
      <c r="D57" s="2" t="s">
        <v>19</v>
      </c>
      <c r="E57" s="2" t="s">
        <v>20</v>
      </c>
      <c r="F57" s="6" t="n">
        <v>2543495413760</v>
      </c>
      <c r="G57" s="3" t="n">
        <v>46149</v>
      </c>
      <c r="H57" s="11" t="n">
        <v>3747.2975</v>
      </c>
    </row>
    <row r="58" customFormat="false" ht="15" hidden="false" customHeight="false" outlineLevel="0" collapsed="false">
      <c r="A58" s="2" t="s">
        <v>24</v>
      </c>
      <c r="B58" s="2" t="s">
        <v>25</v>
      </c>
      <c r="C58" s="2" t="s">
        <v>23</v>
      </c>
      <c r="D58" s="2" t="s">
        <v>19</v>
      </c>
      <c r="E58" s="2" t="s">
        <v>20</v>
      </c>
      <c r="F58" s="6" t="n">
        <v>2543495413760</v>
      </c>
      <c r="G58" s="3" t="n">
        <v>46150</v>
      </c>
      <c r="H58" s="11" t="n">
        <v>3678.382</v>
      </c>
    </row>
    <row r="59" customFormat="false" ht="15" hidden="false" customHeight="false" outlineLevel="0" collapsed="false">
      <c r="A59" s="2" t="s">
        <v>24</v>
      </c>
      <c r="B59" s="2" t="s">
        <v>25</v>
      </c>
      <c r="C59" s="2" t="s">
        <v>23</v>
      </c>
      <c r="D59" s="2" t="s">
        <v>19</v>
      </c>
      <c r="E59" s="2" t="s">
        <v>20</v>
      </c>
      <c r="F59" s="6" t="n">
        <v>2543495413760</v>
      </c>
      <c r="G59" s="3" t="n">
        <v>46153</v>
      </c>
      <c r="H59" s="11" t="n">
        <v>3739.601</v>
      </c>
    </row>
    <row r="60" customFormat="false" ht="15" hidden="false" customHeight="false" outlineLevel="0" collapsed="false">
      <c r="A60" s="2" t="s">
        <v>24</v>
      </c>
      <c r="B60" s="2" t="s">
        <v>25</v>
      </c>
      <c r="C60" s="2" t="s">
        <v>23</v>
      </c>
      <c r="D60" s="2" t="s">
        <v>19</v>
      </c>
      <c r="E60" s="2" t="s">
        <v>20</v>
      </c>
      <c r="F60" s="6" t="n">
        <v>2543495413760</v>
      </c>
      <c r="G60" s="3" t="n">
        <v>46154</v>
      </c>
      <c r="H60" s="11" t="n">
        <v>3738.3633</v>
      </c>
    </row>
    <row r="61" customFormat="false" ht="15" hidden="false" customHeight="false" outlineLevel="0" collapsed="false">
      <c r="A61" s="2" t="s">
        <v>24</v>
      </c>
      <c r="B61" s="2" t="s">
        <v>25</v>
      </c>
      <c r="C61" s="2" t="s">
        <v>23</v>
      </c>
      <c r="D61" s="2" t="s">
        <v>19</v>
      </c>
      <c r="E61" s="2" t="s">
        <v>20</v>
      </c>
      <c r="F61" s="6" t="n">
        <v>2543495413760</v>
      </c>
      <c r="G61" s="3" t="n">
        <v>46155</v>
      </c>
      <c r="H61" s="11" t="n">
        <v>3763.8041</v>
      </c>
    </row>
    <row r="62" customFormat="false" ht="15" hidden="false" customHeight="false" outlineLevel="0" collapsed="false">
      <c r="A62" s="2" t="s">
        <v>24</v>
      </c>
      <c r="B62" s="2" t="s">
        <v>25</v>
      </c>
      <c r="C62" s="2" t="s">
        <v>23</v>
      </c>
      <c r="D62" s="2" t="s">
        <v>19</v>
      </c>
      <c r="E62" s="2" t="s">
        <v>20</v>
      </c>
      <c r="F62" s="6" t="n">
        <v>2543495413760</v>
      </c>
      <c r="G62" s="3" t="n">
        <v>46156</v>
      </c>
      <c r="H62" s="11" t="n">
        <v>3731.9199</v>
      </c>
    </row>
    <row r="63" customFormat="false" ht="15" hidden="false" customHeight="false" outlineLevel="0" collapsed="false">
      <c r="A63" s="2" t="s">
        <v>24</v>
      </c>
      <c r="B63" s="2" t="s">
        <v>25</v>
      </c>
      <c r="C63" s="2" t="s">
        <v>23</v>
      </c>
      <c r="D63" s="2" t="s">
        <v>19</v>
      </c>
      <c r="E63" s="2" t="s">
        <v>20</v>
      </c>
      <c r="F63" s="6" t="n">
        <v>2543495413760</v>
      </c>
      <c r="G63" s="3" t="n">
        <v>46157</v>
      </c>
      <c r="H63" s="11" t="n">
        <v>3725.1764</v>
      </c>
    </row>
    <row r="64" customFormat="false" ht="15" hidden="false" customHeight="false" outlineLevel="0" collapsed="false">
      <c r="A64" s="2" t="s">
        <v>24</v>
      </c>
      <c r="B64" s="2" t="s">
        <v>25</v>
      </c>
      <c r="C64" s="2" t="s">
        <v>23</v>
      </c>
      <c r="D64" s="2" t="s">
        <v>19</v>
      </c>
      <c r="E64" s="2" t="s">
        <v>20</v>
      </c>
      <c r="F64" s="6" t="n">
        <v>2543495413760</v>
      </c>
      <c r="G64" s="3" t="n">
        <v>46160</v>
      </c>
      <c r="H64" s="11" t="n">
        <v>3710.8978</v>
      </c>
    </row>
    <row r="65" customFormat="false" ht="15" hidden="false" customHeight="false" outlineLevel="0" collapsed="false">
      <c r="A65" s="2" t="s">
        <v>24</v>
      </c>
      <c r="B65" s="2" t="s">
        <v>25</v>
      </c>
      <c r="C65" s="2" t="s">
        <v>23</v>
      </c>
      <c r="D65" s="2" t="s">
        <v>19</v>
      </c>
      <c r="E65" s="2" t="s">
        <v>20</v>
      </c>
      <c r="F65" s="6" t="n">
        <v>2543495413760</v>
      </c>
      <c r="G65" s="3" t="n">
        <v>46161</v>
      </c>
      <c r="H65" s="11" t="n">
        <v>3717.2202</v>
      </c>
    </row>
    <row r="66" customFormat="false" ht="15" hidden="false" customHeight="false" outlineLevel="0" collapsed="false">
      <c r="A66" s="2" t="s">
        <v>24</v>
      </c>
      <c r="B66" s="2" t="s">
        <v>25</v>
      </c>
      <c r="C66" s="2" t="s">
        <v>23</v>
      </c>
      <c r="D66" s="2" t="s">
        <v>19</v>
      </c>
      <c r="E66" s="2" t="s">
        <v>20</v>
      </c>
      <c r="F66" s="6" t="n">
        <v>2543495413760</v>
      </c>
      <c r="G66" s="3" t="n">
        <v>46162</v>
      </c>
      <c r="H66" s="11" t="n">
        <v>3755.3505</v>
      </c>
    </row>
    <row r="67" customFormat="false" ht="15" hidden="false" customHeight="false" outlineLevel="0" collapsed="false">
      <c r="A67" s="2" t="s">
        <v>24</v>
      </c>
      <c r="B67" s="2" t="s">
        <v>25</v>
      </c>
      <c r="C67" s="2" t="s">
        <v>23</v>
      </c>
      <c r="D67" s="2" t="s">
        <v>19</v>
      </c>
      <c r="E67" s="2" t="s">
        <v>20</v>
      </c>
      <c r="F67" s="6" t="n">
        <v>2543495413760</v>
      </c>
      <c r="G67" s="3" t="n">
        <v>46163</v>
      </c>
      <c r="H67" s="11" t="n">
        <v>3762.7439</v>
      </c>
    </row>
    <row r="68" customFormat="false" ht="15" hidden="false" customHeight="false" outlineLevel="0" collapsed="false">
      <c r="A68" s="2" t="s">
        <v>24</v>
      </c>
      <c r="B68" s="2" t="s">
        <v>25</v>
      </c>
      <c r="C68" s="2" t="s">
        <v>23</v>
      </c>
      <c r="D68" s="2" t="s">
        <v>19</v>
      </c>
      <c r="E68" s="2" t="s">
        <v>20</v>
      </c>
      <c r="F68" s="6" t="n">
        <v>2543495413760</v>
      </c>
      <c r="G68" s="3" t="n">
        <v>46164</v>
      </c>
      <c r="H68" s="11" t="n">
        <v>3705.7649</v>
      </c>
    </row>
    <row r="69" customFormat="false" ht="15" hidden="false" customHeight="false" outlineLevel="0" collapsed="false">
      <c r="A69" s="2" t="s">
        <v>24</v>
      </c>
      <c r="B69" s="2" t="s">
        <v>25</v>
      </c>
      <c r="C69" s="2" t="s">
        <v>23</v>
      </c>
      <c r="D69" s="2" t="s">
        <v>19</v>
      </c>
      <c r="E69" s="2" t="s">
        <v>20</v>
      </c>
      <c r="F69" s="6" t="n">
        <v>2543495413760</v>
      </c>
      <c r="G69" s="3" t="n">
        <v>46167</v>
      </c>
      <c r="H69" s="11" t="n">
        <v>3655.1261</v>
      </c>
    </row>
    <row r="70" customFormat="false" ht="15" hidden="false" customHeight="false" outlineLevel="0" collapsed="false">
      <c r="A70" s="2" t="s">
        <v>24</v>
      </c>
      <c r="B70" s="2" t="s">
        <v>25</v>
      </c>
      <c r="C70" s="2" t="s">
        <v>23</v>
      </c>
      <c r="D70" s="2" t="s">
        <v>19</v>
      </c>
      <c r="E70" s="2" t="s">
        <v>20</v>
      </c>
      <c r="F70" s="6" t="n">
        <v>2543495413760</v>
      </c>
      <c r="G70" s="3" t="n">
        <v>46168</v>
      </c>
      <c r="H70" s="11" t="n">
        <v>3727.0965</v>
      </c>
    </row>
    <row r="71" customFormat="false" ht="15" hidden="false" customHeight="false" outlineLevel="0" collapsed="false">
      <c r="A71" s="2" t="s">
        <v>26</v>
      </c>
      <c r="B71" s="2" t="s">
        <v>27</v>
      </c>
      <c r="C71" s="2" t="s">
        <v>28</v>
      </c>
      <c r="D71" s="2" t="s">
        <v>19</v>
      </c>
      <c r="E71" s="2" t="s">
        <v>20</v>
      </c>
      <c r="F71" s="6" t="n">
        <v>435439271936</v>
      </c>
      <c r="G71" s="3" t="n">
        <v>46136</v>
      </c>
      <c r="H71" s="11" t="n">
        <v>4216.7609</v>
      </c>
    </row>
    <row r="72" customFormat="false" ht="15" hidden="false" customHeight="false" outlineLevel="0" collapsed="false">
      <c r="A72" s="2" t="s">
        <v>26</v>
      </c>
      <c r="B72" s="2" t="s">
        <v>27</v>
      </c>
      <c r="C72" s="2" t="s">
        <v>28</v>
      </c>
      <c r="D72" s="2" t="s">
        <v>19</v>
      </c>
      <c r="E72" s="2" t="s">
        <v>20</v>
      </c>
      <c r="F72" s="6" t="n">
        <v>435439271936</v>
      </c>
      <c r="G72" s="3" t="n">
        <v>46139</v>
      </c>
      <c r="H72" s="11" t="n">
        <v>4285.2281</v>
      </c>
    </row>
    <row r="73" customFormat="false" ht="15" hidden="false" customHeight="false" outlineLevel="0" collapsed="false">
      <c r="A73" s="2" t="s">
        <v>26</v>
      </c>
      <c r="B73" s="2" t="s">
        <v>27</v>
      </c>
      <c r="C73" s="2" t="s">
        <v>28</v>
      </c>
      <c r="D73" s="2" t="s">
        <v>19</v>
      </c>
      <c r="E73" s="2" t="s">
        <v>20</v>
      </c>
      <c r="F73" s="6" t="n">
        <v>435439271936</v>
      </c>
      <c r="G73" s="3" t="n">
        <v>46140</v>
      </c>
      <c r="H73" s="11" t="n">
        <v>4339.2283</v>
      </c>
    </row>
    <row r="74" customFormat="false" ht="15" hidden="false" customHeight="false" outlineLevel="0" collapsed="false">
      <c r="A74" s="2" t="s">
        <v>26</v>
      </c>
      <c r="B74" s="2" t="s">
        <v>27</v>
      </c>
      <c r="C74" s="2" t="s">
        <v>28</v>
      </c>
      <c r="D74" s="2" t="s">
        <v>19</v>
      </c>
      <c r="E74" s="2" t="s">
        <v>20</v>
      </c>
      <c r="F74" s="6" t="n">
        <v>435439271936</v>
      </c>
      <c r="G74" s="3" t="n">
        <v>46141</v>
      </c>
      <c r="H74" s="11" t="n">
        <v>4357.0016</v>
      </c>
    </row>
    <row r="75" customFormat="false" ht="15" hidden="false" customHeight="false" outlineLevel="0" collapsed="false">
      <c r="A75" s="2" t="s">
        <v>26</v>
      </c>
      <c r="B75" s="2" t="s">
        <v>27</v>
      </c>
      <c r="C75" s="2" t="s">
        <v>28</v>
      </c>
      <c r="D75" s="2" t="s">
        <v>19</v>
      </c>
      <c r="E75" s="2" t="s">
        <v>20</v>
      </c>
      <c r="F75" s="6" t="n">
        <v>435439271936</v>
      </c>
      <c r="G75" s="3" t="n">
        <v>46142</v>
      </c>
      <c r="H75" s="11" t="n">
        <v>4404.5536</v>
      </c>
    </row>
    <row r="76" customFormat="false" ht="15" hidden="false" customHeight="false" outlineLevel="0" collapsed="false">
      <c r="A76" s="2" t="s">
        <v>26</v>
      </c>
      <c r="B76" s="2" t="s">
        <v>27</v>
      </c>
      <c r="C76" s="2" t="s">
        <v>28</v>
      </c>
      <c r="D76" s="2" t="s">
        <v>19</v>
      </c>
      <c r="E76" s="2" t="s">
        <v>20</v>
      </c>
      <c r="F76" s="6" t="n">
        <v>435439271936</v>
      </c>
      <c r="G76" s="3" t="n">
        <v>46143</v>
      </c>
      <c r="H76" s="11" t="n">
        <v>4395.5516</v>
      </c>
    </row>
    <row r="77" customFormat="false" ht="15" hidden="false" customHeight="false" outlineLevel="0" collapsed="false">
      <c r="A77" s="2" t="s">
        <v>26</v>
      </c>
      <c r="B77" s="2" t="s">
        <v>27</v>
      </c>
      <c r="C77" s="2" t="s">
        <v>28</v>
      </c>
      <c r="D77" s="2" t="s">
        <v>19</v>
      </c>
      <c r="E77" s="2" t="s">
        <v>20</v>
      </c>
      <c r="F77" s="6" t="n">
        <v>435439271936</v>
      </c>
      <c r="G77" s="3" t="n">
        <v>46146</v>
      </c>
      <c r="H77" s="11" t="n">
        <v>4417.4453</v>
      </c>
    </row>
    <row r="78" customFormat="false" ht="15" hidden="false" customHeight="false" outlineLevel="0" collapsed="false">
      <c r="A78" s="2" t="s">
        <v>26</v>
      </c>
      <c r="B78" s="2" t="s">
        <v>27</v>
      </c>
      <c r="C78" s="2" t="s">
        <v>28</v>
      </c>
      <c r="D78" s="2" t="s">
        <v>19</v>
      </c>
      <c r="E78" s="2" t="s">
        <v>20</v>
      </c>
      <c r="F78" s="6" t="n">
        <v>435439271936</v>
      </c>
      <c r="G78" s="3" t="n">
        <v>46147</v>
      </c>
      <c r="H78" s="11" t="n">
        <v>4341.1624</v>
      </c>
    </row>
    <row r="79" customFormat="false" ht="15" hidden="false" customHeight="false" outlineLevel="0" collapsed="false">
      <c r="A79" s="2" t="s">
        <v>26</v>
      </c>
      <c r="B79" s="2" t="s">
        <v>27</v>
      </c>
      <c r="C79" s="2" t="s">
        <v>28</v>
      </c>
      <c r="D79" s="2" t="s">
        <v>19</v>
      </c>
      <c r="E79" s="2" t="s">
        <v>20</v>
      </c>
      <c r="F79" s="6" t="n">
        <v>435439271936</v>
      </c>
      <c r="G79" s="3" t="n">
        <v>46148</v>
      </c>
      <c r="H79" s="11" t="n">
        <v>4264.0933</v>
      </c>
    </row>
    <row r="80" customFormat="false" ht="15" hidden="false" customHeight="false" outlineLevel="0" collapsed="false">
      <c r="A80" s="2" t="s">
        <v>26</v>
      </c>
      <c r="B80" s="2" t="s">
        <v>27</v>
      </c>
      <c r="C80" s="2" t="s">
        <v>28</v>
      </c>
      <c r="D80" s="2" t="s">
        <v>19</v>
      </c>
      <c r="E80" s="2" t="s">
        <v>20</v>
      </c>
      <c r="F80" s="6" t="n">
        <v>435439271936</v>
      </c>
      <c r="G80" s="3" t="n">
        <v>46149</v>
      </c>
      <c r="H80" s="11" t="n">
        <v>4188.5148</v>
      </c>
    </row>
    <row r="81" customFormat="false" ht="15" hidden="false" customHeight="false" outlineLevel="0" collapsed="false">
      <c r="A81" s="2" t="s">
        <v>26</v>
      </c>
      <c r="B81" s="2" t="s">
        <v>27</v>
      </c>
      <c r="C81" s="2" t="s">
        <v>28</v>
      </c>
      <c r="D81" s="2" t="s">
        <v>19</v>
      </c>
      <c r="E81" s="2" t="s">
        <v>20</v>
      </c>
      <c r="F81" s="6" t="n">
        <v>435439271936</v>
      </c>
      <c r="G81" s="3" t="n">
        <v>46150</v>
      </c>
      <c r="H81" s="11" t="n">
        <v>4248.0408</v>
      </c>
    </row>
    <row r="82" customFormat="false" ht="15" hidden="false" customHeight="false" outlineLevel="0" collapsed="false">
      <c r="A82" s="2" t="s">
        <v>26</v>
      </c>
      <c r="B82" s="2" t="s">
        <v>27</v>
      </c>
      <c r="C82" s="2" t="s">
        <v>28</v>
      </c>
      <c r="D82" s="2" t="s">
        <v>19</v>
      </c>
      <c r="E82" s="2" t="s">
        <v>20</v>
      </c>
      <c r="F82" s="6" t="n">
        <v>435439271936</v>
      </c>
      <c r="G82" s="3" t="n">
        <v>46153</v>
      </c>
      <c r="H82" s="11" t="n">
        <v>4257.2704</v>
      </c>
    </row>
    <row r="83" customFormat="false" ht="15" hidden="false" customHeight="false" outlineLevel="0" collapsed="false">
      <c r="A83" s="2" t="s">
        <v>26</v>
      </c>
      <c r="B83" s="2" t="s">
        <v>27</v>
      </c>
      <c r="C83" s="2" t="s">
        <v>28</v>
      </c>
      <c r="D83" s="2" t="s">
        <v>19</v>
      </c>
      <c r="E83" s="2" t="s">
        <v>20</v>
      </c>
      <c r="F83" s="6" t="n">
        <v>435439271936</v>
      </c>
      <c r="G83" s="3" t="n">
        <v>46154</v>
      </c>
      <c r="H83" s="11" t="n">
        <v>4310.0292</v>
      </c>
    </row>
    <row r="84" customFormat="false" ht="15" hidden="false" customHeight="false" outlineLevel="0" collapsed="false">
      <c r="A84" s="2" t="s">
        <v>26</v>
      </c>
      <c r="B84" s="2" t="s">
        <v>27</v>
      </c>
      <c r="C84" s="2" t="s">
        <v>28</v>
      </c>
      <c r="D84" s="2" t="s">
        <v>19</v>
      </c>
      <c r="E84" s="2" t="s">
        <v>20</v>
      </c>
      <c r="F84" s="6" t="n">
        <v>435439271936</v>
      </c>
      <c r="G84" s="3" t="n">
        <v>46155</v>
      </c>
      <c r="H84" s="11" t="n">
        <v>4249.8372</v>
      </c>
    </row>
    <row r="85" customFormat="false" ht="15" hidden="false" customHeight="false" outlineLevel="0" collapsed="false">
      <c r="A85" s="2" t="s">
        <v>26</v>
      </c>
      <c r="B85" s="2" t="s">
        <v>27</v>
      </c>
      <c r="C85" s="2" t="s">
        <v>28</v>
      </c>
      <c r="D85" s="2" t="s">
        <v>19</v>
      </c>
      <c r="E85" s="2" t="s">
        <v>20</v>
      </c>
      <c r="F85" s="6" t="n">
        <v>435439271936</v>
      </c>
      <c r="G85" s="3" t="n">
        <v>46156</v>
      </c>
      <c r="H85" s="11" t="n">
        <v>4223.2227</v>
      </c>
    </row>
    <row r="86" customFormat="false" ht="15" hidden="false" customHeight="false" outlineLevel="0" collapsed="false">
      <c r="A86" s="2" t="s">
        <v>26</v>
      </c>
      <c r="B86" s="2" t="s">
        <v>27</v>
      </c>
      <c r="C86" s="2" t="s">
        <v>28</v>
      </c>
      <c r="D86" s="2" t="s">
        <v>19</v>
      </c>
      <c r="E86" s="2" t="s">
        <v>20</v>
      </c>
      <c r="F86" s="6" t="n">
        <v>435439271936</v>
      </c>
      <c r="G86" s="3" t="n">
        <v>46157</v>
      </c>
      <c r="H86" s="11" t="n">
        <v>4180.6093</v>
      </c>
    </row>
    <row r="87" customFormat="false" ht="15" hidden="false" customHeight="false" outlineLevel="0" collapsed="false">
      <c r="A87" s="2" t="s">
        <v>26</v>
      </c>
      <c r="B87" s="2" t="s">
        <v>27</v>
      </c>
      <c r="C87" s="2" t="s">
        <v>28</v>
      </c>
      <c r="D87" s="2" t="s">
        <v>19</v>
      </c>
      <c r="E87" s="2" t="s">
        <v>20</v>
      </c>
      <c r="F87" s="6" t="n">
        <v>435439271936</v>
      </c>
      <c r="G87" s="3" t="n">
        <v>46160</v>
      </c>
      <c r="H87" s="11" t="n">
        <v>4123.5433</v>
      </c>
    </row>
    <row r="88" customFormat="false" ht="15" hidden="false" customHeight="false" outlineLevel="0" collapsed="false">
      <c r="A88" s="2" t="s">
        <v>26</v>
      </c>
      <c r="B88" s="2" t="s">
        <v>27</v>
      </c>
      <c r="C88" s="2" t="s">
        <v>28</v>
      </c>
      <c r="D88" s="2" t="s">
        <v>19</v>
      </c>
      <c r="E88" s="2" t="s">
        <v>20</v>
      </c>
      <c r="F88" s="6" t="n">
        <v>435439271936</v>
      </c>
      <c r="G88" s="3" t="n">
        <v>46161</v>
      </c>
      <c r="H88" s="11" t="n">
        <v>4096.8833</v>
      </c>
    </row>
    <row r="89" customFormat="false" ht="15" hidden="false" customHeight="false" outlineLevel="0" collapsed="false">
      <c r="A89" s="2" t="s">
        <v>26</v>
      </c>
      <c r="B89" s="2" t="s">
        <v>27</v>
      </c>
      <c r="C89" s="2" t="s">
        <v>28</v>
      </c>
      <c r="D89" s="2" t="s">
        <v>19</v>
      </c>
      <c r="E89" s="2" t="s">
        <v>20</v>
      </c>
      <c r="F89" s="6" t="n">
        <v>435439271936</v>
      </c>
      <c r="G89" s="3" t="n">
        <v>46162</v>
      </c>
      <c r="H89" s="11" t="n">
        <v>4025.747</v>
      </c>
    </row>
    <row r="90" customFormat="false" ht="15" hidden="false" customHeight="false" outlineLevel="0" collapsed="false">
      <c r="A90" s="2" t="s">
        <v>26</v>
      </c>
      <c r="B90" s="2" t="s">
        <v>27</v>
      </c>
      <c r="C90" s="2" t="s">
        <v>28</v>
      </c>
      <c r="D90" s="2" t="s">
        <v>19</v>
      </c>
      <c r="E90" s="2" t="s">
        <v>20</v>
      </c>
      <c r="F90" s="6" t="n">
        <v>435439271936</v>
      </c>
      <c r="G90" s="3" t="n">
        <v>46163</v>
      </c>
      <c r="H90" s="11" t="n">
        <v>4061.7748</v>
      </c>
    </row>
    <row r="91" customFormat="false" ht="15" hidden="false" customHeight="false" outlineLevel="0" collapsed="false">
      <c r="A91" s="2" t="s">
        <v>26</v>
      </c>
      <c r="B91" s="2" t="s">
        <v>27</v>
      </c>
      <c r="C91" s="2" t="s">
        <v>28</v>
      </c>
      <c r="D91" s="2" t="s">
        <v>19</v>
      </c>
      <c r="E91" s="2" t="s">
        <v>20</v>
      </c>
      <c r="F91" s="6" t="n">
        <v>435439271936</v>
      </c>
      <c r="G91" s="3" t="n">
        <v>46164</v>
      </c>
      <c r="H91" s="11" t="n">
        <v>4034.701</v>
      </c>
    </row>
    <row r="92" customFormat="false" ht="15" hidden="false" customHeight="false" outlineLevel="0" collapsed="false">
      <c r="A92" s="2" t="s">
        <v>26</v>
      </c>
      <c r="B92" s="2" t="s">
        <v>27</v>
      </c>
      <c r="C92" s="2" t="s">
        <v>28</v>
      </c>
      <c r="D92" s="2" t="s">
        <v>19</v>
      </c>
      <c r="E92" s="2" t="s">
        <v>20</v>
      </c>
      <c r="F92" s="6" t="n">
        <v>435439271936</v>
      </c>
      <c r="G92" s="3" t="n">
        <v>46167</v>
      </c>
      <c r="H92" s="11" t="n">
        <v>4110.1816</v>
      </c>
    </row>
    <row r="93" customFormat="false" ht="15" hidden="false" customHeight="false" outlineLevel="0" collapsed="false">
      <c r="A93" s="2" t="s">
        <v>26</v>
      </c>
      <c r="B93" s="2" t="s">
        <v>27</v>
      </c>
      <c r="C93" s="2" t="s">
        <v>28</v>
      </c>
      <c r="D93" s="2" t="s">
        <v>19</v>
      </c>
      <c r="E93" s="2" t="s">
        <v>20</v>
      </c>
      <c r="F93" s="6" t="n">
        <v>435439271936</v>
      </c>
      <c r="G93" s="3" t="n">
        <v>46168</v>
      </c>
      <c r="H93" s="11" t="n">
        <v>4182.1923</v>
      </c>
    </row>
    <row r="94" customFormat="false" ht="15" hidden="false" customHeight="false" outlineLevel="0" collapsed="false">
      <c r="A94" s="2" t="s">
        <v>29</v>
      </c>
      <c r="B94" s="2" t="s">
        <v>30</v>
      </c>
      <c r="C94" s="2" t="s">
        <v>31</v>
      </c>
      <c r="D94" s="2" t="s">
        <v>19</v>
      </c>
      <c r="E94" s="2" t="s">
        <v>20</v>
      </c>
      <c r="F94" s="6" t="n">
        <v>465162960896</v>
      </c>
      <c r="G94" s="3" t="n">
        <v>46136</v>
      </c>
      <c r="H94" s="11" t="n">
        <v>250.1673</v>
      </c>
    </row>
    <row r="95" customFormat="false" ht="15" hidden="false" customHeight="false" outlineLevel="0" collapsed="false">
      <c r="A95" s="2" t="s">
        <v>29</v>
      </c>
      <c r="B95" s="2" t="s">
        <v>30</v>
      </c>
      <c r="C95" s="2" t="s">
        <v>31</v>
      </c>
      <c r="D95" s="2" t="s">
        <v>19</v>
      </c>
      <c r="E95" s="2" t="s">
        <v>20</v>
      </c>
      <c r="F95" s="6" t="n">
        <v>465162960896</v>
      </c>
      <c r="G95" s="3" t="n">
        <v>46139</v>
      </c>
      <c r="H95" s="11" t="n">
        <v>250.1425</v>
      </c>
    </row>
    <row r="96" customFormat="false" ht="15" hidden="false" customHeight="false" outlineLevel="0" collapsed="false">
      <c r="A96" s="2" t="s">
        <v>29</v>
      </c>
      <c r="B96" s="2" t="s">
        <v>30</v>
      </c>
      <c r="C96" s="2" t="s">
        <v>31</v>
      </c>
      <c r="D96" s="2" t="s">
        <v>19</v>
      </c>
      <c r="E96" s="2" t="s">
        <v>20</v>
      </c>
      <c r="F96" s="6" t="n">
        <v>465162960896</v>
      </c>
      <c r="G96" s="3" t="n">
        <v>46140</v>
      </c>
      <c r="H96" s="11" t="n">
        <v>252.4146</v>
      </c>
    </row>
    <row r="97" customFormat="false" ht="15" hidden="false" customHeight="false" outlineLevel="0" collapsed="false">
      <c r="A97" s="2" t="s">
        <v>29</v>
      </c>
      <c r="B97" s="2" t="s">
        <v>30</v>
      </c>
      <c r="C97" s="2" t="s">
        <v>31</v>
      </c>
      <c r="D97" s="2" t="s">
        <v>19</v>
      </c>
      <c r="E97" s="2" t="s">
        <v>20</v>
      </c>
      <c r="F97" s="6" t="n">
        <v>465162960896</v>
      </c>
      <c r="G97" s="3" t="n">
        <v>46141</v>
      </c>
      <c r="H97" s="11" t="n">
        <v>252.8737</v>
      </c>
    </row>
    <row r="98" customFormat="false" ht="15" hidden="false" customHeight="false" outlineLevel="0" collapsed="false">
      <c r="A98" s="2" t="s">
        <v>29</v>
      </c>
      <c r="B98" s="2" t="s">
        <v>30</v>
      </c>
      <c r="C98" s="2" t="s">
        <v>31</v>
      </c>
      <c r="D98" s="2" t="s">
        <v>19</v>
      </c>
      <c r="E98" s="2" t="s">
        <v>20</v>
      </c>
      <c r="F98" s="6" t="n">
        <v>465162960896</v>
      </c>
      <c r="G98" s="3" t="n">
        <v>46142</v>
      </c>
      <c r="H98" s="11" t="n">
        <v>250.9164</v>
      </c>
    </row>
    <row r="99" customFormat="false" ht="15" hidden="false" customHeight="false" outlineLevel="0" collapsed="false">
      <c r="A99" s="2" t="s">
        <v>29</v>
      </c>
      <c r="B99" s="2" t="s">
        <v>30</v>
      </c>
      <c r="C99" s="2" t="s">
        <v>31</v>
      </c>
      <c r="D99" s="2" t="s">
        <v>19</v>
      </c>
      <c r="E99" s="2" t="s">
        <v>20</v>
      </c>
      <c r="F99" s="6" t="n">
        <v>465162960896</v>
      </c>
      <c r="G99" s="3" t="n">
        <v>46143</v>
      </c>
      <c r="H99" s="11" t="n">
        <v>249.4265</v>
      </c>
    </row>
    <row r="100" customFormat="false" ht="15" hidden="false" customHeight="false" outlineLevel="0" collapsed="false">
      <c r="A100" s="2" t="s">
        <v>29</v>
      </c>
      <c r="B100" s="2" t="s">
        <v>30</v>
      </c>
      <c r="C100" s="2" t="s">
        <v>31</v>
      </c>
      <c r="D100" s="2" t="s">
        <v>19</v>
      </c>
      <c r="E100" s="2" t="s">
        <v>20</v>
      </c>
      <c r="F100" s="6" t="n">
        <v>465162960896</v>
      </c>
      <c r="G100" s="3" t="n">
        <v>46146</v>
      </c>
      <c r="H100" s="11" t="n">
        <v>254.3965</v>
      </c>
    </row>
    <row r="101" customFormat="false" ht="15" hidden="false" customHeight="false" outlineLevel="0" collapsed="false">
      <c r="A101" s="2" t="s">
        <v>29</v>
      </c>
      <c r="B101" s="2" t="s">
        <v>30</v>
      </c>
      <c r="C101" s="2" t="s">
        <v>31</v>
      </c>
      <c r="D101" s="2" t="s">
        <v>19</v>
      </c>
      <c r="E101" s="2" t="s">
        <v>20</v>
      </c>
      <c r="F101" s="6" t="n">
        <v>465162960896</v>
      </c>
      <c r="G101" s="3" t="n">
        <v>46147</v>
      </c>
      <c r="H101" s="11" t="n">
        <v>250.0722</v>
      </c>
    </row>
    <row r="102" customFormat="false" ht="15" hidden="false" customHeight="false" outlineLevel="0" collapsed="false">
      <c r="A102" s="2" t="s">
        <v>29</v>
      </c>
      <c r="B102" s="2" t="s">
        <v>30</v>
      </c>
      <c r="C102" s="2" t="s">
        <v>31</v>
      </c>
      <c r="D102" s="2" t="s">
        <v>19</v>
      </c>
      <c r="E102" s="2" t="s">
        <v>20</v>
      </c>
      <c r="F102" s="6" t="n">
        <v>465162960896</v>
      </c>
      <c r="G102" s="3" t="n">
        <v>46148</v>
      </c>
      <c r="H102" s="11" t="n">
        <v>251.8668</v>
      </c>
    </row>
    <row r="103" customFormat="false" ht="15" hidden="false" customHeight="false" outlineLevel="0" collapsed="false">
      <c r="A103" s="2" t="s">
        <v>29</v>
      </c>
      <c r="B103" s="2" t="s">
        <v>30</v>
      </c>
      <c r="C103" s="2" t="s">
        <v>31</v>
      </c>
      <c r="D103" s="2" t="s">
        <v>19</v>
      </c>
      <c r="E103" s="2" t="s">
        <v>20</v>
      </c>
      <c r="F103" s="6" t="n">
        <v>465162960896</v>
      </c>
      <c r="G103" s="3" t="n">
        <v>46149</v>
      </c>
      <c r="H103" s="11" t="n">
        <v>254.701</v>
      </c>
    </row>
    <row r="104" customFormat="false" ht="15" hidden="false" customHeight="false" outlineLevel="0" collapsed="false">
      <c r="A104" s="2" t="s">
        <v>29</v>
      </c>
      <c r="B104" s="2" t="s">
        <v>30</v>
      </c>
      <c r="C104" s="2" t="s">
        <v>31</v>
      </c>
      <c r="D104" s="2" t="s">
        <v>19</v>
      </c>
      <c r="E104" s="2" t="s">
        <v>20</v>
      </c>
      <c r="F104" s="6" t="n">
        <v>465162960896</v>
      </c>
      <c r="G104" s="3" t="n">
        <v>46150</v>
      </c>
      <c r="H104" s="11" t="n">
        <v>253.3391</v>
      </c>
    </row>
    <row r="105" customFormat="false" ht="15" hidden="false" customHeight="false" outlineLevel="0" collapsed="false">
      <c r="A105" s="2" t="s">
        <v>29</v>
      </c>
      <c r="B105" s="2" t="s">
        <v>30</v>
      </c>
      <c r="C105" s="2" t="s">
        <v>31</v>
      </c>
      <c r="D105" s="2" t="s">
        <v>19</v>
      </c>
      <c r="E105" s="2" t="s">
        <v>20</v>
      </c>
      <c r="F105" s="6" t="n">
        <v>465162960896</v>
      </c>
      <c r="G105" s="3" t="n">
        <v>46153</v>
      </c>
      <c r="H105" s="11" t="n">
        <v>255.1537</v>
      </c>
    </row>
    <row r="106" customFormat="false" ht="15" hidden="false" customHeight="false" outlineLevel="0" collapsed="false">
      <c r="A106" s="2" t="s">
        <v>29</v>
      </c>
      <c r="B106" s="2" t="s">
        <v>30</v>
      </c>
      <c r="C106" s="2" t="s">
        <v>31</v>
      </c>
      <c r="D106" s="2" t="s">
        <v>19</v>
      </c>
      <c r="E106" s="2" t="s">
        <v>20</v>
      </c>
      <c r="F106" s="6" t="n">
        <v>465162960896</v>
      </c>
      <c r="G106" s="3" t="n">
        <v>46154</v>
      </c>
      <c r="H106" s="11" t="n">
        <v>255.9081</v>
      </c>
    </row>
    <row r="107" customFormat="false" ht="15" hidden="false" customHeight="false" outlineLevel="0" collapsed="false">
      <c r="A107" s="2" t="s">
        <v>29</v>
      </c>
      <c r="B107" s="2" t="s">
        <v>30</v>
      </c>
      <c r="C107" s="2" t="s">
        <v>31</v>
      </c>
      <c r="D107" s="2" t="s">
        <v>19</v>
      </c>
      <c r="E107" s="2" t="s">
        <v>20</v>
      </c>
      <c r="F107" s="6" t="n">
        <v>465162960896</v>
      </c>
      <c r="G107" s="3" t="n">
        <v>46155</v>
      </c>
      <c r="H107" s="11" t="n">
        <v>253.3451</v>
      </c>
    </row>
    <row r="108" customFormat="false" ht="15" hidden="false" customHeight="false" outlineLevel="0" collapsed="false">
      <c r="A108" s="2" t="s">
        <v>29</v>
      </c>
      <c r="B108" s="2" t="s">
        <v>30</v>
      </c>
      <c r="C108" s="2" t="s">
        <v>31</v>
      </c>
      <c r="D108" s="2" t="s">
        <v>19</v>
      </c>
      <c r="E108" s="2" t="s">
        <v>20</v>
      </c>
      <c r="F108" s="6" t="n">
        <v>465162960896</v>
      </c>
      <c r="G108" s="3" t="n">
        <v>46156</v>
      </c>
      <c r="H108" s="11" t="n">
        <v>252.1998</v>
      </c>
    </row>
    <row r="109" customFormat="false" ht="15" hidden="false" customHeight="false" outlineLevel="0" collapsed="false">
      <c r="A109" s="2" t="s">
        <v>29</v>
      </c>
      <c r="B109" s="2" t="s">
        <v>30</v>
      </c>
      <c r="C109" s="2" t="s">
        <v>31</v>
      </c>
      <c r="D109" s="2" t="s">
        <v>19</v>
      </c>
      <c r="E109" s="2" t="s">
        <v>20</v>
      </c>
      <c r="F109" s="6" t="n">
        <v>465162960896</v>
      </c>
      <c r="G109" s="3" t="n">
        <v>46157</v>
      </c>
      <c r="H109" s="11" t="n">
        <v>251.6578</v>
      </c>
    </row>
    <row r="110" customFormat="false" ht="15" hidden="false" customHeight="false" outlineLevel="0" collapsed="false">
      <c r="A110" s="2" t="s">
        <v>29</v>
      </c>
      <c r="B110" s="2" t="s">
        <v>30</v>
      </c>
      <c r="C110" s="2" t="s">
        <v>31</v>
      </c>
      <c r="D110" s="2" t="s">
        <v>19</v>
      </c>
      <c r="E110" s="2" t="s">
        <v>20</v>
      </c>
      <c r="F110" s="6" t="n">
        <v>465162960896</v>
      </c>
      <c r="G110" s="3" t="n">
        <v>46160</v>
      </c>
      <c r="H110" s="11" t="n">
        <v>251.5692</v>
      </c>
    </row>
    <row r="111" customFormat="false" ht="15" hidden="false" customHeight="false" outlineLevel="0" collapsed="false">
      <c r="A111" s="2" t="s">
        <v>29</v>
      </c>
      <c r="B111" s="2" t="s">
        <v>30</v>
      </c>
      <c r="C111" s="2" t="s">
        <v>31</v>
      </c>
      <c r="D111" s="2" t="s">
        <v>19</v>
      </c>
      <c r="E111" s="2" t="s">
        <v>20</v>
      </c>
      <c r="F111" s="6" t="n">
        <v>465162960896</v>
      </c>
      <c r="G111" s="3" t="n">
        <v>46161</v>
      </c>
      <c r="H111" s="11" t="n">
        <v>255.581</v>
      </c>
    </row>
    <row r="112" customFormat="false" ht="15" hidden="false" customHeight="false" outlineLevel="0" collapsed="false">
      <c r="A112" s="2" t="s">
        <v>29</v>
      </c>
      <c r="B112" s="2" t="s">
        <v>30</v>
      </c>
      <c r="C112" s="2" t="s">
        <v>31</v>
      </c>
      <c r="D112" s="2" t="s">
        <v>19</v>
      </c>
      <c r="E112" s="2" t="s">
        <v>20</v>
      </c>
      <c r="F112" s="6" t="n">
        <v>465162960896</v>
      </c>
      <c r="G112" s="3" t="n">
        <v>46162</v>
      </c>
      <c r="H112" s="11" t="n">
        <v>259.1134</v>
      </c>
    </row>
    <row r="113" customFormat="false" ht="15" hidden="false" customHeight="false" outlineLevel="0" collapsed="false">
      <c r="A113" s="2" t="s">
        <v>29</v>
      </c>
      <c r="B113" s="2" t="s">
        <v>30</v>
      </c>
      <c r="C113" s="2" t="s">
        <v>31</v>
      </c>
      <c r="D113" s="2" t="s">
        <v>19</v>
      </c>
      <c r="E113" s="2" t="s">
        <v>20</v>
      </c>
      <c r="F113" s="6" t="n">
        <v>465162960896</v>
      </c>
      <c r="G113" s="3" t="n">
        <v>46163</v>
      </c>
      <c r="H113" s="11" t="n">
        <v>259.5505</v>
      </c>
    </row>
    <row r="114" customFormat="false" ht="15" hidden="false" customHeight="false" outlineLevel="0" collapsed="false">
      <c r="A114" s="2" t="s">
        <v>29</v>
      </c>
      <c r="B114" s="2" t="s">
        <v>30</v>
      </c>
      <c r="C114" s="2" t="s">
        <v>31</v>
      </c>
      <c r="D114" s="2" t="s">
        <v>19</v>
      </c>
      <c r="E114" s="2" t="s">
        <v>20</v>
      </c>
      <c r="F114" s="6" t="n">
        <v>465162960896</v>
      </c>
      <c r="G114" s="3" t="n">
        <v>46164</v>
      </c>
      <c r="H114" s="11" t="n">
        <v>263.987</v>
      </c>
    </row>
    <row r="115" customFormat="false" ht="15" hidden="false" customHeight="false" outlineLevel="0" collapsed="false">
      <c r="A115" s="2" t="s">
        <v>29</v>
      </c>
      <c r="B115" s="2" t="s">
        <v>30</v>
      </c>
      <c r="C115" s="2" t="s">
        <v>31</v>
      </c>
      <c r="D115" s="2" t="s">
        <v>19</v>
      </c>
      <c r="E115" s="2" t="s">
        <v>20</v>
      </c>
      <c r="F115" s="6" t="n">
        <v>465162960896</v>
      </c>
      <c r="G115" s="3" t="n">
        <v>46167</v>
      </c>
      <c r="H115" s="11" t="n">
        <v>259.9887</v>
      </c>
    </row>
    <row r="116" customFormat="false" ht="15" hidden="false" customHeight="false" outlineLevel="0" collapsed="false">
      <c r="A116" s="2" t="s">
        <v>29</v>
      </c>
      <c r="B116" s="2" t="s">
        <v>30</v>
      </c>
      <c r="C116" s="2" t="s">
        <v>31</v>
      </c>
      <c r="D116" s="2" t="s">
        <v>19</v>
      </c>
      <c r="E116" s="2" t="s">
        <v>20</v>
      </c>
      <c r="F116" s="6" t="n">
        <v>465162960896</v>
      </c>
      <c r="G116" s="3" t="n">
        <v>46168</v>
      </c>
      <c r="H116" s="11" t="n">
        <v>255.0623</v>
      </c>
    </row>
  </sheetData>
  <autoFilter ref="A1:H116"/>
  <printOptions headings="false" gridLines="false" gridLinesSet="true" horizontalCentered="false" verticalCentered="false"/>
  <pageMargins left="0.2" right="0.2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2026-05-27T07:30:00Z</dcterms:created>
  <dc:creator>EvoCowork benchmark adapter</dc:creator>
  <dc:description/>
  <dc:language>en-US</dc:language>
  <cp:lastModifiedBy/>
  <dcterms:modified xsi:type="dcterms:W3CDTF">2026-05-27T07:30:00Z</dcterms:modified>
  <cp:revision>0</cp:revision>
  <dc:subject/>
  <dc:title>MOEX Portfolio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