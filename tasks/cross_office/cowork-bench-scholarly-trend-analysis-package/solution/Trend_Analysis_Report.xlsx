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 wrapText="1"/>
    </xf>
    <xf numFmtId="1" fontId="2" fillId="0" borderId="1" applyAlignment="1" pivotButton="0" quotePrefix="0" xfId="0">
      <alignment horizontal="right" vertical="center" wrapText="1"/>
    </xf>
    <xf numFmtId="1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holarly_Data_Analysis" displayName="Scholarly_Data_Analysis" ref="A1:E5" headerRowCount="1">
  <autoFilter ref="A1:E5"/>
  <tableColumns count="5">
    <tableColumn id="1" name="Paper_ID"/>
    <tableColumn id="2" name="Title"/>
    <tableColumn id="3" name="Area"/>
    <tableColumn id="4" name="Citations"/>
    <tableColumn id="5" name="Relevance_Scor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cholarly_Metrics" displayName="Scholarly_Metrics" ref="A1:B5" headerRowCount="1">
  <autoFilter ref="A1:B5"/>
  <tableColumns count="2">
    <tableColumn id="1" name="Metric"/>
    <tableColumn id="2" name="Valu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Scholarly_Recommendations" displayName="Scholarly_Recommendations" ref="A1:C3" headerRowCount="1">
  <autoFilter ref="A1:C3"/>
  <tableColumns count="3">
    <tableColumn id="1" name="Priority"/>
    <tableColumn id="2" name="Action"/>
    <tableColumn id="3" name="Are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0" customWidth="1" min="3" max="3"/>
    <col width="16" customWidth="1" min="4" max="4"/>
    <col width="20" customWidth="1" min="5" max="5"/>
  </cols>
  <sheetData>
    <row r="1" ht="28" customHeight="1">
      <c r="A1" s="1" t="inlineStr">
        <is>
          <t>Paper_ID</t>
        </is>
      </c>
      <c r="B1" s="1" t="inlineStr">
        <is>
          <t>Title</t>
        </is>
      </c>
      <c r="C1" s="1" t="inlineStr">
        <is>
          <t>Area</t>
        </is>
      </c>
      <c r="D1" s="1" t="inlineStr">
        <is>
          <t>Citations</t>
        </is>
      </c>
      <c r="E1" s="1" t="inlineStr">
        <is>
          <t>Relevance_Score</t>
        </is>
      </c>
    </row>
    <row r="2">
      <c r="A2" s="2" t="inlineStr">
        <is>
          <t>2302.05678</t>
        </is>
      </c>
      <c r="B2" s="2" t="inlineStr">
        <is>
          <t>Vision Transformer Advances</t>
        </is>
      </c>
      <c r="C2" s="2" t="inlineStr">
        <is>
          <t>Computer Vision</t>
        </is>
      </c>
      <c r="D2" s="3" t="n">
        <v>10.8</v>
      </c>
      <c r="E2" s="4" t="n">
        <v>82</v>
      </c>
    </row>
    <row r="3">
      <c r="A3" s="2" t="inlineStr">
        <is>
          <t>2304.03456</t>
        </is>
      </c>
      <c r="B3" s="2" t="inlineStr">
        <is>
          <t>Federated Learning Survey</t>
        </is>
      </c>
      <c r="C3" s="2" t="inlineStr">
        <is>
          <t>Federated Learning</t>
        </is>
      </c>
      <c r="D3" s="3" t="n">
        <v>7.2</v>
      </c>
      <c r="E3" s="4" t="n">
        <v>68</v>
      </c>
    </row>
    <row r="4">
      <c r="A4" s="2" t="inlineStr">
        <is>
          <t>2301.01234</t>
        </is>
      </c>
      <c r="B4" s="2" t="inlineStr">
        <is>
          <t>Scaling Laws for LLMs</t>
        </is>
      </c>
      <c r="C4" s="2" t="inlineStr">
        <is>
          <t>Large Language Models</t>
        </is>
      </c>
      <c r="D4" s="3" t="n">
        <v>12.3</v>
      </c>
      <c r="E4" s="4" t="n">
        <v>95</v>
      </c>
    </row>
    <row r="5">
      <c r="A5" s="2" t="inlineStr">
        <is>
          <t>2303.09012</t>
        </is>
      </c>
      <c r="B5" s="2" t="inlineStr">
        <is>
          <t>Multi-Agent RL Framework</t>
        </is>
      </c>
      <c r="C5" s="2" t="inlineStr">
        <is>
          <t>Reinforcement Learning</t>
        </is>
      </c>
      <c r="D5" s="3" t="n">
        <v>8.5</v>
      </c>
      <c r="E5" s="4" t="n">
        <v>71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1" fitToWidth="1"/>
  <headerFooter>
    <oddHeader/>
    <oddFooter>&amp;CCowork-Bench · Scholarly Trend Analysis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Total_Papers</t>
        </is>
      </c>
      <c r="B2" s="5">
        <f>COUNTA(Data_Analysis!A2:A5)</f>
        <v/>
      </c>
    </row>
    <row r="3">
      <c r="A3" s="2" t="inlineStr">
        <is>
          <t>Avg_Citations</t>
        </is>
      </c>
      <c r="B3" s="5">
        <f>ROUND(AVERAGE(Data_Analysis!D2:D5),0)</f>
        <v/>
      </c>
    </row>
    <row r="4">
      <c r="A4" s="2" t="inlineStr">
        <is>
          <t>Top_Area</t>
        </is>
      </c>
      <c r="B4" s="2">
        <f>INDEX(Data_Analysis!C2:C5,MATCH(MAX(Data_Analysis!E2:E5),Data_Analysis!E2:E5,0))</f>
        <v/>
      </c>
    </row>
    <row r="5">
      <c r="A5" s="2" t="inlineStr">
        <is>
          <t>Avg_Relevance</t>
        </is>
      </c>
      <c r="B5" s="5">
        <f>ROUND(AVERAGE(Data_Analysis!E2:E5),0)</f>
        <v/>
      </c>
    </row>
  </sheetData>
  <pageMargins left="0.75" right="0.75" top="1" bottom="1" header="0.5" footer="0.5"/>
  <pageSetup orientation="landscape" fitToHeight="1" fitToWidth="1"/>
  <headerFooter>
    <oddHeader/>
    <oddFooter>&amp;CCowork-Bench · Scholarly Trend Analysis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8" customWidth="1" min="2" max="2"/>
    <col width="30" customWidth="1" min="3" max="3"/>
  </cols>
  <sheetData>
    <row r="1" ht="28" customHeight="1">
      <c r="A1" s="1" t="inlineStr">
        <is>
          <t>Priority</t>
        </is>
      </c>
      <c r="B1" s="1" t="inlineStr">
        <is>
          <t>Action</t>
        </is>
      </c>
      <c r="C1" s="1" t="inlineStr">
        <is>
          <t>Area</t>
        </is>
      </c>
    </row>
    <row r="2">
      <c r="A2" s="2" t="inlineStr">
        <is>
          <t>High</t>
        </is>
      </c>
      <c r="B2" s="2" t="inlineStr">
        <is>
          <t>Prioritize quarterly literature review and replication planning</t>
        </is>
      </c>
      <c r="C2" s="2" t="inlineStr">
        <is>
          <t>Large Language Models</t>
        </is>
      </c>
    </row>
    <row r="3">
      <c r="A3" s="2" t="inlineStr">
        <is>
          <t>Medium</t>
        </is>
      </c>
      <c r="B3" s="2" t="inlineStr">
        <is>
          <t>Track benchmark movement and prepare a focused methods scan</t>
        </is>
      </c>
      <c r="C3" s="2" t="inlineStr">
        <is>
          <t>Computer Vision</t>
        </is>
      </c>
    </row>
  </sheetData>
  <pageMargins left="0.75" right="0.75" top="1" bottom="1" header="0.5" footer="0.5"/>
  <pageSetup orientation="landscape" fitToHeight="1" fitToWidth="1"/>
  <headerFooter>
    <oddHeader/>
    <oddFooter>&amp;CCowork-Bench · Scholarly Trend Analysis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Scholarly Trend Analysis</dc:title>
  <dcterms:created xmlns:dcterms="http://purl.org/dc/terms/" xmlns:xsi="http://www.w3.org/2001/XMLSchema-instance" xsi:type="dcterms:W3CDTF">2026-08-24T08:18:07Z</dcterms:created>
  <dcterms:modified xmlns:dcterms="http://purl.org/dc/terms/" xmlns:xsi="http://www.w3.org/2001/XMLSchema-instance" xsi:type="dcterms:W3CDTF">2026-08-24T08:18:07Z</dcterms:modified>
</cp:coreProperties>
</file>