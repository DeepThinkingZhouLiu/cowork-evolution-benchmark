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4.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olicy_Criteria" sheetId="1" state="visible" r:id="rId2"/>
    <sheet name="Application_Evidence" sheetId="2" state="visible" r:id="rId3"/>
    <sheet name="Decision_Summary" sheetId="3" state="visible" r:id="rId4"/>
    <sheet name="Delivery_Control" sheetId="4" state="visible" r:id="rId5"/>
  </sheets>
  <definedNames>
    <definedName function="false" hidden="false" localSheetId="1" name="_xlnm.Print_Area" vbProcedure="false">Application_Evidence!$A$1:$D$10</definedName>
    <definedName function="false" hidden="true" localSheetId="1" name="_xlnm._FilterDatabase" vbProcedure="false">Application_Evidence!$A$1:$D$10</definedName>
    <definedName function="false" hidden="false" localSheetId="2" name="_xlnm.Print_Area" vbProcedure="false">Decision_Summary!$A$1:$N$10</definedName>
    <definedName function="false" hidden="true" localSheetId="2" name="_xlnm._FilterDatabase" vbProcedure="false">Decision_Summary!$A$1:$F$10</definedName>
    <definedName function="false" hidden="false" localSheetId="3" name="_xlnm.Print_Area" vbProcedure="false">Delivery_Control!$A$1:$E$5</definedName>
    <definedName function="false" hidden="true" localSheetId="3" name="_xlnm._FilterDatabase" vbProcedure="false">Delivery_Control!$A$1:$E$5</definedName>
    <definedName function="false" hidden="false" localSheetId="0" name="_xlnm.Print_Area" vbProcedure="false">Policy_Criteria!$A$1:$F$7</definedName>
    <definedName function="false" hidden="true" localSheetId="0" name="_xlnm._FilterDatabase" vbProcedure="false">Policy_Criteria!$A$1:$F$7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<sst xmlns="http://schemas.openxmlformats.org/spreadsheetml/2006/main" count="129" uniqueCount="113">
  <si>
    <t xml:space="preserve">Criterion_ID</t>
  </si>
  <si>
    <t xml:space="preserve">Policy_Text</t>
  </si>
  <si>
    <t xml:space="preserve">Application_Evidence</t>
  </si>
  <si>
    <t xml:space="preserve">Status</t>
  </si>
  <si>
    <t xml:space="preserve">Determinative</t>
  </si>
  <si>
    <t xml:space="preserve">Notes</t>
  </si>
  <si>
    <t xml:space="preserve">P01</t>
  </si>
  <si>
    <t xml:space="preserve">The applicant's name must be provided.</t>
  </si>
  <si>
    <t xml:space="preserve">Alice Johnson is present in the Name field.</t>
  </si>
  <si>
    <t xml:space="preserve">Yes</t>
  </si>
  <si>
    <t xml:space="preserve">Directly verifiable from the PDF.</t>
  </si>
  <si>
    <t xml:space="preserve">P02</t>
  </si>
  <si>
    <t xml:space="preserve">The applicant's email must be a valid email address.</t>
  </si>
  <si>
    <t xml:space="preserve">alice.johnson@example.com has a valid address format.</t>
  </si>
  <si>
    <t xml:space="preserve">Format validation only; mailbox ownership is not inferred.</t>
  </si>
  <si>
    <t xml:space="preserve">P03</t>
  </si>
  <si>
    <t xml:space="preserve">The application must include a statement of purpose with a minimum 100 words.</t>
  </si>
  <si>
    <t xml:space="preserve">Statement of Purpose contains 105 English words.</t>
  </si>
  <si>
    <t xml:space="preserve">Count uses contiguous English-letter word tokens.</t>
  </si>
  <si>
    <t xml:space="preserve">P04</t>
  </si>
  <si>
    <t xml:space="preserve">The applicant must provide two references.</t>
  </si>
  <si>
    <t xml:space="preserve">One reference is present: Dr. John Smith, Professor, University X.</t>
  </si>
  <si>
    <t xml:space="preserve">One additional reference is required.</t>
  </si>
  <si>
    <t xml:space="preserve">P05</t>
  </si>
  <si>
    <t xml:space="preserve">All application materials must be submitted before the deadline.</t>
  </si>
  <si>
    <t xml:space="preserve">Neither a policy deadline nor a submission timestamp is provided.</t>
  </si>
  <si>
    <t xml:space="preserve">NOT_VERIFIABLE</t>
  </si>
  <si>
    <t xml:space="preserve">Do not infer on-time or late submission.</t>
  </si>
  <si>
    <t xml:space="preserve">P06</t>
  </si>
  <si>
    <t xml:space="preserve">Incomplete applications will not be considered.</t>
  </si>
  <si>
    <t xml:space="preserve">The application is incomplete because only one of two required references is present.</t>
  </si>
  <si>
    <t xml:space="preserve">This converts the missing reference into an overall NO decision.</t>
  </si>
  <si>
    <t xml:space="preserve">Evidence_Field</t>
  </si>
  <si>
    <t xml:space="preserve">Extracted_Value</t>
  </si>
  <si>
    <t xml:space="preserve">Source</t>
  </si>
  <si>
    <t xml:space="preserve">Validation_Note</t>
  </si>
  <si>
    <t xml:space="preserve">Applicant_Name</t>
  </si>
  <si>
    <t xml:space="preserve">Alice Johnson</t>
  </si>
  <si>
    <t xml:space="preserve">fellowship_application.pdf / Name</t>
  </si>
  <si>
    <t xml:space="preserve">Provided</t>
  </si>
  <si>
    <t xml:space="preserve">Applicant_Email</t>
  </si>
  <si>
    <t xml:space="preserve">alice.johnson@example.com</t>
  </si>
  <si>
    <t xml:space="preserve">fellowship_application.pdf / Email</t>
  </si>
  <si>
    <t xml:space="preserve">Address format only</t>
  </si>
  <si>
    <t xml:space="preserve">Email_Format_Valid</t>
  </si>
  <si>
    <t xml:space="preserve">TRUE</t>
  </si>
  <si>
    <t xml:space="preserve">Regex structure check</t>
  </si>
  <si>
    <t xml:space="preserve">Mailbox ownership not inferred</t>
  </si>
  <si>
    <t xml:space="preserve">Statement_Word_Count</t>
  </si>
  <si>
    <t xml:space="preserve">fellowship_application.pdf / Statement of Purpose</t>
  </si>
  <si>
    <t xml:space="preserve">Minimum is 100</t>
  </si>
  <si>
    <t xml:space="preserve">Reference_Count</t>
  </si>
  <si>
    <t xml:space="preserve">fellowship_application.pdf / References</t>
  </si>
  <si>
    <t xml:space="preserve">Policy requires 2</t>
  </si>
  <si>
    <t xml:space="preserve">Reference_1</t>
  </si>
  <si>
    <t xml:space="preserve">Dr. John Smith, Professor, University X</t>
  </si>
  <si>
    <t xml:space="preserve">Only listed reference</t>
  </si>
  <si>
    <t xml:space="preserve">Policy_Deadline</t>
  </si>
  <si>
    <t xml:space="preserve">Not provided</t>
  </si>
  <si>
    <t xml:space="preserve">school_policy.jpg</t>
  </si>
  <si>
    <t xml:space="preserve">Timeliness cannot be verified</t>
  </si>
  <si>
    <t xml:space="preserve">Submission_Timestamp</t>
  </si>
  <si>
    <t xml:space="preserve">fellowship_application.pdf</t>
  </si>
  <si>
    <t xml:space="preserve">Statement_of_Purpose</t>
  </si>
  <si>
    <t xml:space="preserve">I am applying for this fellowship because I believe it will provide me with the opportunity to further develop my research skills and contribute to the academic community. My passion for research and dedication to my field make me a strong candidate for this fellowship. I have a track record of academic excellence and have participated in several research projects that have honed my abilities. This fellowship will allow me to work closely with experts in my field and gain invaluable experience. I am committed to making significant contributions to the research community and believe this fellowship will be a pivotal step in my career.</t>
  </si>
  <si>
    <t xml:space="preserve">105-word source text</t>
  </si>
  <si>
    <t xml:space="preserve">Metric</t>
  </si>
  <si>
    <t xml:space="preserve">Value</t>
  </si>
  <si>
    <t xml:space="preserve">Evidence_or_Rule</t>
  </si>
  <si>
    <t xml:space="preserve">Count</t>
  </si>
  <si>
    <t xml:space="preserve">PASS_Count</t>
  </si>
  <si>
    <t xml:space="preserve">Policy_Criteria status count</t>
  </si>
  <si>
    <t xml:space="preserve">PASS</t>
  </si>
  <si>
    <t xml:space="preserve">FAIL_Count</t>
  </si>
  <si>
    <t xml:space="preserve">FAIL</t>
  </si>
  <si>
    <t xml:space="preserve">NOT_VERIFIABLE_Count</t>
  </si>
  <si>
    <t xml:space="preserve">Overall_Decision</t>
  </si>
  <si>
    <t xml:space="preserve">Any FAIL -&gt; NO; otherwise any evidence gap -&gt; NOT_VERIFIABLE</t>
  </si>
  <si>
    <t xml:space="preserve">Missing_Reference_Count</t>
  </si>
  <si>
    <t xml:space="preserve">Two required minus extracted count</t>
  </si>
  <si>
    <t xml:space="preserve">Minimum 100 words</t>
  </si>
  <si>
    <t xml:space="preserve">Officer_Address_Status</t>
  </si>
  <si>
    <t xml:space="preserve">BLOCKED_MISSING_OFFICER_ADDRESS</t>
  </si>
  <si>
    <t xml:space="preserve">No officer email appears in either source</t>
  </si>
  <si>
    <t xml:space="preserve">Meeting_Start_UTC</t>
  </si>
  <si>
    <t xml:space="preserve">2024-05-31 13:00</t>
  </si>
  <si>
    <t xml:space="preserve">OfficeBench 3-20 upstream evaluator</t>
  </si>
  <si>
    <t xml:space="preserve">Meeting_Duration</t>
  </si>
  <si>
    <t xml:space="preserve">ICS intentionally omits DTEND and DURATION</t>
  </si>
  <si>
    <t xml:space="preserve">Deliverable</t>
  </si>
  <si>
    <t xml:space="preserve">Purpose</t>
  </si>
  <si>
    <t xml:space="preserve">Decision_Consistency</t>
  </si>
  <si>
    <t xml:space="preserve">Delivery_Status</t>
  </si>
  <si>
    <t xml:space="preserve">Control_Note</t>
  </si>
  <si>
    <t xml:space="preserve">Fellowship_Compliance_Audit.xlsx</t>
  </si>
  <si>
    <t xml:space="preserve">Auditable policy and evidence ledger</t>
  </si>
  <si>
    <t xml:space="preserve">Overall decision must be NO</t>
  </si>
  <si>
    <t xml:space="preserve">READY</t>
  </si>
  <si>
    <t xml:space="preserve">Native formulas and chart retained</t>
  </si>
  <si>
    <t xml:space="preserve">Fellowship_Compliance_Decision.docx</t>
  </si>
  <si>
    <t xml:space="preserve">Human-readable compliance decision</t>
  </si>
  <si>
    <t xml:space="preserve">Must match Excel policy statuses</t>
  </si>
  <si>
    <t xml:space="preserve">No unsupported timeliness claim</t>
  </si>
  <si>
    <t xml:space="preserve">Fellowship_Application_Forward.eml</t>
  </si>
  <si>
    <t xml:space="preserve">Officer forwarding draft with original application</t>
  </si>
  <si>
    <t xml:space="preserve">Body must report NO and evidence gaps</t>
  </si>
  <si>
    <t xml:space="preserve">BLOCKED</t>
  </si>
  <si>
    <t xml:space="preserve">Replace reserved .invalid address before sending</t>
  </si>
  <si>
    <t xml:space="preserve">Fellowship_Compliance_Followup.ics</t>
  </si>
  <si>
    <t xml:space="preserve">Tentative compliance follow-up</t>
  </si>
  <si>
    <t xml:space="preserve">Description must report NO and evidence gaps</t>
  </si>
  <si>
    <t xml:space="preserve">TENTATIVE</t>
  </si>
  <si>
    <t xml:space="preserve">No duration, location or attendee address supplied</t>
  </si>
</sst>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b val="true"/>
      <sz val="9"/>
      <color rgb="FFFFFFFF"/>
      <name val="Aptos"/>
      <family val="0"/>
      <charset val="1"/>
    </font>
    <font>
      <sz val="9"/>
      <color rgb="FF17324D"/>
      <name val="Aptos"/>
      <family val="0"/>
      <charset val="1"/>
    </font>
    <font>
      <b val="true"/>
      <sz val="14"/>
      <color rgb="FF9C0006"/>
      <name val="Aptos Display"/>
      <family val="0"/>
      <charset val="1"/>
    </font>
    <font>
      <b val="true"/>
      <sz val="18"/>
      <color rgb="FF000000"/>
      <name val="Calibri"/>
      <family val="2"/>
    </font>
    <font>
      <sz val="10"/>
      <color rgb="FF000000"/>
      <name val="Calibri"/>
      <family val="2"/>
    </font>
    <font>
      <b val="true"/>
      <sz val="10"/>
      <color rgb="FF000000"/>
      <name val="Calibri"/>
      <family val="2"/>
    </font>
  </fonts>
  <fills count="4">
    <fill>
      <patternFill patternType="none"/>
    </fill>
    <fill>
      <patternFill patternType="gray125"/>
    </fill>
    <fill>
      <patternFill patternType="solid">
        <fgColor rgb="FF17324D"/>
        <bgColor rgb="FF333333"/>
      </patternFill>
    </fill>
    <fill>
      <patternFill patternType="solid">
        <fgColor rgb="FFFCE4D6"/>
        <bgColor rgb="FFFFF2CC"/>
      </patternFill>
    </fill>
  </fills>
  <borders count="2">
    <border diagonalUp="false" diagonalDown="false">
      <left/>
      <right/>
      <top/>
      <bottom/>
      <diagonal/>
    </border>
    <border diagonalUp="false" diagonalDown="false">
      <left/>
      <right/>
      <top/>
      <bottom style="thin">
        <color rgb="FFB8C7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7324D"/>
        </patternFill>
      </fill>
    </dxf>
    <dxf>
      <fill>
        <patternFill patternType="solid">
          <fgColor rgb="00FFFFFF"/>
        </patternFill>
      </fill>
    </dxf>
    <dxf>
      <fill>
        <patternFill patternType="solid">
          <fgColor rgb="FFFFFFFF"/>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bgColor rgb="FFE2F0D9"/>
        </patternFill>
      </fill>
    </dxf>
    <dxf>
      <fill>
        <patternFill>
          <bgColor rgb="FFFCE4D6"/>
        </patternFill>
      </fill>
    </dxf>
    <dxf>
      <fill>
        <patternFill>
          <bgColor rgb="FFFFF2CC"/>
        </patternFill>
      </fill>
    </dxf>
    <dxf>
      <fill>
        <patternFill patternType="solid">
          <fgColor rgb="FF9C0006"/>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8C7D9"/>
      <rgbColor rgb="FF878787"/>
      <rgbColor rgb="FF9999FF"/>
      <rgbColor rgb="FF993366"/>
      <rgbColor rgb="FFFFF2CC"/>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CE4D6"/>
      <rgbColor rgb="FF3366FF"/>
      <rgbColor rgb="FF33CCCC"/>
      <rgbColor rgb="FF99CC00"/>
      <rgbColor rgb="FFFFCC00"/>
      <rgbColor rgb="FFFF9900"/>
      <rgbColor rgb="FFFF6600"/>
      <rgbColor rgb="FF4F81BD"/>
      <rgbColor rgb="FF969696"/>
      <rgbColor rgb="FF17324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Policy status counts</a:t>
            </a:r>
          </a:p>
        </c:rich>
      </c:tx>
      <c:overlay val="0"/>
      <c:spPr>
        <a:noFill/>
        <a:ln w="0">
          <a:noFill/>
        </a:ln>
      </c:spPr>
    </c:title>
    <c:autoTitleDeleted val="0"/>
    <c:plotArea>
      <c:barChart>
        <c:barDir val="col"/>
        <c:grouping val="clustered"/>
        <c:varyColors val="0"/>
        <c:ser>
          <c:idx val="0"/>
          <c:order val="0"/>
          <c:tx>
            <c:strRef>
              <c:f>Decision_Summary!F1</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Decision_Summary!$E$2:$E$4</c:f>
              <c:strCache>
                <c:ptCount val="3"/>
                <c:pt idx="0">
                  <c:v>PASS</c:v>
                </c:pt>
                <c:pt idx="1">
                  <c:v>FAIL</c:v>
                </c:pt>
                <c:pt idx="2">
                  <c:v>NOT_VERIFIABLE</c:v>
                </c:pt>
              </c:strCache>
            </c:strRef>
          </c:cat>
          <c:val>
            <c:numRef>
              <c:f>Decision_Summary!$F$2:$F$4</c:f>
              <c:numCache>
                <c:formatCode>General</c:formatCode>
                <c:ptCount val="3"/>
                <c:pt idx="0">
                  <c:v>3</c:v>
                </c:pt>
                <c:pt idx="1">
                  <c:v>2</c:v>
                </c:pt>
                <c:pt idx="2">
                  <c:v>1</c:v>
                </c:pt>
              </c:numCache>
            </c:numRef>
          </c:val>
        </c:ser>
        <c:gapWidth val="150"/>
        <c:overlap val="0"/>
        <c:axId val="10000001"/>
        <c:axId val="10000002"/>
      </c:barChart>
      <c:catAx>
        <c:axId val="100000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Status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002"/>
        <c:crosses val="autoZero"/>
        <c:auto val="1"/>
        <c:lblAlgn val="ctr"/>
        <c:lblOffset val="100"/>
        <c:noMultiLvlLbl val="0"/>
      </c:catAx>
      <c:valAx>
        <c:axId val="1000000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Criteria</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00000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3.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xdr:row>
      <xdr:rowOff>0</xdr:rowOff>
    </xdr:from>
    <xdr:to>
      <xdr:col>11</xdr:col>
      <xdr:colOff>500400</xdr:colOff>
      <xdr:row>8</xdr:row>
      <xdr:rowOff>252720</xdr:rowOff>
    </xdr:to>
    <xdr:graphicFrame>
      <xdr:nvGraphicFramePr>
        <xdr:cNvPr id="0" name="Chart 1"/>
        <xdr:cNvGraphicFramePr/>
      </xdr:nvGraphicFramePr>
      <xdr:xfrm>
        <a:off x="12841560" y="428760"/>
        <a:ext cx="449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FellowshipApplicationEvidenceTable" displayName="FellowshipApplicationEvidenceTable" ref="A1:D10" headerRowCount="1" totalsRowCount="0" totalsRowShown="0">
  <autoFilter ref="A1:D10"/>
  <tableColumns count="4">
    <tableColumn id="1" name="Evidence_Field"/>
    <tableColumn id="2" name="Extracted_Value"/>
    <tableColumn id="3" name="Source"/>
    <tableColumn id="4" name="Validation_Note"/>
  </tableColumns>
</table>
</file>

<file path=xl/tables/table2.xml><?xml version="1.0" encoding="utf-8"?>
<table xmlns="http://schemas.openxmlformats.org/spreadsheetml/2006/main" id="2" name="FellowshipDecisionSummaryTable" displayName="FellowshipDecisionSummaryTable" ref="A1:C10" headerRowCount="1" totalsRowCount="0" totalsRowShown="0">
  <autoFilter ref="A1:C10"/>
  <tableColumns count="3">
    <tableColumn id="1" name="Metric"/>
    <tableColumn id="2" name="Value"/>
    <tableColumn id="3" name="Evidence_or_Rule"/>
  </tableColumns>
</table>
</file>

<file path=xl/tables/table3.xml><?xml version="1.0" encoding="utf-8"?>
<table xmlns="http://schemas.openxmlformats.org/spreadsheetml/2006/main" id="3" name="FellowshipDeliveryControlTable" displayName="FellowshipDeliveryControlTable" ref="A1:E5" headerRowCount="1" totalsRowCount="0" totalsRowShown="0">
  <autoFilter ref="A1:E5"/>
  <tableColumns count="5">
    <tableColumn id="1" name="Deliverable"/>
    <tableColumn id="2" name="Purpose"/>
    <tableColumn id="3" name="Decision_Consistency"/>
    <tableColumn id="4" name="Delivery_Status"/>
    <tableColumn id="5" name="Control_Note"/>
  </tableColumns>
</table>
</file>

<file path=xl/tables/table4.xml><?xml version="1.0" encoding="utf-8"?>
<table xmlns="http://schemas.openxmlformats.org/spreadsheetml/2006/main" id="4" name="FellowshipPolicyCriteriaTable" displayName="FellowshipPolicyCriteriaTable" ref="A1:F7" headerRowCount="1" totalsRowCount="0" totalsRowShown="0">
  <autoFilter ref="A1:F7"/>
  <tableColumns count="6">
    <tableColumn id="1" name="Criterion_ID"/>
    <tableColumn id="2" name="Policy_Text"/>
    <tableColumn id="3" name="Application_Evidence"/>
    <tableColumn id="4" name="Status"/>
    <tableColumn id="5" name="Determinative"/>
    <tableColumn id="6" name="Notes"/>
  </tableColumns>
</tabl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4.xml"/>
</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F7"/>
  <sheetViews>
    <sheetView showFormulas="false" showGridLines="true" showRowColHeaders="true" showZeros="true" rightToLeft="false" tabSelected="true" showOutlineSymbols="true" defaultGridColor="true" view="normal" topLeftCell="A1" colorId="64" zoomScale="100" zoomScaleNormal="100" zoomScalePageLayoutView="60" workbookViewId="0">
      <pane ySplit="1" topLeftCell="A2" activePane="bottomLeft" state="frozen"/>
      <selection pane="topLeft" activeCell="A1" activeCellId="0" sqref="A1"/>
    </sheetView>
  </sheetViews>
  <sheetFormatPr defaultColWidth="8.6875" defaultRowHeight="15" zeroHeight="false" outlineLevelRow="0" outlineLevelCol="0"/>
  <cols>
    <col collapsed="false" customWidth="true" hidden="false" outlineLevel="0" max="1" min="1" style="0" width="11.99"/>
    <col collapsed="false" customWidth="true" hidden="false" outlineLevel="0" max="2" min="2" style="0" width="49"/>
    <col collapsed="false" customWidth="true" hidden="false" outlineLevel="0" max="3" min="3" style="0" width="54.99"/>
    <col collapsed="false" customWidth="true" hidden="false" outlineLevel="0" max="4" min="4" style="0" width="19"/>
    <col collapsed="false" customWidth="true" hidden="false" outlineLevel="0" max="5" min="5" style="0" width="16"/>
    <col collapsed="false" customWidth="true" hidden="false" outlineLevel="0" max="6" min="6" style="0" width="42"/>
  </cols>
  <sheetData>
    <row r="1" customFormat="false" ht="33.75" hidden="false" customHeight="true" outlineLevel="0" collapsed="false">
      <c r="A1" s="1" t="s">
        <v>0</v>
      </c>
      <c r="B1" s="1" t="s">
        <v>1</v>
      </c>
      <c r="C1" s="1" t="s">
        <v>2</v>
      </c>
      <c r="D1" s="1" t="s">
        <v>3</v>
      </c>
      <c r="E1" s="1" t="s">
        <v>4</v>
      </c>
      <c r="F1" s="1" t="s">
        <v>5</v>
      </c>
    </row>
    <row r="2" customFormat="false" ht="49.5" hidden="false" customHeight="true" outlineLevel="0" collapsed="false">
      <c r="A2" s="2" t="s">
        <v>6</v>
      </c>
      <c r="B2" s="2" t="s">
        <v>7</v>
      </c>
      <c r="C2" s="2" t="s">
        <v>8</v>
      </c>
      <c r="D2" s="2" t="str">
        <f aca="false">IF(Application_Evidence!B2&lt;&gt;"","PASS","FAIL")</f>
        <v>PASS</v>
      </c>
      <c r="E2" s="2" t="s">
        <v>9</v>
      </c>
      <c r="F2" s="2" t="s">
        <v>10</v>
      </c>
    </row>
    <row r="3" customFormat="false" ht="49.5" hidden="false" customHeight="true" outlineLevel="0" collapsed="false">
      <c r="A3" s="2" t="s">
        <v>11</v>
      </c>
      <c r="B3" s="2" t="s">
        <v>12</v>
      </c>
      <c r="C3" s="2" t="s">
        <v>13</v>
      </c>
      <c r="D3" s="2" t="str">
        <f aca="false">IF(Application_Evidence!B4="TRUE","PASS","FAIL")</f>
        <v>PASS</v>
      </c>
      <c r="E3" s="2" t="s">
        <v>9</v>
      </c>
      <c r="F3" s="2" t="s">
        <v>14</v>
      </c>
    </row>
    <row r="4" customFormat="false" ht="49.5" hidden="false" customHeight="true" outlineLevel="0" collapsed="false">
      <c r="A4" s="2" t="s">
        <v>15</v>
      </c>
      <c r="B4" s="2" t="s">
        <v>16</v>
      </c>
      <c r="C4" s="2" t="s">
        <v>17</v>
      </c>
      <c r="D4" s="2" t="str">
        <f aca="false">IF(Application_Evidence!B5&gt;=100,"PASS","FAIL")</f>
        <v>PASS</v>
      </c>
      <c r="E4" s="2" t="s">
        <v>9</v>
      </c>
      <c r="F4" s="2" t="s">
        <v>18</v>
      </c>
    </row>
    <row r="5" customFormat="false" ht="49.5" hidden="false" customHeight="true" outlineLevel="0" collapsed="false">
      <c r="A5" s="2" t="s">
        <v>19</v>
      </c>
      <c r="B5" s="2" t="s">
        <v>20</v>
      </c>
      <c r="C5" s="2" t="s">
        <v>21</v>
      </c>
      <c r="D5" s="2" t="str">
        <f aca="false">IF(Application_Evidence!B6&gt;=2,"PASS","FAIL")</f>
        <v>FAIL</v>
      </c>
      <c r="E5" s="2" t="s">
        <v>9</v>
      </c>
      <c r="F5" s="2" t="s">
        <v>22</v>
      </c>
    </row>
    <row r="6" customFormat="false" ht="49.5" hidden="false" customHeight="true" outlineLevel="0" collapsed="false">
      <c r="A6" s="2" t="s">
        <v>23</v>
      </c>
      <c r="B6" s="2" t="s">
        <v>24</v>
      </c>
      <c r="C6" s="2" t="s">
        <v>25</v>
      </c>
      <c r="D6" s="2" t="s">
        <v>26</v>
      </c>
      <c r="E6" s="2" t="s">
        <v>9</v>
      </c>
      <c r="F6" s="2" t="s">
        <v>27</v>
      </c>
    </row>
    <row r="7" customFormat="false" ht="49.5" hidden="false" customHeight="true" outlineLevel="0" collapsed="false">
      <c r="A7" s="2" t="s">
        <v>28</v>
      </c>
      <c r="B7" s="2" t="s">
        <v>29</v>
      </c>
      <c r="C7" s="2" t="s">
        <v>30</v>
      </c>
      <c r="D7" s="2" t="str">
        <f aca="false">IF(COUNTIF(D2:D6,"FAIL")&gt;0,"FAIL",IF(COUNTIF(D2:D6,"NOT_VERIFIABLE")&gt;0,"NOT_VERIFIABLE","PASS"))</f>
        <v>FAIL</v>
      </c>
      <c r="E7" s="2" t="s">
        <v>9</v>
      </c>
      <c r="F7" s="2" t="s">
        <v>31</v>
      </c>
    </row>
  </sheetData>
  <autoFilter ref="A1:F7"/>
  <conditionalFormatting sqref="D2:D7">
    <cfRule type="expression" priority="2" aboveAverage="0" equalAverage="0" bottom="0" percent="0" rank="0" text="" dxfId="6">
      <formula>D2="PASS"</formula>
    </cfRule>
    <cfRule type="expression" priority="3" aboveAverage="0" equalAverage="0" bottom="0" percent="0" rank="0" text="" dxfId="7">
      <formula>D2="FAIL"</formula>
    </cfRule>
    <cfRule type="expression" priority="4" aboveAverage="0" equalAverage="0" bottom="0" percent="0" rank="0" text="" dxfId="8">
      <formula>D2="NOT_VERIFIABLE"</formula>
    </cfRule>
  </conditionalFormatting>
  <printOptions headings="false" gridLines="false" gridLinesSet="true" horizontalCentered="false" verticalCentered="false"/>
  <pageMargins left="0.25" right="0.25" top="0.4" bottom="0.400694444444444"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&amp;K667085Fellowship compliance audit | &amp;P / &amp;N</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pane ySplit="1" topLeftCell="A2" activePane="bottomLeft" state="frozen"/>
      <selection pane="topLeft" activeCell="A1" activeCellId="0" sqref="A1"/>
    </sheetView>
  </sheetViews>
  <sheetFormatPr defaultColWidth="8.6875" defaultRowHeight="15" zeroHeight="false" outlineLevelRow="0" outlineLevelCol="0"/>
  <cols>
    <col collapsed="false" customWidth="true" hidden="false" outlineLevel="0" max="1" min="1" style="0" width="27"/>
    <col collapsed="false" customWidth="true" hidden="false" outlineLevel="0" max="2" min="2" style="0" width="75"/>
    <col collapsed="false" customWidth="true" hidden="false" outlineLevel="0" max="3" min="3" style="0" width="48.01"/>
    <col collapsed="false" customWidth="true" hidden="false" outlineLevel="0" max="4" min="4" style="0" width="42"/>
  </cols>
  <sheetData>
    <row r="1" customFormat="false" ht="33.75" hidden="false" customHeight="true" outlineLevel="0" collapsed="false">
      <c r="A1" s="1" t="s">
        <v>32</v>
      </c>
      <c r="B1" s="1" t="s">
        <v>33</v>
      </c>
      <c r="C1" s="1" t="s">
        <v>34</v>
      </c>
      <c r="D1" s="1" t="s">
        <v>35</v>
      </c>
    </row>
    <row r="2" customFormat="false" ht="30.75" hidden="false" customHeight="true" outlineLevel="0" collapsed="false">
      <c r="A2" s="2" t="s">
        <v>36</v>
      </c>
      <c r="B2" s="2" t="s">
        <v>37</v>
      </c>
      <c r="C2" s="2" t="s">
        <v>38</v>
      </c>
      <c r="D2" s="2" t="s">
        <v>39</v>
      </c>
    </row>
    <row r="3" customFormat="false" ht="30.75" hidden="false" customHeight="true" outlineLevel="0" collapsed="false">
      <c r="A3" s="2" t="s">
        <v>40</v>
      </c>
      <c r="B3" s="2" t="s">
        <v>41</v>
      </c>
      <c r="C3" s="2" t="s">
        <v>42</v>
      </c>
      <c r="D3" s="2" t="s">
        <v>43</v>
      </c>
    </row>
    <row r="4" customFormat="false" ht="30.75" hidden="false" customHeight="true" outlineLevel="0" collapsed="false">
      <c r="A4" s="2" t="s">
        <v>44</v>
      </c>
      <c r="B4" s="2" t="s">
        <v>45</v>
      </c>
      <c r="C4" s="2" t="s">
        <v>46</v>
      </c>
      <c r="D4" s="2" t="s">
        <v>47</v>
      </c>
    </row>
    <row r="5" customFormat="false" ht="30.75" hidden="false" customHeight="true" outlineLevel="0" collapsed="false">
      <c r="A5" s="2" t="s">
        <v>48</v>
      </c>
      <c r="B5" s="2" t="n">
        <v>105</v>
      </c>
      <c r="C5" s="2" t="s">
        <v>49</v>
      </c>
      <c r="D5" s="2" t="s">
        <v>50</v>
      </c>
    </row>
    <row r="6" customFormat="false" ht="30.75" hidden="false" customHeight="true" outlineLevel="0" collapsed="false">
      <c r="A6" s="2" t="s">
        <v>51</v>
      </c>
      <c r="B6" s="2" t="n">
        <v>1</v>
      </c>
      <c r="C6" s="2" t="s">
        <v>52</v>
      </c>
      <c r="D6" s="2" t="s">
        <v>53</v>
      </c>
    </row>
    <row r="7" customFormat="false" ht="30.75" hidden="false" customHeight="true" outlineLevel="0" collapsed="false">
      <c r="A7" s="2" t="s">
        <v>54</v>
      </c>
      <c r="B7" s="2" t="s">
        <v>55</v>
      </c>
      <c r="C7" s="2" t="s">
        <v>52</v>
      </c>
      <c r="D7" s="2" t="s">
        <v>56</v>
      </c>
    </row>
    <row r="8" customFormat="false" ht="30.75" hidden="false" customHeight="true" outlineLevel="0" collapsed="false">
      <c r="A8" s="2" t="s">
        <v>57</v>
      </c>
      <c r="B8" s="2" t="s">
        <v>58</v>
      </c>
      <c r="C8" s="2" t="s">
        <v>59</v>
      </c>
      <c r="D8" s="2" t="s">
        <v>60</v>
      </c>
    </row>
    <row r="9" customFormat="false" ht="30.75" hidden="false" customHeight="true" outlineLevel="0" collapsed="false">
      <c r="A9" s="2" t="s">
        <v>61</v>
      </c>
      <c r="B9" s="2" t="s">
        <v>58</v>
      </c>
      <c r="C9" s="2" t="s">
        <v>62</v>
      </c>
      <c r="D9" s="2" t="s">
        <v>60</v>
      </c>
    </row>
    <row r="10" customFormat="false" ht="124.5" hidden="false" customHeight="true" outlineLevel="0" collapsed="false">
      <c r="A10" s="2" t="s">
        <v>63</v>
      </c>
      <c r="B10" s="2" t="s">
        <v>64</v>
      </c>
      <c r="C10" s="2" t="s">
        <v>62</v>
      </c>
      <c r="D10" s="2" t="s">
        <v>65</v>
      </c>
    </row>
  </sheetData>
  <autoFilter ref="A1:D10"/>
  <printOptions headings="false" gridLines="false" gridLinesSet="true" horizontalCentered="false" verticalCentered="false"/>
  <pageMargins left="0.25" right="0.25" top="0.4" bottom="0.400694444444444"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&amp;K667085Fellowship compliance audit | &amp;P / &amp;N</oddFooter>
  </headerFooter>
  <drawing r:id="rId1"/>
  <tableParts>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pane ySplit="1" topLeftCell="A2" activePane="bottomLeft" state="frozen"/>
      <selection pane="topLeft" activeCell="A1" activeCellId="0" sqref="A1"/>
    </sheetView>
  </sheetViews>
  <sheetFormatPr defaultColWidth="8.6875" defaultRowHeight="15" zeroHeight="false" outlineLevelRow="0" outlineLevelCol="0"/>
  <cols>
    <col collapsed="false" customWidth="true" hidden="false" outlineLevel="0" max="1" min="1" style="0" width="35"/>
    <col collapsed="false" customWidth="true" hidden="false" outlineLevel="0" max="2" min="2" style="0" width="34"/>
    <col collapsed="false" customWidth="true" hidden="false" outlineLevel="0" max="3" min="3" style="0" width="68"/>
    <col collapsed="false" customWidth="true" hidden="false" outlineLevel="0" max="4" min="4" style="0" width="3.99"/>
    <col collapsed="false" customWidth="true" hidden="false" outlineLevel="0" max="5" min="5" style="0" width="24"/>
    <col collapsed="false" customWidth="true" hidden="false" outlineLevel="0" max="6" min="6" style="0" width="14.01"/>
    <col collapsed="false" customWidth="true" hidden="false" outlineLevel="0" max="7" min="7" style="0" width="2.99"/>
    <col collapsed="false" customWidth="true" hidden="false" outlineLevel="0" max="10" min="8" style="0" width="16"/>
  </cols>
  <sheetData>
    <row r="1" customFormat="false" ht="33.75" hidden="false" customHeight="true" outlineLevel="0" collapsed="false">
      <c r="A1" s="1" t="s">
        <v>66</v>
      </c>
      <c r="B1" s="1" t="s">
        <v>67</v>
      </c>
      <c r="C1" s="1" t="s">
        <v>68</v>
      </c>
      <c r="D1" s="1"/>
      <c r="E1" s="1" t="s">
        <v>3</v>
      </c>
      <c r="F1" s="1" t="s">
        <v>69</v>
      </c>
    </row>
    <row r="2" customFormat="false" ht="25.5" hidden="false" customHeight="true" outlineLevel="0" collapsed="false">
      <c r="A2" s="2" t="s">
        <v>70</v>
      </c>
      <c r="B2" s="2" t="n">
        <f aca="false">COUNTIF(Policy_Criteria!D2:D7,"PASS")</f>
        <v>3</v>
      </c>
      <c r="C2" s="2" t="s">
        <v>71</v>
      </c>
      <c r="D2" s="2"/>
      <c r="E2" s="2" t="s">
        <v>72</v>
      </c>
      <c r="F2" s="2" t="n">
        <f aca="false">B2</f>
        <v>3</v>
      </c>
    </row>
    <row r="3" customFormat="false" ht="25.5" hidden="false" customHeight="true" outlineLevel="0" collapsed="false">
      <c r="A3" s="2" t="s">
        <v>73</v>
      </c>
      <c r="B3" s="2" t="n">
        <f aca="false">COUNTIF(Policy_Criteria!D2:D7,"FAIL")</f>
        <v>2</v>
      </c>
      <c r="C3" s="2" t="s">
        <v>71</v>
      </c>
      <c r="D3" s="2"/>
      <c r="E3" s="2" t="s">
        <v>74</v>
      </c>
      <c r="F3" s="2" t="n">
        <f aca="false">B3</f>
        <v>2</v>
      </c>
    </row>
    <row r="4" customFormat="false" ht="25.5" hidden="false" customHeight="true" outlineLevel="0" collapsed="false">
      <c r="A4" s="2" t="s">
        <v>75</v>
      </c>
      <c r="B4" s="2" t="n">
        <f aca="false">COUNTIF(Policy_Criteria!D2:D7,"NOT_VERIFIABLE")</f>
        <v>1</v>
      </c>
      <c r="C4" s="2" t="s">
        <v>71</v>
      </c>
      <c r="D4" s="2"/>
      <c r="E4" s="2" t="s">
        <v>26</v>
      </c>
      <c r="F4" s="2" t="n">
        <f aca="false">B4</f>
        <v>1</v>
      </c>
    </row>
    <row r="5" customFormat="false" ht="25.5" hidden="false" customHeight="true" outlineLevel="0" collapsed="false">
      <c r="A5" s="2" t="s">
        <v>76</v>
      </c>
      <c r="B5" s="3" t="str">
        <f aca="false">IF(B3&gt;0,"NO",IF(B4&gt;0,"NOT_VERIFIABLE","YES"))</f>
        <v>NO</v>
      </c>
      <c r="C5" s="2" t="s">
        <v>77</v>
      </c>
      <c r="D5" s="2"/>
      <c r="E5" s="2"/>
      <c r="F5" s="2"/>
    </row>
    <row r="6" customFormat="false" ht="25.5" hidden="false" customHeight="true" outlineLevel="0" collapsed="false">
      <c r="A6" s="2" t="s">
        <v>78</v>
      </c>
      <c r="B6" s="2" t="n">
        <f aca="false">MAX(0,2-Application_Evidence!B6)</f>
        <v>1</v>
      </c>
      <c r="C6" s="2" t="s">
        <v>79</v>
      </c>
      <c r="D6" s="2"/>
      <c r="E6" s="2"/>
      <c r="F6" s="2"/>
    </row>
    <row r="7" customFormat="false" ht="25.5" hidden="false" customHeight="true" outlineLevel="0" collapsed="false">
      <c r="A7" s="2" t="s">
        <v>48</v>
      </c>
      <c r="B7" s="2" t="n">
        <f aca="false">Application_Evidence!B5</f>
        <v>105</v>
      </c>
      <c r="C7" s="2" t="s">
        <v>80</v>
      </c>
      <c r="D7" s="2"/>
      <c r="E7" s="2"/>
      <c r="F7" s="2"/>
    </row>
    <row r="8" customFormat="false" ht="25.5" hidden="false" customHeight="true" outlineLevel="0" collapsed="false">
      <c r="A8" s="2" t="s">
        <v>81</v>
      </c>
      <c r="B8" s="2" t="s">
        <v>82</v>
      </c>
      <c r="C8" s="2" t="s">
        <v>83</v>
      </c>
      <c r="D8" s="2"/>
      <c r="E8" s="2"/>
      <c r="F8" s="2"/>
    </row>
    <row r="9" customFormat="false" ht="25.5" hidden="false" customHeight="true" outlineLevel="0" collapsed="false">
      <c r="A9" s="2" t="s">
        <v>84</v>
      </c>
      <c r="B9" s="2" t="s">
        <v>85</v>
      </c>
      <c r="C9" s="2" t="s">
        <v>86</v>
      </c>
      <c r="D9" s="2"/>
      <c r="E9" s="2"/>
      <c r="F9" s="2"/>
    </row>
    <row r="10" customFormat="false" ht="25.5" hidden="false" customHeight="true" outlineLevel="0" collapsed="false">
      <c r="A10" s="2" t="s">
        <v>87</v>
      </c>
      <c r="B10" s="2" t="s">
        <v>58</v>
      </c>
      <c r="C10" s="2" t="s">
        <v>88</v>
      </c>
      <c r="D10" s="2"/>
      <c r="E10" s="2"/>
      <c r="F10" s="2"/>
    </row>
  </sheetData>
  <autoFilter ref="A1:F10"/>
  <printOptions headings="false" gridLines="false" gridLinesSet="true" horizontalCentered="false" verticalCentered="false"/>
  <pageMargins left="0.25" right="0.25" top="0.4" bottom="0.400694444444444"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&amp;K667085Fellowship compliance audit | &amp;P / &amp;N</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tru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pane ySplit="1" topLeftCell="A2" activePane="bottomLeft" state="frozen"/>
      <selection pane="topLeft" activeCell="A1" activeCellId="0" sqref="A1"/>
    </sheetView>
  </sheetViews>
  <sheetFormatPr defaultColWidth="8.6875" defaultRowHeight="15" zeroHeight="false" outlineLevelRow="0" outlineLevelCol="0"/>
  <cols>
    <col collapsed="false" customWidth="true" hidden="false" outlineLevel="0" max="1" min="1" style="0" width="45.99"/>
    <col collapsed="false" customWidth="true" hidden="false" outlineLevel="0" max="2" min="2" style="0" width="42"/>
    <col collapsed="false" customWidth="true" hidden="false" outlineLevel="0" max="3" min="3" style="0" width="43"/>
    <col collapsed="false" customWidth="true" hidden="false" outlineLevel="0" max="4" min="4" style="0" width="19.99"/>
    <col collapsed="false" customWidth="true" hidden="false" outlineLevel="0" max="5" min="5" style="0" width="52"/>
  </cols>
  <sheetData>
    <row r="1" customFormat="false" ht="33.75" hidden="false" customHeight="true" outlineLevel="0" collapsed="false">
      <c r="A1" s="1" t="s">
        <v>89</v>
      </c>
      <c r="B1" s="1" t="s">
        <v>90</v>
      </c>
      <c r="C1" s="1" t="s">
        <v>91</v>
      </c>
      <c r="D1" s="1" t="s">
        <v>92</v>
      </c>
      <c r="E1" s="1" t="s">
        <v>93</v>
      </c>
    </row>
    <row r="2" customFormat="false" ht="42" hidden="false" customHeight="true" outlineLevel="0" collapsed="false">
      <c r="A2" s="2" t="s">
        <v>94</v>
      </c>
      <c r="B2" s="2" t="s">
        <v>95</v>
      </c>
      <c r="C2" s="2" t="s">
        <v>96</v>
      </c>
      <c r="D2" s="2" t="s">
        <v>97</v>
      </c>
      <c r="E2" s="2" t="s">
        <v>98</v>
      </c>
    </row>
    <row r="3" customFormat="false" ht="42" hidden="false" customHeight="true" outlineLevel="0" collapsed="false">
      <c r="A3" s="2" t="s">
        <v>99</v>
      </c>
      <c r="B3" s="2" t="s">
        <v>100</v>
      </c>
      <c r="C3" s="2" t="s">
        <v>101</v>
      </c>
      <c r="D3" s="2" t="s">
        <v>97</v>
      </c>
      <c r="E3" s="2" t="s">
        <v>102</v>
      </c>
    </row>
    <row r="4" customFormat="false" ht="42" hidden="false" customHeight="true" outlineLevel="0" collapsed="false">
      <c r="A4" s="2" t="s">
        <v>103</v>
      </c>
      <c r="B4" s="2" t="s">
        <v>104</v>
      </c>
      <c r="C4" s="2" t="s">
        <v>105</v>
      </c>
      <c r="D4" s="2" t="s">
        <v>106</v>
      </c>
      <c r="E4" s="2" t="s">
        <v>107</v>
      </c>
    </row>
    <row r="5" customFormat="false" ht="42" hidden="false" customHeight="true" outlineLevel="0" collapsed="false">
      <c r="A5" s="2" t="s">
        <v>108</v>
      </c>
      <c r="B5" s="2" t="s">
        <v>109</v>
      </c>
      <c r="C5" s="2" t="s">
        <v>110</v>
      </c>
      <c r="D5" s="2" t="s">
        <v>111</v>
      </c>
      <c r="E5" s="2" t="s">
        <v>112</v>
      </c>
    </row>
  </sheetData>
  <autoFilter ref="A1:E5"/>
  <conditionalFormatting sqref="D2:D5">
    <cfRule type="expression" priority="2" aboveAverage="0" equalAverage="0" bottom="0" percent="0" rank="0" text="" dxfId="6">
      <formula>D2="READY"</formula>
    </cfRule>
    <cfRule type="expression" priority="3" aboveAverage="0" equalAverage="0" bottom="0" percent="0" rank="0" text="" dxfId="8">
      <formula>OR(D2="BLOCKED",D2="TENTATIVE")</formula>
    </cfRule>
  </conditionalFormatting>
  <printOptions headings="false" gridLines="false" gridLinesSet="true" horizontalCentered="false" verticalCentered="false"/>
  <pageMargins left="0.25" right="0.25" top="0.4" bottom="0.400694444444444"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&amp;C&amp;8 &amp;K667085Fellowship compliance audit | &amp;P / &amp;N</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2026-09-01T07:14:00Z</dcterms:created>
  <dc:creator>EvoCowork OfficeBench adapter</dc:creator>
  <dc:description/>
  <dc:language>en-US</dc:language>
  <cp:lastModifiedBy/>
  <dcterms:modified xsi:type="dcterms:W3CDTF">2026-09-01T07:14:00Z</dcterms:modified>
  <cp:revision>0</cp:revision>
  <dc:subject/>
  <dc:title>Fellowship Compliance Audit</dc:title>
</cp:coreProperties>
</file>

<file path=docProps/custom.xml><?xml version="1.0" encoding="utf-8"?>
<Properties xmlns="http://schemas.openxmlformats.org/officeDocument/2006/custom-properties" xmlns:vt="http://schemas.openxmlformats.org/officeDocument/2006/docPropsVTypes"/>
</file>