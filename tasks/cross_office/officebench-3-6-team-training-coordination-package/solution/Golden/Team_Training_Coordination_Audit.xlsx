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oster_Control" sheetId="1" state="visible" r:id="rId2"/>
    <sheet name="Session_Control" sheetId="2" state="visible" r:id="rId3"/>
    <sheet name="Reminder_Control" sheetId="3" state="visible" r:id="rId4"/>
    <sheet name="Delivery_Summary" sheetId="4" state="visible" r:id="rId5"/>
  </sheets>
  <definedNames>
    <definedName function="false" hidden="false" localSheetId="3" name="_xlnm.Print_Area" vbProcedure="false">Delivery_Summary!$A$1:$M$9</definedName>
    <definedName function="false" hidden="true" localSheetId="3" name="_xlnm._FilterDatabase" vbProcedure="false">Delivery_Summary!$A$1:$E$9</definedName>
    <definedName function="false" hidden="false" localSheetId="2" name="_xlnm.Print_Area" vbProcedure="false">Reminder_Control!$A$1:$I$13</definedName>
    <definedName function="false" hidden="true" localSheetId="2" name="_xlnm._FilterDatabase" vbProcedure="false">Reminder_Control!$A$1:$I$13</definedName>
    <definedName function="false" hidden="false" localSheetId="0" name="_xlnm.Print_Area" vbProcedure="false">Roster_Control!$A$1:$K$13</definedName>
    <definedName function="false" hidden="true" localSheetId="0" name="_xlnm._FilterDatabase" vbProcedure="false">Roster_Control!$A$1:$K$13</definedName>
    <definedName function="false" hidden="false" localSheetId="1" name="_xlnm.Print_Area" vbProcedure="false">Session_Control!$A$1:$L$4</definedName>
    <definedName function="false" hidden="true" localSheetId="1" name="_xlnm._FilterDatabase" vbProcedure="false">Session_Control!$A$1:$L$4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<sst xmlns="http://schemas.openxmlformats.org/spreadsheetml/2006/main" count="186" uniqueCount="84">
  <si>
    <t xml:space="preserve">Source Row</t>
  </si>
  <si>
    <t xml:space="preserve">Name</t>
  </si>
  <si>
    <t xml:space="preserve">Section</t>
  </si>
  <si>
    <t xml:space="preserve">Source Time</t>
  </si>
  <si>
    <t xml:space="preserve">Start</t>
  </si>
  <si>
    <t xml:space="preserve">End</t>
  </si>
  <si>
    <t xml:space="preserve">Duration (Hours)</t>
  </si>
  <si>
    <t xml:space="preserve">Training Date</t>
  </si>
  <si>
    <t xml:space="preserve">Reserved Address</t>
  </si>
  <si>
    <t xml:space="preserve">Delivery Status</t>
  </si>
  <si>
    <t xml:space="preserve">Session UID</t>
  </si>
  <si>
    <t xml:space="preserve">Alice</t>
  </si>
  <si>
    <t xml:space="preserve">Section A</t>
  </si>
  <si>
    <t xml:space="preserve">9:00 AM - 11:00 AM</t>
  </si>
  <si>
    <t xml:space="preserve">BLOCKED_MISSING_REAL_EMAIL</t>
  </si>
  <si>
    <t xml:space="preserve">Bob</t>
  </si>
  <si>
    <t xml:space="preserve">Section B</t>
  </si>
  <si>
    <t xml:space="preserve">11:00 AM - 1:00 PM</t>
  </si>
  <si>
    <t xml:space="preserve">Carol</t>
  </si>
  <si>
    <t xml:space="preserve">Section C</t>
  </si>
  <si>
    <t xml:space="preserve">2:00 PM - 4:00 PM</t>
  </si>
  <si>
    <t xml:space="preserve">David</t>
  </si>
  <si>
    <t xml:space="preserve">Eva</t>
  </si>
  <si>
    <t xml:space="preserve">Frank</t>
  </si>
  <si>
    <t xml:space="preserve">Grace</t>
  </si>
  <si>
    <t xml:space="preserve">Hank</t>
  </si>
  <si>
    <t xml:space="preserve">Ivy</t>
  </si>
  <si>
    <t xml:space="preserve">Jack</t>
  </si>
  <si>
    <t xml:space="preserve">Kelly</t>
  </si>
  <si>
    <t xml:space="preserve">Leo</t>
  </si>
  <si>
    <t xml:space="preserve">Member Count</t>
  </si>
  <si>
    <t xml:space="preserve">Members</t>
  </si>
  <si>
    <t xml:space="preserve">Previous End</t>
  </si>
  <si>
    <t xml:space="preserve">Gap (Minutes)</t>
  </si>
  <si>
    <t xml:space="preserve">Overlap Flag</t>
  </si>
  <si>
    <t xml:space="preserve">Calendar Status</t>
  </si>
  <si>
    <t xml:space="preserve">Alice | David | Grace | Jack</t>
  </si>
  <si>
    <t xml:space="preserve">N/A</t>
  </si>
  <si>
    <t xml:space="preserve">section-a-training-20200508@evocowork.invalid</t>
  </si>
  <si>
    <t xml:space="preserve">TENTATIVE</t>
  </si>
  <si>
    <t xml:space="preserve">Bob | Eva | Hank | Kelly</t>
  </si>
  <si>
    <t xml:space="preserve">section-b-training-20200508@evocowork.invalid</t>
  </si>
  <si>
    <t xml:space="preserve">Carol | Frank | Ivy | Leo</t>
  </si>
  <si>
    <t xml:space="preserve">section-c-training-20200508@evocowork.invalid</t>
  </si>
  <si>
    <t xml:space="preserve">Reserved Recipient</t>
  </si>
  <si>
    <t xml:space="preserve">Subject</t>
  </si>
  <si>
    <t xml:space="preserve">Message ID</t>
  </si>
  <si>
    <t xml:space="preserve">Calendar Attachment</t>
  </si>
  <si>
    <t xml:space="preserve">&lt;alice-training-20200508@evocowork.invalid&gt;</t>
  </si>
  <si>
    <t xml:space="preserve">section-a-training.ics</t>
  </si>
  <si>
    <t xml:space="preserve">&lt;bob-training-20200508@evocowork.invalid&gt;</t>
  </si>
  <si>
    <t xml:space="preserve">section-b-training.ics</t>
  </si>
  <si>
    <t xml:space="preserve">&lt;carol-training-20200508@evocowork.invalid&gt;</t>
  </si>
  <si>
    <t xml:space="preserve">section-c-training.ics</t>
  </si>
  <si>
    <t xml:space="preserve">&lt;david-training-20200508@evocowork.invalid&gt;</t>
  </si>
  <si>
    <t xml:space="preserve">&lt;eva-training-20200508@evocowork.invalid&gt;</t>
  </si>
  <si>
    <t xml:space="preserve">&lt;frank-training-20200508@evocowork.invalid&gt;</t>
  </si>
  <si>
    <t xml:space="preserve">&lt;grace-training-20200508@evocowork.invalid&gt;</t>
  </si>
  <si>
    <t xml:space="preserve">&lt;hank-training-20200508@evocowork.invalid&gt;</t>
  </si>
  <si>
    <t xml:space="preserve">&lt;ivy-training-20200508@evocowork.invalid&gt;</t>
  </si>
  <si>
    <t xml:space="preserve">&lt;jack-training-20200508@evocowork.invalid&gt;</t>
  </si>
  <si>
    <t xml:space="preserve">&lt;kelly-training-20200508@evocowork.invalid&gt;</t>
  </si>
  <si>
    <t xml:space="preserve">&lt;leo-training-20200508@evocowork.invalid&gt;</t>
  </si>
  <si>
    <t xml:space="preserve">Metric</t>
  </si>
  <si>
    <t xml:space="preserve">Formula Value</t>
  </si>
  <si>
    <t xml:space="preserve">Expected</t>
  </si>
  <si>
    <t xml:space="preserve">Control Status</t>
  </si>
  <si>
    <t xml:space="preserve">Control Note</t>
  </si>
  <si>
    <t xml:space="preserve">Source Rows</t>
  </si>
  <si>
    <t xml:space="preserve">All frozen source rows retained</t>
  </si>
  <si>
    <t xml:space="preserve">Sections</t>
  </si>
  <si>
    <t xml:space="preserve">One master VEVENT per section</t>
  </si>
  <si>
    <t xml:space="preserve">Reminder Messages</t>
  </si>
  <si>
    <t xml:space="preserve">One multipart draft per source row</t>
  </si>
  <si>
    <t xml:space="preserve">Blocked Drafts</t>
  </si>
  <si>
    <t xml:space="preserve">No real addresses were supplied</t>
  </si>
  <si>
    <t xml:space="preserve">Calendar Events</t>
  </si>
  <si>
    <t xml:space="preserve">Stable UID per section</t>
  </si>
  <si>
    <t xml:space="preserve">Scheduled Hours</t>
  </si>
  <si>
    <t xml:space="preserve">Three sessions of two hours</t>
  </si>
  <si>
    <t xml:space="preserve">Inter-session Gap (Minutes)</t>
  </si>
  <si>
    <t xml:space="preserve">Only the B-to-C gap contributes</t>
  </si>
  <si>
    <t xml:space="preserve">Overlap Count</t>
  </si>
  <si>
    <t xml:space="preserve">Touching at 11:00 is not overlap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</si>
</sst>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\ AM/PM"/>
    <numFmt numFmtId="166" formatCode="yyyy\-mm\-dd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sz val="9"/>
      <color rgb="FF1F1F1F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472C4"/>
      </bottom>
      <diagonal/>
    </border>
    <border diagonalUp="false" diagonalDown="false">
      <left style="thin">
        <color rgb="FFB7C9D6"/>
      </left>
      <right style="thin">
        <color rgb="FFB7C9D6"/>
      </right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F1F1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2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 patternType="solid">
          <fgColor rgb="FFE2F0D9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Members per training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Session_Control!F1</c:f>
              <c:strCache>
                <c:ptCount val="1"/>
                <c:pt idx="0">
                  <c:v>Member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Session_Control!$A$2:$A$4</c:f>
              <c:strCache>
                <c:ptCount val="3"/>
                <c:pt idx="0">
                  <c:v>Section A</c:v>
                </c:pt>
                <c:pt idx="1">
                  <c:v>Section B</c:v>
                </c:pt>
                <c:pt idx="2">
                  <c:v>Section C</c:v>
                </c:pt>
              </c:strCache>
            </c:strRef>
          </c:cat>
          <c:val>
            <c:numRef>
              <c:f>Session_Control!$F$2:$F$4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20000001"/>
        <c:axId val="20000002"/>
      </c:barChart>
      <c:catAx>
        <c:axId val="2000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00002"/>
        <c:crosses val="autoZero"/>
        <c:auto val="1"/>
        <c:lblAlgn val="ctr"/>
        <c:lblOffset val="100"/>
        <c:noMultiLvlLbl val="0"/>
      </c:catAx>
      <c:valAx>
        <c:axId val="2000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Members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00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10</xdr:col>
      <xdr:colOff>163440</xdr:colOff>
      <xdr:row>8</xdr:row>
      <xdr:rowOff>57960</xdr:rowOff>
    </xdr:to>
    <xdr:graphicFrame>
      <xdr:nvGraphicFramePr>
        <xdr:cNvPr id="0" name="Chart 1"/>
        <xdr:cNvGraphicFramePr/>
      </xdr:nvGraphicFramePr>
      <xdr:xfrm>
        <a:off x="10442520" y="42876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iningDeliverySummaryTable" displayName="TrainingDeliverySummaryTable" ref="A1:E9" headerRowCount="1" totalsRowCount="0" totalsRowShown="0">
  <autoFilter ref="A1:E9"/>
  <tableColumns count="5">
    <tableColumn id="1" name="Metric"/>
    <tableColumn id="2" name="Formula Value"/>
    <tableColumn id="3" name="Expected"/>
    <tableColumn id="4" name="Control Status"/>
    <tableColumn id="5" name="Control Note"/>
  </tableColumns>
</table>
</file>

<file path=xl/tables/table2.xml><?xml version="1.0" encoding="utf-8"?>
<table xmlns="http://schemas.openxmlformats.org/spreadsheetml/2006/main" id="2" name="TrainingReminderControlTable" displayName="TrainingReminderControlTable" ref="A1:I13" headerRowCount="1" totalsRowCount="0" totalsRowShown="0">
  <autoFilter ref="A1:I13"/>
  <tableColumns count="9">
    <tableColumn id="1" name="Source Row"/>
    <tableColumn id="2" name="Name"/>
    <tableColumn id="3" name="Section"/>
    <tableColumn id="4" name="Reserved Recipient"/>
    <tableColumn id="5" name="Subject"/>
    <tableColumn id="6" name="Message ID"/>
    <tableColumn id="7" name="Calendar Attachment"/>
    <tableColumn id="8" name="Session UID"/>
    <tableColumn id="9" name="Delivery Status"/>
  </tableColumns>
</table>
</file>

<file path=xl/tables/table3.xml><?xml version="1.0" encoding="utf-8"?>
<table xmlns="http://schemas.openxmlformats.org/spreadsheetml/2006/main" id="3" name="TrainingRosterControlTable" displayName="TrainingRosterControlTable" ref="A1:K13" headerRowCount="1" totalsRowCount="0" totalsRowShown="0">
  <autoFilter ref="A1:K13"/>
  <tableColumns count="11">
    <tableColumn id="1" name="Source Row"/>
    <tableColumn id="2" name="Name"/>
    <tableColumn id="3" name="Section"/>
    <tableColumn id="4" name="Source Time"/>
    <tableColumn id="5" name="Start"/>
    <tableColumn id="6" name="End"/>
    <tableColumn id="7" name="Duration (Hours)"/>
    <tableColumn id="8" name="Training Date"/>
    <tableColumn id="9" name="Reserved Address"/>
    <tableColumn id="10" name="Delivery Status"/>
    <tableColumn id="11" name="Session UID"/>
  </tableColumns>
</table>
</file>

<file path=xl/tables/table4.xml><?xml version="1.0" encoding="utf-8"?>
<table xmlns="http://schemas.openxmlformats.org/spreadsheetml/2006/main" id="4" name="TrainingSessionControlTable" displayName="TrainingSessionControlTable" ref="A1:L4" headerRowCount="1" totalsRowCount="0" totalsRowShown="0">
  <autoFilter ref="A1:L4"/>
  <tableColumns count="12">
    <tableColumn id="1" name="Section"/>
    <tableColumn id="2" name="Training Date"/>
    <tableColumn id="3" name="Start"/>
    <tableColumn id="4" name="End"/>
    <tableColumn id="5" name="Duration (Hours)"/>
    <tableColumn id="6" name="Member Count"/>
    <tableColumn id="7" name="Members"/>
    <tableColumn id="8" name="Previous End"/>
    <tableColumn id="9" name="Gap (Minutes)"/>
    <tableColumn id="10" name="Overlap Flag"/>
    <tableColumn id="11" name="Session UID"/>
    <tableColumn id="12" name="Calendar Statu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6"/>
    <col collapsed="false" customWidth="true" hidden="false" outlineLevel="0" max="3" min="3" style="0" width="14.01"/>
    <col collapsed="false" customWidth="true" hidden="false" outlineLevel="0" max="4" min="4" style="0" width="25"/>
    <col collapsed="false" customWidth="true" hidden="false" outlineLevel="0" max="6" min="5" style="0" width="11.99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1.01"/>
    <col collapsed="false" customWidth="true" hidden="false" outlineLevel="0" max="10" min="10" style="0" width="32"/>
    <col collapsed="false" customWidth="true" hidden="false" outlineLevel="0" max="11" min="11" style="0" width="49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.75" hidden="false" customHeight="true" outlineLevel="0" collapsed="false">
      <c r="A2" s="2" t="n">
        <v>2</v>
      </c>
      <c r="B2" s="2" t="s">
        <v>11</v>
      </c>
      <c r="C2" s="2" t="s">
        <v>12</v>
      </c>
      <c r="D2" s="2" t="s">
        <v>13</v>
      </c>
      <c r="E2" s="3" t="n">
        <v>0.375</v>
      </c>
      <c r="F2" s="3" t="n">
        <v>0.458333333333333</v>
      </c>
      <c r="G2" s="2" t="n">
        <f aca="false">ROUND(MOD(F2-E2,1)*24,2)</f>
        <v>2</v>
      </c>
      <c r="H2" s="4" t="n">
        <v>43959</v>
      </c>
      <c r="I2" s="2" t="str">
        <f aca="false">LOWER(B2)&amp;"@example.invalid"</f>
        <v>alice@example.invalid</v>
      </c>
      <c r="J2" s="2" t="s">
        <v>14</v>
      </c>
      <c r="K2" s="2" t="str">
        <f aca="false">LOWER(SUBSTITUTE(C2," ","-"))&amp;"-training-20200508@evocowork.invalid"</f>
        <v>section-a-training-20200508@evocowork.invalid</v>
      </c>
    </row>
    <row r="3" customFormat="false" ht="30.75" hidden="false" customHeight="true" outlineLevel="0" collapsed="false">
      <c r="A3" s="2" t="n">
        <v>3</v>
      </c>
      <c r="B3" s="2" t="s">
        <v>15</v>
      </c>
      <c r="C3" s="2" t="s">
        <v>16</v>
      </c>
      <c r="D3" s="2" t="s">
        <v>17</v>
      </c>
      <c r="E3" s="3" t="n">
        <v>0.458333333333333</v>
      </c>
      <c r="F3" s="3" t="n">
        <v>0.541666666666667</v>
      </c>
      <c r="G3" s="2" t="n">
        <f aca="false">ROUND(MOD(F3-E3,1)*24,2)</f>
        <v>2</v>
      </c>
      <c r="H3" s="4" t="n">
        <v>43959</v>
      </c>
      <c r="I3" s="2" t="str">
        <f aca="false">LOWER(B3)&amp;"@example.invalid"</f>
        <v>bob@example.invalid</v>
      </c>
      <c r="J3" s="2" t="s">
        <v>14</v>
      </c>
      <c r="K3" s="2" t="str">
        <f aca="false">LOWER(SUBSTITUTE(C3," ","-"))&amp;"-training-20200508@evocowork.invalid"</f>
        <v>section-b-training-20200508@evocowork.invalid</v>
      </c>
    </row>
    <row r="4" customFormat="false" ht="30.75" hidden="false" customHeight="true" outlineLevel="0" collapsed="false">
      <c r="A4" s="2" t="n">
        <v>4</v>
      </c>
      <c r="B4" s="2" t="s">
        <v>18</v>
      </c>
      <c r="C4" s="2" t="s">
        <v>19</v>
      </c>
      <c r="D4" s="2" t="s">
        <v>20</v>
      </c>
      <c r="E4" s="3" t="n">
        <v>0.583333333333333</v>
      </c>
      <c r="F4" s="3" t="n">
        <v>0.666666666666667</v>
      </c>
      <c r="G4" s="2" t="n">
        <f aca="false">ROUND(MOD(F4-E4,1)*24,2)</f>
        <v>2</v>
      </c>
      <c r="H4" s="4" t="n">
        <v>43959</v>
      </c>
      <c r="I4" s="2" t="str">
        <f aca="false">LOWER(B4)&amp;"@example.invalid"</f>
        <v>carol@example.invalid</v>
      </c>
      <c r="J4" s="2" t="s">
        <v>14</v>
      </c>
      <c r="K4" s="2" t="str">
        <f aca="false">LOWER(SUBSTITUTE(C4," ","-"))&amp;"-training-20200508@evocowork.invalid"</f>
        <v>section-c-training-20200508@evocowork.invalid</v>
      </c>
    </row>
    <row r="5" customFormat="false" ht="30.75" hidden="false" customHeight="true" outlineLevel="0" collapsed="false">
      <c r="A5" s="2" t="n">
        <v>5</v>
      </c>
      <c r="B5" s="2" t="s">
        <v>21</v>
      </c>
      <c r="C5" s="2" t="s">
        <v>12</v>
      </c>
      <c r="D5" s="2" t="s">
        <v>13</v>
      </c>
      <c r="E5" s="3" t="n">
        <v>0.375</v>
      </c>
      <c r="F5" s="3" t="n">
        <v>0.458333333333333</v>
      </c>
      <c r="G5" s="2" t="n">
        <f aca="false">ROUND(MOD(F5-E5,1)*24,2)</f>
        <v>2</v>
      </c>
      <c r="H5" s="4" t="n">
        <v>43959</v>
      </c>
      <c r="I5" s="2" t="str">
        <f aca="false">LOWER(B5)&amp;"@example.invalid"</f>
        <v>david@example.invalid</v>
      </c>
      <c r="J5" s="2" t="s">
        <v>14</v>
      </c>
      <c r="K5" s="2" t="str">
        <f aca="false">LOWER(SUBSTITUTE(C5," ","-"))&amp;"-training-20200508@evocowork.invalid"</f>
        <v>section-a-training-20200508@evocowork.invalid</v>
      </c>
    </row>
    <row r="6" customFormat="false" ht="30.75" hidden="false" customHeight="true" outlineLevel="0" collapsed="false">
      <c r="A6" s="2" t="n">
        <v>6</v>
      </c>
      <c r="B6" s="2" t="s">
        <v>22</v>
      </c>
      <c r="C6" s="2" t="s">
        <v>16</v>
      </c>
      <c r="D6" s="2" t="s">
        <v>17</v>
      </c>
      <c r="E6" s="3" t="n">
        <v>0.458333333333333</v>
      </c>
      <c r="F6" s="3" t="n">
        <v>0.541666666666667</v>
      </c>
      <c r="G6" s="2" t="n">
        <f aca="false">ROUND(MOD(F6-E6,1)*24,2)</f>
        <v>2</v>
      </c>
      <c r="H6" s="4" t="n">
        <v>43959</v>
      </c>
      <c r="I6" s="2" t="str">
        <f aca="false">LOWER(B6)&amp;"@example.invalid"</f>
        <v>eva@example.invalid</v>
      </c>
      <c r="J6" s="2" t="s">
        <v>14</v>
      </c>
      <c r="K6" s="2" t="str">
        <f aca="false">LOWER(SUBSTITUTE(C6," ","-"))&amp;"-training-20200508@evocowork.invalid"</f>
        <v>section-b-training-20200508@evocowork.invalid</v>
      </c>
    </row>
    <row r="7" customFormat="false" ht="30.75" hidden="false" customHeight="true" outlineLevel="0" collapsed="false">
      <c r="A7" s="2" t="n">
        <v>7</v>
      </c>
      <c r="B7" s="2" t="s">
        <v>23</v>
      </c>
      <c r="C7" s="2" t="s">
        <v>19</v>
      </c>
      <c r="D7" s="2" t="s">
        <v>20</v>
      </c>
      <c r="E7" s="3" t="n">
        <v>0.583333333333333</v>
      </c>
      <c r="F7" s="3" t="n">
        <v>0.666666666666667</v>
      </c>
      <c r="G7" s="2" t="n">
        <f aca="false">ROUND(MOD(F7-E7,1)*24,2)</f>
        <v>2</v>
      </c>
      <c r="H7" s="4" t="n">
        <v>43959</v>
      </c>
      <c r="I7" s="2" t="str">
        <f aca="false">LOWER(B7)&amp;"@example.invalid"</f>
        <v>frank@example.invalid</v>
      </c>
      <c r="J7" s="2" t="s">
        <v>14</v>
      </c>
      <c r="K7" s="2" t="str">
        <f aca="false">LOWER(SUBSTITUTE(C7," ","-"))&amp;"-training-20200508@evocowork.invalid"</f>
        <v>section-c-training-20200508@evocowork.invalid</v>
      </c>
    </row>
    <row r="8" customFormat="false" ht="30.75" hidden="false" customHeight="true" outlineLevel="0" collapsed="false">
      <c r="A8" s="2" t="n">
        <v>8</v>
      </c>
      <c r="B8" s="2" t="s">
        <v>24</v>
      </c>
      <c r="C8" s="2" t="s">
        <v>12</v>
      </c>
      <c r="D8" s="2" t="s">
        <v>13</v>
      </c>
      <c r="E8" s="3" t="n">
        <v>0.375</v>
      </c>
      <c r="F8" s="3" t="n">
        <v>0.458333333333333</v>
      </c>
      <c r="G8" s="2" t="n">
        <f aca="false">ROUND(MOD(F8-E8,1)*24,2)</f>
        <v>2</v>
      </c>
      <c r="H8" s="4" t="n">
        <v>43959</v>
      </c>
      <c r="I8" s="2" t="str">
        <f aca="false">LOWER(B8)&amp;"@example.invalid"</f>
        <v>grace@example.invalid</v>
      </c>
      <c r="J8" s="2" t="s">
        <v>14</v>
      </c>
      <c r="K8" s="2" t="str">
        <f aca="false">LOWER(SUBSTITUTE(C8," ","-"))&amp;"-training-20200508@evocowork.invalid"</f>
        <v>section-a-training-20200508@evocowork.invalid</v>
      </c>
    </row>
    <row r="9" customFormat="false" ht="30.75" hidden="false" customHeight="true" outlineLevel="0" collapsed="false">
      <c r="A9" s="2" t="n">
        <v>9</v>
      </c>
      <c r="B9" s="2" t="s">
        <v>25</v>
      </c>
      <c r="C9" s="2" t="s">
        <v>16</v>
      </c>
      <c r="D9" s="2" t="s">
        <v>17</v>
      </c>
      <c r="E9" s="3" t="n">
        <v>0.458333333333333</v>
      </c>
      <c r="F9" s="3" t="n">
        <v>0.541666666666667</v>
      </c>
      <c r="G9" s="2" t="n">
        <f aca="false">ROUND(MOD(F9-E9,1)*24,2)</f>
        <v>2</v>
      </c>
      <c r="H9" s="4" t="n">
        <v>43959</v>
      </c>
      <c r="I9" s="2" t="str">
        <f aca="false">LOWER(B9)&amp;"@example.invalid"</f>
        <v>hank@example.invalid</v>
      </c>
      <c r="J9" s="2" t="s">
        <v>14</v>
      </c>
      <c r="K9" s="2" t="str">
        <f aca="false">LOWER(SUBSTITUTE(C9," ","-"))&amp;"-training-20200508@evocowork.invalid"</f>
        <v>section-b-training-20200508@evocowork.invalid</v>
      </c>
    </row>
    <row r="10" customFormat="false" ht="30.75" hidden="false" customHeight="true" outlineLevel="0" collapsed="false">
      <c r="A10" s="2" t="n">
        <v>10</v>
      </c>
      <c r="B10" s="2" t="s">
        <v>26</v>
      </c>
      <c r="C10" s="2" t="s">
        <v>19</v>
      </c>
      <c r="D10" s="2" t="s">
        <v>20</v>
      </c>
      <c r="E10" s="3" t="n">
        <v>0.583333333333333</v>
      </c>
      <c r="F10" s="3" t="n">
        <v>0.666666666666667</v>
      </c>
      <c r="G10" s="2" t="n">
        <f aca="false">ROUND(MOD(F10-E10,1)*24,2)</f>
        <v>2</v>
      </c>
      <c r="H10" s="4" t="n">
        <v>43959</v>
      </c>
      <c r="I10" s="2" t="str">
        <f aca="false">LOWER(B10)&amp;"@example.invalid"</f>
        <v>ivy@example.invalid</v>
      </c>
      <c r="J10" s="2" t="s">
        <v>14</v>
      </c>
      <c r="K10" s="2" t="str">
        <f aca="false">LOWER(SUBSTITUTE(C10," ","-"))&amp;"-training-20200508@evocowork.invalid"</f>
        <v>section-c-training-20200508@evocowork.invalid</v>
      </c>
    </row>
    <row r="11" customFormat="false" ht="30.75" hidden="false" customHeight="true" outlineLevel="0" collapsed="false">
      <c r="A11" s="2" t="n">
        <v>11</v>
      </c>
      <c r="B11" s="2" t="s">
        <v>27</v>
      </c>
      <c r="C11" s="2" t="s">
        <v>12</v>
      </c>
      <c r="D11" s="2" t="s">
        <v>13</v>
      </c>
      <c r="E11" s="3" t="n">
        <v>0.375</v>
      </c>
      <c r="F11" s="3" t="n">
        <v>0.458333333333333</v>
      </c>
      <c r="G11" s="2" t="n">
        <f aca="false">ROUND(MOD(F11-E11,1)*24,2)</f>
        <v>2</v>
      </c>
      <c r="H11" s="4" t="n">
        <v>43959</v>
      </c>
      <c r="I11" s="2" t="str">
        <f aca="false">LOWER(B11)&amp;"@example.invalid"</f>
        <v>jack@example.invalid</v>
      </c>
      <c r="J11" s="2" t="s">
        <v>14</v>
      </c>
      <c r="K11" s="2" t="str">
        <f aca="false">LOWER(SUBSTITUTE(C11," ","-"))&amp;"-training-20200508@evocowork.invalid"</f>
        <v>section-a-training-20200508@evocowork.invalid</v>
      </c>
    </row>
    <row r="12" customFormat="false" ht="30.75" hidden="false" customHeight="true" outlineLevel="0" collapsed="false">
      <c r="A12" s="2" t="n">
        <v>12</v>
      </c>
      <c r="B12" s="2" t="s">
        <v>28</v>
      </c>
      <c r="C12" s="2" t="s">
        <v>16</v>
      </c>
      <c r="D12" s="2" t="s">
        <v>17</v>
      </c>
      <c r="E12" s="3" t="n">
        <v>0.458333333333333</v>
      </c>
      <c r="F12" s="3" t="n">
        <v>0.541666666666667</v>
      </c>
      <c r="G12" s="2" t="n">
        <f aca="false">ROUND(MOD(F12-E12,1)*24,2)</f>
        <v>2</v>
      </c>
      <c r="H12" s="4" t="n">
        <v>43959</v>
      </c>
      <c r="I12" s="2" t="str">
        <f aca="false">LOWER(B12)&amp;"@example.invalid"</f>
        <v>kelly@example.invalid</v>
      </c>
      <c r="J12" s="2" t="s">
        <v>14</v>
      </c>
      <c r="K12" s="2" t="str">
        <f aca="false">LOWER(SUBSTITUTE(C12," ","-"))&amp;"-training-20200508@evocowork.invalid"</f>
        <v>section-b-training-20200508@evocowork.invalid</v>
      </c>
    </row>
    <row r="13" customFormat="false" ht="30.75" hidden="false" customHeight="true" outlineLevel="0" collapsed="false">
      <c r="A13" s="2" t="n">
        <v>13</v>
      </c>
      <c r="B13" s="2" t="s">
        <v>29</v>
      </c>
      <c r="C13" s="2" t="s">
        <v>19</v>
      </c>
      <c r="D13" s="2" t="s">
        <v>20</v>
      </c>
      <c r="E13" s="3" t="n">
        <v>0.583333333333333</v>
      </c>
      <c r="F13" s="3" t="n">
        <v>0.666666666666667</v>
      </c>
      <c r="G13" s="2" t="n">
        <f aca="false">ROUND(MOD(F13-E13,1)*24,2)</f>
        <v>2</v>
      </c>
      <c r="H13" s="4" t="n">
        <v>43959</v>
      </c>
      <c r="I13" s="2" t="str">
        <f aca="false">LOWER(B13)&amp;"@example.invalid"</f>
        <v>leo@example.invalid</v>
      </c>
      <c r="J13" s="2" t="s">
        <v>14</v>
      </c>
      <c r="K13" s="2" t="str">
        <f aca="false">LOWER(SUBSTITUTE(C13," ","-"))&amp;"-training-20200508@evocowork.invalid"</f>
        <v>section-c-training-20200508@evocowork.invalid</v>
      </c>
    </row>
  </sheetData>
  <autoFilter ref="A1:K13"/>
  <conditionalFormatting sqref="J2:J13">
    <cfRule type="expression" priority="2" aboveAverage="0" equalAverage="0" bottom="0" percent="0" rank="0" text="" dxfId="5">
      <formula>J2="BLOCKED_MISSING_REAL_EMAIL"</formula>
    </cfRule>
  </conditionalFormatting>
  <printOptions headings="false" gridLines="false" gridLinesSet="true" horizontalCentered="true" verticalCentered="false"/>
  <pageMargins left="0.25" right="0.25" top="0.450694444444444" bottom="0.450694444444444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&amp;C&amp;"Calibri,Bold"Team Training Coordination Audit</oddHeader>
    <oddFooter>&amp;RPage &amp;P of &amp;N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4" min="3" style="0" width="11.99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42"/>
    <col collapsed="false" customWidth="true" hidden="false" outlineLevel="0" max="10" min="8" style="0" width="15"/>
    <col collapsed="false" customWidth="true" hidden="false" outlineLevel="0" max="11" min="11" style="0" width="50"/>
    <col collapsed="false" customWidth="true" hidden="false" outlineLevel="0" max="12" min="12" style="0" width="18"/>
  </cols>
  <sheetData>
    <row r="1" customFormat="false" ht="33.75" hidden="false" customHeight="true" outlineLevel="0" collapsed="false">
      <c r="A1" s="1" t="s">
        <v>2</v>
      </c>
      <c r="B1" s="1" t="s">
        <v>7</v>
      </c>
      <c r="C1" s="1" t="s">
        <v>4</v>
      </c>
      <c r="D1" s="1" t="s">
        <v>5</v>
      </c>
      <c r="E1" s="1" t="s">
        <v>6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10</v>
      </c>
      <c r="L1" s="1" t="s">
        <v>35</v>
      </c>
    </row>
    <row r="2" customFormat="false" ht="37.5" hidden="false" customHeight="true" outlineLevel="0" collapsed="false">
      <c r="A2" s="2" t="s">
        <v>12</v>
      </c>
      <c r="B2" s="4" t="n">
        <v>43959</v>
      </c>
      <c r="C2" s="3" t="n">
        <v>0.375</v>
      </c>
      <c r="D2" s="3" t="n">
        <v>0.458333333333333</v>
      </c>
      <c r="E2" s="2" t="n">
        <f aca="false">ROUND(MOD(D2-C2,1)*24,2)</f>
        <v>2</v>
      </c>
      <c r="F2" s="2" t="n">
        <f aca="false">COUNTIF(Roster_Control!$C$2:$C$13,A2)</f>
        <v>4</v>
      </c>
      <c r="G2" s="2" t="s">
        <v>36</v>
      </c>
      <c r="H2" s="3"/>
      <c r="I2" s="2"/>
      <c r="J2" s="2" t="s">
        <v>37</v>
      </c>
      <c r="K2" s="2" t="s">
        <v>38</v>
      </c>
      <c r="L2" s="2" t="s">
        <v>39</v>
      </c>
    </row>
    <row r="3" customFormat="false" ht="37.5" hidden="false" customHeight="true" outlineLevel="0" collapsed="false">
      <c r="A3" s="2" t="s">
        <v>16</v>
      </c>
      <c r="B3" s="4" t="n">
        <v>43959</v>
      </c>
      <c r="C3" s="3" t="n">
        <v>0.458333333333333</v>
      </c>
      <c r="D3" s="3" t="n">
        <v>0.541666666666667</v>
      </c>
      <c r="E3" s="2" t="n">
        <f aca="false">ROUND(MOD(D3-C3,1)*24,2)</f>
        <v>2</v>
      </c>
      <c r="F3" s="2" t="n">
        <f aca="false">COUNTIF(Roster_Control!$C$2:$C$13,A3)</f>
        <v>4</v>
      </c>
      <c r="G3" s="2" t="s">
        <v>40</v>
      </c>
      <c r="H3" s="3" t="n">
        <f aca="false">D2</f>
        <v>0.458333333333333</v>
      </c>
      <c r="I3" s="2" t="n">
        <f aca="false">ROUND((C3-H3)*1440,0)</f>
        <v>0</v>
      </c>
      <c r="J3" s="2" t="str">
        <f aca="false">IF(C3&lt;H3,"YES","NO")</f>
        <v>NO</v>
      </c>
      <c r="K3" s="2" t="s">
        <v>41</v>
      </c>
      <c r="L3" s="2" t="s">
        <v>39</v>
      </c>
    </row>
    <row r="4" customFormat="false" ht="37.5" hidden="false" customHeight="true" outlineLevel="0" collapsed="false">
      <c r="A4" s="2" t="s">
        <v>19</v>
      </c>
      <c r="B4" s="4" t="n">
        <v>43959</v>
      </c>
      <c r="C4" s="3" t="n">
        <v>0.583333333333333</v>
      </c>
      <c r="D4" s="3" t="n">
        <v>0.666666666666667</v>
      </c>
      <c r="E4" s="2" t="n">
        <f aca="false">ROUND(MOD(D4-C4,1)*24,2)</f>
        <v>2</v>
      </c>
      <c r="F4" s="2" t="n">
        <f aca="false">COUNTIF(Roster_Control!$C$2:$C$13,A4)</f>
        <v>4</v>
      </c>
      <c r="G4" s="2" t="s">
        <v>42</v>
      </c>
      <c r="H4" s="3" t="n">
        <f aca="false">D3</f>
        <v>0.541666666666667</v>
      </c>
      <c r="I4" s="2" t="n">
        <f aca="false">ROUND((C4-H4)*1440,0)</f>
        <v>60</v>
      </c>
      <c r="J4" s="2" t="str">
        <f aca="false">IF(C4&lt;H4,"YES","NO")</f>
        <v>NO</v>
      </c>
      <c r="K4" s="2" t="s">
        <v>43</v>
      </c>
      <c r="L4" s="2" t="s">
        <v>39</v>
      </c>
    </row>
  </sheetData>
  <autoFilter ref="A1:L4"/>
  <conditionalFormatting sqref="J2:J4">
    <cfRule type="expression" priority="2" aboveAverage="0" equalAverage="0" bottom="0" percent="0" rank="0" text="" dxfId="6">
      <formula>J2="YES"</formula>
    </cfRule>
  </conditionalFormatting>
  <conditionalFormatting sqref="L2:L4">
    <cfRule type="expression" priority="3" aboveAverage="0" equalAverage="0" bottom="0" percent="0" rank="0" text="" dxfId="5">
      <formula>L2="TENTATIVE"</formula>
    </cfRule>
  </conditionalFormatting>
  <printOptions headings="false" gridLines="false" gridLinesSet="true" horizontalCentered="true" verticalCentered="false"/>
  <pageMargins left="0.25" right="0.25" top="0.450694444444444" bottom="0.450694444444444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&amp;C&amp;"Calibri,Bold"Team Training Coordination Audit</oddHeader>
    <oddFooter>&amp;RPage &amp;P of &amp;N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6"/>
    <col collapsed="false" customWidth="true" hidden="false" outlineLevel="0" max="3" min="3" style="0" width="14.01"/>
    <col collapsed="false" customWidth="true" hidden="false" outlineLevel="0" max="4" min="4" style="0" width="31.01"/>
    <col collapsed="false" customWidth="true" hidden="false" outlineLevel="0" max="6" min="5" style="0" width="48.01"/>
    <col collapsed="false" customWidth="true" hidden="false" outlineLevel="0" max="7" min="7" style="0" width="28.99"/>
    <col collapsed="false" customWidth="true" hidden="false" outlineLevel="0" max="8" min="8" style="0" width="49"/>
    <col collapsed="false" customWidth="true" hidden="false" outlineLevel="0" max="9" min="9" style="0" width="32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10</v>
      </c>
      <c r="I1" s="1" t="s">
        <v>9</v>
      </c>
    </row>
    <row r="2" customFormat="false" ht="37.5" hidden="false" customHeight="true" outlineLevel="0" collapsed="false">
      <c r="A2" s="2" t="n">
        <v>2</v>
      </c>
      <c r="B2" s="2" t="s">
        <v>11</v>
      </c>
      <c r="C2" s="2" t="s">
        <v>12</v>
      </c>
      <c r="D2" s="2" t="str">
        <f aca="false">LOWER(B2)&amp;"@example.invalid"</f>
        <v>alice@example.invalid</v>
      </c>
      <c r="E2" s="2" t="str">
        <f aca="false">"Team training reminder - "&amp;C2&amp;" - 2020-05-08"</f>
        <v>Team training reminder - Section A - 2020-05-08</v>
      </c>
      <c r="F2" s="2" t="s">
        <v>48</v>
      </c>
      <c r="G2" s="2" t="s">
        <v>49</v>
      </c>
      <c r="H2" s="2" t="s">
        <v>38</v>
      </c>
      <c r="I2" s="2" t="s">
        <v>14</v>
      </c>
    </row>
    <row r="3" customFormat="false" ht="37.5" hidden="false" customHeight="true" outlineLevel="0" collapsed="false">
      <c r="A3" s="2" t="n">
        <v>3</v>
      </c>
      <c r="B3" s="2" t="s">
        <v>15</v>
      </c>
      <c r="C3" s="2" t="s">
        <v>16</v>
      </c>
      <c r="D3" s="2" t="str">
        <f aca="false">LOWER(B3)&amp;"@example.invalid"</f>
        <v>bob@example.invalid</v>
      </c>
      <c r="E3" s="2" t="str">
        <f aca="false">"Team training reminder - "&amp;C3&amp;" - 2020-05-08"</f>
        <v>Team training reminder - Section B - 2020-05-08</v>
      </c>
      <c r="F3" s="2" t="s">
        <v>50</v>
      </c>
      <c r="G3" s="2" t="s">
        <v>51</v>
      </c>
      <c r="H3" s="2" t="s">
        <v>41</v>
      </c>
      <c r="I3" s="2" t="s">
        <v>14</v>
      </c>
    </row>
    <row r="4" customFormat="false" ht="37.5" hidden="false" customHeight="true" outlineLevel="0" collapsed="false">
      <c r="A4" s="2" t="n">
        <v>4</v>
      </c>
      <c r="B4" s="2" t="s">
        <v>18</v>
      </c>
      <c r="C4" s="2" t="s">
        <v>19</v>
      </c>
      <c r="D4" s="2" t="str">
        <f aca="false">LOWER(B4)&amp;"@example.invalid"</f>
        <v>carol@example.invalid</v>
      </c>
      <c r="E4" s="2" t="str">
        <f aca="false">"Team training reminder - "&amp;C4&amp;" - 2020-05-08"</f>
        <v>Team training reminder - Section C - 2020-05-08</v>
      </c>
      <c r="F4" s="2" t="s">
        <v>52</v>
      </c>
      <c r="G4" s="2" t="s">
        <v>53</v>
      </c>
      <c r="H4" s="2" t="s">
        <v>43</v>
      </c>
      <c r="I4" s="2" t="s">
        <v>14</v>
      </c>
    </row>
    <row r="5" customFormat="false" ht="37.5" hidden="false" customHeight="true" outlineLevel="0" collapsed="false">
      <c r="A5" s="2" t="n">
        <v>5</v>
      </c>
      <c r="B5" s="2" t="s">
        <v>21</v>
      </c>
      <c r="C5" s="2" t="s">
        <v>12</v>
      </c>
      <c r="D5" s="2" t="str">
        <f aca="false">LOWER(B5)&amp;"@example.invalid"</f>
        <v>david@example.invalid</v>
      </c>
      <c r="E5" s="2" t="str">
        <f aca="false">"Team training reminder - "&amp;C5&amp;" - 2020-05-08"</f>
        <v>Team training reminder - Section A - 2020-05-08</v>
      </c>
      <c r="F5" s="2" t="s">
        <v>54</v>
      </c>
      <c r="G5" s="2" t="s">
        <v>49</v>
      </c>
      <c r="H5" s="2" t="s">
        <v>38</v>
      </c>
      <c r="I5" s="2" t="s">
        <v>14</v>
      </c>
    </row>
    <row r="6" customFormat="false" ht="37.5" hidden="false" customHeight="true" outlineLevel="0" collapsed="false">
      <c r="A6" s="2" t="n">
        <v>6</v>
      </c>
      <c r="B6" s="2" t="s">
        <v>22</v>
      </c>
      <c r="C6" s="2" t="s">
        <v>16</v>
      </c>
      <c r="D6" s="2" t="str">
        <f aca="false">LOWER(B6)&amp;"@example.invalid"</f>
        <v>eva@example.invalid</v>
      </c>
      <c r="E6" s="2" t="str">
        <f aca="false">"Team training reminder - "&amp;C6&amp;" - 2020-05-08"</f>
        <v>Team training reminder - Section B - 2020-05-08</v>
      </c>
      <c r="F6" s="2" t="s">
        <v>55</v>
      </c>
      <c r="G6" s="2" t="s">
        <v>51</v>
      </c>
      <c r="H6" s="2" t="s">
        <v>41</v>
      </c>
      <c r="I6" s="2" t="s">
        <v>14</v>
      </c>
    </row>
    <row r="7" customFormat="false" ht="37.5" hidden="false" customHeight="true" outlineLevel="0" collapsed="false">
      <c r="A7" s="2" t="n">
        <v>7</v>
      </c>
      <c r="B7" s="2" t="s">
        <v>23</v>
      </c>
      <c r="C7" s="2" t="s">
        <v>19</v>
      </c>
      <c r="D7" s="2" t="str">
        <f aca="false">LOWER(B7)&amp;"@example.invalid"</f>
        <v>frank@example.invalid</v>
      </c>
      <c r="E7" s="2" t="str">
        <f aca="false">"Team training reminder - "&amp;C7&amp;" - 2020-05-08"</f>
        <v>Team training reminder - Section C - 2020-05-08</v>
      </c>
      <c r="F7" s="2" t="s">
        <v>56</v>
      </c>
      <c r="G7" s="2" t="s">
        <v>53</v>
      </c>
      <c r="H7" s="2" t="s">
        <v>43</v>
      </c>
      <c r="I7" s="2" t="s">
        <v>14</v>
      </c>
    </row>
    <row r="8" customFormat="false" ht="37.5" hidden="false" customHeight="true" outlineLevel="0" collapsed="false">
      <c r="A8" s="2" t="n">
        <v>8</v>
      </c>
      <c r="B8" s="2" t="s">
        <v>24</v>
      </c>
      <c r="C8" s="2" t="s">
        <v>12</v>
      </c>
      <c r="D8" s="2" t="str">
        <f aca="false">LOWER(B8)&amp;"@example.invalid"</f>
        <v>grace@example.invalid</v>
      </c>
      <c r="E8" s="2" t="str">
        <f aca="false">"Team training reminder - "&amp;C8&amp;" - 2020-05-08"</f>
        <v>Team training reminder - Section A - 2020-05-08</v>
      </c>
      <c r="F8" s="2" t="s">
        <v>57</v>
      </c>
      <c r="G8" s="2" t="s">
        <v>49</v>
      </c>
      <c r="H8" s="2" t="s">
        <v>38</v>
      </c>
      <c r="I8" s="2" t="s">
        <v>14</v>
      </c>
    </row>
    <row r="9" customFormat="false" ht="37.5" hidden="false" customHeight="true" outlineLevel="0" collapsed="false">
      <c r="A9" s="2" t="n">
        <v>9</v>
      </c>
      <c r="B9" s="2" t="s">
        <v>25</v>
      </c>
      <c r="C9" s="2" t="s">
        <v>16</v>
      </c>
      <c r="D9" s="2" t="str">
        <f aca="false">LOWER(B9)&amp;"@example.invalid"</f>
        <v>hank@example.invalid</v>
      </c>
      <c r="E9" s="2" t="str">
        <f aca="false">"Team training reminder - "&amp;C9&amp;" - 2020-05-08"</f>
        <v>Team training reminder - Section B - 2020-05-08</v>
      </c>
      <c r="F9" s="2" t="s">
        <v>58</v>
      </c>
      <c r="G9" s="2" t="s">
        <v>51</v>
      </c>
      <c r="H9" s="2" t="s">
        <v>41</v>
      </c>
      <c r="I9" s="2" t="s">
        <v>14</v>
      </c>
    </row>
    <row r="10" customFormat="false" ht="37.5" hidden="false" customHeight="true" outlineLevel="0" collapsed="false">
      <c r="A10" s="2" t="n">
        <v>10</v>
      </c>
      <c r="B10" s="2" t="s">
        <v>26</v>
      </c>
      <c r="C10" s="2" t="s">
        <v>19</v>
      </c>
      <c r="D10" s="2" t="str">
        <f aca="false">LOWER(B10)&amp;"@example.invalid"</f>
        <v>ivy@example.invalid</v>
      </c>
      <c r="E10" s="2" t="str">
        <f aca="false">"Team training reminder - "&amp;C10&amp;" - 2020-05-08"</f>
        <v>Team training reminder - Section C - 2020-05-08</v>
      </c>
      <c r="F10" s="2" t="s">
        <v>59</v>
      </c>
      <c r="G10" s="2" t="s">
        <v>53</v>
      </c>
      <c r="H10" s="2" t="s">
        <v>43</v>
      </c>
      <c r="I10" s="2" t="s">
        <v>14</v>
      </c>
    </row>
    <row r="11" customFormat="false" ht="37.5" hidden="false" customHeight="true" outlineLevel="0" collapsed="false">
      <c r="A11" s="2" t="n">
        <v>11</v>
      </c>
      <c r="B11" s="2" t="s">
        <v>27</v>
      </c>
      <c r="C11" s="2" t="s">
        <v>12</v>
      </c>
      <c r="D11" s="2" t="str">
        <f aca="false">LOWER(B11)&amp;"@example.invalid"</f>
        <v>jack@example.invalid</v>
      </c>
      <c r="E11" s="2" t="str">
        <f aca="false">"Team training reminder - "&amp;C11&amp;" - 2020-05-08"</f>
        <v>Team training reminder - Section A - 2020-05-08</v>
      </c>
      <c r="F11" s="2" t="s">
        <v>60</v>
      </c>
      <c r="G11" s="2" t="s">
        <v>49</v>
      </c>
      <c r="H11" s="2" t="s">
        <v>38</v>
      </c>
      <c r="I11" s="2" t="s">
        <v>14</v>
      </c>
    </row>
    <row r="12" customFormat="false" ht="37.5" hidden="false" customHeight="true" outlineLevel="0" collapsed="false">
      <c r="A12" s="2" t="n">
        <v>12</v>
      </c>
      <c r="B12" s="2" t="s">
        <v>28</v>
      </c>
      <c r="C12" s="2" t="s">
        <v>16</v>
      </c>
      <c r="D12" s="2" t="str">
        <f aca="false">LOWER(B12)&amp;"@example.invalid"</f>
        <v>kelly@example.invalid</v>
      </c>
      <c r="E12" s="2" t="str">
        <f aca="false">"Team training reminder - "&amp;C12&amp;" - 2020-05-08"</f>
        <v>Team training reminder - Section B - 2020-05-08</v>
      </c>
      <c r="F12" s="2" t="s">
        <v>61</v>
      </c>
      <c r="G12" s="2" t="s">
        <v>51</v>
      </c>
      <c r="H12" s="2" t="s">
        <v>41</v>
      </c>
      <c r="I12" s="2" t="s">
        <v>14</v>
      </c>
    </row>
    <row r="13" customFormat="false" ht="37.5" hidden="false" customHeight="true" outlineLevel="0" collapsed="false">
      <c r="A13" s="2" t="n">
        <v>13</v>
      </c>
      <c r="B13" s="2" t="s">
        <v>29</v>
      </c>
      <c r="C13" s="2" t="s">
        <v>19</v>
      </c>
      <c r="D13" s="2" t="str">
        <f aca="false">LOWER(B13)&amp;"@example.invalid"</f>
        <v>leo@example.invalid</v>
      </c>
      <c r="E13" s="2" t="str">
        <f aca="false">"Team training reminder - "&amp;C13&amp;" - 2020-05-08"</f>
        <v>Team training reminder - Section C - 2020-05-08</v>
      </c>
      <c r="F13" s="2" t="s">
        <v>62</v>
      </c>
      <c r="G13" s="2" t="s">
        <v>53</v>
      </c>
      <c r="H13" s="2" t="s">
        <v>43</v>
      </c>
      <c r="I13" s="2" t="s">
        <v>14</v>
      </c>
    </row>
  </sheetData>
  <autoFilter ref="A1:I13"/>
  <conditionalFormatting sqref="I2:I13">
    <cfRule type="expression" priority="2" aboveAverage="0" equalAverage="0" bottom="0" percent="0" rank="0" text="" dxfId="5">
      <formula>I2="BLOCKED_MISSING_REAL_EMAIL"</formula>
    </cfRule>
  </conditionalFormatting>
  <printOptions headings="false" gridLines="false" gridLinesSet="true" horizontalCentered="true" verticalCentered="false"/>
  <pageMargins left="0.25" right="0.25" top="0.450694444444444" bottom="0.450694444444444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&amp;C&amp;"Calibri,Bold"Team Training Coordination Audit</oddHeader>
    <oddFooter>&amp;RPage &amp;P of &amp;N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9.99"/>
    <col collapsed="false" customWidth="true" hidden="false" outlineLevel="0" max="5" min="5" style="0" width="58"/>
    <col collapsed="false" customWidth="true" hidden="false" outlineLevel="0" max="6" min="6" style="0" width="2.99"/>
    <col collapsed="false" customWidth="true" hidden="false" outlineLevel="0" max="12" min="7" style="0" width="16"/>
  </cols>
  <sheetData>
    <row r="1" customFormat="false" ht="33.75" hidden="false" customHeight="tru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customFormat="false" ht="28.5" hidden="false" customHeight="true" outlineLevel="0" collapsed="false">
      <c r="A2" s="2" t="s">
        <v>68</v>
      </c>
      <c r="B2" s="2" t="n">
        <f aca="false">COUNTA(Roster_Control!B2:B13)</f>
        <v>12</v>
      </c>
      <c r="C2" s="2" t="n">
        <v>12</v>
      </c>
      <c r="D2" s="2" t="str">
        <f aca="false">IF(B2=C2,"PASS","FAIL")</f>
        <v>PASS</v>
      </c>
      <c r="E2" s="2" t="s">
        <v>69</v>
      </c>
    </row>
    <row r="3" customFormat="false" ht="28.5" hidden="false" customHeight="true" outlineLevel="0" collapsed="false">
      <c r="A3" s="2" t="s">
        <v>70</v>
      </c>
      <c r="B3" s="2" t="n">
        <f aca="false">COUNTA(Session_Control!A2:A4)</f>
        <v>3</v>
      </c>
      <c r="C3" s="2" t="n">
        <v>3</v>
      </c>
      <c r="D3" s="2" t="str">
        <f aca="false">IF(B3=C3,"PASS","FAIL")</f>
        <v>PASS</v>
      </c>
      <c r="E3" s="2" t="s">
        <v>71</v>
      </c>
    </row>
    <row r="4" customFormat="false" ht="28.5" hidden="false" customHeight="true" outlineLevel="0" collapsed="false">
      <c r="A4" s="2" t="s">
        <v>72</v>
      </c>
      <c r="B4" s="2" t="n">
        <f aca="false">COUNTA(Reminder_Control!B2:B13)</f>
        <v>12</v>
      </c>
      <c r="C4" s="2" t="n">
        <v>12</v>
      </c>
      <c r="D4" s="2" t="str">
        <f aca="false">IF(B4=C4,"PASS","FAIL")</f>
        <v>PASS</v>
      </c>
      <c r="E4" s="2" t="s">
        <v>73</v>
      </c>
    </row>
    <row r="5" customFormat="false" ht="28.5" hidden="false" customHeight="true" outlineLevel="0" collapsed="false">
      <c r="A5" s="2" t="s">
        <v>74</v>
      </c>
      <c r="B5" s="2" t="n">
        <f aca="false">COUNTIF(Reminder_Control!I2:I13,"BLOCKED_MISSING_REAL_EMAIL")</f>
        <v>12</v>
      </c>
      <c r="C5" s="2" t="n">
        <v>12</v>
      </c>
      <c r="D5" s="2" t="str">
        <f aca="false">IF(B5=C5,"PASS","FAIL")</f>
        <v>PASS</v>
      </c>
      <c r="E5" s="2" t="s">
        <v>75</v>
      </c>
    </row>
    <row r="6" customFormat="false" ht="28.5" hidden="false" customHeight="true" outlineLevel="0" collapsed="false">
      <c r="A6" s="2" t="s">
        <v>76</v>
      </c>
      <c r="B6" s="2" t="n">
        <f aca="false">COUNTA(Session_Control!K2:K4)</f>
        <v>3</v>
      </c>
      <c r="C6" s="2" t="n">
        <v>3</v>
      </c>
      <c r="D6" s="2" t="str">
        <f aca="false">IF(B6=C6,"PASS","FAIL")</f>
        <v>PASS</v>
      </c>
      <c r="E6" s="2" t="s">
        <v>77</v>
      </c>
    </row>
    <row r="7" customFormat="false" ht="28.5" hidden="false" customHeight="true" outlineLevel="0" collapsed="false">
      <c r="A7" s="2" t="s">
        <v>78</v>
      </c>
      <c r="B7" s="2" t="n">
        <f aca="false">SUM(Session_Control!E2:E4)</f>
        <v>6</v>
      </c>
      <c r="C7" s="2" t="n">
        <v>6</v>
      </c>
      <c r="D7" s="2" t="str">
        <f aca="false">IF(B7=C7,"PASS","FAIL")</f>
        <v>PASS</v>
      </c>
      <c r="E7" s="2" t="s">
        <v>79</v>
      </c>
    </row>
    <row r="8" customFormat="false" ht="28.5" hidden="false" customHeight="true" outlineLevel="0" collapsed="false">
      <c r="A8" s="2" t="s">
        <v>80</v>
      </c>
      <c r="B8" s="2" t="n">
        <f aca="false">SUM(Session_Control!I2:I4)</f>
        <v>60</v>
      </c>
      <c r="C8" s="2" t="n">
        <v>60</v>
      </c>
      <c r="D8" s="2" t="str">
        <f aca="false">IF(B8=C8,"PASS","FAIL")</f>
        <v>PASS</v>
      </c>
      <c r="E8" s="2" t="s">
        <v>81</v>
      </c>
    </row>
    <row r="9" customFormat="false" ht="28.5" hidden="false" customHeight="true" outlineLevel="0" collapsed="false">
      <c r="A9" s="2" t="s">
        <v>82</v>
      </c>
      <c r="B9" s="2" t="n">
        <f aca="false">COUNTIF(Session_Control!J2:J4,"YES")</f>
        <v>0</v>
      </c>
      <c r="C9" s="2" t="n">
        <v>0</v>
      </c>
      <c r="D9" s="2" t="str">
        <f aca="false">IF(B9=C9,"PASS","FAIL")</f>
        <v>PASS</v>
      </c>
      <c r="E9" s="2" t="s">
        <v>83</v>
      </c>
    </row>
  </sheetData>
  <autoFilter ref="A1:E9"/>
  <conditionalFormatting sqref="D2:D9">
    <cfRule type="expression" priority="2" aboveAverage="0" equalAverage="0" bottom="0" percent="0" rank="0" text="" dxfId="8">
      <formula>D2="PASS"</formula>
    </cfRule>
    <cfRule type="expression" priority="3" aboveAverage="0" equalAverage="0" bottom="0" percent="0" rank="0" text="" dxfId="6">
      <formula>D2="FAIL"</formula>
    </cfRule>
  </conditionalFormatting>
  <printOptions headings="false" gridLines="false" gridLinesSet="true" horizontalCentered="true" verticalCentered="false"/>
  <pageMargins left="0.25" right="0.25" top="0.450694444444444" bottom="0.450694444444444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&amp;C&amp;"Calibri,Bold"Team Training Coordination Audit</oddHeader>
    <oddFooter>&amp;RPage &amp;P of &amp;N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2020-05-01T10:00:00Z</dcterms:created>
  <dc:creator>openpyxl</dc:creator>
  <dc:description/>
  <dc:language>en-US</dc:language>
  <cp:lastModifiedBy/>
  <dcterms:modified xsi:type="dcterms:W3CDTF">2020-05-01T10:00:00Z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