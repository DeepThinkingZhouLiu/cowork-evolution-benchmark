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Profile" sheetId="1" state="visible" r:id="rId2"/>
    <sheet name="Course_Ledger" sheetId="2" state="visible" r:id="rId3"/>
    <sheet name="Term_Audit" sheetId="3" state="visible" r:id="rId4"/>
    <sheet name="Summary" sheetId="4" state="visible" r:id="rId5"/>
  </sheets>
  <definedNames>
    <definedName function="false" hidden="false" localSheetId="1" name="_xlnm.Print_Area" vbProcedure="false">Course_Ledger!$A$1:$I$24</definedName>
    <definedName function="false" hidden="false" localSheetId="1" name="_xlnm.Print_Titles" vbProcedure="false">Course_Ledger!$1:$1</definedName>
    <definedName function="false" hidden="true" localSheetId="1" name="_xlnm._FilterDatabase" vbProcedure="false">Course_Ledger!$A$1:$I$24</definedName>
    <definedName function="false" hidden="false" localSheetId="0" name="_xlnm.Print_Area" vbProcedure="false">Source_Profile!$A$1:$D$11</definedName>
    <definedName function="false" hidden="false" localSheetId="0" name="_xlnm.Print_Titles" vbProcedure="false">Source_Profile!$1:$1</definedName>
    <definedName function="false" hidden="true" localSheetId="0" name="_xlnm._FilterDatabase" vbProcedure="false">Source_Profile!$A$1:$D$11</definedName>
    <definedName function="false" hidden="false" localSheetId="3" name="_xlnm.Print_Area" vbProcedure="false">Summary!$A$1:$O$17</definedName>
    <definedName function="false" hidden="false" localSheetId="3" name="_xlnm.Print_Titles" vbProcedure="false">Summary!$1:$1</definedName>
    <definedName function="false" hidden="true" localSheetId="3" name="_xlnm._FilterDatabase" vbProcedure="false">Summary!$A$1:$C$17</definedName>
    <definedName function="false" hidden="false" localSheetId="2" name="_xlnm.Print_Area" vbProcedure="false">Term_Audit!$A$1:$G$33</definedName>
    <definedName function="false" hidden="false" localSheetId="2" name="_xlnm.Print_Titles" vbProcedure="false">Term_Audit!$1:$1</definedName>
    <definedName function="false" hidden="true" localSheetId="2" name="_xlnm._FilterDatabase" vbProcedure="false">Term_Audit!$A$1:$G$33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<sst xmlns="http://schemas.openxmlformats.org/spreadsheetml/2006/main" count="251" uniqueCount="119">
  <si>
    <t xml:space="preserve">Field</t>
  </si>
  <si>
    <t xml:space="preserve">Extracted_Value</t>
  </si>
  <si>
    <t xml:space="preserve">Evidence_Location</t>
  </si>
  <si>
    <t xml:space="preserve">Audit_Note</t>
  </si>
  <si>
    <t xml:space="preserve">Student</t>
  </si>
  <si>
    <t xml:space="preserve">Teddy Roosevelt</t>
  </si>
  <si>
    <t xml:space="preserve">Header — Student</t>
  </si>
  <si>
    <t xml:space="preserve">Academic identifier retained; direct contact details excluded</t>
  </si>
  <si>
    <t xml:space="preserve">Issue_Date</t>
  </si>
  <si>
    <t xml:space="preserve">October 25, 2018</t>
  </si>
  <si>
    <t xml:space="preserve">Header — Date Issued</t>
  </si>
  <si>
    <t xml:space="preserve">Source-reported date</t>
  </si>
  <si>
    <t xml:space="preserve">Credits_Earned</t>
  </si>
  <si>
    <t xml:space="preserve">Header — Credits Earned</t>
  </si>
  <si>
    <t xml:space="preserve">Matches visible course-credit total</t>
  </si>
  <si>
    <t xml:space="preserve">Weighted_GPA</t>
  </si>
  <si>
    <t xml:space="preserve">Header — Weighted GPA</t>
  </si>
  <si>
    <t xml:space="preserve">Source-reported; weighting policy not supplied</t>
  </si>
  <si>
    <t xml:space="preserve">Unweighted_GPA</t>
  </si>
  <si>
    <t xml:space="preserve">Header — Unweighted GPA</t>
  </si>
  <si>
    <t xml:space="preserve">Matches independent A/B/C recalculation after rounding</t>
  </si>
  <si>
    <t xml:space="preserve">PDF_File_Type</t>
  </si>
  <si>
    <t xml:space="preserve">Image-only</t>
  </si>
  <si>
    <t xml:space="preserve">PDF object inspection</t>
  </si>
  <si>
    <t xml:space="preserve">No extractable text layer</t>
  </si>
  <si>
    <t xml:space="preserve">Delivered_PDF_Pages</t>
  </si>
  <si>
    <t xml:space="preserve">PDF page tree</t>
  </si>
  <si>
    <t xml:space="preserve">Only one page is present in the delivered file</t>
  </si>
  <si>
    <t xml:space="preserve">Printed_Page_Marker</t>
  </si>
  <si>
    <t xml:space="preserve">1 of 2</t>
  </si>
  <si>
    <t xml:space="preserve">Visible page footer</t>
  </si>
  <si>
    <t xml:space="preserve">Printed marker claims a two-page source</t>
  </si>
  <si>
    <t xml:space="preserve">Printed_Total_Pages</t>
  </si>
  <si>
    <t xml:space="preserve">Do not infer missing-page content</t>
  </si>
  <si>
    <t xml:space="preserve">Source_Completeness_Risk</t>
  </si>
  <si>
    <t xml:space="preserve">Potentially incomplete</t>
  </si>
  <si>
    <t xml:space="preserve">Delivered pages vs printed marker</t>
  </si>
  <si>
    <t xml:space="preserve">Escalate before a completeness-sensitive decision</t>
  </si>
  <si>
    <t xml:space="preserve">Sequence</t>
  </si>
  <si>
    <t xml:space="preserve">Academic_Year</t>
  </si>
  <si>
    <t xml:space="preserve">Term</t>
  </si>
  <si>
    <t xml:space="preserve">Course</t>
  </si>
  <si>
    <t xml:space="preserve">Program_Tag</t>
  </si>
  <si>
    <t xml:space="preserve">Grade</t>
  </si>
  <si>
    <t xml:space="preserve">Credits</t>
  </si>
  <si>
    <t xml:space="preserve">Unweighted_Grade_Points</t>
  </si>
  <si>
    <t xml:space="preserve">Unweighted_Quality_Points</t>
  </si>
  <si>
    <t xml:space="preserve">2014/2015</t>
  </si>
  <si>
    <t xml:space="preserve">Fall</t>
  </si>
  <si>
    <t xml:space="preserve">Physical Science</t>
  </si>
  <si>
    <t xml:space="preserve">A</t>
  </si>
  <si>
    <t xml:space="preserve">U.S. History</t>
  </si>
  <si>
    <t xml:space="preserve">Winter</t>
  </si>
  <si>
    <t xml:space="preserve">Tennis</t>
  </si>
  <si>
    <t xml:space="preserve">Spring</t>
  </si>
  <si>
    <t xml:space="preserve">English Composition</t>
  </si>
  <si>
    <t xml:space="preserve">Music Appreciation</t>
  </si>
  <si>
    <t xml:space="preserve">B</t>
  </si>
  <si>
    <t xml:space="preserve">Summer</t>
  </si>
  <si>
    <t xml:space="preserve">Algebra I</t>
  </si>
  <si>
    <t xml:space="preserve">2015/2016</t>
  </si>
  <si>
    <t xml:space="preserve">American Literature</t>
  </si>
  <si>
    <t xml:space="preserve">Art Appreciation</t>
  </si>
  <si>
    <t xml:space="preserve">Soccer</t>
  </si>
  <si>
    <t xml:space="preserve">Algebra II</t>
  </si>
  <si>
    <t xml:space="preserve">Biology</t>
  </si>
  <si>
    <t xml:space="preserve">World History</t>
  </si>
  <si>
    <t xml:space="preserve">2016/2017</t>
  </si>
  <si>
    <t xml:space="preserve">Modern Literature</t>
  </si>
  <si>
    <t xml:space="preserve">Music Instruction</t>
  </si>
  <si>
    <t xml:space="preserve">C</t>
  </si>
  <si>
    <t xml:space="preserve">Baseball</t>
  </si>
  <si>
    <t xml:space="preserve">Geometry</t>
  </si>
  <si>
    <t xml:space="preserve">Chemistry</t>
  </si>
  <si>
    <t xml:space="preserve">Trigonometry</t>
  </si>
  <si>
    <t xml:space="preserve">2017/2018</t>
  </si>
  <si>
    <t xml:space="preserve">Geography</t>
  </si>
  <si>
    <t xml:space="preserve">Physics</t>
  </si>
  <si>
    <t xml:space="preserve">Economics</t>
  </si>
  <si>
    <t xml:space="preserve">Drama</t>
  </si>
  <si>
    <t xml:space="preserve">DE</t>
  </si>
  <si>
    <t xml:space="preserve">World Literature</t>
  </si>
  <si>
    <t xml:space="preserve">AP</t>
  </si>
  <si>
    <t xml:space="preserve">Course_Count</t>
  </si>
  <si>
    <t xml:space="preserve">Calculated_Unweighted_Term_GPA</t>
  </si>
  <si>
    <t xml:space="preserve">Displayed_Term_GPA</t>
  </si>
  <si>
    <t xml:space="preserve">Cumulative_Credits</t>
  </si>
  <si>
    <t xml:space="preserve">Cumulative_Unweighted_Points</t>
  </si>
  <si>
    <t xml:space="preserve">Calculated_Cumulative_Unweighted_GPA</t>
  </si>
  <si>
    <t xml:space="preserve">Displayed_Cumulative_GPA</t>
  </si>
  <si>
    <t xml:space="preserve">Displayed_vs_Calculated_Delta</t>
  </si>
  <si>
    <t xml:space="preserve">Metric</t>
  </si>
  <si>
    <t xml:space="preserve">Value</t>
  </si>
  <si>
    <t xml:space="preserve">Interpretation</t>
  </si>
  <si>
    <t xml:space="preserve">Extracted_Courses</t>
  </si>
  <si>
    <t xml:space="preserve">Visible courses only</t>
  </si>
  <si>
    <t xml:space="preserve">Extracted_Credits</t>
  </si>
  <si>
    <t xml:space="preserve">Must reconcile to header credits</t>
  </si>
  <si>
    <t xml:space="preserve">Grade_A_Count</t>
  </si>
  <si>
    <t xml:space="preserve">Unweighted grade distribution</t>
  </si>
  <si>
    <t xml:space="preserve">Grade_B_Count</t>
  </si>
  <si>
    <t xml:space="preserve">Grade_C_Count</t>
  </si>
  <si>
    <t xml:space="preserve">A=4, B=3, C=2, D=1, F=0</t>
  </si>
  <si>
    <t xml:space="preserve">Calculated_Unweighted_GPA</t>
  </si>
  <si>
    <t xml:space="preserve">Independent course-level recalculation</t>
  </si>
  <si>
    <t xml:space="preserve">Rounded_Calculated_Unweighted_GPA</t>
  </si>
  <si>
    <t xml:space="preserve">Two-decimal comparison value</t>
  </si>
  <si>
    <t xml:space="preserve">Reported_Unweighted_GPA</t>
  </si>
  <si>
    <t xml:space="preserve">Source header value</t>
  </si>
  <si>
    <t xml:space="preserve">Rounded_Unweighted_Delta</t>
  </si>
  <si>
    <t xml:space="preserve">Expected zero</t>
  </si>
  <si>
    <t xml:space="preserve">Reported_Weighted_GPA</t>
  </si>
  <si>
    <t xml:space="preserve">Source-reported; policy absent</t>
  </si>
  <si>
    <t xml:space="preserve">Final_Displayed_Cumulative_GPA</t>
  </si>
  <si>
    <t xml:space="preserve">Last visible term</t>
  </si>
  <si>
    <t xml:space="preserve">Weighted_vs_Final_Displayed_Delta</t>
  </si>
  <si>
    <t xml:space="preserve">Actual PDF page tree</t>
  </si>
  <si>
    <t xml:space="preserve">Visible footer claim</t>
  </si>
  <si>
    <t xml:space="preserve">Source_Completeness_Flag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</si>
</sst>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b val="true"/>
      <sz val="9"/>
      <color rgb="FF17324D"/>
      <name val="Aptos"/>
      <family val="0"/>
      <charset val="1"/>
    </font>
    <font>
      <sz val="9"/>
      <color rgb="FF17324D"/>
      <name val="Aptos"/>
      <family val="0"/>
      <charset val="1"/>
    </font>
    <font>
      <b val="true"/>
      <sz val="11"/>
      <color rgb="FF168AAD"/>
      <name val="Aptos Display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3F8"/>
        <bgColor rgb="FFFB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A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24D"/>
        </patternFill>
      </fill>
    </dxf>
    <dxf>
      <fill>
        <patternFill patternType="solid">
          <fgColor rgb="FFEAF3F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00FFFFFF"/>
        </patternFill>
      </fill>
    </dxf>
    <dxf>
      <fill>
        <patternFill>
          <bgColor rgb="FFFFF4D6"/>
        </patternFill>
      </fill>
    </dxf>
    <dxf>
      <fill>
        <patternFill patternType="solid">
          <fgColor rgb="FFFBE9E7"/>
        </patternFill>
      </fill>
    </dxf>
    <dxf>
      <fill>
        <patternFill>
          <bgColor rgb="FFFBE9E7"/>
        </patternFill>
      </fill>
    </dxf>
    <dxf>
      <fill>
        <patternFill patternType="solid">
          <fgColor rgb="FF168A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B3C992"/>
      <rgbColor rgb="FF878787"/>
      <rgbColor rgb="FF9999FF"/>
      <rgbColor rgb="FF993366"/>
      <rgbColor rgb="FFFFF4D6"/>
      <rgbColor rgb="FFEAF3F8"/>
      <rgbColor rgb="FF660066"/>
      <rgbColor rgb="FFFF8080"/>
      <rgbColor rgb="FF0066CC"/>
      <rgbColor rgb="FFCA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A44B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GPA: recalculated vs displayed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"Calculated unweighted"</c:f>
              <c:strCache>
                <c:ptCount val="1"/>
                <c:pt idx="0">
                  <c:v>Calculated unweighted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Term_Audit!$B$19:$B$33</c:f>
              <c:strCache>
                <c:ptCount val="15"/>
                <c:pt idx="0">
                  <c:v>Fall</c:v>
                </c:pt>
                <c:pt idx="1">
                  <c:v>Winter</c:v>
                </c:pt>
                <c:pt idx="2">
                  <c:v>Spring</c:v>
                </c:pt>
                <c:pt idx="3">
                  <c:v>Summer</c:v>
                </c:pt>
                <c:pt idx="4">
                  <c:v>Fall</c:v>
                </c:pt>
                <c:pt idx="5">
                  <c:v>Winter</c:v>
                </c:pt>
                <c:pt idx="6">
                  <c:v>Spring</c:v>
                </c:pt>
                <c:pt idx="7">
                  <c:v>Summer</c:v>
                </c:pt>
                <c:pt idx="8">
                  <c:v>Fall</c:v>
                </c:pt>
                <c:pt idx="9">
                  <c:v>Winter</c:v>
                </c:pt>
                <c:pt idx="10">
                  <c:v>Spring</c:v>
                </c:pt>
                <c:pt idx="11">
                  <c:v>Summer</c:v>
                </c:pt>
                <c:pt idx="12">
                  <c:v>Fall</c:v>
                </c:pt>
                <c:pt idx="13">
                  <c:v>Winter</c:v>
                </c:pt>
                <c:pt idx="14">
                  <c:v>Spring</c:v>
                </c:pt>
              </c:strCache>
            </c:strRef>
          </c:cat>
          <c:val>
            <c:numRef>
              <c:f>Term_Audit!$E$19:$E$33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3.8</c:v>
                </c:pt>
                <c:pt idx="3">
                  <c:v>3.83333333333333</c:v>
                </c:pt>
                <c:pt idx="4">
                  <c:v>3.875</c:v>
                </c:pt>
                <c:pt idx="5">
                  <c:v>3.88888888888889</c:v>
                </c:pt>
                <c:pt idx="6">
                  <c:v>3.81818181818182</c:v>
                </c:pt>
                <c:pt idx="7">
                  <c:v>3.83333333333333</c:v>
                </c:pt>
                <c:pt idx="8">
                  <c:v>3.64285714285714</c:v>
                </c:pt>
                <c:pt idx="9">
                  <c:v>3.66666666666667</c:v>
                </c:pt>
                <c:pt idx="10">
                  <c:v>3.58823529411765</c:v>
                </c:pt>
                <c:pt idx="11">
                  <c:v>3.61111111111111</c:v>
                </c:pt>
                <c:pt idx="12">
                  <c:v>3.65</c:v>
                </c:pt>
                <c:pt idx="13">
                  <c:v>3.66666666666667</c:v>
                </c:pt>
                <c:pt idx="14">
                  <c:v>3.65217391304348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"Displayed"</c:f>
              <c:strCache>
                <c:ptCount val="1"/>
                <c:pt idx="0">
                  <c:v>Displayed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Term_Audit!$B$19:$B$33</c:f>
              <c:strCache>
                <c:ptCount val="15"/>
                <c:pt idx="0">
                  <c:v>Fall</c:v>
                </c:pt>
                <c:pt idx="1">
                  <c:v>Winter</c:v>
                </c:pt>
                <c:pt idx="2">
                  <c:v>Spring</c:v>
                </c:pt>
                <c:pt idx="3">
                  <c:v>Summer</c:v>
                </c:pt>
                <c:pt idx="4">
                  <c:v>Fall</c:v>
                </c:pt>
                <c:pt idx="5">
                  <c:v>Winter</c:v>
                </c:pt>
                <c:pt idx="6">
                  <c:v>Spring</c:v>
                </c:pt>
                <c:pt idx="7">
                  <c:v>Summer</c:v>
                </c:pt>
                <c:pt idx="8">
                  <c:v>Fall</c:v>
                </c:pt>
                <c:pt idx="9">
                  <c:v>Winter</c:v>
                </c:pt>
                <c:pt idx="10">
                  <c:v>Spring</c:v>
                </c:pt>
                <c:pt idx="11">
                  <c:v>Summer</c:v>
                </c:pt>
                <c:pt idx="12">
                  <c:v>Fall</c:v>
                </c:pt>
                <c:pt idx="13">
                  <c:v>Winter</c:v>
                </c:pt>
                <c:pt idx="14">
                  <c:v>Spring</c:v>
                </c:pt>
              </c:strCache>
            </c:strRef>
          </c:cat>
          <c:val>
            <c:numRef>
              <c:f>Term_Audit!$F$19:$F$33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3.8</c:v>
                </c:pt>
                <c:pt idx="3">
                  <c:v>3.83</c:v>
                </c:pt>
                <c:pt idx="4">
                  <c:v>3.88</c:v>
                </c:pt>
                <c:pt idx="5">
                  <c:v>3.89</c:v>
                </c:pt>
                <c:pt idx="6">
                  <c:v>3.82</c:v>
                </c:pt>
                <c:pt idx="7">
                  <c:v>3.83</c:v>
                </c:pt>
                <c:pt idx="8">
                  <c:v>3.64</c:v>
                </c:pt>
                <c:pt idx="9">
                  <c:v>3.67</c:v>
                </c:pt>
                <c:pt idx="10">
                  <c:v>3.59</c:v>
                </c:pt>
                <c:pt idx="11">
                  <c:v>3.61</c:v>
                </c:pt>
                <c:pt idx="12">
                  <c:v>3.65</c:v>
                </c:pt>
                <c:pt idx="13">
                  <c:v>3.67</c:v>
                </c:pt>
                <c:pt idx="14">
                  <c:v>3.78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17001"/>
        <c:axId val="36917002"/>
      </c:lineChart>
      <c:catAx>
        <c:axId val="36917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Term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7002"/>
        <c:crosses val="autoZero"/>
        <c:auto val="1"/>
        <c:lblAlgn val="ctr"/>
        <c:lblOffset val="100"/>
        <c:noMultiLvlLbl val="0"/>
      </c:catAx>
      <c:valAx>
        <c:axId val="36917002"/>
        <c:scaling>
          <c:orientation val="minMax"/>
          <c:max val="4.1"/>
          <c:min val="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7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322560</xdr:colOff>
      <xdr:row>14</xdr:row>
      <xdr:rowOff>115200</xdr:rowOff>
    </xdr:to>
    <xdr:graphicFrame>
      <xdr:nvGraphicFramePr>
        <xdr:cNvPr id="0" name="Chart 1"/>
        <xdr:cNvGraphicFramePr/>
      </xdr:nvGraphicFramePr>
      <xdr:xfrm>
        <a:off x="8444880" y="428760"/>
        <a:ext cx="52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criptAuditSummaryTable" displayName="TranscriptAuditSummaryTable" ref="A1:C17" headerRowCount="1" totalsRowCount="0" totalsRowShown="0">
  <autoFilter ref="A1:C17"/>
  <tableColumns count="3">
    <tableColumn id="1" name="Metric"/>
    <tableColumn id="2" name="Value"/>
    <tableColumn id="3" name="Interpretation"/>
  </tableColumns>
</table>
</file>

<file path=xl/tables/table2.xml><?xml version="1.0" encoding="utf-8"?>
<table xmlns="http://schemas.openxmlformats.org/spreadsheetml/2006/main" id="2" name="TranscriptCourseLedgerTable" displayName="TranscriptCourseLedgerTable" ref="A1:I24" headerRowCount="1" totalsRowCount="0" totalsRowShown="0">
  <autoFilter ref="A1:I24"/>
  <tableColumns count="9">
    <tableColumn id="1" name="Sequence"/>
    <tableColumn id="2" name="Academic_Year"/>
    <tableColumn id="3" name="Term"/>
    <tableColumn id="4" name="Course"/>
    <tableColumn id="5" name="Program_Tag"/>
    <tableColumn id="6" name="Grade"/>
    <tableColumn id="7" name="Credits"/>
    <tableColumn id="8" name="Unweighted_Grade_Points"/>
    <tableColumn id="9" name="Unweighted_Quality_Points"/>
  </tableColumns>
</table>
</file>

<file path=xl/tables/table3.xml><?xml version="1.0" encoding="utf-8"?>
<table xmlns="http://schemas.openxmlformats.org/spreadsheetml/2006/main" id="3" name="TranscriptCumulativeAuditTable" displayName="TranscriptCumulativeAuditTable" ref="A18:G33" headerRowCount="1" totalsRowCount="0" totalsRowShown="0">
  <autoFilter ref="A18:G33"/>
  <tableColumns count="7">
    <tableColumn id="1" name="Academic_Year"/>
    <tableColumn id="2" name="Term"/>
    <tableColumn id="3" name="Cumulative_Credits"/>
    <tableColumn id="4" name="Cumulative_Unweighted_Points"/>
    <tableColumn id="5" name="Calculated_Cumulative_Unweighted_GPA"/>
    <tableColumn id="6" name="Displayed_Cumulative_GPA"/>
    <tableColumn id="7" name="Displayed_vs_Calculated_Delta"/>
  </tableColumns>
</table>
</file>

<file path=xl/tables/table4.xml><?xml version="1.0" encoding="utf-8"?>
<table xmlns="http://schemas.openxmlformats.org/spreadsheetml/2006/main" id="4" name="TranscriptSourceProfileTable" displayName="TranscriptSourceProfileTable" ref="A1:D11" headerRowCount="1" totalsRowCount="0" totalsRowShown="0">
  <autoFilter ref="A1:D11"/>
  <tableColumns count="4">
    <tableColumn id="1" name="Field"/>
    <tableColumn id="2" name="Extracted_Value"/>
    <tableColumn id="3" name="Evidence_Location"/>
    <tableColumn id="4" name="Audit_Note"/>
  </tableColumns>
</table>
</file>

<file path=xl/tables/table5.xml><?xml version="1.0" encoding="utf-8"?>
<table xmlns="http://schemas.openxmlformats.org/spreadsheetml/2006/main" id="5" name="TranscriptTermDetailTable" displayName="TranscriptTermDetailTable" ref="A1:G16" headerRowCount="1" totalsRowCount="0" totalsRowShown="0">
  <autoFilter ref="A1:G16"/>
  <tableColumns count="7">
    <tableColumn id="1" name="Academic_Year"/>
    <tableColumn id="2" name="Term"/>
    <tableColumn id="3" name="Course_Count"/>
    <tableColumn id="4" name="Credits"/>
    <tableColumn id="5" name="Unweighted_Quality_Points"/>
    <tableColumn id="6" name="Calculated_Unweighted_Term_GPA"/>
    <tableColumn id="7" name="Displayed_Term_GPA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Relationship Id="rId3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4"/>
    <col collapsed="false" customWidth="true" hidden="false" outlineLevel="0" max="3" min="3" style="0" width="28.99"/>
    <col collapsed="false" customWidth="true" hidden="false" outlineLevel="0" max="4" min="4" style="0" width="54.99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  <row r="3" customFormat="false" ht="15" hidden="false" customHeight="false" outlineLevel="0" collapsed="false">
      <c r="A3" s="2" t="s">
        <v>8</v>
      </c>
      <c r="B3" s="3" t="s">
        <v>9</v>
      </c>
      <c r="C3" s="3" t="s">
        <v>10</v>
      </c>
      <c r="D3" s="3" t="s">
        <v>11</v>
      </c>
    </row>
    <row r="4" customFormat="false" ht="15" hidden="false" customHeight="false" outlineLevel="0" collapsed="false">
      <c r="A4" s="2" t="s">
        <v>12</v>
      </c>
      <c r="B4" s="4" t="n">
        <v>23</v>
      </c>
      <c r="C4" s="3" t="s">
        <v>13</v>
      </c>
      <c r="D4" s="3" t="s">
        <v>14</v>
      </c>
    </row>
    <row r="5" customFormat="false" ht="15" hidden="false" customHeight="false" outlineLevel="0" collapsed="false">
      <c r="A5" s="2" t="s">
        <v>15</v>
      </c>
      <c r="B5" s="4" t="n">
        <v>3.78</v>
      </c>
      <c r="C5" s="3" t="s">
        <v>16</v>
      </c>
      <c r="D5" s="3" t="s">
        <v>17</v>
      </c>
    </row>
    <row r="6" customFormat="false" ht="15" hidden="false" customHeight="false" outlineLevel="0" collapsed="false">
      <c r="A6" s="2" t="s">
        <v>18</v>
      </c>
      <c r="B6" s="4" t="n">
        <v>3.65</v>
      </c>
      <c r="C6" s="3" t="s">
        <v>19</v>
      </c>
      <c r="D6" s="3" t="s">
        <v>20</v>
      </c>
    </row>
    <row r="7" customFormat="false" ht="15" hidden="false" customHeight="false" outlineLevel="0" collapsed="false">
      <c r="A7" s="2" t="s">
        <v>21</v>
      </c>
      <c r="B7" s="3" t="s">
        <v>22</v>
      </c>
      <c r="C7" s="3" t="s">
        <v>23</v>
      </c>
      <c r="D7" s="3" t="s">
        <v>24</v>
      </c>
    </row>
    <row r="8" customFormat="false" ht="15" hidden="false" customHeight="false" outlineLevel="0" collapsed="false">
      <c r="A8" s="2" t="s">
        <v>25</v>
      </c>
      <c r="B8" s="3" t="n">
        <v>1</v>
      </c>
      <c r="C8" s="3" t="s">
        <v>26</v>
      </c>
      <c r="D8" s="3" t="s">
        <v>27</v>
      </c>
    </row>
    <row r="9" customFormat="false" ht="15" hidden="false" customHeight="false" outlineLevel="0" collapsed="false">
      <c r="A9" s="2" t="s">
        <v>28</v>
      </c>
      <c r="B9" s="3" t="s">
        <v>29</v>
      </c>
      <c r="C9" s="3" t="s">
        <v>30</v>
      </c>
      <c r="D9" s="3" t="s">
        <v>31</v>
      </c>
    </row>
    <row r="10" customFormat="false" ht="15" hidden="false" customHeight="false" outlineLevel="0" collapsed="false">
      <c r="A10" s="2" t="s">
        <v>32</v>
      </c>
      <c r="B10" s="3" t="n">
        <v>2</v>
      </c>
      <c r="C10" s="3" t="s">
        <v>30</v>
      </c>
      <c r="D10" s="3" t="s">
        <v>33</v>
      </c>
    </row>
    <row r="11" customFormat="false" ht="15" hidden="false" customHeight="false" outlineLevel="0" collapsed="false">
      <c r="A11" s="2" t="s">
        <v>34</v>
      </c>
      <c r="B11" s="3" t="s">
        <v>35</v>
      </c>
      <c r="C11" s="3" t="s">
        <v>36</v>
      </c>
      <c r="D11" s="3" t="s">
        <v>37</v>
      </c>
    </row>
  </sheetData>
  <autoFilter ref="A1:D11"/>
  <conditionalFormatting sqref="B11">
    <cfRule type="expression" priority="2" aboveAverage="0" equalAverage="0" bottom="0" percent="0" rank="0" text="" dxfId="5">
      <formula>B11="Potentially incomplete"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1.99"/>
    <col collapsed="false" customWidth="true" hidden="false" outlineLevel="0" max="4" min="4" style="0" width="25"/>
    <col collapsed="false" customWidth="true" hidden="false" outlineLevel="0" max="5" min="5" style="0" width="11.99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26"/>
  </cols>
  <sheetData>
    <row r="1" customFormat="false" ht="33.75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customFormat="false" ht="15" hidden="false" customHeight="false" outlineLevel="0" collapsed="false">
      <c r="A2" s="3" t="n">
        <v>1</v>
      </c>
      <c r="B2" s="3" t="s">
        <v>47</v>
      </c>
      <c r="C2" s="3" t="s">
        <v>48</v>
      </c>
      <c r="D2" s="3" t="s">
        <v>49</v>
      </c>
      <c r="E2" s="3"/>
      <c r="F2" s="3" t="s">
        <v>50</v>
      </c>
      <c r="G2" s="4" t="n">
        <v>1</v>
      </c>
      <c r="H2" s="4" t="n">
        <f aca="false">IF(F2="A",4,IF(F2="B",3,IF(F2="C",2,IF(F2="D",1,IF(F2="F",0,"")))))</f>
        <v>4</v>
      </c>
      <c r="I2" s="4" t="n">
        <f aca="false">G2*H2</f>
        <v>4</v>
      </c>
    </row>
    <row r="3" customFormat="false" ht="15" hidden="false" customHeight="false" outlineLevel="0" collapsed="false">
      <c r="A3" s="3" t="n">
        <v>2</v>
      </c>
      <c r="B3" s="3" t="s">
        <v>47</v>
      </c>
      <c r="C3" s="3" t="s">
        <v>48</v>
      </c>
      <c r="D3" s="3" t="s">
        <v>51</v>
      </c>
      <c r="E3" s="3"/>
      <c r="F3" s="3" t="s">
        <v>50</v>
      </c>
      <c r="G3" s="4" t="n">
        <v>1</v>
      </c>
      <c r="H3" s="4" t="n">
        <f aca="false">IF(F3="A",4,IF(F3="B",3,IF(F3="C",2,IF(F3="D",1,IF(F3="F",0,"")))))</f>
        <v>4</v>
      </c>
      <c r="I3" s="4" t="n">
        <f aca="false">G3*H3</f>
        <v>4</v>
      </c>
    </row>
    <row r="4" customFormat="false" ht="15" hidden="false" customHeight="false" outlineLevel="0" collapsed="false">
      <c r="A4" s="3" t="n">
        <v>3</v>
      </c>
      <c r="B4" s="3" t="s">
        <v>47</v>
      </c>
      <c r="C4" s="3" t="s">
        <v>52</v>
      </c>
      <c r="D4" s="3" t="s">
        <v>53</v>
      </c>
      <c r="E4" s="3"/>
      <c r="F4" s="3" t="s">
        <v>50</v>
      </c>
      <c r="G4" s="4" t="n">
        <v>1</v>
      </c>
      <c r="H4" s="4" t="n">
        <f aca="false">IF(F4="A",4,IF(F4="B",3,IF(F4="C",2,IF(F4="D",1,IF(F4="F",0,"")))))</f>
        <v>4</v>
      </c>
      <c r="I4" s="4" t="n">
        <f aca="false">G4*H4</f>
        <v>4</v>
      </c>
    </row>
    <row r="5" customFormat="false" ht="15" hidden="false" customHeight="false" outlineLevel="0" collapsed="false">
      <c r="A5" s="3" t="n">
        <v>4</v>
      </c>
      <c r="B5" s="3" t="s">
        <v>47</v>
      </c>
      <c r="C5" s="3" t="s">
        <v>54</v>
      </c>
      <c r="D5" s="3" t="s">
        <v>55</v>
      </c>
      <c r="E5" s="3"/>
      <c r="F5" s="3" t="s">
        <v>50</v>
      </c>
      <c r="G5" s="4" t="n">
        <v>1</v>
      </c>
      <c r="H5" s="4" t="n">
        <f aca="false">IF(F5="A",4,IF(F5="B",3,IF(F5="C",2,IF(F5="D",1,IF(F5="F",0,"")))))</f>
        <v>4</v>
      </c>
      <c r="I5" s="4" t="n">
        <f aca="false">G5*H5</f>
        <v>4</v>
      </c>
    </row>
    <row r="6" customFormat="false" ht="15" hidden="false" customHeight="false" outlineLevel="0" collapsed="false">
      <c r="A6" s="3" t="n">
        <v>5</v>
      </c>
      <c r="B6" s="3" t="s">
        <v>47</v>
      </c>
      <c r="C6" s="3" t="s">
        <v>54</v>
      </c>
      <c r="D6" s="3" t="s">
        <v>56</v>
      </c>
      <c r="E6" s="3"/>
      <c r="F6" s="3" t="s">
        <v>57</v>
      </c>
      <c r="G6" s="4" t="n">
        <v>1</v>
      </c>
      <c r="H6" s="4" t="n">
        <f aca="false">IF(F6="A",4,IF(F6="B",3,IF(F6="C",2,IF(F6="D",1,IF(F6="F",0,"")))))</f>
        <v>3</v>
      </c>
      <c r="I6" s="4" t="n">
        <f aca="false">G6*H6</f>
        <v>3</v>
      </c>
    </row>
    <row r="7" customFormat="false" ht="15" hidden="false" customHeight="false" outlineLevel="0" collapsed="false">
      <c r="A7" s="3" t="n">
        <v>6</v>
      </c>
      <c r="B7" s="3" t="s">
        <v>47</v>
      </c>
      <c r="C7" s="3" t="s">
        <v>58</v>
      </c>
      <c r="D7" s="3" t="s">
        <v>59</v>
      </c>
      <c r="E7" s="3"/>
      <c r="F7" s="3" t="s">
        <v>50</v>
      </c>
      <c r="G7" s="4" t="n">
        <v>1</v>
      </c>
      <c r="H7" s="4" t="n">
        <f aca="false">IF(F7="A",4,IF(F7="B",3,IF(F7="C",2,IF(F7="D",1,IF(F7="F",0,"")))))</f>
        <v>4</v>
      </c>
      <c r="I7" s="4" t="n">
        <f aca="false">G7*H7</f>
        <v>4</v>
      </c>
    </row>
    <row r="8" customFormat="false" ht="15" hidden="false" customHeight="false" outlineLevel="0" collapsed="false">
      <c r="A8" s="3" t="n">
        <v>7</v>
      </c>
      <c r="B8" s="3" t="s">
        <v>60</v>
      </c>
      <c r="C8" s="3" t="s">
        <v>48</v>
      </c>
      <c r="D8" s="3" t="s">
        <v>61</v>
      </c>
      <c r="E8" s="3"/>
      <c r="F8" s="3" t="s">
        <v>50</v>
      </c>
      <c r="G8" s="4" t="n">
        <v>1</v>
      </c>
      <c r="H8" s="4" t="n">
        <f aca="false">IF(F8="A",4,IF(F8="B",3,IF(F8="C",2,IF(F8="D",1,IF(F8="F",0,"")))))</f>
        <v>4</v>
      </c>
      <c r="I8" s="4" t="n">
        <f aca="false">G8*H8</f>
        <v>4</v>
      </c>
    </row>
    <row r="9" customFormat="false" ht="15" hidden="false" customHeight="false" outlineLevel="0" collapsed="false">
      <c r="A9" s="3" t="n">
        <v>8</v>
      </c>
      <c r="B9" s="3" t="s">
        <v>60</v>
      </c>
      <c r="C9" s="3" t="s">
        <v>48</v>
      </c>
      <c r="D9" s="3" t="s">
        <v>62</v>
      </c>
      <c r="E9" s="3"/>
      <c r="F9" s="3" t="s">
        <v>50</v>
      </c>
      <c r="G9" s="4" t="n">
        <v>1</v>
      </c>
      <c r="H9" s="4" t="n">
        <f aca="false">IF(F9="A",4,IF(F9="B",3,IF(F9="C",2,IF(F9="D",1,IF(F9="F",0,"")))))</f>
        <v>4</v>
      </c>
      <c r="I9" s="4" t="n">
        <f aca="false">G9*H9</f>
        <v>4</v>
      </c>
    </row>
    <row r="10" customFormat="false" ht="15" hidden="false" customHeight="false" outlineLevel="0" collapsed="false">
      <c r="A10" s="3" t="n">
        <v>9</v>
      </c>
      <c r="B10" s="3" t="s">
        <v>60</v>
      </c>
      <c r="C10" s="3" t="s">
        <v>52</v>
      </c>
      <c r="D10" s="3" t="s">
        <v>63</v>
      </c>
      <c r="E10" s="3"/>
      <c r="F10" s="3" t="s">
        <v>50</v>
      </c>
      <c r="G10" s="4" t="n">
        <v>1</v>
      </c>
      <c r="H10" s="4" t="n">
        <f aca="false">IF(F10="A",4,IF(F10="B",3,IF(F10="C",2,IF(F10="D",1,IF(F10="F",0,"")))))</f>
        <v>4</v>
      </c>
      <c r="I10" s="4" t="n">
        <f aca="false">G10*H10</f>
        <v>4</v>
      </c>
    </row>
    <row r="11" customFormat="false" ht="15" hidden="false" customHeight="false" outlineLevel="0" collapsed="false">
      <c r="A11" s="3" t="n">
        <v>10</v>
      </c>
      <c r="B11" s="3" t="s">
        <v>60</v>
      </c>
      <c r="C11" s="3" t="s">
        <v>54</v>
      </c>
      <c r="D11" s="3" t="s">
        <v>64</v>
      </c>
      <c r="E11" s="3"/>
      <c r="F11" s="3" t="s">
        <v>57</v>
      </c>
      <c r="G11" s="4" t="n">
        <v>1</v>
      </c>
      <c r="H11" s="4" t="n">
        <f aca="false">IF(F11="A",4,IF(F11="B",3,IF(F11="C",2,IF(F11="D",1,IF(F11="F",0,"")))))</f>
        <v>3</v>
      </c>
      <c r="I11" s="4" t="n">
        <f aca="false">G11*H11</f>
        <v>3</v>
      </c>
    </row>
    <row r="12" customFormat="false" ht="15" hidden="false" customHeight="false" outlineLevel="0" collapsed="false">
      <c r="A12" s="3" t="n">
        <v>11</v>
      </c>
      <c r="B12" s="3" t="s">
        <v>60</v>
      </c>
      <c r="C12" s="3" t="s">
        <v>54</v>
      </c>
      <c r="D12" s="3" t="s">
        <v>65</v>
      </c>
      <c r="E12" s="3"/>
      <c r="F12" s="3" t="s">
        <v>50</v>
      </c>
      <c r="G12" s="4" t="n">
        <v>1</v>
      </c>
      <c r="H12" s="4" t="n">
        <f aca="false">IF(F12="A",4,IF(F12="B",3,IF(F12="C",2,IF(F12="D",1,IF(F12="F",0,"")))))</f>
        <v>4</v>
      </c>
      <c r="I12" s="4" t="n">
        <f aca="false">G12*H12</f>
        <v>4</v>
      </c>
    </row>
    <row r="13" customFormat="false" ht="15" hidden="false" customHeight="false" outlineLevel="0" collapsed="false">
      <c r="A13" s="3" t="n">
        <v>12</v>
      </c>
      <c r="B13" s="3" t="s">
        <v>60</v>
      </c>
      <c r="C13" s="3" t="s">
        <v>58</v>
      </c>
      <c r="D13" s="3" t="s">
        <v>66</v>
      </c>
      <c r="E13" s="3"/>
      <c r="F13" s="3" t="s">
        <v>50</v>
      </c>
      <c r="G13" s="4" t="n">
        <v>1</v>
      </c>
      <c r="H13" s="4" t="n">
        <f aca="false">IF(F13="A",4,IF(F13="B",3,IF(F13="C",2,IF(F13="D",1,IF(F13="F",0,"")))))</f>
        <v>4</v>
      </c>
      <c r="I13" s="4" t="n">
        <f aca="false">G13*H13</f>
        <v>4</v>
      </c>
    </row>
    <row r="14" customFormat="false" ht="15" hidden="false" customHeight="false" outlineLevel="0" collapsed="false">
      <c r="A14" s="3" t="n">
        <v>13</v>
      </c>
      <c r="B14" s="3" t="s">
        <v>67</v>
      </c>
      <c r="C14" s="3" t="s">
        <v>48</v>
      </c>
      <c r="D14" s="3" t="s">
        <v>68</v>
      </c>
      <c r="E14" s="3"/>
      <c r="F14" s="3" t="s">
        <v>57</v>
      </c>
      <c r="G14" s="4" t="n">
        <v>1</v>
      </c>
      <c r="H14" s="4" t="n">
        <f aca="false">IF(F14="A",4,IF(F14="B",3,IF(F14="C",2,IF(F14="D",1,IF(F14="F",0,"")))))</f>
        <v>3</v>
      </c>
      <c r="I14" s="4" t="n">
        <f aca="false">G14*H14</f>
        <v>3</v>
      </c>
    </row>
    <row r="15" customFormat="false" ht="15" hidden="false" customHeight="false" outlineLevel="0" collapsed="false">
      <c r="A15" s="3" t="n">
        <v>14</v>
      </c>
      <c r="B15" s="3" t="s">
        <v>67</v>
      </c>
      <c r="C15" s="3" t="s">
        <v>48</v>
      </c>
      <c r="D15" s="3" t="s">
        <v>69</v>
      </c>
      <c r="E15" s="3"/>
      <c r="F15" s="3" t="s">
        <v>70</v>
      </c>
      <c r="G15" s="4" t="n">
        <v>1</v>
      </c>
      <c r="H15" s="4" t="n">
        <f aca="false">IF(F15="A",4,IF(F15="B",3,IF(F15="C",2,IF(F15="D",1,IF(F15="F",0,"")))))</f>
        <v>2</v>
      </c>
      <c r="I15" s="4" t="n">
        <f aca="false">G15*H15</f>
        <v>2</v>
      </c>
    </row>
    <row r="16" customFormat="false" ht="15" hidden="false" customHeight="false" outlineLevel="0" collapsed="false">
      <c r="A16" s="3" t="n">
        <v>15</v>
      </c>
      <c r="B16" s="3" t="s">
        <v>67</v>
      </c>
      <c r="C16" s="3" t="s">
        <v>52</v>
      </c>
      <c r="D16" s="3" t="s">
        <v>71</v>
      </c>
      <c r="E16" s="3"/>
      <c r="F16" s="3" t="s">
        <v>50</v>
      </c>
      <c r="G16" s="4" t="n">
        <v>1</v>
      </c>
      <c r="H16" s="4" t="n">
        <f aca="false">IF(F16="A",4,IF(F16="B",3,IF(F16="C",2,IF(F16="D",1,IF(F16="F",0,"")))))</f>
        <v>4</v>
      </c>
      <c r="I16" s="4" t="n">
        <f aca="false">G16*H16</f>
        <v>4</v>
      </c>
    </row>
    <row r="17" customFormat="false" ht="15" hidden="false" customHeight="false" outlineLevel="0" collapsed="false">
      <c r="A17" s="3" t="n">
        <v>16</v>
      </c>
      <c r="B17" s="3" t="s">
        <v>67</v>
      </c>
      <c r="C17" s="3" t="s">
        <v>54</v>
      </c>
      <c r="D17" s="3" t="s">
        <v>72</v>
      </c>
      <c r="E17" s="3"/>
      <c r="F17" s="3" t="s">
        <v>50</v>
      </c>
      <c r="G17" s="4" t="n">
        <v>1</v>
      </c>
      <c r="H17" s="4" t="n">
        <f aca="false">IF(F17="A",4,IF(F17="B",3,IF(F17="C",2,IF(F17="D",1,IF(F17="F",0,"")))))</f>
        <v>4</v>
      </c>
      <c r="I17" s="4" t="n">
        <f aca="false">G17*H17</f>
        <v>4</v>
      </c>
    </row>
    <row r="18" customFormat="false" ht="15" hidden="false" customHeight="false" outlineLevel="0" collapsed="false">
      <c r="A18" s="3" t="n">
        <v>17</v>
      </c>
      <c r="B18" s="3" t="s">
        <v>67</v>
      </c>
      <c r="C18" s="3" t="s">
        <v>54</v>
      </c>
      <c r="D18" s="3" t="s">
        <v>73</v>
      </c>
      <c r="E18" s="3"/>
      <c r="F18" s="3" t="s">
        <v>70</v>
      </c>
      <c r="G18" s="4" t="n">
        <v>1</v>
      </c>
      <c r="H18" s="4" t="n">
        <f aca="false">IF(F18="A",4,IF(F18="B",3,IF(F18="C",2,IF(F18="D",1,IF(F18="F",0,"")))))</f>
        <v>2</v>
      </c>
      <c r="I18" s="4" t="n">
        <f aca="false">G18*H18</f>
        <v>2</v>
      </c>
    </row>
    <row r="19" customFormat="false" ht="15" hidden="false" customHeight="false" outlineLevel="0" collapsed="false">
      <c r="A19" s="3" t="n">
        <v>18</v>
      </c>
      <c r="B19" s="3" t="s">
        <v>67</v>
      </c>
      <c r="C19" s="3" t="s">
        <v>58</v>
      </c>
      <c r="D19" s="3" t="s">
        <v>74</v>
      </c>
      <c r="E19" s="3"/>
      <c r="F19" s="3" t="s">
        <v>50</v>
      </c>
      <c r="G19" s="4" t="n">
        <v>1</v>
      </c>
      <c r="H19" s="4" t="n">
        <f aca="false">IF(F19="A",4,IF(F19="B",3,IF(F19="C",2,IF(F19="D",1,IF(F19="F",0,"")))))</f>
        <v>4</v>
      </c>
      <c r="I19" s="4" t="n">
        <f aca="false">G19*H19</f>
        <v>4</v>
      </c>
    </row>
    <row r="20" customFormat="false" ht="15" hidden="false" customHeight="false" outlineLevel="0" collapsed="false">
      <c r="A20" s="3" t="n">
        <v>19</v>
      </c>
      <c r="B20" s="3" t="s">
        <v>75</v>
      </c>
      <c r="C20" s="3" t="s">
        <v>48</v>
      </c>
      <c r="D20" s="3" t="s">
        <v>76</v>
      </c>
      <c r="E20" s="3"/>
      <c r="F20" s="3" t="s">
        <v>50</v>
      </c>
      <c r="G20" s="4" t="n">
        <v>1</v>
      </c>
      <c r="H20" s="4" t="n">
        <f aca="false">IF(F20="A",4,IF(F20="B",3,IF(F20="C",2,IF(F20="D",1,IF(F20="F",0,"")))))</f>
        <v>4</v>
      </c>
      <c r="I20" s="4" t="n">
        <f aca="false">G20*H20</f>
        <v>4</v>
      </c>
    </row>
    <row r="21" customFormat="false" ht="15" hidden="false" customHeight="false" outlineLevel="0" collapsed="false">
      <c r="A21" s="3" t="n">
        <v>20</v>
      </c>
      <c r="B21" s="3" t="s">
        <v>75</v>
      </c>
      <c r="C21" s="3" t="s">
        <v>48</v>
      </c>
      <c r="D21" s="3" t="s">
        <v>77</v>
      </c>
      <c r="E21" s="3"/>
      <c r="F21" s="3" t="s">
        <v>50</v>
      </c>
      <c r="G21" s="4" t="n">
        <v>1</v>
      </c>
      <c r="H21" s="4" t="n">
        <f aca="false">IF(F21="A",4,IF(F21="B",3,IF(F21="C",2,IF(F21="D",1,IF(F21="F",0,"")))))</f>
        <v>4</v>
      </c>
      <c r="I21" s="4" t="n">
        <f aca="false">G21*H21</f>
        <v>4</v>
      </c>
    </row>
    <row r="22" customFormat="false" ht="15" hidden="false" customHeight="false" outlineLevel="0" collapsed="false">
      <c r="A22" s="3" t="n">
        <v>21</v>
      </c>
      <c r="B22" s="3" t="s">
        <v>75</v>
      </c>
      <c r="C22" s="3" t="s">
        <v>52</v>
      </c>
      <c r="D22" s="3" t="s">
        <v>78</v>
      </c>
      <c r="E22" s="3"/>
      <c r="F22" s="3" t="s">
        <v>50</v>
      </c>
      <c r="G22" s="4" t="n">
        <v>1</v>
      </c>
      <c r="H22" s="4" t="n">
        <f aca="false">IF(F22="A",4,IF(F22="B",3,IF(F22="C",2,IF(F22="D",1,IF(F22="F",0,"")))))</f>
        <v>4</v>
      </c>
      <c r="I22" s="4" t="n">
        <f aca="false">G22*H22</f>
        <v>4</v>
      </c>
    </row>
    <row r="23" customFormat="false" ht="15" hidden="false" customHeight="false" outlineLevel="0" collapsed="false">
      <c r="A23" s="3" t="n">
        <v>22</v>
      </c>
      <c r="B23" s="3" t="s">
        <v>75</v>
      </c>
      <c r="C23" s="3" t="s">
        <v>54</v>
      </c>
      <c r="D23" s="3" t="s">
        <v>79</v>
      </c>
      <c r="E23" s="3" t="s">
        <v>80</v>
      </c>
      <c r="F23" s="3" t="s">
        <v>50</v>
      </c>
      <c r="G23" s="4" t="n">
        <v>1</v>
      </c>
      <c r="H23" s="4" t="n">
        <f aca="false">IF(F23="A",4,IF(F23="B",3,IF(F23="C",2,IF(F23="D",1,IF(F23="F",0,"")))))</f>
        <v>4</v>
      </c>
      <c r="I23" s="4" t="n">
        <f aca="false">G23*H23</f>
        <v>4</v>
      </c>
    </row>
    <row r="24" customFormat="false" ht="15" hidden="false" customHeight="false" outlineLevel="0" collapsed="false">
      <c r="A24" s="3" t="n">
        <v>23</v>
      </c>
      <c r="B24" s="3" t="s">
        <v>75</v>
      </c>
      <c r="C24" s="3" t="s">
        <v>54</v>
      </c>
      <c r="D24" s="3" t="s">
        <v>81</v>
      </c>
      <c r="E24" s="3" t="s">
        <v>82</v>
      </c>
      <c r="F24" s="3" t="s">
        <v>57</v>
      </c>
      <c r="G24" s="4" t="n">
        <v>1</v>
      </c>
      <c r="H24" s="4" t="n">
        <f aca="false">IF(F24="A",4,IF(F24="B",3,IF(F24="C",2,IF(F24="D",1,IF(F24="F",0,"")))))</f>
        <v>3</v>
      </c>
      <c r="I24" s="4" t="n">
        <f aca="false">G24*H24</f>
        <v>3</v>
      </c>
    </row>
  </sheetData>
  <autoFilter ref="A1:I24"/>
  <conditionalFormatting sqref="E2:E24">
    <cfRule type="expression" priority="2" aboveAverage="0" equalAverage="0" bottom="0" percent="0" rank="0" text="" dxfId="5">
      <formula>OR(E2="DE",E2="AP")</formula>
    </cfRule>
  </conditionalFormatting>
  <conditionalFormatting sqref="F2:F24">
    <cfRule type="expression" priority="3" aboveAverage="0" equalAverage="0" bottom="0" percent="0" rank="0" text="" dxfId="7">
      <formula>F2="C"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.99"/>
    <col collapsed="false" customWidth="true" hidden="false" outlineLevel="0" max="3" min="3" style="0" width="20.99"/>
    <col collapsed="false" customWidth="true" hidden="false" outlineLevel="0" max="4" min="4" style="0" width="30.01"/>
    <col collapsed="false" customWidth="true" hidden="false" outlineLevel="0" max="5" min="5" style="0" width="33"/>
    <col collapsed="false" customWidth="true" hidden="false" outlineLevel="0" max="6" min="6" style="0" width="27"/>
    <col collapsed="false" customWidth="true" hidden="false" outlineLevel="0" max="7" min="7" style="0" width="31.01"/>
  </cols>
  <sheetData>
    <row r="1" customFormat="false" ht="33.75" hidden="false" customHeight="true" outlineLevel="0" collapsed="false">
      <c r="A1" s="1" t="s">
        <v>39</v>
      </c>
      <c r="B1" s="1" t="s">
        <v>40</v>
      </c>
      <c r="C1" s="1" t="s">
        <v>83</v>
      </c>
      <c r="D1" s="1" t="s">
        <v>44</v>
      </c>
      <c r="E1" s="1" t="s">
        <v>46</v>
      </c>
      <c r="F1" s="1" t="s">
        <v>84</v>
      </c>
      <c r="G1" s="1" t="s">
        <v>85</v>
      </c>
    </row>
    <row r="2" customFormat="false" ht="15" hidden="false" customHeight="false" outlineLevel="0" collapsed="false">
      <c r="A2" s="3" t="s">
        <v>47</v>
      </c>
      <c r="B2" s="3" t="s">
        <v>48</v>
      </c>
      <c r="C2" s="3" t="n">
        <f aca="false">COUNTIFS(Course_Ledger!$B$2:$B$24,A2,Course_Ledger!$C$2:$C$24,B2)</f>
        <v>2</v>
      </c>
      <c r="D2" s="5" t="n">
        <f aca="false">SUMIFS(Course_Ledger!$G$2:$G$24,Course_Ledger!$B$2:$B$24,A2,Course_Ledger!$C$2:$C$24,B2)</f>
        <v>2</v>
      </c>
      <c r="E2" s="5" t="n">
        <f aca="false">SUMIFS(Course_Ledger!$I$2:$I$24,Course_Ledger!$B$2:$B$24,A2,Course_Ledger!$C$2:$C$24,B2)</f>
        <v>8</v>
      </c>
      <c r="F2" s="5" t="n">
        <f aca="false">IFERROR(E2/D2,"")</f>
        <v>4</v>
      </c>
      <c r="G2" s="5" t="n">
        <v>4</v>
      </c>
    </row>
    <row r="3" customFormat="false" ht="15" hidden="false" customHeight="false" outlineLevel="0" collapsed="false">
      <c r="A3" s="3" t="s">
        <v>47</v>
      </c>
      <c r="B3" s="3" t="s">
        <v>52</v>
      </c>
      <c r="C3" s="3" t="n">
        <f aca="false">COUNTIFS(Course_Ledger!$B$2:$B$24,A3,Course_Ledger!$C$2:$C$24,B3)</f>
        <v>1</v>
      </c>
      <c r="D3" s="5" t="n">
        <f aca="false">SUMIFS(Course_Ledger!$G$2:$G$24,Course_Ledger!$B$2:$B$24,A3,Course_Ledger!$C$2:$C$24,B3)</f>
        <v>1</v>
      </c>
      <c r="E3" s="5" t="n">
        <f aca="false">SUMIFS(Course_Ledger!$I$2:$I$24,Course_Ledger!$B$2:$B$24,A3,Course_Ledger!$C$2:$C$24,B3)</f>
        <v>4</v>
      </c>
      <c r="F3" s="5" t="n">
        <f aca="false">IFERROR(E3/D3,"")</f>
        <v>4</v>
      </c>
      <c r="G3" s="5" t="n">
        <v>4</v>
      </c>
    </row>
    <row r="4" customFormat="false" ht="15" hidden="false" customHeight="false" outlineLevel="0" collapsed="false">
      <c r="A4" s="3" t="s">
        <v>47</v>
      </c>
      <c r="B4" s="3" t="s">
        <v>54</v>
      </c>
      <c r="C4" s="3" t="n">
        <f aca="false">COUNTIFS(Course_Ledger!$B$2:$B$24,A4,Course_Ledger!$C$2:$C$24,B4)</f>
        <v>2</v>
      </c>
      <c r="D4" s="5" t="n">
        <f aca="false">SUMIFS(Course_Ledger!$G$2:$G$24,Course_Ledger!$B$2:$B$24,A4,Course_Ledger!$C$2:$C$24,B4)</f>
        <v>2</v>
      </c>
      <c r="E4" s="5" t="n">
        <f aca="false">SUMIFS(Course_Ledger!$I$2:$I$24,Course_Ledger!$B$2:$B$24,A4,Course_Ledger!$C$2:$C$24,B4)</f>
        <v>7</v>
      </c>
      <c r="F4" s="5" t="n">
        <f aca="false">IFERROR(E4/D4,"")</f>
        <v>3.5</v>
      </c>
      <c r="G4" s="5" t="n">
        <v>3.5</v>
      </c>
    </row>
    <row r="5" customFormat="false" ht="15" hidden="false" customHeight="false" outlineLevel="0" collapsed="false">
      <c r="A5" s="3" t="s">
        <v>47</v>
      </c>
      <c r="B5" s="3" t="s">
        <v>58</v>
      </c>
      <c r="C5" s="3" t="n">
        <f aca="false">COUNTIFS(Course_Ledger!$B$2:$B$24,A5,Course_Ledger!$C$2:$C$24,B5)</f>
        <v>1</v>
      </c>
      <c r="D5" s="5" t="n">
        <f aca="false">SUMIFS(Course_Ledger!$G$2:$G$24,Course_Ledger!$B$2:$B$24,A5,Course_Ledger!$C$2:$C$24,B5)</f>
        <v>1</v>
      </c>
      <c r="E5" s="5" t="n">
        <f aca="false">SUMIFS(Course_Ledger!$I$2:$I$24,Course_Ledger!$B$2:$B$24,A5,Course_Ledger!$C$2:$C$24,B5)</f>
        <v>4</v>
      </c>
      <c r="F5" s="5" t="n">
        <f aca="false">IFERROR(E5/D5,"")</f>
        <v>4</v>
      </c>
      <c r="G5" s="5" t="n">
        <v>4</v>
      </c>
    </row>
    <row r="6" customFormat="false" ht="15" hidden="false" customHeight="false" outlineLevel="0" collapsed="false">
      <c r="A6" s="3" t="s">
        <v>60</v>
      </c>
      <c r="B6" s="3" t="s">
        <v>48</v>
      </c>
      <c r="C6" s="3" t="n">
        <f aca="false">COUNTIFS(Course_Ledger!$B$2:$B$24,A6,Course_Ledger!$C$2:$C$24,B6)</f>
        <v>2</v>
      </c>
      <c r="D6" s="5" t="n">
        <f aca="false">SUMIFS(Course_Ledger!$G$2:$G$24,Course_Ledger!$B$2:$B$24,A6,Course_Ledger!$C$2:$C$24,B6)</f>
        <v>2</v>
      </c>
      <c r="E6" s="5" t="n">
        <f aca="false">SUMIFS(Course_Ledger!$I$2:$I$24,Course_Ledger!$B$2:$B$24,A6,Course_Ledger!$C$2:$C$24,B6)</f>
        <v>8</v>
      </c>
      <c r="F6" s="5" t="n">
        <f aca="false">IFERROR(E6/D6,"")</f>
        <v>4</v>
      </c>
      <c r="G6" s="5" t="n">
        <v>4</v>
      </c>
    </row>
    <row r="7" customFormat="false" ht="15" hidden="false" customHeight="false" outlineLevel="0" collapsed="false">
      <c r="A7" s="3" t="s">
        <v>60</v>
      </c>
      <c r="B7" s="3" t="s">
        <v>52</v>
      </c>
      <c r="C7" s="3" t="n">
        <f aca="false">COUNTIFS(Course_Ledger!$B$2:$B$24,A7,Course_Ledger!$C$2:$C$24,B7)</f>
        <v>1</v>
      </c>
      <c r="D7" s="5" t="n">
        <f aca="false">SUMIFS(Course_Ledger!$G$2:$G$24,Course_Ledger!$B$2:$B$24,A7,Course_Ledger!$C$2:$C$24,B7)</f>
        <v>1</v>
      </c>
      <c r="E7" s="5" t="n">
        <f aca="false">SUMIFS(Course_Ledger!$I$2:$I$24,Course_Ledger!$B$2:$B$24,A7,Course_Ledger!$C$2:$C$24,B7)</f>
        <v>4</v>
      </c>
      <c r="F7" s="5" t="n">
        <f aca="false">IFERROR(E7/D7,"")</f>
        <v>4</v>
      </c>
      <c r="G7" s="5" t="n">
        <v>4</v>
      </c>
    </row>
    <row r="8" customFormat="false" ht="15" hidden="false" customHeight="false" outlineLevel="0" collapsed="false">
      <c r="A8" s="3" t="s">
        <v>60</v>
      </c>
      <c r="B8" s="3" t="s">
        <v>54</v>
      </c>
      <c r="C8" s="3" t="n">
        <f aca="false">COUNTIFS(Course_Ledger!$B$2:$B$24,A8,Course_Ledger!$C$2:$C$24,B8)</f>
        <v>2</v>
      </c>
      <c r="D8" s="5" t="n">
        <f aca="false">SUMIFS(Course_Ledger!$G$2:$G$24,Course_Ledger!$B$2:$B$24,A8,Course_Ledger!$C$2:$C$24,B8)</f>
        <v>2</v>
      </c>
      <c r="E8" s="5" t="n">
        <f aca="false">SUMIFS(Course_Ledger!$I$2:$I$24,Course_Ledger!$B$2:$B$24,A8,Course_Ledger!$C$2:$C$24,B8)</f>
        <v>7</v>
      </c>
      <c r="F8" s="5" t="n">
        <f aca="false">IFERROR(E8/D8,"")</f>
        <v>3.5</v>
      </c>
      <c r="G8" s="5" t="n">
        <v>3.5</v>
      </c>
    </row>
    <row r="9" customFormat="false" ht="15" hidden="false" customHeight="false" outlineLevel="0" collapsed="false">
      <c r="A9" s="3" t="s">
        <v>60</v>
      </c>
      <c r="B9" s="3" t="s">
        <v>58</v>
      </c>
      <c r="C9" s="3" t="n">
        <f aca="false">COUNTIFS(Course_Ledger!$B$2:$B$24,A9,Course_Ledger!$C$2:$C$24,B9)</f>
        <v>1</v>
      </c>
      <c r="D9" s="5" t="n">
        <f aca="false">SUMIFS(Course_Ledger!$G$2:$G$24,Course_Ledger!$B$2:$B$24,A9,Course_Ledger!$C$2:$C$24,B9)</f>
        <v>1</v>
      </c>
      <c r="E9" s="5" t="n">
        <f aca="false">SUMIFS(Course_Ledger!$I$2:$I$24,Course_Ledger!$B$2:$B$24,A9,Course_Ledger!$C$2:$C$24,B9)</f>
        <v>4</v>
      </c>
      <c r="F9" s="5" t="n">
        <f aca="false">IFERROR(E9/D9,"")</f>
        <v>4</v>
      </c>
      <c r="G9" s="5" t="n">
        <v>4</v>
      </c>
    </row>
    <row r="10" customFormat="false" ht="15" hidden="false" customHeight="false" outlineLevel="0" collapsed="false">
      <c r="A10" s="3" t="s">
        <v>67</v>
      </c>
      <c r="B10" s="3" t="s">
        <v>48</v>
      </c>
      <c r="C10" s="3" t="n">
        <f aca="false">COUNTIFS(Course_Ledger!$B$2:$B$24,A10,Course_Ledger!$C$2:$C$24,B10)</f>
        <v>2</v>
      </c>
      <c r="D10" s="5" t="n">
        <f aca="false">SUMIFS(Course_Ledger!$G$2:$G$24,Course_Ledger!$B$2:$B$24,A10,Course_Ledger!$C$2:$C$24,B10)</f>
        <v>2</v>
      </c>
      <c r="E10" s="5" t="n">
        <f aca="false">SUMIFS(Course_Ledger!$I$2:$I$24,Course_Ledger!$B$2:$B$24,A10,Course_Ledger!$C$2:$C$24,B10)</f>
        <v>5</v>
      </c>
      <c r="F10" s="5" t="n">
        <f aca="false">IFERROR(E10/D10,"")</f>
        <v>2.5</v>
      </c>
      <c r="G10" s="5" t="n">
        <v>2.5</v>
      </c>
    </row>
    <row r="11" customFormat="false" ht="15" hidden="false" customHeight="false" outlineLevel="0" collapsed="false">
      <c r="A11" s="3" t="s">
        <v>67</v>
      </c>
      <c r="B11" s="3" t="s">
        <v>52</v>
      </c>
      <c r="C11" s="3" t="n">
        <f aca="false">COUNTIFS(Course_Ledger!$B$2:$B$24,A11,Course_Ledger!$C$2:$C$24,B11)</f>
        <v>1</v>
      </c>
      <c r="D11" s="5" t="n">
        <f aca="false">SUMIFS(Course_Ledger!$G$2:$G$24,Course_Ledger!$B$2:$B$24,A11,Course_Ledger!$C$2:$C$24,B11)</f>
        <v>1</v>
      </c>
      <c r="E11" s="5" t="n">
        <f aca="false">SUMIFS(Course_Ledger!$I$2:$I$24,Course_Ledger!$B$2:$B$24,A11,Course_Ledger!$C$2:$C$24,B11)</f>
        <v>4</v>
      </c>
      <c r="F11" s="5" t="n">
        <f aca="false">IFERROR(E11/D11,"")</f>
        <v>4</v>
      </c>
      <c r="G11" s="5" t="n">
        <v>4</v>
      </c>
    </row>
    <row r="12" customFormat="false" ht="15" hidden="false" customHeight="false" outlineLevel="0" collapsed="false">
      <c r="A12" s="3" t="s">
        <v>67</v>
      </c>
      <c r="B12" s="3" t="s">
        <v>54</v>
      </c>
      <c r="C12" s="3" t="n">
        <f aca="false">COUNTIFS(Course_Ledger!$B$2:$B$24,A12,Course_Ledger!$C$2:$C$24,B12)</f>
        <v>2</v>
      </c>
      <c r="D12" s="5" t="n">
        <f aca="false">SUMIFS(Course_Ledger!$G$2:$G$24,Course_Ledger!$B$2:$B$24,A12,Course_Ledger!$C$2:$C$24,B12)</f>
        <v>2</v>
      </c>
      <c r="E12" s="5" t="n">
        <f aca="false">SUMIFS(Course_Ledger!$I$2:$I$24,Course_Ledger!$B$2:$B$24,A12,Course_Ledger!$C$2:$C$24,B12)</f>
        <v>6</v>
      </c>
      <c r="F12" s="5" t="n">
        <f aca="false">IFERROR(E12/D12,"")</f>
        <v>3</v>
      </c>
      <c r="G12" s="5" t="n">
        <v>3</v>
      </c>
    </row>
    <row r="13" customFormat="false" ht="15" hidden="false" customHeight="false" outlineLevel="0" collapsed="false">
      <c r="A13" s="3" t="s">
        <v>67</v>
      </c>
      <c r="B13" s="3" t="s">
        <v>58</v>
      </c>
      <c r="C13" s="3" t="n">
        <f aca="false">COUNTIFS(Course_Ledger!$B$2:$B$24,A13,Course_Ledger!$C$2:$C$24,B13)</f>
        <v>1</v>
      </c>
      <c r="D13" s="5" t="n">
        <f aca="false">SUMIFS(Course_Ledger!$G$2:$G$24,Course_Ledger!$B$2:$B$24,A13,Course_Ledger!$C$2:$C$24,B13)</f>
        <v>1</v>
      </c>
      <c r="E13" s="5" t="n">
        <f aca="false">SUMIFS(Course_Ledger!$I$2:$I$24,Course_Ledger!$B$2:$B$24,A13,Course_Ledger!$C$2:$C$24,B13)</f>
        <v>4</v>
      </c>
      <c r="F13" s="5" t="n">
        <f aca="false">IFERROR(E13/D13,"")</f>
        <v>4</v>
      </c>
      <c r="G13" s="5" t="n">
        <v>4</v>
      </c>
    </row>
    <row r="14" customFormat="false" ht="15" hidden="false" customHeight="false" outlineLevel="0" collapsed="false">
      <c r="A14" s="3" t="s">
        <v>75</v>
      </c>
      <c r="B14" s="3" t="s">
        <v>48</v>
      </c>
      <c r="C14" s="3" t="n">
        <f aca="false">COUNTIFS(Course_Ledger!$B$2:$B$24,A14,Course_Ledger!$C$2:$C$24,B14)</f>
        <v>2</v>
      </c>
      <c r="D14" s="5" t="n">
        <f aca="false">SUMIFS(Course_Ledger!$G$2:$G$24,Course_Ledger!$B$2:$B$24,A14,Course_Ledger!$C$2:$C$24,B14)</f>
        <v>2</v>
      </c>
      <c r="E14" s="5" t="n">
        <f aca="false">SUMIFS(Course_Ledger!$I$2:$I$24,Course_Ledger!$B$2:$B$24,A14,Course_Ledger!$C$2:$C$24,B14)</f>
        <v>8</v>
      </c>
      <c r="F14" s="5" t="n">
        <f aca="false">IFERROR(E14/D14,"")</f>
        <v>4</v>
      </c>
      <c r="G14" s="5" t="n">
        <v>4</v>
      </c>
    </row>
    <row r="15" customFormat="false" ht="15" hidden="false" customHeight="false" outlineLevel="0" collapsed="false">
      <c r="A15" s="3" t="s">
        <v>75</v>
      </c>
      <c r="B15" s="3" t="s">
        <v>52</v>
      </c>
      <c r="C15" s="3" t="n">
        <f aca="false">COUNTIFS(Course_Ledger!$B$2:$B$24,A15,Course_Ledger!$C$2:$C$24,B15)</f>
        <v>1</v>
      </c>
      <c r="D15" s="5" t="n">
        <f aca="false">SUMIFS(Course_Ledger!$G$2:$G$24,Course_Ledger!$B$2:$B$24,A15,Course_Ledger!$C$2:$C$24,B15)</f>
        <v>1</v>
      </c>
      <c r="E15" s="5" t="n">
        <f aca="false">SUMIFS(Course_Ledger!$I$2:$I$24,Course_Ledger!$B$2:$B$24,A15,Course_Ledger!$C$2:$C$24,B15)</f>
        <v>4</v>
      </c>
      <c r="F15" s="5" t="n">
        <f aca="false">IFERROR(E15/D15,"")</f>
        <v>4</v>
      </c>
      <c r="G15" s="5" t="n">
        <v>4</v>
      </c>
    </row>
    <row r="16" customFormat="false" ht="15" hidden="false" customHeight="false" outlineLevel="0" collapsed="false">
      <c r="A16" s="3" t="s">
        <v>75</v>
      </c>
      <c r="B16" s="3" t="s">
        <v>54</v>
      </c>
      <c r="C16" s="3" t="n">
        <f aca="false">COUNTIFS(Course_Ledger!$B$2:$B$24,A16,Course_Ledger!$C$2:$C$24,B16)</f>
        <v>2</v>
      </c>
      <c r="D16" s="5" t="n">
        <f aca="false">SUMIFS(Course_Ledger!$G$2:$G$24,Course_Ledger!$B$2:$B$24,A16,Course_Ledger!$C$2:$C$24,B16)</f>
        <v>2</v>
      </c>
      <c r="E16" s="5" t="n">
        <f aca="false">SUMIFS(Course_Ledger!$I$2:$I$24,Course_Ledger!$B$2:$B$24,A16,Course_Ledger!$C$2:$C$24,B16)</f>
        <v>7</v>
      </c>
      <c r="F16" s="5" t="n">
        <f aca="false">IFERROR(E16/D16,"")</f>
        <v>3.5</v>
      </c>
      <c r="G16" s="5" t="n">
        <v>5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33.75" hidden="false" customHeight="true" outlineLevel="0" collapsed="false">
      <c r="A18" s="6" t="s">
        <v>39</v>
      </c>
      <c r="B18" s="6" t="s">
        <v>40</v>
      </c>
      <c r="C18" s="6" t="s">
        <v>86</v>
      </c>
      <c r="D18" s="6" t="s">
        <v>87</v>
      </c>
      <c r="E18" s="6" t="s">
        <v>88</v>
      </c>
      <c r="F18" s="6" t="s">
        <v>89</v>
      </c>
      <c r="G18" s="6" t="s">
        <v>90</v>
      </c>
    </row>
    <row r="19" customFormat="false" ht="15" hidden="false" customHeight="false" outlineLevel="0" collapsed="false">
      <c r="A19" s="3" t="s">
        <v>47</v>
      </c>
      <c r="B19" s="3" t="s">
        <v>48</v>
      </c>
      <c r="C19" s="5" t="n">
        <f aca="false">SUM($D$2:D2)</f>
        <v>2</v>
      </c>
      <c r="D19" s="5" t="n">
        <f aca="false">SUM($E$2:E2)</f>
        <v>8</v>
      </c>
      <c r="E19" s="5" t="n">
        <f aca="false">IFERROR(D19/C19,"")</f>
        <v>4</v>
      </c>
      <c r="F19" s="5" t="n">
        <v>4</v>
      </c>
      <c r="G19" s="5" t="n">
        <f aca="false">F19-E19</f>
        <v>0</v>
      </c>
    </row>
    <row r="20" customFormat="false" ht="15" hidden="false" customHeight="false" outlineLevel="0" collapsed="false">
      <c r="A20" s="3" t="s">
        <v>47</v>
      </c>
      <c r="B20" s="3" t="s">
        <v>52</v>
      </c>
      <c r="C20" s="5" t="n">
        <f aca="false">SUM($D$2:D3)</f>
        <v>3</v>
      </c>
      <c r="D20" s="5" t="n">
        <f aca="false">SUM($E$2:E3)</f>
        <v>12</v>
      </c>
      <c r="E20" s="5" t="n">
        <f aca="false">IFERROR(D20/C20,"")</f>
        <v>4</v>
      </c>
      <c r="F20" s="5" t="n">
        <v>4</v>
      </c>
      <c r="G20" s="5" t="n">
        <f aca="false">F20-E20</f>
        <v>0</v>
      </c>
    </row>
    <row r="21" customFormat="false" ht="15" hidden="false" customHeight="false" outlineLevel="0" collapsed="false">
      <c r="A21" s="3" t="s">
        <v>47</v>
      </c>
      <c r="B21" s="3" t="s">
        <v>54</v>
      </c>
      <c r="C21" s="5" t="n">
        <f aca="false">SUM($D$2:D4)</f>
        <v>5</v>
      </c>
      <c r="D21" s="5" t="n">
        <f aca="false">SUM($E$2:E4)</f>
        <v>19</v>
      </c>
      <c r="E21" s="5" t="n">
        <f aca="false">IFERROR(D21/C21,"")</f>
        <v>3.8</v>
      </c>
      <c r="F21" s="5" t="n">
        <v>3.8</v>
      </c>
      <c r="G21" s="5" t="n">
        <f aca="false">F21-E21</f>
        <v>0</v>
      </c>
    </row>
    <row r="22" customFormat="false" ht="15" hidden="false" customHeight="false" outlineLevel="0" collapsed="false">
      <c r="A22" s="3" t="s">
        <v>47</v>
      </c>
      <c r="B22" s="3" t="s">
        <v>58</v>
      </c>
      <c r="C22" s="5" t="n">
        <f aca="false">SUM($D$2:D5)</f>
        <v>6</v>
      </c>
      <c r="D22" s="5" t="n">
        <f aca="false">SUM($E$2:E5)</f>
        <v>23</v>
      </c>
      <c r="E22" s="5" t="n">
        <f aca="false">IFERROR(D22/C22,"")</f>
        <v>3.83333333333333</v>
      </c>
      <c r="F22" s="5" t="n">
        <v>3.83</v>
      </c>
      <c r="G22" s="5" t="n">
        <f aca="false">F22-E22</f>
        <v>-0.00333333333333341</v>
      </c>
    </row>
    <row r="23" customFormat="false" ht="15" hidden="false" customHeight="false" outlineLevel="0" collapsed="false">
      <c r="A23" s="3" t="s">
        <v>60</v>
      </c>
      <c r="B23" s="3" t="s">
        <v>48</v>
      </c>
      <c r="C23" s="5" t="n">
        <f aca="false">SUM($D$2:D6)</f>
        <v>8</v>
      </c>
      <c r="D23" s="5" t="n">
        <f aca="false">SUM($E$2:E6)</f>
        <v>31</v>
      </c>
      <c r="E23" s="5" t="n">
        <f aca="false">IFERROR(D23/C23,"")</f>
        <v>3.875</v>
      </c>
      <c r="F23" s="5" t="n">
        <v>3.88</v>
      </c>
      <c r="G23" s="5" t="n">
        <f aca="false">F23-E23</f>
        <v>0.00499999999999989</v>
      </c>
    </row>
    <row r="24" customFormat="false" ht="15" hidden="false" customHeight="false" outlineLevel="0" collapsed="false">
      <c r="A24" s="3" t="s">
        <v>60</v>
      </c>
      <c r="B24" s="3" t="s">
        <v>52</v>
      </c>
      <c r="C24" s="5" t="n">
        <f aca="false">SUM($D$2:D7)</f>
        <v>9</v>
      </c>
      <c r="D24" s="5" t="n">
        <f aca="false">SUM($E$2:E7)</f>
        <v>35</v>
      </c>
      <c r="E24" s="5" t="n">
        <f aca="false">IFERROR(D24/C24,"")</f>
        <v>3.88888888888889</v>
      </c>
      <c r="F24" s="5" t="n">
        <v>3.89</v>
      </c>
      <c r="G24" s="5" t="n">
        <f aca="false">F24-E24</f>
        <v>0.00111111111111128</v>
      </c>
    </row>
    <row r="25" customFormat="false" ht="15" hidden="false" customHeight="false" outlineLevel="0" collapsed="false">
      <c r="A25" s="3" t="s">
        <v>60</v>
      </c>
      <c r="B25" s="3" t="s">
        <v>54</v>
      </c>
      <c r="C25" s="5" t="n">
        <f aca="false">SUM($D$2:D8)</f>
        <v>11</v>
      </c>
      <c r="D25" s="5" t="n">
        <f aca="false">SUM($E$2:E8)</f>
        <v>42</v>
      </c>
      <c r="E25" s="5" t="n">
        <f aca="false">IFERROR(D25/C25,"")</f>
        <v>3.81818181818182</v>
      </c>
      <c r="F25" s="5" t="n">
        <v>3.82</v>
      </c>
      <c r="G25" s="5" t="n">
        <f aca="false">F25-E25</f>
        <v>0.0018181818181815</v>
      </c>
    </row>
    <row r="26" customFormat="false" ht="15" hidden="false" customHeight="false" outlineLevel="0" collapsed="false">
      <c r="A26" s="3" t="s">
        <v>60</v>
      </c>
      <c r="B26" s="3" t="s">
        <v>58</v>
      </c>
      <c r="C26" s="5" t="n">
        <f aca="false">SUM($D$2:D9)</f>
        <v>12</v>
      </c>
      <c r="D26" s="5" t="n">
        <f aca="false">SUM($E$2:E9)</f>
        <v>46</v>
      </c>
      <c r="E26" s="5" t="n">
        <f aca="false">IFERROR(D26/C26,"")</f>
        <v>3.83333333333333</v>
      </c>
      <c r="F26" s="5" t="n">
        <v>3.83</v>
      </c>
      <c r="G26" s="5" t="n">
        <f aca="false">F26-E26</f>
        <v>-0.00333333333333341</v>
      </c>
    </row>
    <row r="27" customFormat="false" ht="15" hidden="false" customHeight="false" outlineLevel="0" collapsed="false">
      <c r="A27" s="3" t="s">
        <v>67</v>
      </c>
      <c r="B27" s="3" t="s">
        <v>48</v>
      </c>
      <c r="C27" s="5" t="n">
        <f aca="false">SUM($D$2:D10)</f>
        <v>14</v>
      </c>
      <c r="D27" s="5" t="n">
        <f aca="false">SUM($E$2:E10)</f>
        <v>51</v>
      </c>
      <c r="E27" s="5" t="n">
        <f aca="false">IFERROR(D27/C27,"")</f>
        <v>3.64285714285714</v>
      </c>
      <c r="F27" s="5" t="n">
        <v>3.64</v>
      </c>
      <c r="G27" s="5" t="n">
        <f aca="false">F27-E27</f>
        <v>-0.00285714285714267</v>
      </c>
    </row>
    <row r="28" customFormat="false" ht="15" hidden="false" customHeight="false" outlineLevel="0" collapsed="false">
      <c r="A28" s="3" t="s">
        <v>67</v>
      </c>
      <c r="B28" s="3" t="s">
        <v>52</v>
      </c>
      <c r="C28" s="5" t="n">
        <f aca="false">SUM($D$2:D11)</f>
        <v>15</v>
      </c>
      <c r="D28" s="5" t="n">
        <f aca="false">SUM($E$2:E11)</f>
        <v>55</v>
      </c>
      <c r="E28" s="5" t="n">
        <f aca="false">IFERROR(D28/C28,"")</f>
        <v>3.66666666666667</v>
      </c>
      <c r="F28" s="5" t="n">
        <v>3.67</v>
      </c>
      <c r="G28" s="5" t="n">
        <f aca="false">F28-E28</f>
        <v>0.00333333333333341</v>
      </c>
    </row>
    <row r="29" customFormat="false" ht="15" hidden="false" customHeight="false" outlineLevel="0" collapsed="false">
      <c r="A29" s="3" t="s">
        <v>67</v>
      </c>
      <c r="B29" s="3" t="s">
        <v>54</v>
      </c>
      <c r="C29" s="5" t="n">
        <f aca="false">SUM($D$2:D12)</f>
        <v>17</v>
      </c>
      <c r="D29" s="5" t="n">
        <f aca="false">SUM($E$2:E12)</f>
        <v>61</v>
      </c>
      <c r="E29" s="5" t="n">
        <f aca="false">IFERROR(D29/C29,"")</f>
        <v>3.58823529411765</v>
      </c>
      <c r="F29" s="5" t="n">
        <v>3.59</v>
      </c>
      <c r="G29" s="5" t="n">
        <f aca="false">F29-E29</f>
        <v>0.00176470588235267</v>
      </c>
    </row>
    <row r="30" customFormat="false" ht="15" hidden="false" customHeight="false" outlineLevel="0" collapsed="false">
      <c r="A30" s="3" t="s">
        <v>67</v>
      </c>
      <c r="B30" s="3" t="s">
        <v>58</v>
      </c>
      <c r="C30" s="5" t="n">
        <f aca="false">SUM($D$2:D13)</f>
        <v>18</v>
      </c>
      <c r="D30" s="5" t="n">
        <f aca="false">SUM($E$2:E13)</f>
        <v>65</v>
      </c>
      <c r="E30" s="5" t="n">
        <f aca="false">IFERROR(D30/C30,"")</f>
        <v>3.61111111111111</v>
      </c>
      <c r="F30" s="5" t="n">
        <v>3.61</v>
      </c>
      <c r="G30" s="5" t="n">
        <f aca="false">F30-E30</f>
        <v>-0.00111111111111128</v>
      </c>
    </row>
    <row r="31" customFormat="false" ht="15" hidden="false" customHeight="false" outlineLevel="0" collapsed="false">
      <c r="A31" s="3" t="s">
        <v>75</v>
      </c>
      <c r="B31" s="3" t="s">
        <v>48</v>
      </c>
      <c r="C31" s="5" t="n">
        <f aca="false">SUM($D$2:D14)</f>
        <v>20</v>
      </c>
      <c r="D31" s="5" t="n">
        <f aca="false">SUM($E$2:E14)</f>
        <v>73</v>
      </c>
      <c r="E31" s="5" t="n">
        <f aca="false">IFERROR(D31/C31,"")</f>
        <v>3.65</v>
      </c>
      <c r="F31" s="5" t="n">
        <v>3.65</v>
      </c>
      <c r="G31" s="5" t="n">
        <f aca="false">F31-E31</f>
        <v>0</v>
      </c>
    </row>
    <row r="32" customFormat="false" ht="15" hidden="false" customHeight="false" outlineLevel="0" collapsed="false">
      <c r="A32" s="3" t="s">
        <v>75</v>
      </c>
      <c r="B32" s="3" t="s">
        <v>52</v>
      </c>
      <c r="C32" s="5" t="n">
        <f aca="false">SUM($D$2:D15)</f>
        <v>21</v>
      </c>
      <c r="D32" s="5" t="n">
        <f aca="false">SUM($E$2:E15)</f>
        <v>77</v>
      </c>
      <c r="E32" s="5" t="n">
        <f aca="false">IFERROR(D32/C32,"")</f>
        <v>3.66666666666667</v>
      </c>
      <c r="F32" s="5" t="n">
        <v>3.67</v>
      </c>
      <c r="G32" s="5" t="n">
        <f aca="false">F32-E32</f>
        <v>0.00333333333333341</v>
      </c>
    </row>
    <row r="33" customFormat="false" ht="15" hidden="false" customHeight="false" outlineLevel="0" collapsed="false">
      <c r="A33" s="3" t="s">
        <v>75</v>
      </c>
      <c r="B33" s="3" t="s">
        <v>54</v>
      </c>
      <c r="C33" s="5" t="n">
        <f aca="false">SUM($D$2:D16)</f>
        <v>23</v>
      </c>
      <c r="D33" s="5" t="n">
        <f aca="false">SUM($E$2:E16)</f>
        <v>84</v>
      </c>
      <c r="E33" s="5" t="n">
        <f aca="false">IFERROR(D33/C33,"")</f>
        <v>3.65217391304348</v>
      </c>
      <c r="F33" s="5" t="n">
        <v>3.78</v>
      </c>
      <c r="G33" s="5" t="n">
        <f aca="false">F33-E33</f>
        <v>0.127826086956522</v>
      </c>
    </row>
  </sheetData>
  <autoFilter ref="A1:G33"/>
  <conditionalFormatting sqref="G19:G33">
    <cfRule type="expression" priority="2" aboveAverage="0" equalAverage="0" bottom="0" percent="0" rank="0" text="" dxfId="5">
      <formula>ABS(G19)&gt;0.02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9.01"/>
    <col collapsed="false" customWidth="true" hidden="false" outlineLevel="0" max="2" min="2" style="0" width="24"/>
    <col collapsed="false" customWidth="true" hidden="false" outlineLevel="0" max="3" min="3" style="0" width="48.01"/>
  </cols>
  <sheetData>
    <row r="1" customFormat="false" ht="33.75" hidden="false" customHeight="true" outlineLevel="0" collapsed="false">
      <c r="A1" s="1" t="s">
        <v>91</v>
      </c>
      <c r="B1" s="1" t="s">
        <v>92</v>
      </c>
      <c r="C1" s="1" t="s">
        <v>93</v>
      </c>
    </row>
    <row r="2" customFormat="false" ht="15" hidden="false" customHeight="false" outlineLevel="0" collapsed="false">
      <c r="A2" s="2" t="s">
        <v>94</v>
      </c>
      <c r="B2" s="7" t="n">
        <f aca="false">COUNTA(Course_Ledger!A2:A24)</f>
        <v>23</v>
      </c>
      <c r="C2" s="3" t="s">
        <v>95</v>
      </c>
    </row>
    <row r="3" customFormat="false" ht="15" hidden="false" customHeight="false" outlineLevel="0" collapsed="false">
      <c r="A3" s="2" t="s">
        <v>96</v>
      </c>
      <c r="B3" s="8" t="n">
        <f aca="false">SUM(Course_Ledger!G2:G24)</f>
        <v>23</v>
      </c>
      <c r="C3" s="3" t="s">
        <v>97</v>
      </c>
    </row>
    <row r="4" customFormat="false" ht="15" hidden="false" customHeight="false" outlineLevel="0" collapsed="false">
      <c r="A4" s="2" t="s">
        <v>98</v>
      </c>
      <c r="B4" s="8" t="n">
        <f aca="false">COUNTIF(Course_Ledger!F2:F24,"A")</f>
        <v>17</v>
      </c>
      <c r="C4" s="3" t="s">
        <v>99</v>
      </c>
    </row>
    <row r="5" customFormat="false" ht="15" hidden="false" customHeight="false" outlineLevel="0" collapsed="false">
      <c r="A5" s="2" t="s">
        <v>100</v>
      </c>
      <c r="B5" s="8" t="n">
        <f aca="false">COUNTIF(Course_Ledger!F2:F24,"B")</f>
        <v>4</v>
      </c>
      <c r="C5" s="3" t="s">
        <v>99</v>
      </c>
    </row>
    <row r="6" customFormat="false" ht="15" hidden="false" customHeight="false" outlineLevel="0" collapsed="false">
      <c r="A6" s="2" t="s">
        <v>101</v>
      </c>
      <c r="B6" s="8" t="n">
        <f aca="false">COUNTIF(Course_Ledger!F2:F24,"C")</f>
        <v>2</v>
      </c>
      <c r="C6" s="3" t="s">
        <v>99</v>
      </c>
    </row>
    <row r="7" customFormat="false" ht="15" hidden="false" customHeight="false" outlineLevel="0" collapsed="false">
      <c r="A7" s="2" t="s">
        <v>46</v>
      </c>
      <c r="B7" s="8" t="n">
        <f aca="false">SUM(Course_Ledger!I2:I24)</f>
        <v>84</v>
      </c>
      <c r="C7" s="3" t="s">
        <v>102</v>
      </c>
    </row>
    <row r="8" customFormat="false" ht="15" hidden="false" customHeight="false" outlineLevel="0" collapsed="false">
      <c r="A8" s="2" t="s">
        <v>103</v>
      </c>
      <c r="B8" s="8" t="n">
        <f aca="false">B7/B3</f>
        <v>3.65217391304348</v>
      </c>
      <c r="C8" s="3" t="s">
        <v>104</v>
      </c>
    </row>
    <row r="9" customFormat="false" ht="15" hidden="false" customHeight="false" outlineLevel="0" collapsed="false">
      <c r="A9" s="2" t="s">
        <v>105</v>
      </c>
      <c r="B9" s="8" t="n">
        <f aca="false">ROUND(B8,2)</f>
        <v>3.65</v>
      </c>
      <c r="C9" s="3" t="s">
        <v>106</v>
      </c>
    </row>
    <row r="10" customFormat="false" ht="15" hidden="false" customHeight="false" outlineLevel="0" collapsed="false">
      <c r="A10" s="2" t="s">
        <v>107</v>
      </c>
      <c r="B10" s="8" t="n">
        <f aca="false">Source_Profile!B6</f>
        <v>3.65</v>
      </c>
      <c r="C10" s="3" t="s">
        <v>108</v>
      </c>
    </row>
    <row r="11" customFormat="false" ht="15" hidden="false" customHeight="false" outlineLevel="0" collapsed="false">
      <c r="A11" s="2" t="s">
        <v>109</v>
      </c>
      <c r="B11" s="8" t="n">
        <f aca="false">B9-B10</f>
        <v>0</v>
      </c>
      <c r="C11" s="3" t="s">
        <v>110</v>
      </c>
    </row>
    <row r="12" customFormat="false" ht="15" hidden="false" customHeight="false" outlineLevel="0" collapsed="false">
      <c r="A12" s="2" t="s">
        <v>111</v>
      </c>
      <c r="B12" s="8" t="n">
        <f aca="false">Source_Profile!B5</f>
        <v>3.78</v>
      </c>
      <c r="C12" s="3" t="s">
        <v>112</v>
      </c>
    </row>
    <row r="13" customFormat="false" ht="15" hidden="false" customHeight="false" outlineLevel="0" collapsed="false">
      <c r="A13" s="2" t="s">
        <v>113</v>
      </c>
      <c r="B13" s="8" t="n">
        <f aca="false">Term_Audit!F33</f>
        <v>3.78</v>
      </c>
      <c r="C13" s="3" t="s">
        <v>114</v>
      </c>
    </row>
    <row r="14" customFormat="false" ht="15" hidden="false" customHeight="false" outlineLevel="0" collapsed="false">
      <c r="A14" s="2" t="s">
        <v>115</v>
      </c>
      <c r="B14" s="8" t="n">
        <f aca="false">B13-B12</f>
        <v>0</v>
      </c>
      <c r="C14" s="3" t="s">
        <v>110</v>
      </c>
    </row>
    <row r="15" customFormat="false" ht="15" hidden="false" customHeight="false" outlineLevel="0" collapsed="false">
      <c r="A15" s="2" t="s">
        <v>25</v>
      </c>
      <c r="B15" s="8" t="n">
        <f aca="false">Source_Profile!B8</f>
        <v>1</v>
      </c>
      <c r="C15" s="3" t="s">
        <v>116</v>
      </c>
    </row>
    <row r="16" customFormat="false" ht="15" hidden="false" customHeight="false" outlineLevel="0" collapsed="false">
      <c r="A16" s="2" t="s">
        <v>32</v>
      </c>
      <c r="B16" s="7" t="n">
        <f aca="false">Source_Profile!B10</f>
        <v>2</v>
      </c>
      <c r="C16" s="3" t="s">
        <v>117</v>
      </c>
    </row>
    <row r="17" customFormat="false" ht="15" hidden="false" customHeight="false" outlineLevel="0" collapsed="false">
      <c r="A17" s="2" t="s">
        <v>118</v>
      </c>
      <c r="B17" s="9" t="str">
        <f aca="false">IF(B15&lt;B16,"Potentially incomplete","Complete")</f>
        <v>Potentially incomplete</v>
      </c>
      <c r="C17" s="3" t="s">
        <v>33</v>
      </c>
    </row>
  </sheetData>
  <autoFilter ref="A1:C17"/>
  <conditionalFormatting sqref="B17">
    <cfRule type="expression" priority="2" aboveAverage="0" equalAverage="0" bottom="0" percent="0" rank="0" text="" dxfId="5">
      <formula>B17="Potentially incomplete"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2026-09-01T12:05:00Z</dcterms:created>
  <dc:creator>EvoCowork OfficeBench adapter</dc:creator>
  <dc:description/>
  <dc:language>en-US</dc:language>
  <cp:lastModifiedBy/>
  <dcterms:modified xsi:type="dcterms:W3CDTF">2026-09-01T12:05:00Z</dcterms:modified>
  <cp:revision>0</cp:revision>
  <dc:subject/>
  <dc:title>Transcript GPA Audit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