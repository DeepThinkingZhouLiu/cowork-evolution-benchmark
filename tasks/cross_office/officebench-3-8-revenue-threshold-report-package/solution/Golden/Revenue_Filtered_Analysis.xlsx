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5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Data" sheetId="1" state="visible" r:id="rId2"/>
    <sheet name="Threshold_Audit" sheetId="2" state="visible" r:id="rId3"/>
    <sheet name="Retained_Years" sheetId="3" state="visible" r:id="rId4"/>
    <sheet name="Removed_Years" sheetId="4" state="visible" r:id="rId5"/>
    <sheet name="Summary" sheetId="5" state="visible" r:id="rId6"/>
  </sheets>
  <definedNames>
    <definedName function="false" hidden="false" localSheetId="3" name="_xlnm.Print_Area" vbProcedure="false">Removed_Years!$A$1:$C$4</definedName>
    <definedName function="false" hidden="false" localSheetId="3" name="_xlnm.Print_Titles" vbProcedure="false">Removed_Years!$1:$1</definedName>
    <definedName function="false" hidden="true" localSheetId="3" name="_xlnm._FilterDatabase" vbProcedure="false">Removed_Years!$A$1:$C$4</definedName>
    <definedName function="false" hidden="false" localSheetId="2" name="_xlnm.Print_Area" vbProcedure="false">Retained_Years!$A$1:$E$18</definedName>
    <definedName function="false" hidden="false" localSheetId="2" name="_xlnm.Print_Titles" vbProcedure="false">Retained_Years!$1:$1</definedName>
    <definedName function="false" hidden="true" localSheetId="2" name="_xlnm._FilterDatabase" vbProcedure="false">Retained_Years!$A$1:$E$18</definedName>
    <definedName function="false" hidden="false" localSheetId="0" name="_xlnm.Print_Area" vbProcedure="false">Source_Data!$A$1:$B$21</definedName>
    <definedName function="false" hidden="false" localSheetId="0" name="_xlnm.Print_Titles" vbProcedure="false">Source_Data!$1:$1</definedName>
    <definedName function="false" hidden="true" localSheetId="0" name="_xlnm._FilterDatabase" vbProcedure="false">Source_Data!$A$1:$B$21</definedName>
    <definedName function="false" hidden="false" localSheetId="4" name="_xlnm.Print_Area" vbProcedure="false">Summary!$A$1:$M$13</definedName>
    <definedName function="false" hidden="false" localSheetId="4" name="_xlnm.Print_Titles" vbProcedure="false">Summary!$1:$1</definedName>
    <definedName function="false" hidden="true" localSheetId="4" name="_xlnm._FilterDatabase" vbProcedure="false">Summary!$A$1:$B$13</definedName>
    <definedName function="false" hidden="false" localSheetId="1" name="_xlnm.Print_Area" vbProcedure="false">Threshold_Audit!$A$1:$F$21</definedName>
    <definedName function="false" hidden="false" localSheetId="1" name="_xlnm.Print_Titles" vbProcedure="false">Threshold_Audit!$1:$1</definedName>
    <definedName function="false" hidden="true" localSheetId="1" name="_xlnm._FilterDatabase" vbProcedure="false">Threshold_Audit!$A$1:$F$21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<sst xmlns="http://schemas.openxmlformats.org/spreadsheetml/2006/main" count="30" uniqueCount="23">
  <si>
    <t xml:space="preserve">Year</t>
  </si>
  <si>
    <t xml:space="preserve">Revenue_USD</t>
  </si>
  <si>
    <t xml:space="preserve">Threshold_USD</t>
  </si>
  <si>
    <t xml:space="preserve">Status</t>
  </si>
  <si>
    <t xml:space="preserve">Margin_to_Threshold</t>
  </si>
  <si>
    <t xml:space="preserve">Revenue_Rank</t>
  </si>
  <si>
    <t xml:space="preserve">Change_vs_Previous_Retained</t>
  </si>
  <si>
    <t xml:space="preserve">Change_Pct_vs_Previous_Retained</t>
  </si>
  <si>
    <t xml:space="preserve">Shortfall_to_Threshold</t>
  </si>
  <si>
    <t xml:space="preserve">Metric</t>
  </si>
  <si>
    <t xml:space="preserve">Value</t>
  </si>
  <si>
    <t xml:space="preserve">Original_Years</t>
  </si>
  <si>
    <t xml:space="preserve">Retained_Years</t>
  </si>
  <si>
    <t xml:space="preserve">Removed_Years</t>
  </si>
  <si>
    <t xml:space="preserve">Retention_Rate</t>
  </si>
  <si>
    <t xml:space="preserve">Retained_Total</t>
  </si>
  <si>
    <t xml:space="preserve">Retained_Average</t>
  </si>
  <si>
    <t xml:space="preserve">Highest_Revenue_Year</t>
  </si>
  <si>
    <t xml:space="preserve">Highest_Revenue</t>
  </si>
  <si>
    <t xml:space="preserve">Lowest_Retained_Year</t>
  </si>
  <si>
    <t xml:space="preserve">Lowest_Retained_Revenue</t>
  </si>
  <si>
    <t xml:space="preserve">First_to_Last_Change</t>
  </si>
  <si>
    <t xml:space="preserve">First_to_Last_Change_Pct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</si>
</sst>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%"/>
    <numFmt numFmtId="167" formatCode="General"/>
    <numFmt numFmtId="168" formatCode="\$#,##0.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ptos"/>
      <family val="0"/>
      <charset val="1"/>
    </font>
    <font>
      <sz val="9"/>
      <color rgb="FF17324D"/>
      <name val="Aptos"/>
      <family val="0"/>
      <charset val="1"/>
    </font>
    <font>
      <b val="true"/>
      <sz val="10"/>
      <color rgb="FF17324D"/>
      <name val="Aptos"/>
      <family val="0"/>
      <charset val="1"/>
    </font>
    <font>
      <b val="true"/>
      <sz val="12"/>
      <color rgb="FF168AAD"/>
      <name val="Aptos Display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EAF3F8"/>
        <bgColor rgb="FFE7F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D8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7324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7F4EC"/>
        </patternFill>
      </fill>
    </dxf>
    <dxf>
      <fill>
        <patternFill patternType="solid">
          <fgColor rgb="FFFBE9E7"/>
        </patternFill>
      </fill>
    </dxf>
    <dxf>
      <fill>
        <patternFill>
          <bgColor rgb="FFE7F4EC"/>
        </patternFill>
      </fill>
    </dxf>
    <dxf>
      <fill>
        <patternFill>
          <bgColor rgb="FFFBE9E7"/>
        </patternFill>
      </fill>
    </dxf>
    <dxf>
      <fill>
        <patternFill patternType="solid">
          <fgColor rgb="FFEAF3F8"/>
        </patternFill>
      </fill>
    </dxf>
    <dxf>
      <fill>
        <patternFill patternType="solid">
          <fgColor rgb="FFFFF5DB"/>
        </patternFill>
      </fill>
    </dxf>
    <dxf>
      <fill>
        <patternFill patternType="solid">
          <fgColor rgb="FF168AAD"/>
        </patternFill>
      </fill>
    </dxf>
    <dxf>
      <fill>
        <patternFill>
          <bgColor rgb="FFFFF5D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AAD"/>
      <rgbColor rgb="FFD9D9D9"/>
      <rgbColor rgb="FF878787"/>
      <rgbColor rgb="FF9999FF"/>
      <rgbColor rgb="FF993366"/>
      <rgbColor rgb="FFFFF5DB"/>
      <rgbColor rgb="FFE7F4EC"/>
      <rgbColor rgb="FF660066"/>
      <rgbColor rgb="FFFF8080"/>
      <rgbColor rgb="FF0066CC"/>
      <rgbColor rgb="FFCCD8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CCFFCC"/>
      <rgbColor rgb="FFFBE9E7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Retained revenue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Retained_Years!B1</c:f>
              <c:strCache>
                <c:ptCount val="1"/>
                <c:pt idx="0">
                  <c:v>Revenue_USD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Retained_Years!$A$2:$A$18</c:f>
              <c:strCache>
                <c:ptCount val="17"/>
                <c:pt idx="0">
                  <c:v>2004</c:v>
                </c:pt>
                <c:pt idx="1">
                  <c:v>2005</c:v>
                </c:pt>
                <c:pt idx="2">
                  <c:v>2007</c:v>
                </c:pt>
                <c:pt idx="3">
                  <c:v>2008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strCache>
            </c:strRef>
          </c:cat>
          <c:val>
            <c:numRef>
              <c:f>Retained_Years!$B$2:$B$18</c:f>
              <c:numCache>
                <c:formatCode>General</c:formatCode>
                <c:ptCount val="17"/>
                <c:pt idx="0">
                  <c:v>4439044</c:v>
                </c:pt>
                <c:pt idx="1">
                  <c:v>2212203</c:v>
                </c:pt>
                <c:pt idx="2">
                  <c:v>2793265</c:v>
                </c:pt>
                <c:pt idx="3">
                  <c:v>2080460</c:v>
                </c:pt>
                <c:pt idx="4">
                  <c:v>3098049</c:v>
                </c:pt>
                <c:pt idx="5">
                  <c:v>3975966</c:v>
                </c:pt>
                <c:pt idx="6">
                  <c:v>3251777</c:v>
                </c:pt>
                <c:pt idx="7">
                  <c:v>2918667</c:v>
                </c:pt>
                <c:pt idx="8">
                  <c:v>4983791</c:v>
                </c:pt>
                <c:pt idx="9">
                  <c:v>4611210</c:v>
                </c:pt>
                <c:pt idx="10">
                  <c:v>3294631</c:v>
                </c:pt>
                <c:pt idx="11">
                  <c:v>3945846</c:v>
                </c:pt>
                <c:pt idx="12">
                  <c:v>3907271</c:v>
                </c:pt>
                <c:pt idx="13">
                  <c:v>3651262</c:v>
                </c:pt>
                <c:pt idx="14">
                  <c:v>2005820</c:v>
                </c:pt>
                <c:pt idx="15">
                  <c:v>2170828</c:v>
                </c:pt>
                <c:pt idx="16">
                  <c:v>2832545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017001"/>
        <c:axId val="12017002"/>
      </c:lineChart>
      <c:catAx>
        <c:axId val="12017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17002"/>
        <c:crosses val="autoZero"/>
        <c:auto val="1"/>
        <c:lblAlgn val="ctr"/>
        <c:lblOffset val="100"/>
        <c:noMultiLvlLbl val="0"/>
      </c:catAx>
      <c:valAx>
        <c:axId val="12017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17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10</xdr:col>
      <xdr:colOff>394560</xdr:colOff>
      <xdr:row>14</xdr:row>
      <xdr:rowOff>115200</xdr:rowOff>
    </xdr:to>
    <xdr:graphicFrame>
      <xdr:nvGraphicFramePr>
        <xdr:cNvPr id="0" name="Chart 1"/>
        <xdr:cNvGraphicFramePr/>
      </xdr:nvGraphicFramePr>
      <xdr:xfrm>
        <a:off x="4634280" y="39996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emovedRevenueTable" displayName="RemovedRevenueTable" ref="A1:C4" headerRowCount="1" totalsRowCount="0" totalsRowShown="0">
  <autoFilter ref="A1:C4"/>
  <tableColumns count="3">
    <tableColumn id="1" name="Year"/>
    <tableColumn id="2" name="Revenue_USD"/>
    <tableColumn id="3" name="Shortfall_to_Threshold"/>
  </tableColumns>
</table>
</file>

<file path=xl/tables/table2.xml><?xml version="1.0" encoding="utf-8"?>
<table xmlns="http://schemas.openxmlformats.org/spreadsheetml/2006/main" id="2" name="RetainedRevenueTable" displayName="RetainedRevenueTable" ref="A1:E18" headerRowCount="1" totalsRowCount="0" totalsRowShown="0">
  <autoFilter ref="A1:E18"/>
  <tableColumns count="5">
    <tableColumn id="1" name="Year"/>
    <tableColumn id="2" name="Revenue_USD"/>
    <tableColumn id="3" name="Margin_to_Threshold"/>
    <tableColumn id="4" name="Change_vs_Previous_Retained"/>
    <tableColumn id="5" name="Change_Pct_vs_Previous_Retained"/>
  </tableColumns>
</table>
</file>

<file path=xl/tables/table3.xml><?xml version="1.0" encoding="utf-8"?>
<table xmlns="http://schemas.openxmlformats.org/spreadsheetml/2006/main" id="3" name="RevenueSourceTable" displayName="RevenueSourceTable" ref="A1:B21" headerRowCount="1" totalsRowCount="0" totalsRowShown="0">
  <autoFilter ref="A1:B21"/>
  <tableColumns count="2">
    <tableColumn id="1" name="Year"/>
    <tableColumn id="2" name="Revenue_USD"/>
  </tableColumns>
</table>
</file>

<file path=xl/tables/table4.xml><?xml version="1.0" encoding="utf-8"?>
<table xmlns="http://schemas.openxmlformats.org/spreadsheetml/2006/main" id="4" name="RevenueSummaryTable" displayName="RevenueSummaryTable" ref="A1:B13" headerRowCount="1" totalsRowCount="0" totalsRowShown="0">
  <autoFilter ref="A1:B13"/>
  <tableColumns count="2">
    <tableColumn id="1" name="Metric"/>
    <tableColumn id="2" name="Value"/>
  </tableColumns>
</table>
</file>

<file path=xl/tables/table5.xml><?xml version="1.0" encoding="utf-8"?>
<table xmlns="http://schemas.openxmlformats.org/spreadsheetml/2006/main" id="5" name="RevenueThresholdAuditTable" displayName="RevenueThresholdAuditTable" ref="A1:F21" headerRowCount="1" totalsRowCount="0" totalsRowShown="0">
  <autoFilter ref="A1:F21"/>
  <tableColumns count="6">
    <tableColumn id="1" name="Year"/>
    <tableColumn id="2" name="Revenue_USD"/>
    <tableColumn id="3" name="Threshold_USD"/>
    <tableColumn id="4" name="Status"/>
    <tableColumn id="5" name="Margin_to_Threshold"/>
    <tableColumn id="6" name="Revenue_Rank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22.01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2004</v>
      </c>
      <c r="B2" s="3" t="n">
        <v>4439044</v>
      </c>
    </row>
    <row r="3" customFormat="false" ht="15" hidden="false" customHeight="false" outlineLevel="0" collapsed="false">
      <c r="A3" s="2" t="n">
        <v>2005</v>
      </c>
      <c r="B3" s="3" t="n">
        <v>2212203</v>
      </c>
    </row>
    <row r="4" customFormat="false" ht="15" hidden="false" customHeight="false" outlineLevel="0" collapsed="false">
      <c r="A4" s="2" t="n">
        <v>2006</v>
      </c>
      <c r="B4" s="3" t="n">
        <v>1193225</v>
      </c>
    </row>
    <row r="5" customFormat="false" ht="15" hidden="false" customHeight="false" outlineLevel="0" collapsed="false">
      <c r="A5" s="2" t="n">
        <v>2007</v>
      </c>
      <c r="B5" s="3" t="n">
        <v>2793265</v>
      </c>
    </row>
    <row r="6" customFormat="false" ht="15" hidden="false" customHeight="false" outlineLevel="0" collapsed="false">
      <c r="A6" s="2" t="n">
        <v>2008</v>
      </c>
      <c r="B6" s="3" t="n">
        <v>2080460</v>
      </c>
    </row>
    <row r="7" customFormat="false" ht="15" hidden="false" customHeight="false" outlineLevel="0" collapsed="false">
      <c r="A7" s="2" t="n">
        <v>2009</v>
      </c>
      <c r="B7" s="3" t="n">
        <v>1791112</v>
      </c>
    </row>
    <row r="8" customFormat="false" ht="15" hidden="false" customHeight="false" outlineLevel="0" collapsed="false">
      <c r="A8" s="2" t="n">
        <v>2010</v>
      </c>
      <c r="B8" s="3" t="n">
        <v>3098049</v>
      </c>
    </row>
    <row r="9" customFormat="false" ht="15" hidden="false" customHeight="false" outlineLevel="0" collapsed="false">
      <c r="A9" s="2" t="n">
        <v>2011</v>
      </c>
      <c r="B9" s="3" t="n">
        <v>3975966</v>
      </c>
    </row>
    <row r="10" customFormat="false" ht="15" hidden="false" customHeight="false" outlineLevel="0" collapsed="false">
      <c r="A10" s="2" t="n">
        <v>2012</v>
      </c>
      <c r="B10" s="3" t="n">
        <v>3251777</v>
      </c>
    </row>
    <row r="11" customFormat="false" ht="15" hidden="false" customHeight="false" outlineLevel="0" collapsed="false">
      <c r="A11" s="2" t="n">
        <v>2013</v>
      </c>
      <c r="B11" s="3" t="n">
        <v>2918667</v>
      </c>
    </row>
    <row r="12" customFormat="false" ht="15" hidden="false" customHeight="false" outlineLevel="0" collapsed="false">
      <c r="A12" s="2" t="n">
        <v>2014</v>
      </c>
      <c r="B12" s="3" t="n">
        <v>4983791</v>
      </c>
    </row>
    <row r="13" customFormat="false" ht="15" hidden="false" customHeight="false" outlineLevel="0" collapsed="false">
      <c r="A13" s="2" t="n">
        <v>2015</v>
      </c>
      <c r="B13" s="3" t="n">
        <v>4611210</v>
      </c>
    </row>
    <row r="14" customFormat="false" ht="15" hidden="false" customHeight="false" outlineLevel="0" collapsed="false">
      <c r="A14" s="2" t="n">
        <v>2016</v>
      </c>
      <c r="B14" s="3" t="n">
        <v>3294631</v>
      </c>
    </row>
    <row r="15" customFormat="false" ht="15" hidden="false" customHeight="false" outlineLevel="0" collapsed="false">
      <c r="A15" s="2" t="n">
        <v>2017</v>
      </c>
      <c r="B15" s="3" t="n">
        <v>1463500</v>
      </c>
    </row>
    <row r="16" customFormat="false" ht="15" hidden="false" customHeight="false" outlineLevel="0" collapsed="false">
      <c r="A16" s="2" t="n">
        <v>2018</v>
      </c>
      <c r="B16" s="3" t="n">
        <v>3945846</v>
      </c>
    </row>
    <row r="17" customFormat="false" ht="15" hidden="false" customHeight="false" outlineLevel="0" collapsed="false">
      <c r="A17" s="2" t="n">
        <v>2019</v>
      </c>
      <c r="B17" s="3" t="n">
        <v>3907271</v>
      </c>
    </row>
    <row r="18" customFormat="false" ht="15" hidden="false" customHeight="false" outlineLevel="0" collapsed="false">
      <c r="A18" s="2" t="n">
        <v>2020</v>
      </c>
      <c r="B18" s="3" t="n">
        <v>3651262</v>
      </c>
    </row>
    <row r="19" customFormat="false" ht="15" hidden="false" customHeight="false" outlineLevel="0" collapsed="false">
      <c r="A19" s="2" t="n">
        <v>2021</v>
      </c>
      <c r="B19" s="3" t="n">
        <v>2005820</v>
      </c>
    </row>
    <row r="20" customFormat="false" ht="15" hidden="false" customHeight="false" outlineLevel="0" collapsed="false">
      <c r="A20" s="2" t="n">
        <v>2022</v>
      </c>
      <c r="B20" s="3" t="n">
        <v>2170828</v>
      </c>
    </row>
    <row r="21" customFormat="false" ht="15" hidden="false" customHeight="false" outlineLevel="0" collapsed="false">
      <c r="A21" s="2" t="n">
        <v>2023</v>
      </c>
      <c r="B21" s="3" t="n">
        <v>2832545</v>
      </c>
    </row>
  </sheetData>
  <autoFilter ref="A1:B21"/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3" min="2" style="0" width="18"/>
    <col collapsed="false" customWidth="true" hidden="false" outlineLevel="0" max="4" min="4" style="0" width="13.01"/>
    <col collapsed="false" customWidth="true" hidden="false" outlineLevel="0" max="5" min="5" style="0" width="22.01"/>
    <col collapsed="false" customWidth="true" hidden="false" outlineLevel="0" max="6" min="6" style="0" width="14.01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2004</v>
      </c>
      <c r="B2" s="3" t="n">
        <v>4439044</v>
      </c>
      <c r="C2" s="3" t="n">
        <v>2000000</v>
      </c>
      <c r="D2" s="2" t="str">
        <f aca="false">IF(B2&gt;=C2,"Retain","Remove")</f>
        <v>Retain</v>
      </c>
      <c r="E2" s="3" t="n">
        <f aca="false">B2-C2</f>
        <v>2439044</v>
      </c>
      <c r="F2" s="2" t="n">
        <f aca="false">RANK(B2,$B$2:$B$21,0)</f>
        <v>3</v>
      </c>
    </row>
    <row r="3" customFormat="false" ht="15" hidden="false" customHeight="false" outlineLevel="0" collapsed="false">
      <c r="A3" s="2" t="n">
        <v>2005</v>
      </c>
      <c r="B3" s="3" t="n">
        <v>2212203</v>
      </c>
      <c r="C3" s="3" t="n">
        <v>2000000</v>
      </c>
      <c r="D3" s="2" t="str">
        <f aca="false">IF(B3&gt;=C3,"Retain","Remove")</f>
        <v>Retain</v>
      </c>
      <c r="E3" s="3" t="n">
        <f aca="false">B3-C3</f>
        <v>212203</v>
      </c>
      <c r="F3" s="2" t="n">
        <f aca="false">RANK(B3,$B$2:$B$21,0)</f>
        <v>14</v>
      </c>
    </row>
    <row r="4" customFormat="false" ht="15" hidden="false" customHeight="false" outlineLevel="0" collapsed="false">
      <c r="A4" s="2" t="n">
        <v>2006</v>
      </c>
      <c r="B4" s="3" t="n">
        <v>1193225</v>
      </c>
      <c r="C4" s="3" t="n">
        <v>2000000</v>
      </c>
      <c r="D4" s="2" t="str">
        <f aca="false">IF(B4&gt;=C4,"Retain","Remove")</f>
        <v>Remove</v>
      </c>
      <c r="E4" s="3" t="n">
        <f aca="false">B4-C4</f>
        <v>-806775</v>
      </c>
      <c r="F4" s="2" t="n">
        <f aca="false">RANK(B4,$B$2:$B$21,0)</f>
        <v>20</v>
      </c>
    </row>
    <row r="5" customFormat="false" ht="15" hidden="false" customHeight="false" outlineLevel="0" collapsed="false">
      <c r="A5" s="2" t="n">
        <v>2007</v>
      </c>
      <c r="B5" s="3" t="n">
        <v>2793265</v>
      </c>
      <c r="C5" s="3" t="n">
        <v>2000000</v>
      </c>
      <c r="D5" s="2" t="str">
        <f aca="false">IF(B5&gt;=C5,"Retain","Remove")</f>
        <v>Retain</v>
      </c>
      <c r="E5" s="3" t="n">
        <f aca="false">B5-C5</f>
        <v>793265</v>
      </c>
      <c r="F5" s="2" t="n">
        <f aca="false">RANK(B5,$B$2:$B$21,0)</f>
        <v>13</v>
      </c>
    </row>
    <row r="6" customFormat="false" ht="15" hidden="false" customHeight="false" outlineLevel="0" collapsed="false">
      <c r="A6" s="2" t="n">
        <v>2008</v>
      </c>
      <c r="B6" s="3" t="n">
        <v>2080460</v>
      </c>
      <c r="C6" s="3" t="n">
        <v>2000000</v>
      </c>
      <c r="D6" s="2" t="str">
        <f aca="false">IF(B6&gt;=C6,"Retain","Remove")</f>
        <v>Retain</v>
      </c>
      <c r="E6" s="3" t="n">
        <f aca="false">B6-C6</f>
        <v>80460</v>
      </c>
      <c r="F6" s="2" t="n">
        <f aca="false">RANK(B6,$B$2:$B$21,0)</f>
        <v>16</v>
      </c>
    </row>
    <row r="7" customFormat="false" ht="15" hidden="false" customHeight="false" outlineLevel="0" collapsed="false">
      <c r="A7" s="2" t="n">
        <v>2009</v>
      </c>
      <c r="B7" s="3" t="n">
        <v>1791112</v>
      </c>
      <c r="C7" s="3" t="n">
        <v>2000000</v>
      </c>
      <c r="D7" s="2" t="str">
        <f aca="false">IF(B7&gt;=C7,"Retain","Remove")</f>
        <v>Remove</v>
      </c>
      <c r="E7" s="3" t="n">
        <f aca="false">B7-C7</f>
        <v>-208888</v>
      </c>
      <c r="F7" s="2" t="n">
        <f aca="false">RANK(B7,$B$2:$B$21,0)</f>
        <v>18</v>
      </c>
    </row>
    <row r="8" customFormat="false" ht="15" hidden="false" customHeight="false" outlineLevel="0" collapsed="false">
      <c r="A8" s="2" t="n">
        <v>2010</v>
      </c>
      <c r="B8" s="3" t="n">
        <v>3098049</v>
      </c>
      <c r="C8" s="3" t="n">
        <v>2000000</v>
      </c>
      <c r="D8" s="2" t="str">
        <f aca="false">IF(B8&gt;=C8,"Retain","Remove")</f>
        <v>Retain</v>
      </c>
      <c r="E8" s="3" t="n">
        <f aca="false">B8-C8</f>
        <v>1098049</v>
      </c>
      <c r="F8" s="2" t="n">
        <f aca="false">RANK(B8,$B$2:$B$21,0)</f>
        <v>10</v>
      </c>
    </row>
    <row r="9" customFormat="false" ht="15" hidden="false" customHeight="false" outlineLevel="0" collapsed="false">
      <c r="A9" s="2" t="n">
        <v>2011</v>
      </c>
      <c r="B9" s="3" t="n">
        <v>3975966</v>
      </c>
      <c r="C9" s="3" t="n">
        <v>2000000</v>
      </c>
      <c r="D9" s="2" t="str">
        <f aca="false">IF(B9&gt;=C9,"Retain","Remove")</f>
        <v>Retain</v>
      </c>
      <c r="E9" s="3" t="n">
        <f aca="false">B9-C9</f>
        <v>1975966</v>
      </c>
      <c r="F9" s="2" t="n">
        <f aca="false">RANK(B9,$B$2:$B$21,0)</f>
        <v>4</v>
      </c>
    </row>
    <row r="10" customFormat="false" ht="15" hidden="false" customHeight="false" outlineLevel="0" collapsed="false">
      <c r="A10" s="2" t="n">
        <v>2012</v>
      </c>
      <c r="B10" s="3" t="n">
        <v>3251777</v>
      </c>
      <c r="C10" s="3" t="n">
        <v>2000000</v>
      </c>
      <c r="D10" s="2" t="str">
        <f aca="false">IF(B10&gt;=C10,"Retain","Remove")</f>
        <v>Retain</v>
      </c>
      <c r="E10" s="3" t="n">
        <f aca="false">B10-C10</f>
        <v>1251777</v>
      </c>
      <c r="F10" s="2" t="n">
        <f aca="false">RANK(B10,$B$2:$B$21,0)</f>
        <v>9</v>
      </c>
    </row>
    <row r="11" customFormat="false" ht="15" hidden="false" customHeight="false" outlineLevel="0" collapsed="false">
      <c r="A11" s="2" t="n">
        <v>2013</v>
      </c>
      <c r="B11" s="3" t="n">
        <v>2918667</v>
      </c>
      <c r="C11" s="3" t="n">
        <v>2000000</v>
      </c>
      <c r="D11" s="2" t="str">
        <f aca="false">IF(B11&gt;=C11,"Retain","Remove")</f>
        <v>Retain</v>
      </c>
      <c r="E11" s="3" t="n">
        <f aca="false">B11-C11</f>
        <v>918667</v>
      </c>
      <c r="F11" s="2" t="n">
        <f aca="false">RANK(B11,$B$2:$B$21,0)</f>
        <v>11</v>
      </c>
    </row>
    <row r="12" customFormat="false" ht="15" hidden="false" customHeight="false" outlineLevel="0" collapsed="false">
      <c r="A12" s="2" t="n">
        <v>2014</v>
      </c>
      <c r="B12" s="3" t="n">
        <v>4983791</v>
      </c>
      <c r="C12" s="3" t="n">
        <v>2000000</v>
      </c>
      <c r="D12" s="2" t="str">
        <f aca="false">IF(B12&gt;=C12,"Retain","Remove")</f>
        <v>Retain</v>
      </c>
      <c r="E12" s="3" t="n">
        <f aca="false">B12-C12</f>
        <v>2983791</v>
      </c>
      <c r="F12" s="2" t="n">
        <f aca="false">RANK(B12,$B$2:$B$21,0)</f>
        <v>1</v>
      </c>
    </row>
    <row r="13" customFormat="false" ht="15" hidden="false" customHeight="false" outlineLevel="0" collapsed="false">
      <c r="A13" s="2" t="n">
        <v>2015</v>
      </c>
      <c r="B13" s="3" t="n">
        <v>4611210</v>
      </c>
      <c r="C13" s="3" t="n">
        <v>2000000</v>
      </c>
      <c r="D13" s="2" t="str">
        <f aca="false">IF(B13&gt;=C13,"Retain","Remove")</f>
        <v>Retain</v>
      </c>
      <c r="E13" s="3" t="n">
        <f aca="false">B13-C13</f>
        <v>2611210</v>
      </c>
      <c r="F13" s="2" t="n">
        <f aca="false">RANK(B13,$B$2:$B$21,0)</f>
        <v>2</v>
      </c>
    </row>
    <row r="14" customFormat="false" ht="15" hidden="false" customHeight="false" outlineLevel="0" collapsed="false">
      <c r="A14" s="2" t="n">
        <v>2016</v>
      </c>
      <c r="B14" s="3" t="n">
        <v>3294631</v>
      </c>
      <c r="C14" s="3" t="n">
        <v>2000000</v>
      </c>
      <c r="D14" s="2" t="str">
        <f aca="false">IF(B14&gt;=C14,"Retain","Remove")</f>
        <v>Retain</v>
      </c>
      <c r="E14" s="3" t="n">
        <f aca="false">B14-C14</f>
        <v>1294631</v>
      </c>
      <c r="F14" s="2" t="n">
        <f aca="false">RANK(B14,$B$2:$B$21,0)</f>
        <v>8</v>
      </c>
    </row>
    <row r="15" customFormat="false" ht="15" hidden="false" customHeight="false" outlineLevel="0" collapsed="false">
      <c r="A15" s="2" t="n">
        <v>2017</v>
      </c>
      <c r="B15" s="3" t="n">
        <v>1463500</v>
      </c>
      <c r="C15" s="3" t="n">
        <v>2000000</v>
      </c>
      <c r="D15" s="2" t="str">
        <f aca="false">IF(B15&gt;=C15,"Retain","Remove")</f>
        <v>Remove</v>
      </c>
      <c r="E15" s="3" t="n">
        <f aca="false">B15-C15</f>
        <v>-536500</v>
      </c>
      <c r="F15" s="2" t="n">
        <f aca="false">RANK(B15,$B$2:$B$21,0)</f>
        <v>19</v>
      </c>
    </row>
    <row r="16" customFormat="false" ht="15" hidden="false" customHeight="false" outlineLevel="0" collapsed="false">
      <c r="A16" s="2" t="n">
        <v>2018</v>
      </c>
      <c r="B16" s="3" t="n">
        <v>3945846</v>
      </c>
      <c r="C16" s="3" t="n">
        <v>2000000</v>
      </c>
      <c r="D16" s="2" t="str">
        <f aca="false">IF(B16&gt;=C16,"Retain","Remove")</f>
        <v>Retain</v>
      </c>
      <c r="E16" s="3" t="n">
        <f aca="false">B16-C16</f>
        <v>1945846</v>
      </c>
      <c r="F16" s="2" t="n">
        <f aca="false">RANK(B16,$B$2:$B$21,0)</f>
        <v>5</v>
      </c>
    </row>
    <row r="17" customFormat="false" ht="15" hidden="false" customHeight="false" outlineLevel="0" collapsed="false">
      <c r="A17" s="2" t="n">
        <v>2019</v>
      </c>
      <c r="B17" s="3" t="n">
        <v>3907271</v>
      </c>
      <c r="C17" s="3" t="n">
        <v>2000000</v>
      </c>
      <c r="D17" s="2" t="str">
        <f aca="false">IF(B17&gt;=C17,"Retain","Remove")</f>
        <v>Retain</v>
      </c>
      <c r="E17" s="3" t="n">
        <f aca="false">B17-C17</f>
        <v>1907271</v>
      </c>
      <c r="F17" s="2" t="n">
        <f aca="false">RANK(B17,$B$2:$B$21,0)</f>
        <v>6</v>
      </c>
    </row>
    <row r="18" customFormat="false" ht="15" hidden="false" customHeight="false" outlineLevel="0" collapsed="false">
      <c r="A18" s="2" t="n">
        <v>2020</v>
      </c>
      <c r="B18" s="3" t="n">
        <v>3651262</v>
      </c>
      <c r="C18" s="3" t="n">
        <v>2000000</v>
      </c>
      <c r="D18" s="2" t="str">
        <f aca="false">IF(B18&gt;=C18,"Retain","Remove")</f>
        <v>Retain</v>
      </c>
      <c r="E18" s="3" t="n">
        <f aca="false">B18-C18</f>
        <v>1651262</v>
      </c>
      <c r="F18" s="2" t="n">
        <f aca="false">RANK(B18,$B$2:$B$21,0)</f>
        <v>7</v>
      </c>
    </row>
    <row r="19" customFormat="false" ht="15" hidden="false" customHeight="false" outlineLevel="0" collapsed="false">
      <c r="A19" s="2" t="n">
        <v>2021</v>
      </c>
      <c r="B19" s="3" t="n">
        <v>2005820</v>
      </c>
      <c r="C19" s="3" t="n">
        <v>2000000</v>
      </c>
      <c r="D19" s="2" t="str">
        <f aca="false">IF(B19&gt;=C19,"Retain","Remove")</f>
        <v>Retain</v>
      </c>
      <c r="E19" s="3" t="n">
        <f aca="false">B19-C19</f>
        <v>5820</v>
      </c>
      <c r="F19" s="2" t="n">
        <f aca="false">RANK(B19,$B$2:$B$21,0)</f>
        <v>17</v>
      </c>
    </row>
    <row r="20" customFormat="false" ht="15" hidden="false" customHeight="false" outlineLevel="0" collapsed="false">
      <c r="A20" s="2" t="n">
        <v>2022</v>
      </c>
      <c r="B20" s="3" t="n">
        <v>2170828</v>
      </c>
      <c r="C20" s="3" t="n">
        <v>2000000</v>
      </c>
      <c r="D20" s="2" t="str">
        <f aca="false">IF(B20&gt;=C20,"Retain","Remove")</f>
        <v>Retain</v>
      </c>
      <c r="E20" s="3" t="n">
        <f aca="false">B20-C20</f>
        <v>170828</v>
      </c>
      <c r="F20" s="2" t="n">
        <f aca="false">RANK(B20,$B$2:$B$21,0)</f>
        <v>15</v>
      </c>
    </row>
    <row r="21" customFormat="false" ht="15" hidden="false" customHeight="false" outlineLevel="0" collapsed="false">
      <c r="A21" s="2" t="n">
        <v>2023</v>
      </c>
      <c r="B21" s="3" t="n">
        <v>2832545</v>
      </c>
      <c r="C21" s="3" t="n">
        <v>2000000</v>
      </c>
      <c r="D21" s="2" t="str">
        <f aca="false">IF(B21&gt;=C21,"Retain","Remove")</f>
        <v>Retain</v>
      </c>
      <c r="E21" s="3" t="n">
        <f aca="false">B21-C21</f>
        <v>832545</v>
      </c>
      <c r="F21" s="2" t="n">
        <f aca="false">RANK(B21,$B$2:$B$21,0)</f>
        <v>12</v>
      </c>
    </row>
  </sheetData>
  <autoFilter ref="A1:F21"/>
  <conditionalFormatting sqref="D2:D21">
    <cfRule type="expression" priority="2" aboveAverage="0" equalAverage="0" bottom="0" percent="0" rank="0" text="" dxfId="5">
      <formula>D2="Retain"</formula>
    </cfRule>
    <cfRule type="expression" priority="3" aboveAverage="0" equalAverage="0" bottom="0" percent="0" rank="0" text="" dxfId="6">
      <formula>D2="Remove"</formula>
    </cfRule>
  </conditionalFormatting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8"/>
    <col collapsed="false" customWidth="true" hidden="false" outlineLevel="0" max="3" min="3" style="0" width="22.01"/>
    <col collapsed="false" customWidth="true" hidden="false" outlineLevel="0" max="4" min="4" style="0" width="28.99"/>
    <col collapsed="false" customWidth="true" hidden="false" outlineLevel="0" max="5" min="5" style="0" width="3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4</v>
      </c>
      <c r="D1" s="1" t="s">
        <v>6</v>
      </c>
      <c r="E1" s="1" t="s">
        <v>7</v>
      </c>
    </row>
    <row r="2" customFormat="false" ht="15" hidden="false" customHeight="false" outlineLevel="0" collapsed="false">
      <c r="A2" s="2" t="n">
        <v>2004</v>
      </c>
      <c r="B2" s="3" t="n">
        <v>4439044</v>
      </c>
      <c r="C2" s="3" t="n">
        <f aca="false">B2-2000000</f>
        <v>2439044</v>
      </c>
      <c r="D2" s="3"/>
      <c r="E2" s="4"/>
    </row>
    <row r="3" customFormat="false" ht="15" hidden="false" customHeight="false" outlineLevel="0" collapsed="false">
      <c r="A3" s="2" t="n">
        <v>2005</v>
      </c>
      <c r="B3" s="3" t="n">
        <v>2212203</v>
      </c>
      <c r="C3" s="3" t="n">
        <f aca="false">B3-2000000</f>
        <v>212203</v>
      </c>
      <c r="D3" s="3" t="n">
        <f aca="false">B3-B2</f>
        <v>-2226841</v>
      </c>
      <c r="E3" s="4" t="n">
        <f aca="false">IFERROR(B3/B2-1,"")</f>
        <v>-0.501648778430671</v>
      </c>
    </row>
    <row r="4" customFormat="false" ht="15" hidden="false" customHeight="false" outlineLevel="0" collapsed="false">
      <c r="A4" s="2" t="n">
        <v>2007</v>
      </c>
      <c r="B4" s="3" t="n">
        <v>2793265</v>
      </c>
      <c r="C4" s="3" t="n">
        <f aca="false">B4-2000000</f>
        <v>793265</v>
      </c>
      <c r="D4" s="3" t="n">
        <f aca="false">B4-B3</f>
        <v>581062</v>
      </c>
      <c r="E4" s="4" t="n">
        <f aca="false">IFERROR(B4/B3-1,"")</f>
        <v>0.262662151710309</v>
      </c>
    </row>
    <row r="5" customFormat="false" ht="15" hidden="false" customHeight="false" outlineLevel="0" collapsed="false">
      <c r="A5" s="2" t="n">
        <v>2008</v>
      </c>
      <c r="B5" s="3" t="n">
        <v>2080460</v>
      </c>
      <c r="C5" s="3" t="n">
        <f aca="false">B5-2000000</f>
        <v>80460</v>
      </c>
      <c r="D5" s="3" t="n">
        <f aca="false">B5-B4</f>
        <v>-712805</v>
      </c>
      <c r="E5" s="4" t="n">
        <f aca="false">IFERROR(B5/B4-1,"")</f>
        <v>-0.255187030231646</v>
      </c>
    </row>
    <row r="6" customFormat="false" ht="15" hidden="false" customHeight="false" outlineLevel="0" collapsed="false">
      <c r="A6" s="2" t="n">
        <v>2010</v>
      </c>
      <c r="B6" s="3" t="n">
        <v>3098049</v>
      </c>
      <c r="C6" s="3" t="n">
        <f aca="false">B6-2000000</f>
        <v>1098049</v>
      </c>
      <c r="D6" s="3" t="n">
        <f aca="false">B6-B5</f>
        <v>1017589</v>
      </c>
      <c r="E6" s="4" t="n">
        <f aca="false">IFERROR(B6/B5-1,"")</f>
        <v>0.489117310594772</v>
      </c>
    </row>
    <row r="7" customFormat="false" ht="15" hidden="false" customHeight="false" outlineLevel="0" collapsed="false">
      <c r="A7" s="2" t="n">
        <v>2011</v>
      </c>
      <c r="B7" s="3" t="n">
        <v>3975966</v>
      </c>
      <c r="C7" s="3" t="n">
        <f aca="false">B7-2000000</f>
        <v>1975966</v>
      </c>
      <c r="D7" s="3" t="n">
        <f aca="false">B7-B6</f>
        <v>877917</v>
      </c>
      <c r="E7" s="4" t="n">
        <f aca="false">IFERROR(B7/B6-1,"")</f>
        <v>0.283377377181575</v>
      </c>
    </row>
    <row r="8" customFormat="false" ht="15" hidden="false" customHeight="false" outlineLevel="0" collapsed="false">
      <c r="A8" s="2" t="n">
        <v>2012</v>
      </c>
      <c r="B8" s="3" t="n">
        <v>3251777</v>
      </c>
      <c r="C8" s="3" t="n">
        <f aca="false">B8-2000000</f>
        <v>1251777</v>
      </c>
      <c r="D8" s="3" t="n">
        <f aca="false">B8-B7</f>
        <v>-724189</v>
      </c>
      <c r="E8" s="4" t="n">
        <f aca="false">IFERROR(B8/B7-1,"")</f>
        <v>-0.182141648092564</v>
      </c>
    </row>
    <row r="9" customFormat="false" ht="15" hidden="false" customHeight="false" outlineLevel="0" collapsed="false">
      <c r="A9" s="2" t="n">
        <v>2013</v>
      </c>
      <c r="B9" s="3" t="n">
        <v>2918667</v>
      </c>
      <c r="C9" s="3" t="n">
        <f aca="false">B9-2000000</f>
        <v>918667</v>
      </c>
      <c r="D9" s="3" t="n">
        <f aca="false">B9-B8</f>
        <v>-333110</v>
      </c>
      <c r="E9" s="4" t="n">
        <f aca="false">IFERROR(B9/B8-1,"")</f>
        <v>-0.102439373917707</v>
      </c>
    </row>
    <row r="10" customFormat="false" ht="15" hidden="false" customHeight="false" outlineLevel="0" collapsed="false">
      <c r="A10" s="2" t="n">
        <v>2014</v>
      </c>
      <c r="B10" s="3" t="n">
        <v>4983791</v>
      </c>
      <c r="C10" s="3" t="n">
        <f aca="false">B10-2000000</f>
        <v>2983791</v>
      </c>
      <c r="D10" s="3" t="n">
        <f aca="false">B10-B9</f>
        <v>2065124</v>
      </c>
      <c r="E10" s="4" t="n">
        <f aca="false">IFERROR(B10/B9-1,"")</f>
        <v>0.707557251306847</v>
      </c>
    </row>
    <row r="11" customFormat="false" ht="15" hidden="false" customHeight="false" outlineLevel="0" collapsed="false">
      <c r="A11" s="2" t="n">
        <v>2015</v>
      </c>
      <c r="B11" s="3" t="n">
        <v>4611210</v>
      </c>
      <c r="C11" s="3" t="n">
        <f aca="false">B11-2000000</f>
        <v>2611210</v>
      </c>
      <c r="D11" s="3" t="n">
        <f aca="false">B11-B10</f>
        <v>-372581</v>
      </c>
      <c r="E11" s="4" t="n">
        <f aca="false">IFERROR(B11/B10-1,"")</f>
        <v>-0.0747585522747644</v>
      </c>
    </row>
    <row r="12" customFormat="false" ht="15" hidden="false" customHeight="false" outlineLevel="0" collapsed="false">
      <c r="A12" s="2" t="n">
        <v>2016</v>
      </c>
      <c r="B12" s="3" t="n">
        <v>3294631</v>
      </c>
      <c r="C12" s="3" t="n">
        <f aca="false">B12-2000000</f>
        <v>1294631</v>
      </c>
      <c r="D12" s="3" t="n">
        <f aca="false">B12-B11</f>
        <v>-1316579</v>
      </c>
      <c r="E12" s="4" t="n">
        <f aca="false">IFERROR(B12/B11-1,"")</f>
        <v>-0.285517033490125</v>
      </c>
    </row>
    <row r="13" customFormat="false" ht="15" hidden="false" customHeight="false" outlineLevel="0" collapsed="false">
      <c r="A13" s="2" t="n">
        <v>2018</v>
      </c>
      <c r="B13" s="3" t="n">
        <v>3945846</v>
      </c>
      <c r="C13" s="3" t="n">
        <f aca="false">B13-2000000</f>
        <v>1945846</v>
      </c>
      <c r="D13" s="3" t="n">
        <f aca="false">B13-B12</f>
        <v>651215</v>
      </c>
      <c r="E13" s="4" t="n">
        <f aca="false">IFERROR(B13/B12-1,"")</f>
        <v>0.197659464747342</v>
      </c>
    </row>
    <row r="14" customFormat="false" ht="15" hidden="false" customHeight="false" outlineLevel="0" collapsed="false">
      <c r="A14" s="2" t="n">
        <v>2019</v>
      </c>
      <c r="B14" s="3" t="n">
        <v>3907271</v>
      </c>
      <c r="C14" s="3" t="n">
        <f aca="false">B14-2000000</f>
        <v>1907271</v>
      </c>
      <c r="D14" s="3" t="n">
        <f aca="false">B14-B13</f>
        <v>-38575</v>
      </c>
      <c r="E14" s="4" t="n">
        <f aca="false">IFERROR(B14/B13-1,"")</f>
        <v>-0.00977610378103966</v>
      </c>
    </row>
    <row r="15" customFormat="false" ht="15" hidden="false" customHeight="false" outlineLevel="0" collapsed="false">
      <c r="A15" s="2" t="n">
        <v>2020</v>
      </c>
      <c r="B15" s="3" t="n">
        <v>3651262</v>
      </c>
      <c r="C15" s="3" t="n">
        <f aca="false">B15-2000000</f>
        <v>1651262</v>
      </c>
      <c r="D15" s="3" t="n">
        <f aca="false">B15-B14</f>
        <v>-256009</v>
      </c>
      <c r="E15" s="4" t="n">
        <f aca="false">IFERROR(B15/B14-1,"")</f>
        <v>-0.0655211783364911</v>
      </c>
    </row>
    <row r="16" customFormat="false" ht="15" hidden="false" customHeight="false" outlineLevel="0" collapsed="false">
      <c r="A16" s="2" t="n">
        <v>2021</v>
      </c>
      <c r="B16" s="3" t="n">
        <v>2005820</v>
      </c>
      <c r="C16" s="3" t="n">
        <f aca="false">B16-2000000</f>
        <v>5820</v>
      </c>
      <c r="D16" s="3" t="n">
        <f aca="false">B16-B15</f>
        <v>-1645442</v>
      </c>
      <c r="E16" s="4" t="n">
        <f aca="false">IFERROR(B16/B15-1,"")</f>
        <v>-0.450650213542605</v>
      </c>
    </row>
    <row r="17" customFormat="false" ht="15" hidden="false" customHeight="false" outlineLevel="0" collapsed="false">
      <c r="A17" s="2" t="n">
        <v>2022</v>
      </c>
      <c r="B17" s="3" t="n">
        <v>2170828</v>
      </c>
      <c r="C17" s="3" t="n">
        <f aca="false">B17-2000000</f>
        <v>170828</v>
      </c>
      <c r="D17" s="3" t="n">
        <f aca="false">B17-B16</f>
        <v>165008</v>
      </c>
      <c r="E17" s="4" t="n">
        <f aca="false">IFERROR(B17/B16-1,"")</f>
        <v>0.0822646099849438</v>
      </c>
    </row>
    <row r="18" customFormat="false" ht="15" hidden="false" customHeight="false" outlineLevel="0" collapsed="false">
      <c r="A18" s="2" t="n">
        <v>2023</v>
      </c>
      <c r="B18" s="3" t="n">
        <v>2832545</v>
      </c>
      <c r="C18" s="3" t="n">
        <f aca="false">B18-2000000</f>
        <v>832545</v>
      </c>
      <c r="D18" s="3" t="n">
        <f aca="false">B18-B17</f>
        <v>661717</v>
      </c>
      <c r="E18" s="4" t="n">
        <f aca="false">IFERROR(B18/B17-1,"")</f>
        <v>0.304822399563669</v>
      </c>
    </row>
  </sheetData>
  <autoFilter ref="A1:E18"/>
  <conditionalFormatting sqref="D3:D18">
    <cfRule type="expression" priority="2" aboveAverage="0" equalAverage="0" bottom="0" percent="0" rank="0" text="" dxfId="6">
      <formula>D3&lt;0</formula>
    </cfRule>
  </conditionalFormatting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19.99"/>
    <col collapsed="false" customWidth="true" hidden="false" outlineLevel="0" max="3" min="3" style="0" width="2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8</v>
      </c>
    </row>
    <row r="2" customFormat="false" ht="15" hidden="false" customHeight="false" outlineLevel="0" collapsed="false">
      <c r="A2" s="2" t="n">
        <v>2006</v>
      </c>
      <c r="B2" s="3" t="n">
        <v>1193225</v>
      </c>
      <c r="C2" s="3" t="n">
        <f aca="false">2000000-B2</f>
        <v>806775</v>
      </c>
    </row>
    <row r="3" customFormat="false" ht="15" hidden="false" customHeight="false" outlineLevel="0" collapsed="false">
      <c r="A3" s="2" t="n">
        <v>2009</v>
      </c>
      <c r="B3" s="3" t="n">
        <v>1791112</v>
      </c>
      <c r="C3" s="3" t="n">
        <f aca="false">2000000-B3</f>
        <v>208888</v>
      </c>
    </row>
    <row r="4" customFormat="false" ht="15" hidden="false" customHeight="false" outlineLevel="0" collapsed="false">
      <c r="A4" s="2" t="n">
        <v>2017</v>
      </c>
      <c r="B4" s="3" t="n">
        <v>1463500</v>
      </c>
      <c r="C4" s="3" t="n">
        <f aca="false">2000000-B4</f>
        <v>536500</v>
      </c>
    </row>
  </sheetData>
  <autoFilter ref="A1:C4"/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3.01"/>
  </cols>
  <sheetData>
    <row r="1" customFormat="false" ht="31.5" hidden="false" customHeight="true" outlineLevel="0" collapsed="false">
      <c r="A1" s="1" t="s">
        <v>9</v>
      </c>
      <c r="B1" s="1" t="s">
        <v>10</v>
      </c>
    </row>
    <row r="2" customFormat="false" ht="15" hidden="false" customHeight="false" outlineLevel="0" collapsed="false">
      <c r="A2" s="5" t="s">
        <v>11</v>
      </c>
      <c r="B2" s="6" t="n">
        <f aca="false">COUNTA(Source_Data!A2:A21)</f>
        <v>20</v>
      </c>
    </row>
    <row r="3" customFormat="false" ht="15" hidden="false" customHeight="false" outlineLevel="0" collapsed="false">
      <c r="A3" s="5" t="s">
        <v>12</v>
      </c>
      <c r="B3" s="6" t="n">
        <f aca="false">COUNTA(Retained_Years!A2:A18)</f>
        <v>17</v>
      </c>
    </row>
    <row r="4" customFormat="false" ht="15" hidden="false" customHeight="false" outlineLevel="0" collapsed="false">
      <c r="A4" s="5" t="s">
        <v>13</v>
      </c>
      <c r="B4" s="6" t="n">
        <f aca="false">COUNTA(Removed_Years!A2:A4)</f>
        <v>3</v>
      </c>
    </row>
    <row r="5" customFormat="false" ht="15" hidden="false" customHeight="false" outlineLevel="0" collapsed="false">
      <c r="A5" s="5" t="s">
        <v>14</v>
      </c>
      <c r="B5" s="7" t="n">
        <f aca="false">B3/B2</f>
        <v>0.85</v>
      </c>
    </row>
    <row r="6" customFormat="false" ht="15" hidden="false" customHeight="false" outlineLevel="0" collapsed="false">
      <c r="A6" s="5" t="s">
        <v>15</v>
      </c>
      <c r="B6" s="8" t="n">
        <f aca="false">SUM(Retained_Years!B2:B18)</f>
        <v>56172635</v>
      </c>
    </row>
    <row r="7" customFormat="false" ht="15" hidden="false" customHeight="false" outlineLevel="0" collapsed="false">
      <c r="A7" s="5" t="s">
        <v>16</v>
      </c>
      <c r="B7" s="8" t="n">
        <f aca="false">AVERAGE(Retained_Years!B2:B18)</f>
        <v>3304272.64705882</v>
      </c>
    </row>
    <row r="8" customFormat="false" ht="15" hidden="false" customHeight="false" outlineLevel="0" collapsed="false">
      <c r="A8" s="5" t="s">
        <v>17</v>
      </c>
      <c r="B8" s="6" t="n">
        <f aca="false">INDEX(Retained_Years!A2:A18,MATCH(MAX(Retained_Years!B2:B18),Retained_Years!B2:B18,0))</f>
        <v>2014</v>
      </c>
    </row>
    <row r="9" customFormat="false" ht="15" hidden="false" customHeight="false" outlineLevel="0" collapsed="false">
      <c r="A9" s="5" t="s">
        <v>18</v>
      </c>
      <c r="B9" s="8" t="n">
        <f aca="false">MAX(Retained_Years!B2:B18)</f>
        <v>4983791</v>
      </c>
    </row>
    <row r="10" customFormat="false" ht="15" hidden="false" customHeight="false" outlineLevel="0" collapsed="false">
      <c r="A10" s="5" t="s">
        <v>19</v>
      </c>
      <c r="B10" s="6" t="n">
        <f aca="false">INDEX(Retained_Years!A2:A18,MATCH(MIN(Retained_Years!B2:B18),Retained_Years!B2:B18,0))</f>
        <v>2021</v>
      </c>
    </row>
    <row r="11" customFormat="false" ht="15" hidden="false" customHeight="false" outlineLevel="0" collapsed="false">
      <c r="A11" s="5" t="s">
        <v>20</v>
      </c>
      <c r="B11" s="8" t="n">
        <f aca="false">MIN(Retained_Years!B2:B18)</f>
        <v>2005820</v>
      </c>
    </row>
    <row r="12" customFormat="false" ht="15" hidden="false" customHeight="false" outlineLevel="0" collapsed="false">
      <c r="A12" s="5" t="s">
        <v>21</v>
      </c>
      <c r="B12" s="8" t="n">
        <f aca="false">Retained_Years!B18-Retained_Years!B2</f>
        <v>-1606499</v>
      </c>
    </row>
    <row r="13" customFormat="false" ht="15" hidden="false" customHeight="false" outlineLevel="0" collapsed="false">
      <c r="A13" s="5" t="s">
        <v>22</v>
      </c>
      <c r="B13" s="7" t="n">
        <f aca="false">Retained_Years!B18/Retained_Years!B2-1</f>
        <v>-0.361902022147111</v>
      </c>
    </row>
  </sheetData>
  <autoFilter ref="A1:B13"/>
  <conditionalFormatting sqref="B13">
    <cfRule type="expression" priority="2" aboveAverage="0" equalAverage="0" bottom="0" percent="0" rank="0" text="" dxfId="10">
      <formula>B13&lt;0</formula>
    </cfRule>
  </conditionalFormatting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2026-09-01T05:45:00Z</dcterms:created>
  <dc:creator>EvoCowork OfficeBench adapter</dc:creator>
  <dc:description/>
  <dc:language>en-US</dc:language>
  <cp:lastModifiedBy/>
  <dcterms:modified xsi:type="dcterms:W3CDTF">2026-09-01T05:45:00Z</dcterms:modified>
  <cp:revision>0</cp:revision>
  <dc:subject/>
  <dc:title>Revenue Threshold Analysis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