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Events" sheetId="1" state="visible" r:id="rId2"/>
    <sheet name="Pairwise_Conflicts" sheetId="2" state="visible" r:id="rId3"/>
    <sheet name="Conflict_Windows" sheetId="3" state="visible" r:id="rId4"/>
    <sheet name="Joint_Free_Windows" sheetId="4" state="visible" r:id="rId5"/>
    <sheet name="Summary" sheetId="5" state="visible" r:id="rId6"/>
  </sheets>
  <definedNames>
    <definedName function="false" hidden="false" localSheetId="2" name="_xlnm.Print_Area" vbProcedure="false">Conflict_Windows!$A$1:$G$5</definedName>
    <definedName function="false" hidden="false" localSheetId="2" name="_xlnm.Print_Titles" vbProcedure="false">Conflict_Windows!$1:$1</definedName>
    <definedName function="false" hidden="false" localSheetId="3" name="_xlnm.Print_Area" vbProcedure="false">Joint_Free_Windows!$A$1:$G$5</definedName>
    <definedName function="false" hidden="false" localSheetId="3" name="_xlnm.Print_Titles" vbProcedure="false">Joint_Free_Windows!$1:$1</definedName>
    <definedName function="false" hidden="false" localSheetId="1" name="_xlnm.Print_Area" vbProcedure="false">Pairwise_Conflicts!$A$1:$I$6</definedName>
    <definedName function="false" hidden="false" localSheetId="1" name="_xlnm.Print_Titles" vbProcedure="false">Pairwise_Conflicts!$1:$1</definedName>
    <definedName function="false" hidden="false" localSheetId="0" name="_xlnm.Print_Area" vbProcedure="false">Source_Events!$A$1:$J$11</definedName>
    <definedName function="false" hidden="false" localSheetId="0" name="_xlnm.Print_Titles" vbProcedure="false">Source_Events!$1:$1</definedName>
    <definedName function="false" hidden="false" localSheetId="4" name="_xlnm.Print_Area" vbProcedure="false">Summary!$A$1:$O$14</definedName>
    <definedName function="false" hidden="false" localSheetId="4" name="_xlnm.Print_Titles" vbProcedure="false">Summary!$1:$1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<sst xmlns="http://schemas.openxmlformats.org/spreadsheetml/2006/main" count="161" uniqueCount="106">
  <si>
    <t xml:space="preserve">Event_ID</t>
  </si>
  <si>
    <t xml:space="preserve">Owner</t>
  </si>
  <si>
    <t xml:space="preserve">Summary</t>
  </si>
  <si>
    <t xml:space="preserve">DTSTART_UTC</t>
  </si>
  <si>
    <t xml:space="preserve">DTEND_UTC</t>
  </si>
  <si>
    <t xml:space="preserve">Duration_Minutes</t>
  </si>
  <si>
    <t xml:space="preserve">UID</t>
  </si>
  <si>
    <t xml:space="preserve">Source_File</t>
  </si>
  <si>
    <t xml:space="preserve">Internal_Conflict_Count</t>
  </si>
  <si>
    <t xml:space="preserve">Cross_Owner_Conflict_Count</t>
  </si>
  <si>
    <t xml:space="preserve">E01</t>
  </si>
  <si>
    <t xml:space="preserve">Bob</t>
  </si>
  <si>
    <t xml:space="preserve">sleeping</t>
  </si>
  <si>
    <t xml:space="preserve">7cf33664-81fa-44da-860a-6076c22bbf70@7cf3.org</t>
  </si>
  <si>
    <t xml:space="preserve">Bob.ics</t>
  </si>
  <si>
    <t xml:space="preserve">E02</t>
  </si>
  <si>
    <t xml:space="preserve">Tom</t>
  </si>
  <si>
    <t xml:space="preserve">class</t>
  </si>
  <si>
    <t xml:space="preserve">fa6c3555-0e2e-4c56-b5b6-d2ec860444b7@fa6c.org</t>
  </si>
  <si>
    <t xml:space="preserve">Tom.ics</t>
  </si>
  <si>
    <t xml:space="preserve">E03</t>
  </si>
  <si>
    <t xml:space="preserve">lunch</t>
  </si>
  <si>
    <t xml:space="preserve">d5a507d5-9f22-479f-88c2-5fe36727a71e@d5a5.org</t>
  </si>
  <si>
    <t xml:space="preserve">E04</t>
  </si>
  <si>
    <t xml:space="preserve">lunch with David</t>
  </si>
  <si>
    <t xml:space="preserve">f2c7bb64-face-48ff-a494-c23a5b31b6ad@f2c7.org</t>
  </si>
  <si>
    <t xml:space="preserve">E05</t>
  </si>
  <si>
    <t xml:space="preserve">nap</t>
  </si>
  <si>
    <t xml:space="preserve">7cad3249-9761-48fd-b1b8-6336a5136eee@7cad.org</t>
  </si>
  <si>
    <t xml:space="preserve">E06</t>
  </si>
  <si>
    <t xml:space="preserve">report to Charlie</t>
  </si>
  <si>
    <t xml:space="preserve">33d7143a-de13-4041-aa20-a88866b3acad@33d7.org</t>
  </si>
  <si>
    <t xml:space="preserve">E07</t>
  </si>
  <si>
    <t xml:space="preserve">6f8db951-e0c8-47f5-bb10-72a3491734ba@6f8d.org</t>
  </si>
  <si>
    <t xml:space="preserve">E08</t>
  </si>
  <si>
    <t xml:space="preserve">2fc598fd-361b-46c0-8b12-426c4d7939af@2fc5.org</t>
  </si>
  <si>
    <t xml:space="preserve">E09</t>
  </si>
  <si>
    <t xml:space="preserve">dinner</t>
  </si>
  <si>
    <t xml:space="preserve">f825c769-a892-426d-8aff-31e2801edfe2@f825.org</t>
  </si>
  <si>
    <t xml:space="preserve">E10</t>
  </si>
  <si>
    <t xml:space="preserve">13e17887-2bbc-42a2-a881-5aabcdfda201@13e1.org</t>
  </si>
  <si>
    <t xml:space="preserve">Conflict_ID</t>
  </si>
  <si>
    <t xml:space="preserve">Bob_Event_ID</t>
  </si>
  <si>
    <t xml:space="preserve">Bob_Summary</t>
  </si>
  <si>
    <t xml:space="preserve">Tom_Event_ID</t>
  </si>
  <si>
    <t xml:space="preserve">Tom_Summary</t>
  </si>
  <si>
    <t xml:space="preserve">Overlap_Start_UTC</t>
  </si>
  <si>
    <t xml:space="preserve">Overlap_End_UTC</t>
  </si>
  <si>
    <t xml:space="preserve">Overlap_Minutes</t>
  </si>
  <si>
    <t xml:space="preserve">Same_Title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</si>
  <si>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</si>
  <si>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</si>
  <si>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</si>
  <si>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</si>
  <si>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</si>
  <si>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Window_ID</t>
  </si>
  <si>
    <t xml:space="preserve">Start_UTC</t>
  </si>
  <si>
    <t xml:space="preserve">End_UTC</t>
  </si>
  <si>
    <t xml:space="preserve">Active_Bob_Events</t>
  </si>
  <si>
    <t xml:space="preserve">Active_Tom_Events</t>
  </si>
  <si>
    <t xml:space="preserve">Pairwise_Conflict_Count</t>
  </si>
  <si>
    <t xml:space="preserve">W01</t>
  </si>
  <si>
    <t xml:space="preserve">W02</t>
  </si>
  <si>
    <t xml:space="preserve">lunch; nap</t>
  </si>
  <si>
    <t xml:space="preserve">W03</t>
  </si>
  <si>
    <t xml:space="preserve">W04</t>
  </si>
  <si>
    <t xml:space="preserve">Search_Window_Date</t>
  </si>
  <si>
    <t xml:space="preserve">Is_Longest</t>
  </si>
  <si>
    <t xml:space="preserve">Recommendation</t>
  </si>
  <si>
    <t xml:space="preserve">F01</t>
  </si>
  <si>
    <t xml:space="preserve">2024-05-01</t>
  </si>
  <si>
    <t xml:space="preserve">F02</t>
  </si>
  <si>
    <t xml:space="preserve">F03</t>
  </si>
  <si>
    <t xml:space="preserve">F04</t>
  </si>
  <si>
    <t xml:space="preserve">Metric</t>
  </si>
  <si>
    <t xml:space="preserve">Value</t>
  </si>
  <si>
    <t xml:space="preserve">Evidence</t>
  </si>
  <si>
    <t xml:space="preserve">Category</t>
  </si>
  <si>
    <t xml:space="preserve">Minutes</t>
  </si>
  <si>
    <t xml:space="preserve">Total_Events</t>
  </si>
  <si>
    <t xml:space="preserve">Two frozen calendars</t>
  </si>
  <si>
    <t xml:space="preserve">Conflict windows</t>
  </si>
  <si>
    <t xml:space="preserve">Bob_Events</t>
  </si>
  <si>
    <t xml:space="preserve">Source_Events owner count</t>
  </si>
  <si>
    <t xml:space="preserve">Joint free windows</t>
  </si>
  <si>
    <t xml:space="preserve">Tom_Events</t>
  </si>
  <si>
    <t xml:space="preserve">Internal_Conflict_Pairs</t>
  </si>
  <si>
    <t xml:space="preserve">Half-open intervals within each owner</t>
  </si>
  <si>
    <t xml:space="preserve">Cross_Owner_Pairwise_Conflicts</t>
  </si>
  <si>
    <t xml:space="preserve">Strict positive overlaps</t>
  </si>
  <si>
    <t xml:space="preserve">Merged_Conflict_Windows</t>
  </si>
  <si>
    <t xml:space="preserve">Overlapping or touching pairwise intervals merged</t>
  </si>
  <si>
    <t xml:space="preserve">Total_Conflict_Window_Minutes</t>
  </si>
  <si>
    <t xml:space="preserve">Union duration; avoids double counting</t>
  </si>
  <si>
    <t xml:space="preserve">Joint_Free_Windows</t>
  </si>
  <si>
    <t xml:space="preserve">Within 08:00-20:00 UTC</t>
  </si>
  <si>
    <t xml:space="preserve">Total_Joint_Free_Minutes</t>
  </si>
  <si>
    <t xml:space="preserve">Complement of combined busy intervals</t>
  </si>
  <si>
    <t xml:space="preserve">Longest_Joint_Free_Minutes</t>
  </si>
  <si>
    <t xml:space="preserve">Recommended window</t>
  </si>
  <si>
    <t xml:space="preserve">Same_Title_Same_Time_Pairs</t>
  </si>
  <si>
    <t xml:space="preserve">Class and dinner</t>
  </si>
  <si>
    <t xml:space="preserve">Source_Files</t>
  </si>
  <si>
    <t xml:space="preserve">Bob.ics and Tom.ics</t>
  </si>
  <si>
    <t xml:space="preserve">Merged_ICS_Events</t>
  </si>
  <si>
    <t xml:space="preserve">All source events retained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</si>
</sst>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"/>
    <numFmt numFmtId="166" formatCode="0"/>
    <numFmt numFmtId="167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ptos"/>
      <family val="0"/>
      <charset val="1"/>
    </font>
    <font>
      <sz val="9"/>
      <color rgb="FF17324D"/>
      <name val="Aptos"/>
      <family val="0"/>
      <charset val="1"/>
    </font>
    <font>
      <b val="true"/>
      <sz val="9"/>
      <color rgb="FF17324D"/>
      <name val="Aptos"/>
      <family val="0"/>
      <charset val="1"/>
    </font>
    <font>
      <b val="true"/>
      <sz val="11"/>
      <color rgb="FF168AAD"/>
      <name val="Aptos Display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AF3F8"/>
        <bgColor rgb="FFE7F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AD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7324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4D6"/>
        </patternFill>
      </fill>
    </dxf>
    <dxf>
      <fill>
        <patternFill>
          <bgColor rgb="FFFBE9E7"/>
        </patternFill>
      </fill>
    </dxf>
    <dxf>
      <fill>
        <patternFill>
          <bgColor rgb="FFFFF4D6"/>
        </patternFill>
      </fill>
    </dxf>
    <dxf>
      <fill>
        <patternFill patternType="solid">
          <fgColor rgb="FFEAF3F8"/>
        </patternFill>
      </fill>
    </dxf>
    <dxf>
      <fill>
        <patternFill>
          <bgColor rgb="FFEAF3F8"/>
        </patternFill>
      </fill>
    </dxf>
    <dxf>
      <fill>
        <patternFill patternType="solid">
          <fgColor rgb="FFFBE9E7"/>
        </patternFill>
      </fill>
    </dxf>
    <dxf>
      <fill>
        <patternFill patternType="solid">
          <fgColor rgb="FFE7F4EC"/>
        </patternFill>
      </fill>
    </dxf>
    <dxf>
      <fill>
        <patternFill>
          <bgColor rgb="FFE7F4EC"/>
        </patternFill>
      </fill>
    </dxf>
    <dxf>
      <fill>
        <patternFill patternType="solid">
          <fgColor rgb="FF168A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AAD"/>
      <rgbColor rgb="FFD9D9D9"/>
      <rgbColor rgb="FF878787"/>
      <rgbColor rgb="FF9999FF"/>
      <rgbColor rgb="FF993366"/>
      <rgbColor rgb="FFFFF4D6"/>
      <rgbColor rgb="FFE7F4EC"/>
      <rgbColor rgb="FF660066"/>
      <rgbColor rgb="FFFF8080"/>
      <rgbColor rgb="FF0066CC"/>
      <rgbColor rgb="FFCA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F9F9F9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Conflict vs joint free minutes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"Minutes"</c:f>
              <c:strCache>
                <c:ptCount val="1"/>
                <c:pt idx="0">
                  <c:v>Minutes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Summary!$D$2:$D$3</c:f>
              <c:strCache>
                <c:ptCount val="2"/>
                <c:pt idx="0">
                  <c:v>Conflict windows</c:v>
                </c:pt>
                <c:pt idx="1">
                  <c:v>Joint free windows</c:v>
                </c:pt>
              </c:strCache>
            </c:strRef>
          </c:cat>
          <c:val>
            <c:numRef>
              <c:f>Summary!$E$2:$E$3</c:f>
              <c:numCache>
                <c:formatCode>General</c:formatCode>
                <c:ptCount val="2"/>
                <c:pt idx="0">
                  <c:v>420</c:v>
                </c:pt>
                <c:pt idx="1">
                  <c:v>160</c:v>
                </c:pt>
              </c:numCache>
            </c:numRef>
          </c:val>
        </c:ser>
        <c:gapWidth val="150"/>
        <c:overlap val="0"/>
        <c:axId val="39117001"/>
        <c:axId val="39117002"/>
      </c:barChart>
      <c:catAx>
        <c:axId val="39117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Window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17002"/>
        <c:crosses val="autoZero"/>
        <c:auto val="1"/>
        <c:lblAlgn val="ctr"/>
        <c:lblOffset val="100"/>
        <c:noMultiLvlLbl val="0"/>
      </c:catAx>
      <c:valAx>
        <c:axId val="39117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17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10</xdr:col>
      <xdr:colOff>343800</xdr:colOff>
      <xdr:row>14</xdr:row>
      <xdr:rowOff>115200</xdr:rowOff>
    </xdr:to>
    <xdr:graphicFrame>
      <xdr:nvGraphicFramePr>
        <xdr:cNvPr id="0" name="Chart 1"/>
        <xdr:cNvGraphicFramePr/>
      </xdr:nvGraphicFramePr>
      <xdr:xfrm>
        <a:off x="10654200" y="42876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lendarAuditSummaryTable" displayName="CalendarAuditSummaryTable" ref="A1:C14" headerRowCount="1" totalsRowCount="0" totalsRowShown="0">
  <autoFilter ref="A1:C14"/>
  <tableColumns count="3">
    <tableColumn id="1" name="Metric"/>
    <tableColumn id="2" name="Value"/>
    <tableColumn id="3" name="Evidence"/>
  </tableColumns>
</table>
</file>

<file path=xl/tables/table2.xml><?xml version="1.0" encoding="utf-8"?>
<table xmlns="http://schemas.openxmlformats.org/spreadsheetml/2006/main" id="2" name="CalendarConflictWindowsTable" displayName="CalendarConflictWindowsTable" ref="A1:G5" headerRowCount="1" totalsRowCount="0" totalsRowShown="0">
  <autoFilter ref="A1:G5"/>
  <tableColumns count="7">
    <tableColumn id="1" name="Window_ID"/>
    <tableColumn id="2" name="Start_UTC"/>
    <tableColumn id="3" name="End_UTC"/>
    <tableColumn id="4" name="Duration_Minutes"/>
    <tableColumn id="5" name="Active_Bob_Events"/>
    <tableColumn id="6" name="Active_Tom_Events"/>
    <tableColumn id="7" name="Pairwise_Conflict_Count"/>
  </tableColumns>
</table>
</file>

<file path=xl/tables/table3.xml><?xml version="1.0" encoding="utf-8"?>
<table xmlns="http://schemas.openxmlformats.org/spreadsheetml/2006/main" id="3" name="CalendarJointFreeWindowsTable" displayName="CalendarJointFreeWindowsTable" ref="A1:G5" headerRowCount="1" totalsRowCount="0" totalsRowShown="0">
  <autoFilter ref="A1:G5"/>
  <tableColumns count="7">
    <tableColumn id="1" name="Window_ID"/>
    <tableColumn id="2" name="Search_Window_Date"/>
    <tableColumn id="3" name="Start_UTC"/>
    <tableColumn id="4" name="End_UTC"/>
    <tableColumn id="5" name="Duration_Minutes"/>
    <tableColumn id="6" name="Is_Longest"/>
    <tableColumn id="7" name="Recommendation"/>
  </tableColumns>
</table>
</file>

<file path=xl/tables/table4.xml><?xml version="1.0" encoding="utf-8"?>
<table xmlns="http://schemas.openxmlformats.org/spreadsheetml/2006/main" id="4" name="CalendarPairwiseConflictsTable" displayName="CalendarPairwiseConflictsTable" ref="A1:I6" headerRowCount="1" totalsRowCount="0" totalsRowShown="0">
  <autoFilter ref="A1:I6"/>
  <tableColumns count="9">
    <tableColumn id="1" name="Conflict_ID"/>
    <tableColumn id="2" name="Bob_Event_ID"/>
    <tableColumn id="3" name="Bob_Summary"/>
    <tableColumn id="4" name="Tom_Event_ID"/>
    <tableColumn id="5" name="Tom_Summary"/>
    <tableColumn id="6" name="Overlap_Start_UTC"/>
    <tableColumn id="7" name="Overlap_End_UTC"/>
    <tableColumn id="8" name="Overlap_Minutes"/>
    <tableColumn id="9" name="Same_Title"/>
  </tableColumns>
</table>
</file>

<file path=xl/tables/table5.xml><?xml version="1.0" encoding="utf-8"?>
<table xmlns="http://schemas.openxmlformats.org/spreadsheetml/2006/main" id="5" name="CalendarSourceEventsTable" displayName="CalendarSourceEventsTable" ref="A1:J11" headerRowCount="1" totalsRowCount="0" totalsRowShown="0">
  <autoFilter ref="A1:J11"/>
  <tableColumns count="10">
    <tableColumn id="1" name="Event_ID"/>
    <tableColumn id="2" name="Owner"/>
    <tableColumn id="3" name="Summary"/>
    <tableColumn id="4" name="DTSTART_UTC"/>
    <tableColumn id="5" name="DTEND_UTC"/>
    <tableColumn id="6" name="Duration_Minutes"/>
    <tableColumn id="7" name="UID"/>
    <tableColumn id="8" name="Source_File"/>
    <tableColumn id="9" name="Internal_Conflict_Count"/>
    <tableColumn id="10" name="Cross_Owner_Conflict_Count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0.99"/>
    <col collapsed="false" customWidth="true" hidden="false" outlineLevel="0" max="5" min="4" style="0" width="19.99"/>
    <col collapsed="false" customWidth="true" hidden="false" outlineLevel="0" max="6" min="6" style="0" width="17"/>
    <col collapsed="false" customWidth="true" hidden="false" outlineLevel="0" max="7" min="7" style="0" width="30.01"/>
    <col collapsed="false" customWidth="true" hidden="false" outlineLevel="0" max="8" min="8" style="0" width="13.01"/>
    <col collapsed="false" customWidth="true" hidden="false" outlineLevel="0" max="9" min="9" style="0" width="19"/>
    <col collapsed="false" customWidth="true" hidden="false" outlineLevel="0" max="10" min="10" style="0" width="22.0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4.75" hidden="false" customHeight="true" outlineLevel="0" collapsed="false">
      <c r="A2" s="2" t="s">
        <v>10</v>
      </c>
      <c r="B2" s="2" t="s">
        <v>11</v>
      </c>
      <c r="C2" s="2" t="s">
        <v>12</v>
      </c>
      <c r="D2" s="3" t="n">
        <f aca="false">DATE(2024,5,1)+TIME(8,0,0)</f>
        <v>45413.3333333333</v>
      </c>
      <c r="E2" s="3" t="n">
        <f aca="false">DATE(2024,5,1)+TIME(11,0,0)</f>
        <v>45413.4583333333</v>
      </c>
      <c r="F2" s="4" t="n">
        <f aca="false">ROUND((E2-D2)*1440,0)</f>
        <v>180</v>
      </c>
      <c r="G2" s="2" t="s">
        <v>13</v>
      </c>
      <c r="H2" s="2" t="s">
        <v>14</v>
      </c>
      <c r="I2" s="5" t="n">
        <f aca="false">SUMPRODUCT(($B$2:$B$11=B2)*($A$2:$A$11&lt;&gt;A2)*($D$2:$D$11&lt;E2)*($E$2:$E$11&gt;D2))</f>
        <v>0</v>
      </c>
      <c r="J2" s="5" t="n">
        <f aca="false">SUMPRODUCT(($B$2:$B$11&lt;&gt;B2)*($D$2:$D$11&lt;E2)*($E$2:$E$11&gt;D2))</f>
        <v>1</v>
      </c>
    </row>
    <row r="3" customFormat="false" ht="24.75" hidden="false" customHeight="true" outlineLevel="0" collapsed="false">
      <c r="A3" s="2" t="s">
        <v>15</v>
      </c>
      <c r="B3" s="2" t="s">
        <v>16</v>
      </c>
      <c r="C3" s="2" t="s">
        <v>17</v>
      </c>
      <c r="D3" s="3" t="n">
        <f aca="false">DATE(2024,5,1)+TIME(8,0,0)</f>
        <v>45413.3333333333</v>
      </c>
      <c r="E3" s="3" t="n">
        <f aca="false">DATE(2024,5,1)+TIME(11,50,0)</f>
        <v>45413.4930555556</v>
      </c>
      <c r="F3" s="4" t="n">
        <f aca="false">ROUND((E3-D3)*1440,0)</f>
        <v>230</v>
      </c>
      <c r="G3" s="2" t="s">
        <v>18</v>
      </c>
      <c r="H3" s="2" t="s">
        <v>19</v>
      </c>
      <c r="I3" s="5" t="n">
        <f aca="false">SUMPRODUCT(($B$2:$B$11=B3)*($A$2:$A$11&lt;&gt;A3)*($D$2:$D$11&lt;E3)*($E$2:$E$11&gt;D3))</f>
        <v>0</v>
      </c>
      <c r="J3" s="5" t="n">
        <f aca="false">SUMPRODUCT(($B$2:$B$11&lt;&gt;B3)*($D$2:$D$11&lt;E3)*($E$2:$E$11&gt;D3))</f>
        <v>1</v>
      </c>
    </row>
    <row r="4" customFormat="false" ht="24.75" hidden="false" customHeight="true" outlineLevel="0" collapsed="false">
      <c r="A4" s="2" t="s">
        <v>20</v>
      </c>
      <c r="B4" s="2" t="s">
        <v>11</v>
      </c>
      <c r="C4" s="2" t="s">
        <v>21</v>
      </c>
      <c r="D4" s="3" t="n">
        <f aca="false">DATE(2024,5,1)+TIME(12,0,0)</f>
        <v>45413.5</v>
      </c>
      <c r="E4" s="3" t="n">
        <f aca="false">DATE(2024,5,1)+TIME(13,0,0)</f>
        <v>45413.5416666667</v>
      </c>
      <c r="F4" s="4" t="n">
        <f aca="false">ROUND((E4-D4)*1440,0)</f>
        <v>60</v>
      </c>
      <c r="G4" s="2" t="s">
        <v>22</v>
      </c>
      <c r="H4" s="2" t="s">
        <v>14</v>
      </c>
      <c r="I4" s="5" t="n">
        <f aca="false">SUMPRODUCT(($B$2:$B$11=B4)*($A$2:$A$11&lt;&gt;A4)*($D$2:$D$11&lt;E4)*($E$2:$E$11&gt;D4))</f>
        <v>0</v>
      </c>
      <c r="J4" s="5" t="n">
        <f aca="false">SUMPRODUCT(($B$2:$B$11&lt;&gt;B4)*($D$2:$D$11&lt;E4)*($E$2:$E$11&gt;D4))</f>
        <v>1</v>
      </c>
    </row>
    <row r="5" customFormat="false" ht="24.75" hidden="false" customHeight="true" outlineLevel="0" collapsed="false">
      <c r="A5" s="2" t="s">
        <v>23</v>
      </c>
      <c r="B5" s="2" t="s">
        <v>16</v>
      </c>
      <c r="C5" s="2" t="s">
        <v>24</v>
      </c>
      <c r="D5" s="3" t="n">
        <f aca="false">DATE(2024,5,1)+TIME(12,30,0)</f>
        <v>45413.5208333333</v>
      </c>
      <c r="E5" s="3" t="n">
        <f aca="false">DATE(2024,5,1)+TIME(13,30,0)</f>
        <v>45413.5625</v>
      </c>
      <c r="F5" s="4" t="n">
        <f aca="false">ROUND((E5-D5)*1440,0)</f>
        <v>60</v>
      </c>
      <c r="G5" s="2" t="s">
        <v>25</v>
      </c>
      <c r="H5" s="2" t="s">
        <v>19</v>
      </c>
      <c r="I5" s="5" t="n">
        <f aca="false">SUMPRODUCT(($B$2:$B$11=B5)*($A$2:$A$11&lt;&gt;A5)*($D$2:$D$11&lt;E5)*($E$2:$E$11&gt;D5))</f>
        <v>0</v>
      </c>
      <c r="J5" s="5" t="n">
        <f aca="false">SUMPRODUCT(($B$2:$B$11&lt;&gt;B5)*($D$2:$D$11&lt;E5)*($E$2:$E$11&gt;D5))</f>
        <v>2</v>
      </c>
    </row>
    <row r="6" customFormat="false" ht="24.75" hidden="false" customHeight="true" outlineLevel="0" collapsed="false">
      <c r="A6" s="2" t="s">
        <v>26</v>
      </c>
      <c r="B6" s="2" t="s">
        <v>11</v>
      </c>
      <c r="C6" s="2" t="s">
        <v>27</v>
      </c>
      <c r="D6" s="3" t="n">
        <f aca="false">DATE(2024,5,1)+TIME(13,0,0)</f>
        <v>45413.5416666667</v>
      </c>
      <c r="E6" s="3" t="n">
        <f aca="false">DATE(2024,5,1)+TIME(14,0,0)</f>
        <v>45413.5833333333</v>
      </c>
      <c r="F6" s="4" t="n">
        <f aca="false">ROUND((E6-D6)*1440,0)</f>
        <v>60</v>
      </c>
      <c r="G6" s="2" t="s">
        <v>28</v>
      </c>
      <c r="H6" s="2" t="s">
        <v>14</v>
      </c>
      <c r="I6" s="5" t="n">
        <f aca="false">SUMPRODUCT(($B$2:$B$11=B6)*($A$2:$A$11&lt;&gt;A6)*($D$2:$D$11&lt;E6)*($E$2:$E$11&gt;D6))</f>
        <v>0</v>
      </c>
      <c r="J6" s="5" t="n">
        <f aca="false">SUMPRODUCT(($B$2:$B$11&lt;&gt;B6)*($D$2:$D$11&lt;E6)*($E$2:$E$11&gt;D6))</f>
        <v>1</v>
      </c>
    </row>
    <row r="7" customFormat="false" ht="24.75" hidden="false" customHeight="true" outlineLevel="0" collapsed="false">
      <c r="A7" s="2" t="s">
        <v>29</v>
      </c>
      <c r="B7" s="2" t="s">
        <v>16</v>
      </c>
      <c r="C7" s="2" t="s">
        <v>30</v>
      </c>
      <c r="D7" s="3" t="n">
        <f aca="false">DATE(2024,5,1)+TIME(14,0,0)</f>
        <v>45413.5833333333</v>
      </c>
      <c r="E7" s="3" t="n">
        <f aca="false">DATE(2024,5,1)+TIME(14,30,0)</f>
        <v>45413.6041666667</v>
      </c>
      <c r="F7" s="4" t="n">
        <f aca="false">ROUND((E7-D7)*1440,0)</f>
        <v>30</v>
      </c>
      <c r="G7" s="2" t="s">
        <v>31</v>
      </c>
      <c r="H7" s="2" t="s">
        <v>19</v>
      </c>
      <c r="I7" s="5" t="n">
        <f aca="false">SUMPRODUCT(($B$2:$B$11=B7)*($A$2:$A$11&lt;&gt;A7)*($D$2:$D$11&lt;E7)*($E$2:$E$11&gt;D7))</f>
        <v>0</v>
      </c>
      <c r="J7" s="5" t="n">
        <f aca="false">SUMPRODUCT(($B$2:$B$11&lt;&gt;B7)*($D$2:$D$11&lt;E7)*($E$2:$E$11&gt;D7))</f>
        <v>0</v>
      </c>
    </row>
    <row r="8" customFormat="false" ht="24.75" hidden="false" customHeight="true" outlineLevel="0" collapsed="false">
      <c r="A8" s="2" t="s">
        <v>32</v>
      </c>
      <c r="B8" s="2" t="s">
        <v>11</v>
      </c>
      <c r="C8" s="2" t="s">
        <v>17</v>
      </c>
      <c r="D8" s="3" t="n">
        <f aca="false">DATE(2024,5,1)+TIME(16,0,0)</f>
        <v>45413.6666666667</v>
      </c>
      <c r="E8" s="3" t="n">
        <f aca="false">DATE(2024,5,1)+TIME(18,0,0)</f>
        <v>45413.75</v>
      </c>
      <c r="F8" s="4" t="n">
        <f aca="false">ROUND((E8-D8)*1440,0)</f>
        <v>120</v>
      </c>
      <c r="G8" s="2" t="s">
        <v>33</v>
      </c>
      <c r="H8" s="2" t="s">
        <v>14</v>
      </c>
      <c r="I8" s="5" t="n">
        <f aca="false">SUMPRODUCT(($B$2:$B$11=B8)*($A$2:$A$11&lt;&gt;A8)*($D$2:$D$11&lt;E8)*($E$2:$E$11&gt;D8))</f>
        <v>0</v>
      </c>
      <c r="J8" s="5" t="n">
        <f aca="false">SUMPRODUCT(($B$2:$B$11&lt;&gt;B8)*($D$2:$D$11&lt;E8)*($E$2:$E$11&gt;D8))</f>
        <v>1</v>
      </c>
    </row>
    <row r="9" customFormat="false" ht="24.75" hidden="false" customHeight="true" outlineLevel="0" collapsed="false">
      <c r="A9" s="2" t="s">
        <v>34</v>
      </c>
      <c r="B9" s="2" t="s">
        <v>16</v>
      </c>
      <c r="C9" s="2" t="s">
        <v>17</v>
      </c>
      <c r="D9" s="3" t="n">
        <f aca="false">DATE(2024,5,1)+TIME(16,0,0)</f>
        <v>45413.6666666667</v>
      </c>
      <c r="E9" s="3" t="n">
        <f aca="false">DATE(2024,5,1)+TIME(18,0,0)</f>
        <v>45413.75</v>
      </c>
      <c r="F9" s="4" t="n">
        <f aca="false">ROUND((E9-D9)*1440,0)</f>
        <v>120</v>
      </c>
      <c r="G9" s="2" t="s">
        <v>35</v>
      </c>
      <c r="H9" s="2" t="s">
        <v>19</v>
      </c>
      <c r="I9" s="5" t="n">
        <f aca="false">SUMPRODUCT(($B$2:$B$11=B9)*($A$2:$A$11&lt;&gt;A9)*($D$2:$D$11&lt;E9)*($E$2:$E$11&gt;D9))</f>
        <v>0</v>
      </c>
      <c r="J9" s="5" t="n">
        <f aca="false">SUMPRODUCT(($B$2:$B$11&lt;&gt;B9)*($D$2:$D$11&lt;E9)*($E$2:$E$11&gt;D9))</f>
        <v>1</v>
      </c>
    </row>
    <row r="10" customFormat="false" ht="24.75" hidden="false" customHeight="true" outlineLevel="0" collapsed="false">
      <c r="A10" s="2" t="s">
        <v>36</v>
      </c>
      <c r="B10" s="2" t="s">
        <v>11</v>
      </c>
      <c r="C10" s="2" t="s">
        <v>37</v>
      </c>
      <c r="D10" s="3" t="n">
        <f aca="false">DATE(2024,5,1)+TIME(18,30,0)</f>
        <v>45413.7708333333</v>
      </c>
      <c r="E10" s="3" t="n">
        <f aca="false">DATE(2024,5,1)+TIME(19,30,0)</f>
        <v>45413.8125</v>
      </c>
      <c r="F10" s="4" t="n">
        <f aca="false">ROUND((E10-D10)*1440,0)</f>
        <v>60</v>
      </c>
      <c r="G10" s="2" t="s">
        <v>38</v>
      </c>
      <c r="H10" s="2" t="s">
        <v>14</v>
      </c>
      <c r="I10" s="5" t="n">
        <f aca="false">SUMPRODUCT(($B$2:$B$11=B10)*($A$2:$A$11&lt;&gt;A10)*($D$2:$D$11&lt;E10)*($E$2:$E$11&gt;D10))</f>
        <v>0</v>
      </c>
      <c r="J10" s="5" t="n">
        <f aca="false">SUMPRODUCT(($B$2:$B$11&lt;&gt;B10)*($D$2:$D$11&lt;E10)*($E$2:$E$11&gt;D10))</f>
        <v>1</v>
      </c>
    </row>
    <row r="11" customFormat="false" ht="24.75" hidden="false" customHeight="true" outlineLevel="0" collapsed="false">
      <c r="A11" s="2" t="s">
        <v>39</v>
      </c>
      <c r="B11" s="2" t="s">
        <v>16</v>
      </c>
      <c r="C11" s="2" t="s">
        <v>37</v>
      </c>
      <c r="D11" s="3" t="n">
        <f aca="false">DATE(2024,5,1)+TIME(18,30,0)</f>
        <v>45413.7708333333</v>
      </c>
      <c r="E11" s="3" t="n">
        <f aca="false">DATE(2024,5,1)+TIME(19,30,0)</f>
        <v>45413.8125</v>
      </c>
      <c r="F11" s="4" t="n">
        <f aca="false">ROUND((E11-D11)*1440,0)</f>
        <v>60</v>
      </c>
      <c r="G11" s="2" t="s">
        <v>40</v>
      </c>
      <c r="H11" s="2" t="s">
        <v>19</v>
      </c>
      <c r="I11" s="5" t="n">
        <f aca="false">SUMPRODUCT(($B$2:$B$11=B11)*($A$2:$A$11&lt;&gt;A11)*($D$2:$D$11&lt;E11)*($E$2:$E$11&gt;D11))</f>
        <v>0</v>
      </c>
      <c r="J11" s="5" t="n">
        <f aca="false">SUMPRODUCT(($B$2:$B$11&lt;&gt;B11)*($D$2:$D$11&lt;E11)*($E$2:$E$11&gt;D11))</f>
        <v>1</v>
      </c>
    </row>
  </sheetData>
  <conditionalFormatting sqref="I2:I11">
    <cfRule type="expression" priority="2" aboveAverage="0" equalAverage="0" bottom="0" percent="0" rank="0" text="" dxfId="4">
      <formula>I2&gt;0</formula>
    </cfRule>
  </conditionalFormatting>
  <conditionalFormatting sqref="J2:J11">
    <cfRule type="expression" priority="3" aboveAverage="0" equalAverage="0" bottom="0" percent="0" rank="0" text="" dxfId="5">
      <formula>J2&gt;0</formula>
    </cfRule>
  </conditionalFormatting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4.01"/>
    <col collapsed="false" customWidth="true" hidden="false" outlineLevel="0" max="3" min="3" style="0" width="22.01"/>
    <col collapsed="false" customWidth="true" hidden="false" outlineLevel="0" max="4" min="4" style="0" width="14.01"/>
    <col collapsed="false" customWidth="true" hidden="false" outlineLevel="0" max="5" min="5" style="0" width="24"/>
    <col collapsed="false" customWidth="true" hidden="false" outlineLevel="0" max="7" min="6" style="0" width="23.01"/>
    <col collapsed="false" customWidth="true" hidden="false" outlineLevel="0" max="8" min="8" style="0" width="18"/>
    <col collapsed="false" customWidth="true" hidden="false" outlineLevel="0" max="9" min="9" style="0" width="14.01"/>
  </cols>
  <sheetData>
    <row r="1" customFormat="false" ht="33.75" hidden="false" customHeight="true" outlineLevel="0" collapsed="false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customFormat="false" ht="15" hidden="false" customHeight="false" outlineLevel="0" collapsed="false">
      <c r="A2" s="2" t="s">
        <v>50</v>
      </c>
      <c r="B2" s="2" t="s">
        <v>10</v>
      </c>
      <c r="C2" s="2" t="s">
        <v>12</v>
      </c>
      <c r="D2" s="2" t="s">
        <v>15</v>
      </c>
      <c r="E2" s="2" t="s">
        <v>17</v>
      </c>
      <c r="F2" s="3" t="n">
        <f aca="false">DATE(2024,5,1)+TIME(8,0,0)</f>
        <v>45413.3333333333</v>
      </c>
      <c r="G2" s="3" t="n">
        <f aca="false">DATE(2024,5,1)+TIME(11,0,0)</f>
        <v>45413.4583333333</v>
      </c>
      <c r="H2" s="4" t="n">
        <f aca="false">ROUND((G2-F2)*1440,0)</f>
        <v>180</v>
      </c>
      <c r="I2" s="5" t="str">
        <f aca="false">IF(C2=E2,"Yes","No")</f>
        <v>No</v>
      </c>
    </row>
    <row r="3" customFormat="false" ht="15" hidden="false" customHeight="false" outlineLevel="0" collapsed="false">
      <c r="A3" s="2" t="s">
        <v>51</v>
      </c>
      <c r="B3" s="2" t="s">
        <v>20</v>
      </c>
      <c r="C3" s="2" t="s">
        <v>21</v>
      </c>
      <c r="D3" s="2" t="s">
        <v>23</v>
      </c>
      <c r="E3" s="2" t="s">
        <v>24</v>
      </c>
      <c r="F3" s="3" t="n">
        <f aca="false">DATE(2024,5,1)+TIME(12,30,0)</f>
        <v>45413.5208333333</v>
      </c>
      <c r="G3" s="3" t="n">
        <f aca="false">DATE(2024,5,1)+TIME(13,0,0)</f>
        <v>45413.5416666667</v>
      </c>
      <c r="H3" s="4" t="n">
        <f aca="false">ROUND((G3-F3)*1440,0)</f>
        <v>30</v>
      </c>
      <c r="I3" s="5" t="str">
        <f aca="false">IF(C3=E3,"Yes","No")</f>
        <v>No</v>
      </c>
    </row>
    <row r="4" customFormat="false" ht="15" hidden="false" customHeight="false" outlineLevel="0" collapsed="false">
      <c r="A4" s="2" t="s">
        <v>52</v>
      </c>
      <c r="B4" s="2" t="s">
        <v>26</v>
      </c>
      <c r="C4" s="2" t="s">
        <v>27</v>
      </c>
      <c r="D4" s="2" t="s">
        <v>23</v>
      </c>
      <c r="E4" s="2" t="s">
        <v>24</v>
      </c>
      <c r="F4" s="3" t="n">
        <f aca="false">DATE(2024,5,1)+TIME(13,0,0)</f>
        <v>45413.5416666667</v>
      </c>
      <c r="G4" s="3" t="n">
        <f aca="false">DATE(2024,5,1)+TIME(13,30,0)</f>
        <v>45413.5625</v>
      </c>
      <c r="H4" s="4" t="n">
        <f aca="false">ROUND((G4-F4)*1440,0)</f>
        <v>30</v>
      </c>
      <c r="I4" s="5" t="str">
        <f aca="false">IF(C4=E4,"Yes","No")</f>
        <v>No</v>
      </c>
    </row>
    <row r="5" customFormat="false" ht="15" hidden="false" customHeight="false" outlineLevel="0" collapsed="false">
      <c r="A5" s="2" t="s">
        <v>53</v>
      </c>
      <c r="B5" s="2" t="s">
        <v>32</v>
      </c>
      <c r="C5" s="2" t="s">
        <v>17</v>
      </c>
      <c r="D5" s="2" t="s">
        <v>34</v>
      </c>
      <c r="E5" s="2" t="s">
        <v>17</v>
      </c>
      <c r="F5" s="3" t="n">
        <f aca="false">DATE(2024,5,1)+TIME(16,0,0)</f>
        <v>45413.6666666667</v>
      </c>
      <c r="G5" s="3" t="n">
        <f aca="false">DATE(2024,5,1)+TIME(18,0,0)</f>
        <v>45413.75</v>
      </c>
      <c r="H5" s="4" t="n">
        <f aca="false">ROUND((G5-F5)*1440,0)</f>
        <v>120</v>
      </c>
      <c r="I5" s="5" t="str">
        <f aca="false">IF(C5=E5,"Yes","No")</f>
        <v>Yes</v>
      </c>
    </row>
    <row r="6" customFormat="false" ht="15" hidden="false" customHeight="false" outlineLevel="0" collapsed="false">
      <c r="A6" s="2" t="s">
        <v>54</v>
      </c>
      <c r="B6" s="2" t="s">
        <v>36</v>
      </c>
      <c r="C6" s="2" t="s">
        <v>37</v>
      </c>
      <c r="D6" s="2" t="s">
        <v>39</v>
      </c>
      <c r="E6" s="2" t="s">
        <v>37</v>
      </c>
      <c r="F6" s="3" t="n">
        <f aca="false">DATE(2024,5,1)+TIME(18,30,0)</f>
        <v>45413.7708333333</v>
      </c>
      <c r="G6" s="3" t="n">
        <f aca="false">DATE(2024,5,1)+TIME(19,30,0)</f>
        <v>45413.8125</v>
      </c>
      <c r="H6" s="4" t="n">
        <f aca="false">ROUND((G6-F6)*1440,0)</f>
        <v>60</v>
      </c>
      <c r="I6" s="5" t="str">
        <f aca="false">IF(C6=E6,"Yes","No")</f>
        <v>Yes</v>
      </c>
    </row>
  </sheetData>
  <conditionalFormatting sqref="I2:I6">
    <cfRule type="expression" priority="2" aboveAverage="0" equalAverage="0" bottom="0" percent="0" rank="0" text="" dxfId="7">
      <formula>I2="Yes"</formula>
    </cfRule>
  </conditionalFormatting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3" min="2" style="0" width="23.01"/>
    <col collapsed="false" customWidth="true" hidden="false" outlineLevel="0" max="4" min="4" style="0" width="18"/>
    <col collapsed="false" customWidth="true" hidden="false" outlineLevel="0" max="6" min="5" style="0" width="32"/>
    <col collapsed="false" customWidth="true" hidden="false" outlineLevel="0" max="7" min="7" style="0" width="25"/>
  </cols>
  <sheetData>
    <row r="1" customFormat="false" ht="33.75" hidden="false" customHeight="true" outlineLevel="0" collapsed="false">
      <c r="A1" s="1" t="s">
        <v>55</v>
      </c>
      <c r="B1" s="1" t="s">
        <v>56</v>
      </c>
      <c r="C1" s="1" t="s">
        <v>57</v>
      </c>
      <c r="D1" s="1" t="s">
        <v>5</v>
      </c>
      <c r="E1" s="1" t="s">
        <v>58</v>
      </c>
      <c r="F1" s="1" t="s">
        <v>59</v>
      </c>
      <c r="G1" s="1" t="s">
        <v>60</v>
      </c>
    </row>
    <row r="2" customFormat="false" ht="15" hidden="false" customHeight="false" outlineLevel="0" collapsed="false">
      <c r="A2" s="2" t="s">
        <v>61</v>
      </c>
      <c r="B2" s="3" t="n">
        <f aca="false">DATE(2024,5,1)+TIME(8,0,0)</f>
        <v>45413.3333333333</v>
      </c>
      <c r="C2" s="3" t="n">
        <f aca="false">DATE(2024,5,1)+TIME(11,0,0)</f>
        <v>45413.4583333333</v>
      </c>
      <c r="D2" s="4" t="n">
        <f aca="false">ROUND((C2-B2)*1440,0)</f>
        <v>180</v>
      </c>
      <c r="E2" s="2" t="s">
        <v>12</v>
      </c>
      <c r="F2" s="2" t="s">
        <v>17</v>
      </c>
      <c r="G2" s="2" t="n">
        <f aca="false">COUNTIFS(Pairwise_Conflicts!$F$2:$F$6,"&lt;"&amp;C2,Pairwise_Conflicts!$G$2:$G$6,"&gt;"&amp;B2)</f>
        <v>1</v>
      </c>
    </row>
    <row r="3" customFormat="false" ht="15" hidden="false" customHeight="false" outlineLevel="0" collapsed="false">
      <c r="A3" s="2" t="s">
        <v>62</v>
      </c>
      <c r="B3" s="3" t="n">
        <f aca="false">DATE(2024,5,1)+TIME(12,30,0)</f>
        <v>45413.5208333333</v>
      </c>
      <c r="C3" s="3" t="n">
        <f aca="false">DATE(2024,5,1)+TIME(13,30,0)</f>
        <v>45413.5625</v>
      </c>
      <c r="D3" s="4" t="n">
        <f aca="false">ROUND((C3-B3)*1440,0)</f>
        <v>60</v>
      </c>
      <c r="E3" s="2" t="s">
        <v>63</v>
      </c>
      <c r="F3" s="2" t="s">
        <v>24</v>
      </c>
      <c r="G3" s="2" t="n">
        <f aca="false">COUNTIFS(Pairwise_Conflicts!$F$2:$F$6,"&lt;"&amp;C3,Pairwise_Conflicts!$G$2:$G$6,"&gt;"&amp;B3)</f>
        <v>2</v>
      </c>
    </row>
    <row r="4" customFormat="false" ht="15" hidden="false" customHeight="false" outlineLevel="0" collapsed="false">
      <c r="A4" s="2" t="s">
        <v>64</v>
      </c>
      <c r="B4" s="3" t="n">
        <f aca="false">DATE(2024,5,1)+TIME(16,0,0)</f>
        <v>45413.6666666667</v>
      </c>
      <c r="C4" s="3" t="n">
        <f aca="false">DATE(2024,5,1)+TIME(18,0,0)</f>
        <v>45413.75</v>
      </c>
      <c r="D4" s="4" t="n">
        <f aca="false">ROUND((C4-B4)*1440,0)</f>
        <v>120</v>
      </c>
      <c r="E4" s="2" t="s">
        <v>17</v>
      </c>
      <c r="F4" s="2" t="s">
        <v>17</v>
      </c>
      <c r="G4" s="2" t="n">
        <f aca="false">COUNTIFS(Pairwise_Conflicts!$F$2:$F$6,"&lt;"&amp;C4,Pairwise_Conflicts!$G$2:$G$6,"&gt;"&amp;B4)</f>
        <v>1</v>
      </c>
    </row>
    <row r="5" customFormat="false" ht="15" hidden="false" customHeight="false" outlineLevel="0" collapsed="false">
      <c r="A5" s="2" t="s">
        <v>65</v>
      </c>
      <c r="B5" s="3" t="n">
        <f aca="false">DATE(2024,5,1)+TIME(18,30,0)</f>
        <v>45413.7708333333</v>
      </c>
      <c r="C5" s="3" t="n">
        <f aca="false">DATE(2024,5,1)+TIME(19,30,0)</f>
        <v>45413.8125</v>
      </c>
      <c r="D5" s="4" t="n">
        <f aca="false">ROUND((C5-B5)*1440,0)</f>
        <v>60</v>
      </c>
      <c r="E5" s="2" t="s">
        <v>37</v>
      </c>
      <c r="F5" s="2" t="s">
        <v>37</v>
      </c>
      <c r="G5" s="2" t="n">
        <f aca="false">COUNTIFS(Pairwise_Conflicts!$F$2:$F$6,"&lt;"&amp;C5,Pairwise_Conflicts!$G$2:$G$6,"&gt;"&amp;B5)</f>
        <v>1</v>
      </c>
    </row>
  </sheetData>
  <conditionalFormatting sqref="D2:D5">
    <cfRule type="expression" priority="2" aboveAverage="0" equalAverage="0" bottom="0" percent="0" rank="0" text="" dxfId="4">
      <formula>D2&gt;=120</formula>
    </cfRule>
  </conditionalFormatting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9.99"/>
    <col collapsed="false" customWidth="true" hidden="false" outlineLevel="0" max="4" min="3" style="0" width="23.01"/>
    <col collapsed="false" customWidth="true" hidden="false" outlineLevel="0" max="5" min="5" style="0" width="18"/>
    <col collapsed="false" customWidth="true" hidden="false" outlineLevel="0" max="6" min="6" style="0" width="14.01"/>
    <col collapsed="false" customWidth="true" hidden="false" outlineLevel="0" max="7" min="7" style="0" width="35"/>
  </cols>
  <sheetData>
    <row r="1" customFormat="false" ht="33.75" hidden="false" customHeight="true" outlineLevel="0" collapsed="false">
      <c r="A1" s="1" t="s">
        <v>55</v>
      </c>
      <c r="B1" s="1" t="s">
        <v>66</v>
      </c>
      <c r="C1" s="1" t="s">
        <v>56</v>
      </c>
      <c r="D1" s="1" t="s">
        <v>57</v>
      </c>
      <c r="E1" s="1" t="s">
        <v>5</v>
      </c>
      <c r="F1" s="1" t="s">
        <v>67</v>
      </c>
      <c r="G1" s="1" t="s">
        <v>68</v>
      </c>
    </row>
    <row r="2" customFormat="false" ht="15" hidden="false" customHeight="false" outlineLevel="0" collapsed="false">
      <c r="A2" s="2" t="s">
        <v>69</v>
      </c>
      <c r="B2" s="2" t="s">
        <v>70</v>
      </c>
      <c r="C2" s="3" t="n">
        <f aca="false">DATE(2024,5,1)+TIME(11,50,0)</f>
        <v>45413.4930555556</v>
      </c>
      <c r="D2" s="3" t="n">
        <f aca="false">DATE(2024,5,1)+TIME(12,0,0)</f>
        <v>45413.5</v>
      </c>
      <c r="E2" s="4" t="n">
        <f aca="false">ROUND((D2-C2)*1440,0)</f>
        <v>10</v>
      </c>
      <c r="F2" s="5" t="str">
        <f aca="false">IF(E2=MAX($E$2:$E$5),"Yes","No")</f>
        <v>No</v>
      </c>
      <c r="G2" s="2" t="str">
        <f aca="false">IF(F2="Yes","Recommended longest joint window","Available alternative")</f>
        <v>Available alternative</v>
      </c>
    </row>
    <row r="3" customFormat="false" ht="15" hidden="false" customHeight="false" outlineLevel="0" collapsed="false">
      <c r="A3" s="2" t="s">
        <v>71</v>
      </c>
      <c r="B3" s="2" t="s">
        <v>70</v>
      </c>
      <c r="C3" s="3" t="n">
        <f aca="false">DATE(2024,5,1)+TIME(14,30,0)</f>
        <v>45413.6041666667</v>
      </c>
      <c r="D3" s="3" t="n">
        <f aca="false">DATE(2024,5,1)+TIME(16,0,0)</f>
        <v>45413.6666666667</v>
      </c>
      <c r="E3" s="4" t="n">
        <f aca="false">ROUND((D3-C3)*1440,0)</f>
        <v>90</v>
      </c>
      <c r="F3" s="5" t="str">
        <f aca="false">IF(E3=MAX($E$2:$E$5),"Yes","No")</f>
        <v>Yes</v>
      </c>
      <c r="G3" s="2" t="str">
        <f aca="false">IF(F3="Yes","Recommended longest joint window","Available alternative")</f>
        <v>Recommended longest joint window</v>
      </c>
    </row>
    <row r="4" customFormat="false" ht="15" hidden="false" customHeight="false" outlineLevel="0" collapsed="false">
      <c r="A4" s="2" t="s">
        <v>72</v>
      </c>
      <c r="B4" s="2" t="s">
        <v>70</v>
      </c>
      <c r="C4" s="3" t="n">
        <f aca="false">DATE(2024,5,1)+TIME(18,0,0)</f>
        <v>45413.75</v>
      </c>
      <c r="D4" s="3" t="n">
        <f aca="false">DATE(2024,5,1)+TIME(18,30,0)</f>
        <v>45413.7708333333</v>
      </c>
      <c r="E4" s="4" t="n">
        <f aca="false">ROUND((D4-C4)*1440,0)</f>
        <v>30</v>
      </c>
      <c r="F4" s="5" t="str">
        <f aca="false">IF(E4=MAX($E$2:$E$5),"Yes","No")</f>
        <v>No</v>
      </c>
      <c r="G4" s="2" t="str">
        <f aca="false">IF(F4="Yes","Recommended longest joint window","Available alternative")</f>
        <v>Available alternative</v>
      </c>
    </row>
    <row r="5" customFormat="false" ht="15" hidden="false" customHeight="false" outlineLevel="0" collapsed="false">
      <c r="A5" s="2" t="s">
        <v>73</v>
      </c>
      <c r="B5" s="2" t="s">
        <v>70</v>
      </c>
      <c r="C5" s="3" t="n">
        <f aca="false">DATE(2024,5,1)+TIME(19,30,0)</f>
        <v>45413.8125</v>
      </c>
      <c r="D5" s="3" t="n">
        <f aca="false">DATE(2024,5,1)+TIME(20,0,0)</f>
        <v>45413.8333333333</v>
      </c>
      <c r="E5" s="4" t="n">
        <f aca="false">ROUND((D5-C5)*1440,0)</f>
        <v>30</v>
      </c>
      <c r="F5" s="5" t="str">
        <f aca="false">IF(E5=MAX($E$2:$E$5),"Yes","No")</f>
        <v>No</v>
      </c>
      <c r="G5" s="2" t="str">
        <f aca="false">IF(F5="Yes","Recommended longest joint window","Available alternative")</f>
        <v>Available alternative</v>
      </c>
    </row>
  </sheetData>
  <conditionalFormatting sqref="F2:F5">
    <cfRule type="expression" priority="2" aboveAverage="0" equalAverage="0" bottom="0" percent="0" rank="0" text="" dxfId="10">
      <formula>F2="Yes"</formula>
    </cfRule>
  </conditionalFormatting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7.99"/>
    <col collapsed="false" customWidth="true" hidden="false" outlineLevel="0" max="2" min="2" style="0" width="19.99"/>
    <col collapsed="false" customWidth="true" hidden="false" outlineLevel="0" max="3" min="3" style="0" width="52"/>
    <col collapsed="false" customWidth="true" hidden="false" outlineLevel="0" max="4" min="4" style="0" width="22.01"/>
    <col collapsed="false" customWidth="true" hidden="false" outlineLevel="0" max="5" min="5" style="0" width="16"/>
    <col collapsed="false" customWidth="true" hidden="false" outlineLevel="0" max="6" min="6" style="0" width="2.99"/>
    <col collapsed="false" customWidth="true" hidden="false" outlineLevel="0" max="10" min="7" style="0" width="16"/>
  </cols>
  <sheetData>
    <row r="1" customFormat="false" ht="33.75" hidden="false" customHeight="true" outlineLevel="0" collapsed="false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customFormat="false" ht="15" hidden="false" customHeight="false" outlineLevel="0" collapsed="false">
      <c r="A2" s="6" t="s">
        <v>79</v>
      </c>
      <c r="B2" s="7" t="n">
        <f aca="false">COUNTA(Source_Events!A2:A11)</f>
        <v>10</v>
      </c>
      <c r="C2" s="2" t="s">
        <v>80</v>
      </c>
      <c r="D2" s="2" t="s">
        <v>81</v>
      </c>
      <c r="E2" s="4" t="n">
        <f aca="false">B8</f>
        <v>420</v>
      </c>
    </row>
    <row r="3" customFormat="false" ht="15" hidden="false" customHeight="false" outlineLevel="0" collapsed="false">
      <c r="A3" s="6" t="s">
        <v>82</v>
      </c>
      <c r="B3" s="7" t="n">
        <f aca="false">COUNTIF(Source_Events!B2:B11,"Bob")</f>
        <v>5</v>
      </c>
      <c r="C3" s="2" t="s">
        <v>83</v>
      </c>
      <c r="D3" s="2" t="s">
        <v>84</v>
      </c>
      <c r="E3" s="4" t="n">
        <f aca="false">B10</f>
        <v>160</v>
      </c>
    </row>
    <row r="4" customFormat="false" ht="15" hidden="false" customHeight="false" outlineLevel="0" collapsed="false">
      <c r="A4" s="6" t="s">
        <v>85</v>
      </c>
      <c r="B4" s="7" t="n">
        <f aca="false">COUNTIF(Source_Events!B2:B11,"Tom")</f>
        <v>5</v>
      </c>
      <c r="C4" s="2" t="s">
        <v>83</v>
      </c>
      <c r="D4" s="2"/>
      <c r="E4" s="2"/>
    </row>
    <row r="5" customFormat="false" ht="15" hidden="false" customHeight="false" outlineLevel="0" collapsed="false">
      <c r="A5" s="6" t="s">
        <v>86</v>
      </c>
      <c r="B5" s="7" t="n">
        <f aca="false">SUM(Source_Events!I2:I11)/2</f>
        <v>0</v>
      </c>
      <c r="C5" s="2" t="s">
        <v>87</v>
      </c>
      <c r="D5" s="2"/>
      <c r="E5" s="2"/>
    </row>
    <row r="6" customFormat="false" ht="15" hidden="false" customHeight="false" outlineLevel="0" collapsed="false">
      <c r="A6" s="6" t="s">
        <v>88</v>
      </c>
      <c r="B6" s="7" t="n">
        <f aca="false">COUNTA(Pairwise_Conflicts!A2:A6)</f>
        <v>5</v>
      </c>
      <c r="C6" s="2" t="s">
        <v>89</v>
      </c>
      <c r="D6" s="2"/>
      <c r="E6" s="2"/>
    </row>
    <row r="7" customFormat="false" ht="15" hidden="false" customHeight="false" outlineLevel="0" collapsed="false">
      <c r="A7" s="6" t="s">
        <v>90</v>
      </c>
      <c r="B7" s="7" t="n">
        <f aca="false">COUNTA(Conflict_Windows!A2:A5)</f>
        <v>4</v>
      </c>
      <c r="C7" s="2" t="s">
        <v>91</v>
      </c>
      <c r="D7" s="2"/>
      <c r="E7" s="2"/>
    </row>
    <row r="8" customFormat="false" ht="15" hidden="false" customHeight="false" outlineLevel="0" collapsed="false">
      <c r="A8" s="6" t="s">
        <v>92</v>
      </c>
      <c r="B8" s="7" t="n">
        <f aca="false">SUM(Conflict_Windows!D2:D5)</f>
        <v>420</v>
      </c>
      <c r="C8" s="2" t="s">
        <v>93</v>
      </c>
      <c r="D8" s="2"/>
      <c r="E8" s="2"/>
    </row>
    <row r="9" customFormat="false" ht="15" hidden="false" customHeight="false" outlineLevel="0" collapsed="false">
      <c r="A9" s="6" t="s">
        <v>94</v>
      </c>
      <c r="B9" s="7" t="n">
        <f aca="false">COUNTA(Joint_Free_Windows!A2:A5)</f>
        <v>4</v>
      </c>
      <c r="C9" s="2" t="s">
        <v>95</v>
      </c>
      <c r="D9" s="2"/>
      <c r="E9" s="2"/>
    </row>
    <row r="10" customFormat="false" ht="15" hidden="false" customHeight="false" outlineLevel="0" collapsed="false">
      <c r="A10" s="6" t="s">
        <v>96</v>
      </c>
      <c r="B10" s="7" t="n">
        <f aca="false">SUM(Joint_Free_Windows!E2:E5)</f>
        <v>160</v>
      </c>
      <c r="C10" s="2" t="s">
        <v>97</v>
      </c>
      <c r="D10" s="2"/>
      <c r="E10" s="2"/>
    </row>
    <row r="11" customFormat="false" ht="15" hidden="false" customHeight="false" outlineLevel="0" collapsed="false">
      <c r="A11" s="6" t="s">
        <v>98</v>
      </c>
      <c r="B11" s="7" t="n">
        <f aca="false">MAX(Joint_Free_Windows!E2:E5)</f>
        <v>90</v>
      </c>
      <c r="C11" s="2" t="s">
        <v>99</v>
      </c>
      <c r="D11" s="2"/>
      <c r="E11" s="2"/>
    </row>
    <row r="12" customFormat="false" ht="15" hidden="false" customHeight="false" outlineLevel="0" collapsed="false">
      <c r="A12" s="6" t="s">
        <v>100</v>
      </c>
      <c r="B12" s="7" t="n">
        <f aca="false">COUNTIF(Pairwise_Conflicts!I2:I6,"Yes")</f>
        <v>2</v>
      </c>
      <c r="C12" s="2" t="s">
        <v>101</v>
      </c>
      <c r="D12" s="2"/>
      <c r="E12" s="2"/>
    </row>
    <row r="13" customFormat="false" ht="15" hidden="false" customHeight="false" outlineLevel="0" collapsed="false">
      <c r="A13" s="6" t="s">
        <v>102</v>
      </c>
      <c r="B13" s="7" t="n">
        <f aca="false">SUMPRODUCT(1/COUNTIF(Source_Events!H2:H11,Source_Events!H2:H11))</f>
        <v>2</v>
      </c>
      <c r="C13" s="2" t="s">
        <v>103</v>
      </c>
      <c r="D13" s="2"/>
      <c r="E13" s="2"/>
    </row>
    <row r="14" customFormat="false" ht="15" hidden="false" customHeight="false" outlineLevel="0" collapsed="false">
      <c r="A14" s="6" t="s">
        <v>104</v>
      </c>
      <c r="B14" s="7" t="n">
        <f aca="false">COUNTA(Source_Events!A2:A11)</f>
        <v>10</v>
      </c>
      <c r="C14" s="2" t="s">
        <v>105</v>
      </c>
      <c r="D14" s="2"/>
      <c r="E14" s="2"/>
    </row>
  </sheetData>
  <conditionalFormatting sqref="B5:B8">
    <cfRule type="expression" priority="2" aboveAverage="0" equalAverage="0" bottom="0" percent="0" rank="0" text="" dxfId="5">
      <formula>B5&gt;0</formula>
    </cfRule>
  </conditionalFormatting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2026-09-01T06:30:00Z</dcterms:created>
  <dc:creator>EvoCowork OfficeBench adapter</dc:creator>
  <dc:description/>
  <dc:language>en-US</dc:language>
  <cp:lastModifiedBy/>
  <dcterms:modified xsi:type="dcterms:W3CDTF">2026-09-01T06:30:00Z</dcterms:modified>
  <cp:revision>0</cp:revision>
  <dc:subject/>
  <dc:title>Calendar Conflict Audit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