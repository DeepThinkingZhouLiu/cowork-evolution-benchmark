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e Card" sheetId="1" state="visible" r:id="rId1"/>
    <sheet xmlns:r="http://schemas.openxmlformats.org/officeDocument/2006/relationships" name="2025 Actuals" sheetId="2" state="visible" r:id="rId2"/>
    <sheet xmlns:r="http://schemas.openxmlformats.org/officeDocument/2006/relationships" name="2026 Budget" sheetId="3" state="visible" r:id="rId3"/>
    <sheet xmlns:r="http://schemas.openxmlformats.org/officeDocument/2006/relationships" name="CFO Email Draft" sheetId="4" state="visible" r:id="rId4"/>
  </sheets>
  <definedNames>
    <definedName name="_xlnm._FilterDatabase" localSheetId="0" hidden="1">'Rate Card'!$A$1:$B$4</definedName>
    <definedName name="_xlnm._FilterDatabase" localSheetId="1" hidden="1">'2025 Actuals'!$A$1:$E$5</definedName>
    <definedName name="_xlnm._FilterDatabase" localSheetId="2" hidden="1">'2026 Budget'!$A$1:$D$5</definedName>
    <definedName name="_xlnm._FilterDatabase" localSheetId="3" hidden="1">'CFO Email Draft'!$A$1:$B$6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0&quot;%&quot;"/>
    <numFmt numFmtId="165" formatCode="$#,##0;[Red]-$#,##0"/>
  </numFmts>
  <fonts count="5">
    <font>
      <name val="Calibri"/>
      <family val="2"/>
      <color theme="1"/>
      <sz val="11"/>
      <scheme val="minor"/>
    </font>
    <font>
      <b val="1"/>
      <color rgb="00FFFFFF"/>
    </font>
    <font>
      <name val="Aptos"/>
      <b val="1"/>
      <color rgb="001F2937"/>
      <sz val="10"/>
    </font>
    <font>
      <name val="Aptos"/>
      <b val="1"/>
      <color rgb="00FFFFFF"/>
      <sz val="10"/>
    </font>
    <font>
      <name val="Aptos"/>
      <color rgb="001F2937"/>
      <sz val="10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/>
    </xf>
    <xf numFmtId="164" fontId="4" fillId="0" borderId="1" applyAlignment="1" pivotButton="0" quotePrefix="0" xfId="0">
      <alignment horizontal="right" vertical="top"/>
    </xf>
    <xf numFmtId="165" fontId="4" fillId="0" borderId="1" applyAlignment="1" pivotButton="0" quotePrefix="0" xfId="0">
      <alignment horizontal="right" vertical="top"/>
    </xf>
    <xf numFmtId="0" fontId="4" fillId="0" borderId="1" applyAlignment="1" pivotButton="0" quotePrefix="0" xfId="0">
      <alignment horizontal="right" vertical="top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RateCard" displayName="RateCard" ref="A1:B4" headerRowCount="1">
  <autoFilter ref="A1:B4"/>
  <tableColumns count="2">
    <tableColumn id="1" name="Category"/>
    <tableColumn id="2" name="Growth Rate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Actuals2025" displayName="Actuals2025" ref="A1:E5" headerRowCount="1">
  <autoFilter ref="A1:E5"/>
  <tableColumns count="5">
    <tableColumn id="1" name="Department"/>
    <tableColumn id="2" name="2025 Salaries"/>
    <tableColumn id="3" name="2025 Travel"/>
    <tableColumn id="4" name="2025 Software"/>
    <tableColumn id="5" name="Scope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Budget2026" displayName="Budget2026" ref="A1:D5" headerRowCount="1">
  <autoFilter ref="A1:D5"/>
  <tableColumns count="4">
    <tableColumn id="1" name="Department"/>
    <tableColumn id="2" name="2026 Salaries"/>
    <tableColumn id="3" name="2026 Travel"/>
    <tableColumn id="4" name="2026 Software"/>
  </tableColumns>
  <tableStyleInfo name="TableStyleMedium2" showRowStripes="1" showColumnStripes="0"/>
</table>
</file>

<file path=xl/tables/table4.xml><?xml version="1.0" encoding="utf-8"?>
<table xmlns="http://schemas.openxmlformats.org/spreadsheetml/2006/main" id="4" name="CFOEmailDraft" displayName="CFOEmailDraft" ref="A1:B6" headerRowCount="1">
  <autoFilter ref="A1:B6"/>
  <tableColumns count="2">
    <tableColumn id="1" name="Field"/>
    <tableColumn id="2" name="Value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</cols>
  <sheetData>
    <row r="1" ht="28" customHeight="1">
      <c r="A1" s="4" t="inlineStr">
        <is>
          <t>Category</t>
        </is>
      </c>
      <c r="B1" s="4" t="inlineStr">
        <is>
          <t>Growth Rate</t>
        </is>
      </c>
    </row>
    <row r="2">
      <c r="A2" s="5" t="inlineStr">
        <is>
          <t>Salaries</t>
        </is>
      </c>
      <c r="B2" s="6" t="n">
        <v>4</v>
      </c>
    </row>
    <row r="3">
      <c r="A3" s="5" t="inlineStr">
        <is>
          <t>Travel</t>
        </is>
      </c>
      <c r="B3" s="6" t="n">
        <v>10</v>
      </c>
    </row>
    <row r="4">
      <c r="A4" s="5" t="inlineStr">
        <is>
          <t>Software</t>
        </is>
      </c>
      <c r="B4" s="6" t="n">
        <v>20</v>
      </c>
    </row>
  </sheetData>
  <autoFilter ref="A1:B4"/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8" customWidth="1" min="4" max="4"/>
    <col width="14" customWidth="1" min="5" max="5"/>
  </cols>
  <sheetData>
    <row r="1" ht="28" customHeight="1">
      <c r="A1" s="4" t="inlineStr">
        <is>
          <t>Department</t>
        </is>
      </c>
      <c r="B1" s="4" t="inlineStr">
        <is>
          <t>2025 Salaries</t>
        </is>
      </c>
      <c r="C1" s="4" t="inlineStr">
        <is>
          <t>2025 Travel</t>
        </is>
      </c>
      <c r="D1" s="4" t="inlineStr">
        <is>
          <t>2025 Software</t>
        </is>
      </c>
      <c r="E1" s="4" t="inlineStr">
        <is>
          <t>Scope</t>
        </is>
      </c>
    </row>
    <row r="2">
      <c r="A2" s="5" t="inlineStr">
        <is>
          <t>Engineering</t>
        </is>
      </c>
      <c r="B2" s="7" t="n">
        <v>1500000</v>
      </c>
      <c r="C2" s="7" t="n">
        <v>40000</v>
      </c>
      <c r="D2" s="7" t="n">
        <v>200000</v>
      </c>
      <c r="E2" s="8" t="inlineStr">
        <is>
          <t>Include</t>
        </is>
      </c>
    </row>
    <row r="3">
      <c r="A3" s="5" t="inlineStr">
        <is>
          <t>Sales</t>
        </is>
      </c>
      <c r="B3" s="7" t="n">
        <v>800000</v>
      </c>
      <c r="C3" s="7" t="n">
        <v>150000</v>
      </c>
      <c r="D3" s="7" t="n">
        <v>50000</v>
      </c>
      <c r="E3" s="8" t="inlineStr">
        <is>
          <t>Include</t>
        </is>
      </c>
    </row>
    <row r="4">
      <c r="A4" s="5" t="inlineStr">
        <is>
          <t>Marketing</t>
        </is>
      </c>
      <c r="B4" s="7" t="n">
        <v>500000</v>
      </c>
      <c r="C4" s="7" t="n">
        <v>60000</v>
      </c>
      <c r="D4" s="7" t="n">
        <v>100000</v>
      </c>
      <c r="E4" s="8" t="inlineStr">
        <is>
          <t>Include</t>
        </is>
      </c>
    </row>
    <row r="5">
      <c r="A5" s="5" t="inlineStr">
        <is>
          <t>LegacyOps</t>
        </is>
      </c>
      <c r="B5" s="7" t="n">
        <v>300000</v>
      </c>
      <c r="C5" s="7" t="n">
        <v>20000</v>
      </c>
      <c r="D5" s="7" t="n">
        <v>25000</v>
      </c>
      <c r="E5" s="8" t="inlineStr">
        <is>
          <t>Exclude</t>
        </is>
      </c>
    </row>
  </sheetData>
  <autoFilter ref="A1:E5"/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 ht="28" customHeight="1">
      <c r="A1" s="4" t="inlineStr">
        <is>
          <t>Department</t>
        </is>
      </c>
      <c r="B1" s="4" t="inlineStr">
        <is>
          <t>2026 Salaries</t>
        </is>
      </c>
      <c r="C1" s="4" t="inlineStr">
        <is>
          <t>2026 Travel</t>
        </is>
      </c>
      <c r="D1" s="4" t="inlineStr">
        <is>
          <t>2026 Software</t>
        </is>
      </c>
    </row>
    <row r="2">
      <c r="A2" s="5" t="inlineStr">
        <is>
          <t>Engineering</t>
        </is>
      </c>
      <c r="B2" s="7">
        <f>'2025 Actuals'!B2*(1+'Rate Card'!$B$2/100)</f>
        <v/>
      </c>
      <c r="C2" s="7">
        <f>'2025 Actuals'!C2*(1+'Rate Card'!$B$3/100)</f>
        <v/>
      </c>
      <c r="D2" s="7">
        <f>'2025 Actuals'!D2*(1+'Rate Card'!$B$4/100)</f>
        <v/>
      </c>
    </row>
    <row r="3">
      <c r="A3" s="5" t="inlineStr">
        <is>
          <t>Sales</t>
        </is>
      </c>
      <c r="B3" s="7">
        <f>'2025 Actuals'!B3*(1+'Rate Card'!$B$2/100)</f>
        <v/>
      </c>
      <c r="C3" s="7">
        <f>'2025 Actuals'!C3*(1+'Rate Card'!$B$3/100)</f>
        <v/>
      </c>
      <c r="D3" s="7">
        <f>'2025 Actuals'!D3*(1+'Rate Card'!$B$4/100)</f>
        <v/>
      </c>
    </row>
    <row r="4">
      <c r="A4" s="5" t="inlineStr">
        <is>
          <t>Marketing</t>
        </is>
      </c>
      <c r="B4" s="7">
        <f>'2025 Actuals'!B4*(1+'Rate Card'!$B$2/100)</f>
        <v/>
      </c>
      <c r="C4" s="7">
        <f>'2025 Actuals'!C4*(1+'Rate Card'!$B$3/100)</f>
        <v/>
      </c>
      <c r="D4" s="7">
        <f>'2025 Actuals'!D4*(1+'Rate Card'!$B$4/100)</f>
        <v/>
      </c>
    </row>
    <row r="5">
      <c r="A5" s="5" t="inlineStr">
        <is>
          <t>Total</t>
        </is>
      </c>
      <c r="B5" s="7">
        <f>SUM(B2:B4)</f>
        <v/>
      </c>
      <c r="C5" s="7">
        <f>SUM(C2:C4)</f>
        <v/>
      </c>
      <c r="D5" s="7">
        <f>SUM(D2:D4)</f>
        <v/>
      </c>
    </row>
  </sheetData>
  <autoFilter ref="A1:D5"/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2" customWidth="1" min="2" max="2"/>
  </cols>
  <sheetData>
    <row r="1" ht="28" customHeight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From</t>
        </is>
      </c>
      <c r="B2" s="8" t="inlineStr">
        <is>
          <t>finance@company.example.com</t>
        </is>
      </c>
    </row>
    <row r="3">
      <c r="A3" s="5" t="inlineStr">
        <is>
          <t>To</t>
        </is>
      </c>
      <c r="B3" s="8" t="inlineStr">
        <is>
          <t>cfo@company.example.com</t>
        </is>
      </c>
    </row>
    <row r="4">
      <c r="A4" s="5" t="inlineStr">
        <is>
          <t>Subject</t>
        </is>
      </c>
      <c r="B4" s="8" t="inlineStr">
        <is>
          <t>2026 Annual Department Budget</t>
        </is>
      </c>
    </row>
    <row r="5" ht="108" customHeight="1">
      <c r="A5" s="5" t="inlineStr">
        <is>
          <t>Body</t>
        </is>
      </c>
      <c r="B5" s="9" t="inlineStr">
        <is>
          <t>The 2026 department budget is complete. Included departments and calculated totals:
- Engineering: Salaries = $1,560,000; Travel = $44,000; Software = $240,000 (linked to the 2025 Actuals and Rate Card in row 2).
- Sales: Salaries = $832,000; Travel = $165,000; Software = $60,000 (linked to the 2025 Actuals and Rate Card in row 3).
- Marketing: Salaries = $520,000; Travel = $66,000; Software = $120,000 (linked to the 2025 Actuals and Rate Card in row 4).
- Consolidated totals: Salaries = $2,912,000; Travel = $275,000; Software = $420,000.</t>
        </is>
      </c>
    </row>
    <row r="6">
      <c r="A6" s="5" t="inlineStr">
        <is>
          <t>Status</t>
        </is>
      </c>
      <c r="B6" s="8" t="inlineStr">
        <is>
          <t>Draft - Not Sent</t>
        </is>
      </c>
    </row>
  </sheetData>
  <autoFilter ref="A1:B6"/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Cowork Evolution Benchmark</dc:creator>
  <dc:title xmlns:dc="http://purl.org/dc/elements/1.1/">2026 Annual Budget</dc:title>
  <dcterms:created xmlns:dcterms="http://purl.org/dc/terms/" xmlns:xsi="http://www.w3.org/2001/XMLSchema-instance" xsi:type="dcterms:W3CDTF">2026-09-03T17:59:38Z</dcterms:created>
  <dcterms:modified xmlns:dcterms="http://purl.org/dc/terms/" xmlns:xsi="http://www.w3.org/2001/XMLSchema-instance" xsi:type="dcterms:W3CDTF">2026-09-03T18:16:03Z</dcterms:modified>
</cp:coreProperties>
</file>