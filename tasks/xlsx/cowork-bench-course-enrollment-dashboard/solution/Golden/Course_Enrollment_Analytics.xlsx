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Metrics" sheetId="1" state="visible" r:id="rId1"/>
    <sheet xmlns:r="http://schemas.openxmlformats.org/officeDocument/2006/relationships" name="Risk_Distribution" sheetId="2" state="visible" r:id="rId2"/>
    <sheet xmlns:r="http://schemas.openxmlformats.org/officeDocument/2006/relationships" name="Submission_Quality" sheetId="3" state="visible" r:id="rId3"/>
    <sheet xmlns:r="http://schemas.openxmlformats.org/officeDocument/2006/relationships" name="Risk_Action_Plan" sheetId="4" state="visible" r:id="rId4"/>
    <sheet xmlns:r="http://schemas.openxmlformats.org/officeDocument/2006/relationships" name="Source_Notes" sheetId="5" state="visible" r:id="rId5"/>
  </sheets>
  <definedNames>
    <definedName name="_xlnm._FilterDatabase" localSheetId="0" hidden="1">'Course_Metrics'!$A$1:$M$3</definedName>
    <definedName name="_xlnm._FilterDatabase" localSheetId="1" hidden="1">'Risk_Distribution'!$A$1:$C$4</definedName>
    <definedName name="_xlnm._FilterDatabase" localSheetId="2" hidden="1">'Submission_Quality'!$A$1:$F$3</definedName>
    <definedName name="_xlnm._FilterDatabase" localSheetId="3" hidden="1">'Risk_Action_Plan'!$A$1:$D$4</definedName>
    <definedName name="_xlnm._FilterDatabase" localSheetId="4" hidden="1">'Source_Notes'!$A$1:$B$8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7E0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ourseMetrics" displayName="CourseMetrics" ref="A1:L3" headerRowCount="1">
  <autoFilter ref="A1:L3"/>
  <tableColumns count="12">
    <tableColumn id="1" name="Course_ID"/>
    <tableColumn id="2" name="Course_Name"/>
    <tableColumn id="3" name="Course_Code"/>
    <tableColumn id="4" name="Total_Enrollment"/>
    <tableColumn id="5" name="Student_Enrollment"/>
    <tableColumn id="6" name="Graded_Students"/>
    <tableColumn id="7" name="Submission_Count"/>
    <tableColumn id="8" name="Graded_Submissions"/>
    <tableColumn id="9" name="Avg_Score"/>
    <tableColumn id="10" name="Completion_Rate"/>
    <tableColumn id="11" name="Late_Rate"/>
    <tableColumn id="12" name="Late_Submiss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iskDistribution" displayName="RiskDistribution" ref="A1:C4" headerRowCount="1">
  <autoFilter ref="A1:C4"/>
  <tableColumns count="3">
    <tableColumn id="1" name="Risk_Level"/>
    <tableColumn id="2" name="Course_Count"/>
    <tableColumn id="3" name="Student_Enroll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bmissionQuality" displayName="SubmissionQuality" ref="A1:F3" headerRowCount="1">
  <autoFilter ref="A1:F3"/>
  <tableColumns count="6">
    <tableColumn id="1" name="Course_Name"/>
    <tableColumn id="2" name="Submission_Count"/>
    <tableColumn id="3" name="Graded_Submissions"/>
    <tableColumn id="4" name="Completion_Rate"/>
    <tableColumn id="5" name="Late_Submissions"/>
    <tableColumn id="6" name="Late_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iskActionPlan" displayName="RiskActionPlan" ref="A1:D4" headerRowCount="1">
  <autoFilter ref="A1:D4"/>
  <tableColumns count="4">
    <tableColumn id="1" name="Risk_Level"/>
    <tableColumn id="2" name="Action"/>
    <tableColumn id="3" name="Timeline"/>
    <tableColumn id="4" name="Responsib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Notes" displayName="SourceNotes" ref="A1:B8" headerRowCount="1">
  <autoFilter ref="A1:B8"/>
  <tableColumns count="2">
    <tableColumn id="1" name="Item"/>
    <tableColumn id="2" name="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8" customWidth="1" min="4" max="4"/>
    <col width="19" customWidth="1" min="5" max="5"/>
    <col width="17" customWidth="1" min="6" max="6"/>
    <col width="18" customWidth="1" min="7" max="7"/>
    <col width="20" customWidth="1" min="8" max="8"/>
    <col width="13" customWidth="1" min="9" max="9"/>
    <col width="18" customWidth="1" min="10" max="10"/>
    <col width="13" customWidth="1" min="11" max="11"/>
    <col width="17" customWidth="1" min="12" max="12"/>
    <col width="14" customWidth="1" min="13" max="13"/>
  </cols>
  <sheetData>
    <row r="1" ht="30" customHeight="1">
      <c r="A1" s="1" t="inlineStr">
        <is>
          <t>Course_ID</t>
        </is>
      </c>
      <c r="B1" s="1" t="inlineStr">
        <is>
          <t>Course_Name</t>
        </is>
      </c>
      <c r="C1" s="1" t="inlineStr">
        <is>
          <t>Course_Code</t>
        </is>
      </c>
      <c r="D1" s="1" t="inlineStr">
        <is>
          <t>Total_Enrollment</t>
        </is>
      </c>
      <c r="E1" s="1" t="inlineStr">
        <is>
          <t>Student_Enrollment</t>
        </is>
      </c>
      <c r="F1" s="1" t="inlineStr">
        <is>
          <t>Graded_Students</t>
        </is>
      </c>
      <c r="G1" s="1" t="inlineStr">
        <is>
          <t>Submission_Count</t>
        </is>
      </c>
      <c r="H1" s="1" t="inlineStr">
        <is>
          <t>Graded_Submissions</t>
        </is>
      </c>
      <c r="I1" s="1" t="inlineStr">
        <is>
          <t>Avg_Score</t>
        </is>
      </c>
      <c r="J1" s="1" t="inlineStr">
        <is>
          <t>Completion_Rate</t>
        </is>
      </c>
      <c r="K1" s="1" t="inlineStr">
        <is>
          <t>Late_Rate</t>
        </is>
      </c>
      <c r="L1" s="1" t="inlineStr">
        <is>
          <t>Late_Submissions</t>
        </is>
      </c>
      <c r="M1" s="1" t="inlineStr">
        <is>
          <t>Risk_Level</t>
        </is>
      </c>
    </row>
    <row r="2">
      <c r="A2" s="2" t="n">
        <v>16</v>
      </c>
      <c r="B2" s="2" t="inlineStr">
        <is>
          <t>Основы финансов (Осень 2013)</t>
        </is>
      </c>
      <c r="C2" s="2" t="inlineStr">
        <is>
          <t>FFF-2013J</t>
        </is>
      </c>
      <c r="D2" s="2" t="n">
        <v>2285</v>
      </c>
      <c r="E2" s="2" t="n">
        <v>2283</v>
      </c>
      <c r="F2" s="2" t="n">
        <v>1872</v>
      </c>
      <c r="G2" s="2" t="n">
        <v>16240</v>
      </c>
      <c r="H2" s="2" t="n">
        <v>16228</v>
      </c>
      <c r="I2" s="3" t="n">
        <v>74.94</v>
      </c>
      <c r="J2" s="4" t="n">
        <v>99.90000000000001</v>
      </c>
      <c r="K2" s="4" t="n">
        <v>10</v>
      </c>
      <c r="L2" s="2" t="n">
        <v>1623</v>
      </c>
      <c r="M2" s="2" t="inlineStr">
        <is>
          <t>At Risk</t>
        </is>
      </c>
    </row>
    <row r="3">
      <c r="A3" s="2" t="n">
        <v>17</v>
      </c>
      <c r="B3" s="2" t="inlineStr">
        <is>
          <t>Основы финансов (Осень 2014)</t>
        </is>
      </c>
      <c r="C3" s="2" t="inlineStr">
        <is>
          <t>FFF-2014J</t>
        </is>
      </c>
      <c r="D3" s="2" t="n">
        <v>2369</v>
      </c>
      <c r="E3" s="2" t="n">
        <v>2365</v>
      </c>
      <c r="F3" s="2" t="n">
        <v>1842</v>
      </c>
      <c r="G3" s="2" t="n">
        <v>16184</v>
      </c>
      <c r="H3" s="2" t="n">
        <v>16175</v>
      </c>
      <c r="I3" s="3" t="n">
        <v>76.51000000000001</v>
      </c>
      <c r="J3" s="4" t="n">
        <v>99.90000000000001</v>
      </c>
      <c r="K3" s="4" t="n">
        <v>10.3</v>
      </c>
      <c r="L3" s="2" t="n">
        <v>1669</v>
      </c>
      <c r="M3" s="2" t="inlineStr">
        <is>
          <t>On Track</t>
        </is>
      </c>
    </row>
  </sheetData>
  <autoFilter ref="A1:M3"/>
  <pageMargins left="0.25" right="0.25" top="0.35" bottom="0.35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</cols>
  <sheetData>
    <row r="1" ht="30" customHeight="1">
      <c r="A1" s="1" t="inlineStr">
        <is>
          <t>Risk_Level</t>
        </is>
      </c>
      <c r="B1" s="1" t="inlineStr">
        <is>
          <t>Course_Count</t>
        </is>
      </c>
      <c r="C1" s="1" t="inlineStr">
        <is>
          <t>Student_Enrollment</t>
        </is>
      </c>
    </row>
    <row r="2">
      <c r="A2" s="2" t="inlineStr">
        <is>
          <t>Critical</t>
        </is>
      </c>
      <c r="B2" s="2">
        <f>COUNTIF(Course_Metrics!$M$2:$M$3,A2)</f>
        <v/>
      </c>
      <c r="C2" s="2">
        <f>SUMIF(Course_Metrics!$M$2:$M$3,A2,Course_Metrics!$E$2:$E$3)</f>
        <v/>
      </c>
    </row>
    <row r="3">
      <c r="A3" s="2" t="inlineStr">
        <is>
          <t>At Risk</t>
        </is>
      </c>
      <c r="B3" s="2">
        <f>COUNTIF(Course_Metrics!$M$2:$M$3,A3)</f>
        <v/>
      </c>
      <c r="C3" s="2">
        <f>SUMIF(Course_Metrics!$M$2:$M$3,A3,Course_Metrics!$E$2:$E$3)</f>
        <v/>
      </c>
    </row>
    <row r="4">
      <c r="A4" s="2" t="inlineStr">
        <is>
          <t>On Track</t>
        </is>
      </c>
      <c r="B4" s="2">
        <f>COUNTIF(Course_Metrics!$M$2:$M$3,A4)</f>
        <v/>
      </c>
      <c r="C4" s="2">
        <f>SUMIF(Course_Metrics!$M$2:$M$3,A4,Course_Metrics!$E$2:$E$3)</f>
        <v/>
      </c>
    </row>
  </sheetData>
  <autoFilter ref="A1:C4"/>
  <pageMargins left="0.25" right="0.25" top="0.35" bottom="0.35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8" customWidth="1" min="4" max="4"/>
    <col width="17" customWidth="1" min="5" max="5"/>
    <col width="13" customWidth="1" min="6" max="6"/>
  </cols>
  <sheetData>
    <row r="1" ht="30" customHeight="1">
      <c r="A1" s="1" t="inlineStr">
        <is>
          <t>Course_Name</t>
        </is>
      </c>
      <c r="B1" s="1" t="inlineStr">
        <is>
          <t>Submission_Count</t>
        </is>
      </c>
      <c r="C1" s="1" t="inlineStr">
        <is>
          <t>Graded_Submissions</t>
        </is>
      </c>
      <c r="D1" s="1" t="inlineStr">
        <is>
          <t>Completion_Rate</t>
        </is>
      </c>
      <c r="E1" s="1" t="inlineStr">
        <is>
          <t>Late_Submissions</t>
        </is>
      </c>
      <c r="F1" s="1" t="inlineStr">
        <is>
          <t>Late_Rate</t>
        </is>
      </c>
    </row>
    <row r="2">
      <c r="A2" s="2">
        <f>Course_Metrics!B2</f>
        <v/>
      </c>
      <c r="B2" s="2">
        <f>Course_Metrics!G2</f>
        <v/>
      </c>
      <c r="C2" s="2">
        <f>Course_Metrics!H2</f>
        <v/>
      </c>
      <c r="D2" s="4">
        <f>Course_Metrics!J2</f>
        <v/>
      </c>
      <c r="E2" s="2">
        <f>Course_Metrics!L2</f>
        <v/>
      </c>
      <c r="F2" s="4">
        <f>Course_Metrics!K2</f>
        <v/>
      </c>
    </row>
    <row r="3">
      <c r="A3" s="2">
        <f>Course_Metrics!B3</f>
        <v/>
      </c>
      <c r="B3" s="2">
        <f>Course_Metrics!G3</f>
        <v/>
      </c>
      <c r="C3" s="2">
        <f>Course_Metrics!H3</f>
        <v/>
      </c>
      <c r="D3" s="4">
        <f>Course_Metrics!J3</f>
        <v/>
      </c>
      <c r="E3" s="2">
        <f>Course_Metrics!L3</f>
        <v/>
      </c>
      <c r="F3" s="4">
        <f>Course_Metrics!K3</f>
        <v/>
      </c>
    </row>
  </sheetData>
  <autoFilter ref="A1:F3"/>
  <pageMargins left="0.25" right="0.25" top="0.35" bottom="0.35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26" customWidth="1" min="4" max="4"/>
  </cols>
  <sheetData>
    <row r="1" ht="30" customHeight="1">
      <c r="A1" s="1" t="inlineStr">
        <is>
          <t>Risk_Level</t>
        </is>
      </c>
      <c r="B1" s="1" t="inlineStr">
        <is>
          <t>Action</t>
        </is>
      </c>
      <c r="C1" s="1" t="inlineStr">
        <is>
          <t>Timeline</t>
        </is>
      </c>
      <c r="D1" s="1" t="inlineStr">
        <is>
          <t>Responsible</t>
        </is>
      </c>
    </row>
    <row r="2">
      <c r="A2" s="2" t="inlineStr">
        <is>
          <t>Critical</t>
        </is>
      </c>
      <c r="B2" s="2" t="inlineStr">
        <is>
          <t>One-on-one academic advising</t>
        </is>
      </c>
      <c r="C2" s="2" t="inlineStr">
        <is>
          <t>Within 1 week</t>
        </is>
      </c>
      <c r="D2" s="2" t="inlineStr">
        <is>
          <t>Academic Advisor</t>
        </is>
      </c>
    </row>
    <row r="3">
      <c r="A3" s="2" t="inlineStr">
        <is>
          <t>At Risk</t>
        </is>
      </c>
      <c r="B3" s="2" t="inlineStr">
        <is>
          <t>Group tutoring sessions</t>
        </is>
      </c>
      <c r="C3" s="2" t="inlineStr">
        <is>
          <t>Within 2 weeks</t>
        </is>
      </c>
      <c r="D3" s="2" t="inlineStr">
        <is>
          <t>Course Tutor</t>
        </is>
      </c>
    </row>
    <row r="4">
      <c r="A4" s="2" t="inlineStr">
        <is>
          <t>On Track</t>
        </is>
      </c>
      <c r="B4" s="2" t="inlineStr">
        <is>
          <t>Self-paced study resources email</t>
        </is>
      </c>
      <c r="C4" s="2" t="inlineStr">
        <is>
          <t>Within 1 month</t>
        </is>
      </c>
      <c r="D4" s="2" t="inlineStr">
        <is>
          <t>Student Success Office</t>
        </is>
      </c>
    </row>
  </sheetData>
  <autoFilter ref="A1:D4"/>
  <pageMargins left="0.25" right="0.25" top="0.35" bottom="0.35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Source</t>
        </is>
      </c>
      <c r="B2" s="2" t="inlineStr">
        <is>
          <t>Cowork-Bench course-enrollment-analytics-dashboard; Canvas rows projected from fixed db/init.sql.gz revision d943e75bc0fc8e3b27141979300cd8cbcd1e890d</t>
        </is>
      </c>
    </row>
    <row r="3">
      <c r="A3" s="2" t="inlineStr">
        <is>
          <t>Risk thresholds</t>
        </is>
      </c>
      <c r="B3" s="2" t="inlineStr">
        <is>
          <t>Critical: Avg_Score &lt; 60; At Risk: 60 &lt;= Avg_Score &lt; 75; On Track: Avg_Score &gt;= 75</t>
        </is>
      </c>
    </row>
    <row r="4">
      <c r="A4" s="2" t="inlineStr">
        <is>
          <t>Score basis</t>
        </is>
      </c>
      <c r="B4" s="2" t="inlineStr">
        <is>
          <t>Avg_Score uses non-empty current_score from StudentEnrollment rows; no scores were invented</t>
        </is>
      </c>
    </row>
    <row r="5">
      <c r="A5" s="2" t="inlineStr">
        <is>
          <t>Submission metrics</t>
        </is>
      </c>
      <c r="B5" s="2" t="inlineStr">
        <is>
          <t>Completion_Rate = graded submissions / all submissions; Late_Rate = late=true submissions / all submissions</t>
        </is>
      </c>
    </row>
    <row r="6">
      <c r="A6" s="2" t="inlineStr">
        <is>
          <t>Inputs</t>
        </is>
      </c>
      <c r="B6" s="2" t="inlineStr">
        <is>
          <t>canvas_courses.csv, canvas_enrollments.csv, canvas_assignments.csv, canvas_submissions.csv, scoring_model.json, Retention_Policy.pdf</t>
        </is>
      </c>
    </row>
    <row r="7">
      <c r="A7" s="2" t="inlineStr">
        <is>
          <t>Input SHA256</t>
        </is>
      </c>
      <c r="B7" s="2" t="inlineStr">
        <is>
          <t>Retention_Policy.pdf=1e851c80117c065d3535716b98b4486e41e3b6a7a7372662947a77f501baa4d8; canvas_assignments.csv=98573aae81792ae965503241dff2a162a9170d20d86daed8a337c72e765d6d16; canvas_courses.csv=72f17c5402df529b0d8c822fe87050c4c3c75c5f7c220d963fb592d957557162; canvas_enrollments.csv=afb3b26cb6a101d741c3cf3560b03ccc2f17047b79fc70b01b7864f9957cad3e; canvas_submissions.csv=11f34a9c4fe74934b1f8c9576358f94d45a7ae63f60efa66f02365ec0b6c2125; scoring_model.json=ef019f895d416c3495c59d43e867125aea63b7f4fda929e2959771a980483c9e</t>
        </is>
      </c>
    </row>
    <row r="8">
      <c r="A8" s="2" t="inlineStr">
        <is>
          <t>Status</t>
        </is>
      </c>
      <c r="B8" s="2" t="inlineStr">
        <is>
          <t>author_hypothesis=L4; calibration_status=uncalibrated; review_status=pending_human_review</t>
        </is>
      </c>
    </row>
  </sheetData>
  <autoFilter ref="A1:B8"/>
  <pageMargins left="0.25" right="0.25" top="0.35" bottom="0.35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2026-09-03T18:21:08Z</dcterms:created>
  <dcterms:modified xmlns:dcterms="http://purl.org/dc/terms/" xmlns:xsi="http://www.w3.org/2001/XMLSchema-instance" xsi:type="dcterms:W3CDTF">2026-09-03T18:21:08Z</dcterms:modified>
</cp:coreProperties>
</file>