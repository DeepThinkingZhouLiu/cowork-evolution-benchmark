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 Analysi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'Breach Analysis'!$A$1:$F$4</definedName>
    <definedName name="_xlnm._FilterDatabase" localSheetId="1" hidden="1">'Summary'!$A$1:$B$6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Cowork Evolution Benchmark</author>
  </authors>
  <commentList>
    <comment ref="A1" authorId="0" shapeId="0">
      <text>
        <t>PRIORITY；只报告实际存在工单的优先级。</t>
      </text>
    </comment>
    <comment ref="C1" authorId="0" shapeId="0">
      <text>
        <t>RESPONSE_TIME_HOURS 的算术平均值，两位小数。</t>
      </text>
    </comment>
    <comment ref="D1" authorId="0" shapeId="0">
      <text>
        <t>sla_policies.csv 中的 RESPONSE_TARGET_HOURS。</t>
      </text>
    </comment>
    <comment ref="E1" authorId="0" shapeId="0">
      <text>
        <t>违约定义：RESPONSE_TIME_HOURS 严格大于 SLA 目标。</t>
      </text>
    </comment>
    <comment ref="F1" authorId="0" shapeId="0">
      <text>
        <t>Breached_Count / Total_Tickets × 100。</t>
      </text>
    </comment>
  </commentList>
</comments>
</file>

<file path=xl/tables/table1.xml><?xml version="1.0" encoding="utf-8"?>
<table xmlns="http://schemas.openxmlformats.org/spreadsheetml/2006/main" id="1" name="SLA_Breach_Analysis" displayName="SLA_Breach_Analysis" ref="A1:F4" headerRowCount="1">
  <autoFilter ref="A1:F4"/>
  <tableColumns count="6">
    <tableColumn id="1" name="Priority"/>
    <tableColumn id="2" name="Total_Tickets"/>
    <tableColumn id="3" name="Avg_Response_Hours"/>
    <tableColumn id="4" name="SLA_Target_Hours"/>
    <tableColumn id="5" name="Breached_Count"/>
    <tableColumn id="6" name="Breach_R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LA_Audit_Summary" displayName="SLA_Audit_Summary" ref="A1:B6" headerRowCount="1">
  <autoFilter ref="A1:B6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3" customWidth="1" min="3" max="3"/>
    <col width="21" customWidth="1" min="4" max="4"/>
    <col width="19" customWidth="1" min="5" max="5"/>
    <col width="16" customWidth="1" min="6" max="6"/>
  </cols>
  <sheetData>
    <row r="1" ht="26" customHeight="1">
      <c r="A1" s="1" t="inlineStr">
        <is>
          <t>Priority</t>
        </is>
      </c>
      <c r="B1" s="2" t="inlineStr">
        <is>
          <t>Total_Tickets</t>
        </is>
      </c>
      <c r="C1" s="2" t="inlineStr">
        <is>
          <t>Avg_Response_Hours</t>
        </is>
      </c>
      <c r="D1" s="2" t="inlineStr">
        <is>
          <t>SLA_Target_Hours</t>
        </is>
      </c>
      <c r="E1" s="2" t="inlineStr">
        <is>
          <t>Breached_Count</t>
        </is>
      </c>
      <c r="F1" s="2" t="inlineStr">
        <is>
          <t>Breach_Rate</t>
        </is>
      </c>
    </row>
    <row r="2">
      <c r="A2" s="3" t="inlineStr">
        <is>
          <t>High</t>
        </is>
      </c>
      <c r="B2" s="4" t="n">
        <v>6466</v>
      </c>
      <c r="C2" s="5" t="n">
        <v>6.23</v>
      </c>
      <c r="D2" s="5" t="n">
        <v>4</v>
      </c>
      <c r="E2" s="4" t="n">
        <v>5688</v>
      </c>
      <c r="F2" s="6">
        <f>ROUND(E2/B2*100,2)</f>
        <v/>
      </c>
    </row>
    <row r="3">
      <c r="A3" s="3" t="inlineStr">
        <is>
          <t>Medium</t>
        </is>
      </c>
      <c r="B3" s="4" t="n">
        <v>15774</v>
      </c>
      <c r="C3" s="5" t="n">
        <v>12.28</v>
      </c>
      <c r="D3" s="5" t="n">
        <v>8</v>
      </c>
      <c r="E3" s="4" t="n">
        <v>14129</v>
      </c>
      <c r="F3" s="6">
        <f>ROUND(E3/B3*100,2)</f>
        <v/>
      </c>
    </row>
    <row r="4">
      <c r="A4" s="3" t="inlineStr">
        <is>
          <t>Low</t>
        </is>
      </c>
      <c r="B4" s="4" t="n">
        <v>9348</v>
      </c>
      <c r="C4" s="5" t="n">
        <v>25.76</v>
      </c>
      <c r="D4" s="5" t="n">
        <v>24</v>
      </c>
      <c r="E4" s="4" t="n">
        <v>5144</v>
      </c>
      <c r="F4" s="6">
        <f>ROUND(E4/B4*100,2)</f>
        <v/>
      </c>
    </row>
  </sheetData>
  <autoFilter ref="A1:F4"/>
  <conditionalFormatting sqref="F2:F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rintOptions horizontalCentered="1"/>
  <pageMargins left="0.75" right="0.75" top="1" bottom="1" header="0.5" footer="0.5"/>
  <pageSetup orientation="landscape" fitToHeight="1" fitToWidth="1"/>
  <headerFooter>
    <oddHeader/>
    <oddFooter>&amp;CCowork-Bench 静态快照 · SLA Breach Audit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 ht="26" customHeight="1">
      <c r="A1" s="1" t="inlineStr">
        <is>
          <t>Metric</t>
        </is>
      </c>
      <c r="B1" s="2" t="inlineStr">
        <is>
          <t>Value</t>
        </is>
      </c>
    </row>
    <row r="2">
      <c r="A2" s="3" t="inlineStr">
        <is>
          <t>Total_Tickets</t>
        </is>
      </c>
      <c r="B2" s="4">
        <f>SUM('Breach Analysis'!B2:B4)</f>
        <v/>
      </c>
    </row>
    <row r="3">
      <c r="A3" s="3" t="inlineStr">
        <is>
          <t>Total_Breached</t>
        </is>
      </c>
      <c r="B3" s="4">
        <f>SUM('Breach Analysis'!E2:E4)</f>
        <v/>
      </c>
    </row>
    <row r="4">
      <c r="A4" s="3" t="inlineStr">
        <is>
          <t>Overall_Breach_Rate</t>
        </is>
      </c>
      <c r="B4" s="6">
        <f>ROUND(B3/B2*100,2)</f>
        <v/>
      </c>
    </row>
    <row r="5">
      <c r="A5" s="3" t="inlineStr">
        <is>
          <t>Worst_Priority</t>
        </is>
      </c>
      <c r="B5" s="7">
        <f>INDEX('Breach Analysis'!A2:A4,MATCH(MAX('Breach Analysis'!F2:F4),'Breach Analysis'!F2:F4,0))</f>
        <v/>
      </c>
    </row>
    <row r="6">
      <c r="A6" s="3" t="inlineStr">
        <is>
          <t>Best_Priority</t>
        </is>
      </c>
      <c r="B6" s="7">
        <f>INDEX('Breach Analysis'!A2:A4,MATCH(MIN('Breach Analysis'!F2:F4),'Breach Analysis'!F2:F4,0))</f>
        <v/>
      </c>
    </row>
  </sheetData>
  <autoFilter ref="A1:B6"/>
  <printOptions horizontalCentered="1"/>
  <pageMargins left="0.75" right="0.75" top="1" bottom="1" header="0.5" footer="0.5"/>
  <pageSetup orientation="landscape" fitToHeight="1" fitToWidth="1"/>
  <headerFooter>
    <oddHeader/>
    <oddFooter>&amp;CCowork-Bench 静态快照 · SLA Breach Audit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 Evolution Benchmark</dc:creator>
  <dc:title xmlns:dc="http://purl.org/dc/elements/1.1/">SLA Breach Audit</dc:title>
  <dc:description xmlns:dc="http://purl.org/dc/elements/1.1/">从 Cowork-Bench SUPPORT_CENTER 静态快照审计首次响应 SLA。</dc:description>
  <dcterms:created xmlns:dcterms="http://purl.org/dc/terms/" xmlns:xsi="http://www.w3.org/2001/XMLSchema-instance" xsi:type="dcterms:W3CDTF">2026-08-24T07:25:47Z</dcterms:created>
  <dcterms:modified xmlns:dcterms="http://purl.org/dc/terms/" xmlns:xsi="http://www.w3.org/2001/XMLSchema-instance" xsi:type="dcterms:W3CDTF">2026-08-24T07:25:47Z</dcterms:modified>
</cp:coreProperties>
</file>