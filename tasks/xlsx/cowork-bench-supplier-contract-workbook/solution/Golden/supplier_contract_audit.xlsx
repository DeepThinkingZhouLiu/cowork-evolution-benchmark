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Register" sheetId="1" state="visible" r:id="rId1"/>
    <sheet xmlns:r="http://schemas.openxmlformats.org/officeDocument/2006/relationships" name="Compliance Assessment" sheetId="2" state="visible" r:id="rId2"/>
    <sheet xmlns:r="http://schemas.openxmlformats.org/officeDocument/2006/relationships" name="Corrective Actions" sheetId="3" state="visible" r:id="rId3"/>
    <sheet xmlns:r="http://schemas.openxmlformats.org/officeDocument/2006/relationships" name="Audit Findings" sheetId="4" state="visible" r:id="rId4"/>
    <sheet xmlns:r="http://schemas.openxmlformats.org/officeDocument/2006/relationships" name="Audit Summary" sheetId="5" state="visible" r:id="rId5"/>
    <sheet xmlns:r="http://schemas.openxmlformats.org/officeDocument/2006/relationships" name="Notification Drafts" sheetId="6" state="visible" r:id="rId6"/>
    <sheet xmlns:r="http://schemas.openxmlformats.org/officeDocument/2006/relationships" name="Review Meeting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upplierRegister" displayName="SupplierRegister" ref="A1:G6" headerRowCount="1">
  <autoFilter ref="A1:G6"/>
  <tableColumns count="7">
    <tableColumn id="1" name="Supplier"/>
    <tableColumn id="2" name="Primary Contact"/>
    <tableColumn id="3" name="Contact Email"/>
    <tableColumn id="4" name="Service Type"/>
    <tableColumn id="5" name="Contract Start Date"/>
    <tableColumn id="6" name="Annual Contract Value"/>
    <tableColumn id="7" name="Contract Fil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mplianceAssessment" displayName="ComplianceAssessment" ref="A1:I6" headerRowCount="1">
  <autoFilter ref="A1:I6"/>
  <tableColumns count="9">
    <tableColumn id="1" name="Supplier"/>
    <tableColumn id="2" name="Scope Clarity"/>
    <tableColumn id="3" name="SLA Present"/>
    <tableColumn id="4" name="Payment Terms"/>
    <tableColumn id="5" name="IP Rights"/>
    <tableColumn id="6" name="Confidentiality"/>
    <tableColumn id="7" name="Liability Limits"/>
    <tableColumn id="8" name="Compliance Score"/>
    <tableColumn id="9" name="Risk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orrectiveActions" displayName="CorrectiveActions" ref="A1:G7" headerRowCount="1">
  <autoFilter ref="A1:G7"/>
  <tableColumns count="7">
    <tableColumn id="1" name="Supplier"/>
    <tableColumn id="2" name="Issue"/>
    <tableColumn id="3" name="Required Action"/>
    <tableColumn id="4" name="Owner"/>
    <tableColumn id="5" name="Target Date"/>
    <tableColumn id="6" name="Est. Cost"/>
    <tableColumn id="7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uditFindings" displayName="AuditFindings" ref="A1:F6" headerRowCount="1">
  <autoFilter ref="A1:F6"/>
  <tableColumns count="6">
    <tableColumn id="1" name="Supplier"/>
    <tableColumn id="2" name="Compliance Score"/>
    <tableColumn id="3" name="Risk"/>
    <tableColumn id="4" name="Findings"/>
    <tableColumn id="5" name="Evidence"/>
    <tableColumn id="6" name="Recommenda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AuditSummary" displayName="AuditSummary" ref="A1:B6" headerRowCount="1">
  <autoFilter ref="A1:B6"/>
  <tableColumns count="2">
    <tableColumn id="1" name="Metric"/>
    <tableColumn id="2" name="Valu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NotificationDrafts" displayName="NotificationDrafts" ref="A1:E6" headerRowCount="1">
  <autoFilter ref="A1:E6"/>
  <tableColumns count="5">
    <tableColumn id="1" name="Supplier"/>
    <tableColumn id="2" name="To"/>
    <tableColumn id="3" name="Subject"/>
    <tableColumn id="4" name="Draft Body"/>
    <tableColumn id="5" name="Statu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ReviewMeetings" displayName="ReviewMeetings" ref="A1:F3" headerRowCount="1">
  <autoFilter ref="A1:F3"/>
  <tableColumns count="6">
    <tableColumn id="1" name="Supplier"/>
    <tableColumn id="2" name="Meeting Title"/>
    <tableColumn id="3" name="Owner"/>
    <tableColumn id="4" name="Corrective Actions"/>
    <tableColumn id="5" name="Target Date"/>
    <tableColumn id="6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0" customWidth="1" min="3" max="3"/>
    <col width="22" customWidth="1" min="4" max="4"/>
    <col width="21" customWidth="1" min="5" max="5"/>
    <col width="23" customWidth="1" min="6" max="6"/>
    <col width="42" customWidth="1" min="7" max="7"/>
  </cols>
  <sheetData>
    <row r="1">
      <c r="A1" s="1" t="inlineStr">
        <is>
          <t>Supplier</t>
        </is>
      </c>
      <c r="B1" s="1" t="inlineStr">
        <is>
          <t>Primary Contact</t>
        </is>
      </c>
      <c r="C1" s="1" t="inlineStr">
        <is>
          <t>Contact Email</t>
        </is>
      </c>
      <c r="D1" s="1" t="inlineStr">
        <is>
          <t>Service Type</t>
        </is>
      </c>
      <c r="E1" s="1" t="inlineStr">
        <is>
          <t>Contract Start Date</t>
        </is>
      </c>
      <c r="F1" s="1" t="inlineStr">
        <is>
          <t>Annual Contract Value</t>
        </is>
      </c>
      <c r="G1" s="1" t="inlineStr">
        <is>
          <t>Contract File</t>
        </is>
      </c>
    </row>
    <row r="2">
      <c r="A2" s="2" t="inlineStr">
        <is>
          <t>ООО ТехСервис</t>
        </is>
      </c>
      <c r="B2" s="2" t="inlineStr">
        <is>
          <t>Михаил Орлов</t>
        </is>
      </c>
      <c r="C2" s="2" t="inlineStr">
        <is>
          <t>michael.torres@supplier1.com</t>
        </is>
      </c>
      <c r="D2" s="2" t="inlineStr">
        <is>
          <t>IT-услуги</t>
        </is>
      </c>
      <c r="E2" s="2" t="inlineStr">
        <is>
          <t>2022-01-15</t>
        </is>
      </c>
      <c r="F2" s="3" t="n">
        <v>18500000</v>
      </c>
      <c r="G2" s="2" t="inlineStr">
        <is>
          <t>contract_supplier1_TechService.pdf</t>
        </is>
      </c>
    </row>
    <row r="3">
      <c r="A3" s="2" t="inlineStr">
        <is>
          <t>Глобал Логистика</t>
        </is>
      </c>
      <c r="B3" s="2" t="inlineStr">
        <is>
          <t>Светлана Лебедева</t>
        </is>
      </c>
      <c r="C3" s="2" t="inlineStr">
        <is>
          <t>sarah.liu@supplier2.com</t>
        </is>
      </c>
      <c r="D3" s="2" t="inlineStr">
        <is>
          <t>Логистика</t>
        </is>
      </c>
      <c r="E3" s="2" t="inlineStr">
        <is>
          <t>2021-06-01</t>
        </is>
      </c>
      <c r="F3" s="3" t="n">
        <v>35500000</v>
      </c>
      <c r="G3" s="2" t="inlineStr">
        <is>
          <t>contract_supplier2_GlobalLogistics.pdf</t>
        </is>
      </c>
    </row>
    <row r="4">
      <c r="A4" s="2" t="inlineStr">
        <is>
          <t>КонтролКачество</t>
        </is>
      </c>
      <c r="B4" s="2" t="inlineStr">
        <is>
          <t>Дмитрий Беляев</t>
        </is>
      </c>
      <c r="C4" s="2" t="inlineStr">
        <is>
          <t>david.brown@supplier3.com</t>
        </is>
      </c>
      <c r="D4" s="2" t="inlineStr">
        <is>
          <t>Производство</t>
        </is>
      </c>
      <c r="E4" s="2" t="inlineStr">
        <is>
          <t>2020-03-20</t>
        </is>
      </c>
      <c r="F4" s="3" t="n">
        <v>23700000</v>
      </c>
      <c r="G4" s="2" t="inlineStr">
        <is>
          <t>contract_supplier3_ControlQuality.pdf</t>
        </is>
      </c>
    </row>
    <row r="5">
      <c r="A5" s="2" t="inlineStr">
        <is>
          <t>КонсалтГрупп</t>
        </is>
      </c>
      <c r="B5" s="2" t="inlineStr">
        <is>
          <t>Яков Волков</t>
        </is>
      </c>
      <c r="C5" s="2" t="inlineStr">
        <is>
          <t>james.wilson@supplier4.com</t>
        </is>
      </c>
      <c r="D5" s="2" t="inlineStr">
        <is>
          <t>Консалтинг</t>
        </is>
      </c>
      <c r="E5" s="2" t="inlineStr">
        <is>
          <t>2022-09-10</t>
        </is>
      </c>
      <c r="F5" s="3" t="n">
        <v>11100000</v>
      </c>
      <c r="G5" s="2" t="inlineStr">
        <is>
          <t>contract_supplier4_ConsultGroup.pdf</t>
        </is>
      </c>
    </row>
    <row r="6">
      <c r="A6" s="2" t="inlineStr">
        <is>
          <t>СервисПоддержка</t>
        </is>
      </c>
      <c r="B6" s="2" t="inlineStr">
        <is>
          <t>Елена Давыдова</t>
        </is>
      </c>
      <c r="C6" s="2" t="inlineStr">
        <is>
          <t>emily.davis@supplier5.com</t>
        </is>
      </c>
      <c r="D6" s="2" t="inlineStr">
        <is>
          <t>Клиентская поддержка</t>
        </is>
      </c>
      <c r="E6" s="2" t="inlineStr">
        <is>
          <t>2021-11-05</t>
        </is>
      </c>
      <c r="F6" s="3" t="n">
        <v>14800000</v>
      </c>
      <c r="G6" s="2" t="inlineStr">
        <is>
          <t>contract_supplier5_ServicePodderzhka.pdf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5" customWidth="1" min="4" max="4"/>
    <col width="14" customWidth="1" min="5" max="5"/>
    <col width="17" customWidth="1" min="6" max="6"/>
    <col width="18" customWidth="1" min="7" max="7"/>
    <col width="48" customWidth="1" min="8" max="8"/>
    <col width="48" customWidth="1" min="9" max="9"/>
  </cols>
  <sheetData>
    <row r="1">
      <c r="A1" s="1" t="inlineStr">
        <is>
          <t>Supplier</t>
        </is>
      </c>
      <c r="B1" s="1" t="inlineStr">
        <is>
          <t>Scope Clarity</t>
        </is>
      </c>
      <c r="C1" s="1" t="inlineStr">
        <is>
          <t>SLA Present</t>
        </is>
      </c>
      <c r="D1" s="1" t="inlineStr">
        <is>
          <t>Payment Terms</t>
        </is>
      </c>
      <c r="E1" s="1" t="inlineStr">
        <is>
          <t>IP Rights</t>
        </is>
      </c>
      <c r="F1" s="1" t="inlineStr">
        <is>
          <t>Confidentiality</t>
        </is>
      </c>
      <c r="G1" s="1" t="inlineStr">
        <is>
          <t>Liability Limits</t>
        </is>
      </c>
      <c r="H1" s="1" t="inlineStr">
        <is>
          <t>Compliance Score</t>
        </is>
      </c>
      <c r="I1" s="1" t="inlineStr">
        <is>
          <t>Risk</t>
        </is>
      </c>
    </row>
    <row r="2">
      <c r="A2" s="2" t="inlineStr">
        <is>
          <t>ООО ТехСервис</t>
        </is>
      </c>
      <c r="B2" s="2" t="inlineStr">
        <is>
          <t>Complete</t>
        </is>
      </c>
      <c r="C2" s="2" t="inlineStr">
        <is>
          <t>Complete</t>
        </is>
      </c>
      <c r="D2" s="2" t="inlineStr">
        <is>
          <t>Compliant</t>
        </is>
      </c>
      <c r="E2" s="2" t="inlineStr">
        <is>
          <t>Compliant</t>
        </is>
      </c>
      <c r="F2" s="2" t="inlineStr">
        <is>
          <t>Compliant</t>
        </is>
      </c>
      <c r="G2" s="2" t="inlineStr">
        <is>
          <t>Missing</t>
        </is>
      </c>
      <c r="H2" s="4">
        <f>ROUND(COUNTIF(B2:G2,"Complete")+COUNTIF(B2:G2,"Compliant"),0)/6*100</f>
        <v/>
      </c>
      <c r="I2" s="2">
        <f>IF(COUNTIF(B2:G2,"Incomplete")+COUNTIF(B2:G2,"Non-Compliant")+COUNTIF(B2:G2,"Missing")=0,"Low",IF(COUNTIF(B2:G2,"Incomplete")+COUNTIF(B2:G2,"Non-Compliant")+COUNTIF(B2:G2,"Missing")&gt;=2,"High","Medium"))</f>
        <v/>
      </c>
    </row>
    <row r="3">
      <c r="A3" s="2" t="inlineStr">
        <is>
          <t>Глобал Логистика</t>
        </is>
      </c>
      <c r="B3" s="2" t="inlineStr">
        <is>
          <t>Complete</t>
        </is>
      </c>
      <c r="C3" s="2" t="inlineStr">
        <is>
          <t>Incomplete</t>
        </is>
      </c>
      <c r="D3" s="2" t="inlineStr">
        <is>
          <t>Compliant</t>
        </is>
      </c>
      <c r="E3" s="2" t="inlineStr">
        <is>
          <t>Compliant</t>
        </is>
      </c>
      <c r="F3" s="2" t="inlineStr">
        <is>
          <t>Missing</t>
        </is>
      </c>
      <c r="G3" s="2" t="inlineStr">
        <is>
          <t>Compliant</t>
        </is>
      </c>
      <c r="H3" s="4">
        <f>ROUND(COUNTIF(B3:G3,"Complete")+COUNTIF(B3:G3,"Compliant"),0)/6*100</f>
        <v/>
      </c>
      <c r="I3" s="2">
        <f>IF(COUNTIF(B3:G3,"Incomplete")+COUNTIF(B3:G3,"Non-Compliant")+COUNTIF(B3:G3,"Missing")=0,"Low",IF(COUNTIF(B3:G3,"Incomplete")+COUNTIF(B3:G3,"Non-Compliant")+COUNTIF(B3:G3,"Missing")&gt;=2,"High","Medium"))</f>
        <v/>
      </c>
    </row>
    <row r="4">
      <c r="A4" s="2" t="inlineStr">
        <is>
          <t>КонтролКачество</t>
        </is>
      </c>
      <c r="B4" s="2" t="inlineStr">
        <is>
          <t>Complete</t>
        </is>
      </c>
      <c r="C4" s="2" t="inlineStr">
        <is>
          <t>Complete</t>
        </is>
      </c>
      <c r="D4" s="2" t="inlineStr">
        <is>
          <t>Non-Compliant</t>
        </is>
      </c>
      <c r="E4" s="2" t="inlineStr">
        <is>
          <t>Compliant</t>
        </is>
      </c>
      <c r="F4" s="2" t="inlineStr">
        <is>
          <t>Compliant</t>
        </is>
      </c>
      <c r="G4" s="2" t="inlineStr">
        <is>
          <t>Compliant</t>
        </is>
      </c>
      <c r="H4" s="4">
        <f>ROUND(COUNTIF(B4:G4,"Complete")+COUNTIF(B4:G4,"Compliant"),0)/6*100</f>
        <v/>
      </c>
      <c r="I4" s="2">
        <f>IF(COUNTIF(B4:G4,"Incomplete")+COUNTIF(B4:G4,"Non-Compliant")+COUNTIF(B4:G4,"Missing")=0,"Low",IF(COUNTIF(B4:G4,"Incomplete")+COUNTIF(B4:G4,"Non-Compliant")+COUNTIF(B4:G4,"Missing")&gt;=2,"High","Medium"))</f>
        <v/>
      </c>
    </row>
    <row r="5">
      <c r="A5" s="2" t="inlineStr">
        <is>
          <t>КонсалтГрупп</t>
        </is>
      </c>
      <c r="B5" s="2" t="inlineStr">
        <is>
          <t>Incomplete</t>
        </is>
      </c>
      <c r="C5" s="2" t="inlineStr">
        <is>
          <t>Complete</t>
        </is>
      </c>
      <c r="D5" s="2" t="inlineStr">
        <is>
          <t>Compliant</t>
        </is>
      </c>
      <c r="E5" s="2" t="inlineStr">
        <is>
          <t>Incomplete</t>
        </is>
      </c>
      <c r="F5" s="2" t="inlineStr">
        <is>
          <t>Compliant</t>
        </is>
      </c>
      <c r="G5" s="2" t="inlineStr">
        <is>
          <t>Compliant</t>
        </is>
      </c>
      <c r="H5" s="4">
        <f>ROUND(COUNTIF(B5:G5,"Complete")+COUNTIF(B5:G5,"Compliant"),0)/6*100</f>
        <v/>
      </c>
      <c r="I5" s="2">
        <f>IF(COUNTIF(B5:G5,"Incomplete")+COUNTIF(B5:G5,"Non-Compliant")+COUNTIF(B5:G5,"Missing")=0,"Low",IF(COUNTIF(B5:G5,"Incomplete")+COUNTIF(B5:G5,"Non-Compliant")+COUNTIF(B5:G5,"Missing")&gt;=2,"High","Medium"))</f>
        <v/>
      </c>
    </row>
    <row r="6">
      <c r="A6" s="2" t="inlineStr">
        <is>
          <t>СервисПоддержка</t>
        </is>
      </c>
      <c r="B6" s="2" t="inlineStr">
        <is>
          <t>Complete</t>
        </is>
      </c>
      <c r="C6" s="2" t="inlineStr">
        <is>
          <t>Complete</t>
        </is>
      </c>
      <c r="D6" s="2" t="inlineStr">
        <is>
          <t>Compliant</t>
        </is>
      </c>
      <c r="E6" s="2" t="inlineStr">
        <is>
          <t>Compliant</t>
        </is>
      </c>
      <c r="F6" s="2" t="inlineStr">
        <is>
          <t>Compliant</t>
        </is>
      </c>
      <c r="G6" s="2" t="inlineStr">
        <is>
          <t>Compliant</t>
        </is>
      </c>
      <c r="H6" s="4">
        <f>ROUND(COUNTIF(B6:G6,"Complete")+COUNTIF(B6:G6,"Compliant"),0)/6*100</f>
        <v/>
      </c>
      <c r="I6" s="2">
        <f>IF(COUNTIF(B6:G6,"Incomplete")+COUNTIF(B6:G6,"Non-Compliant")+COUNTIF(B6:G6,"Missing")=0,"Low",IF(COUNTIF(B6:G6,"Incomplete")+COUNTIF(B6:G6,"Non-Compliant")+COUNTIF(B6:G6,"Missing")&gt;=2,"High","Medium"))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9" customWidth="1" min="3" max="3"/>
    <col width="2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Supplier</t>
        </is>
      </c>
      <c r="B1" s="1" t="inlineStr">
        <is>
          <t>Issue</t>
        </is>
      </c>
      <c r="C1" s="1" t="inlineStr">
        <is>
          <t>Required Action</t>
        </is>
      </c>
      <c r="D1" s="1" t="inlineStr">
        <is>
          <t>Owner</t>
        </is>
      </c>
      <c r="E1" s="1" t="inlineStr">
        <is>
          <t>Target Date</t>
        </is>
      </c>
      <c r="F1" s="1" t="inlineStr">
        <is>
          <t>Est. Cost</t>
        </is>
      </c>
      <c r="G1" s="1" t="inlineStr">
        <is>
          <t>Status</t>
        </is>
      </c>
    </row>
    <row r="2">
      <c r="A2" s="2" t="inlineStr">
        <is>
          <t>ООО ТехСервис</t>
        </is>
      </c>
      <c r="B2" s="2" t="inlineStr">
        <is>
          <t>Liability Limits gap</t>
        </is>
      </c>
      <c r="C2" s="2" t="inlineStr">
        <is>
          <t>补充责任上限条款</t>
        </is>
      </c>
      <c r="D2" s="2" t="inlineStr">
        <is>
          <t>Procurement Compliance</t>
        </is>
      </c>
      <c r="E2" s="2" t="inlineStr">
        <is>
          <t>2026-09-24</t>
        </is>
      </c>
      <c r="F2" s="3" t="n">
        <v>0</v>
      </c>
      <c r="G2" s="2" t="inlineStr">
        <is>
          <t>Planned</t>
        </is>
      </c>
    </row>
    <row r="3">
      <c r="A3" s="2" t="inlineStr">
        <is>
          <t>Глобал Логистика</t>
        </is>
      </c>
      <c r="B3" s="2" t="inlineStr">
        <is>
          <t>SLA Present gap</t>
        </is>
      </c>
      <c r="C3" s="2" t="inlineStr">
        <is>
          <t>补充可衡量的可用性、响应和修复指标</t>
        </is>
      </c>
      <c r="D3" s="2" t="inlineStr">
        <is>
          <t>Procurement Compliance</t>
        </is>
      </c>
      <c r="E3" s="2" t="inlineStr">
        <is>
          <t>2026-10-01</t>
        </is>
      </c>
      <c r="F3" s="3" t="n">
        <v>0</v>
      </c>
      <c r="G3" s="2" t="inlineStr">
        <is>
          <t>Planned</t>
        </is>
      </c>
    </row>
    <row r="4">
      <c r="A4" s="2" t="inlineStr">
        <is>
          <t>Глобал Логистика</t>
        </is>
      </c>
      <c r="B4" s="2" t="inlineStr">
        <is>
          <t>Confidentiality gap</t>
        </is>
      </c>
      <c r="C4" s="2" t="inlineStr">
        <is>
          <t>补充保密义务和期限</t>
        </is>
      </c>
      <c r="D4" s="2" t="inlineStr">
        <is>
          <t>Procurement Compliance</t>
        </is>
      </c>
      <c r="E4" s="2" t="inlineStr">
        <is>
          <t>2026-10-08</t>
        </is>
      </c>
      <c r="F4" s="3" t="n">
        <v>0</v>
      </c>
      <c r="G4" s="2" t="inlineStr">
        <is>
          <t>Planned</t>
        </is>
      </c>
    </row>
    <row r="5">
      <c r="A5" s="2" t="inlineStr">
        <is>
          <t>КонтролКачество</t>
        </is>
      </c>
      <c r="B5" s="2" t="inlineStr">
        <is>
          <t>Payment Terms gap</t>
        </is>
      </c>
      <c r="C5" s="2" t="inlineStr">
        <is>
          <t>复核并修订付款条款</t>
        </is>
      </c>
      <c r="D5" s="2" t="inlineStr">
        <is>
          <t>Procurement Compliance</t>
        </is>
      </c>
      <c r="E5" s="2" t="inlineStr">
        <is>
          <t>2026-10-08</t>
        </is>
      </c>
      <c r="F5" s="3" t="n">
        <v>0</v>
      </c>
      <c r="G5" s="2" t="inlineStr">
        <is>
          <t>Planned</t>
        </is>
      </c>
    </row>
    <row r="6">
      <c r="A6" s="2" t="inlineStr">
        <is>
          <t>КонсалтГрупп</t>
        </is>
      </c>
      <c r="B6" s="2" t="inlineStr">
        <is>
          <t>Scope Clarity gap</t>
        </is>
      </c>
      <c r="C6" s="2" t="inlineStr">
        <is>
          <t>补充服务范围、交付成果和期限</t>
        </is>
      </c>
      <c r="D6" s="2" t="inlineStr">
        <is>
          <t>Procurement Compliance</t>
        </is>
      </c>
      <c r="E6" s="2" t="inlineStr">
        <is>
          <t>2026-10-15</t>
        </is>
      </c>
      <c r="F6" s="3" t="n">
        <v>0</v>
      </c>
      <c r="G6" s="2" t="inlineStr">
        <is>
          <t>Planned</t>
        </is>
      </c>
    </row>
    <row r="7">
      <c r="A7" s="2" t="inlineStr">
        <is>
          <t>КонсалтГрупп</t>
        </is>
      </c>
      <c r="B7" s="2" t="inlineStr">
        <is>
          <t>IP Rights gap</t>
        </is>
      </c>
      <c r="C7" s="2" t="inlineStr">
        <is>
          <t>明确公司对合同成果的权利</t>
        </is>
      </c>
      <c r="D7" s="2" t="inlineStr">
        <is>
          <t>Procurement Compliance</t>
        </is>
      </c>
      <c r="E7" s="2" t="inlineStr">
        <is>
          <t>2026-10-22</t>
        </is>
      </c>
      <c r="F7" s="3" t="n">
        <v>0</v>
      </c>
      <c r="G7" s="2" t="inlineStr">
        <is>
          <t>Planned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29" customWidth="1" min="3" max="3"/>
    <col width="48" customWidth="1" min="4" max="4"/>
    <col width="35" customWidth="1" min="5" max="5"/>
    <col width="42" customWidth="1" min="6" max="6"/>
  </cols>
  <sheetData>
    <row r="1">
      <c r="A1" s="1" t="inlineStr">
        <is>
          <t>Supplier</t>
        </is>
      </c>
      <c r="B1" s="1" t="inlineStr">
        <is>
          <t>Compliance Score</t>
        </is>
      </c>
      <c r="C1" s="1" t="inlineStr">
        <is>
          <t>Risk</t>
        </is>
      </c>
      <c r="D1" s="1" t="inlineStr">
        <is>
          <t>Findings</t>
        </is>
      </c>
      <c r="E1" s="1" t="inlineStr">
        <is>
          <t>Evidence</t>
        </is>
      </c>
      <c r="F1" s="1" t="inlineStr">
        <is>
          <t>Recommendation</t>
        </is>
      </c>
    </row>
    <row r="2">
      <c r="A2" s="2" t="inlineStr">
        <is>
          <t>ООО ТехСервис</t>
        </is>
      </c>
      <c r="B2" s="4">
        <f>'Compliance Assessment'!H2</f>
        <v/>
      </c>
      <c r="C2" s="2">
        <f>'Compliance Assessment'!I2</f>
        <v/>
      </c>
      <c r="D2" s="2" t="inlineStr">
        <is>
          <t>Liability Limits=Missing</t>
        </is>
      </c>
      <c r="E2" s="2" t="inlineStr">
        <is>
          <t>Liability Limits</t>
        </is>
      </c>
      <c r="F2" s="2" t="inlineStr">
        <is>
          <t>补充责任上限条款</t>
        </is>
      </c>
    </row>
    <row r="3">
      <c r="A3" s="2" t="inlineStr">
        <is>
          <t>Глобал Логистика</t>
        </is>
      </c>
      <c r="B3" s="4">
        <f>'Compliance Assessment'!H3</f>
        <v/>
      </c>
      <c r="C3" s="2">
        <f>'Compliance Assessment'!I3</f>
        <v/>
      </c>
      <c r="D3" s="2" t="inlineStr">
        <is>
          <t>SLA Present=Incomplete; Confidentiality=Missing</t>
        </is>
      </c>
      <c r="E3" s="2" t="inlineStr">
        <is>
          <t>SLA Present; Confidentiality</t>
        </is>
      </c>
      <c r="F3" s="2" t="inlineStr">
        <is>
          <t>补充可衡量的可用性、响应和修复指标; 补充保密义务和期限</t>
        </is>
      </c>
    </row>
    <row r="4">
      <c r="A4" s="2" t="inlineStr">
        <is>
          <t>КонтролКачество</t>
        </is>
      </c>
      <c r="B4" s="4">
        <f>'Compliance Assessment'!H4</f>
        <v/>
      </c>
      <c r="C4" s="2">
        <f>'Compliance Assessment'!I4</f>
        <v/>
      </c>
      <c r="D4" s="2" t="inlineStr">
        <is>
          <t>Payment Terms=Non-Compliant</t>
        </is>
      </c>
      <c r="E4" s="2" t="inlineStr">
        <is>
          <t>Payment Terms</t>
        </is>
      </c>
      <c r="F4" s="2" t="inlineStr">
        <is>
          <t>复核并修订付款条款</t>
        </is>
      </c>
    </row>
    <row r="5">
      <c r="A5" s="2" t="inlineStr">
        <is>
          <t>КонсалтГрупп</t>
        </is>
      </c>
      <c r="B5" s="4">
        <f>'Compliance Assessment'!H5</f>
        <v/>
      </c>
      <c r="C5" s="2">
        <f>'Compliance Assessment'!I5</f>
        <v/>
      </c>
      <c r="D5" s="2" t="inlineStr">
        <is>
          <t>Scope Clarity=Incomplete; IP Rights=Incomplete</t>
        </is>
      </c>
      <c r="E5" s="2" t="inlineStr">
        <is>
          <t>Scope Clarity; IP Rights</t>
        </is>
      </c>
      <c r="F5" s="2" t="inlineStr">
        <is>
          <t>补充服务范围、交付成果和期限; 明确公司对合同成果的权利</t>
        </is>
      </c>
    </row>
    <row r="6">
      <c r="A6" s="2" t="inlineStr">
        <is>
          <t>СервисПоддержка</t>
        </is>
      </c>
      <c r="B6" s="4">
        <f>'Compliance Assessment'!H6</f>
        <v/>
      </c>
      <c r="C6" s="2">
        <f>'Compliance Assessment'!I6</f>
        <v/>
      </c>
      <c r="D6" s="2" t="inlineStr">
        <is>
          <t>No gaps found across the six template dimensions</t>
        </is>
      </c>
      <c r="E6" s="2" t="inlineStr">
        <is>
          <t>All six template sections present</t>
        </is>
      </c>
      <c r="F6" s="2" t="inlineStr">
        <is>
          <t>Continue monitoring against the template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Average Compliance Score</t>
        </is>
      </c>
      <c r="B2" s="4">
        <f>AVERAGE('Compliance Assessment'!H2:H6)</f>
        <v/>
      </c>
    </row>
    <row r="3">
      <c r="A3" s="2" t="inlineStr">
        <is>
          <t>High Risk Suppliers</t>
        </is>
      </c>
      <c r="B3" s="2">
        <f>COUNTIF('Compliance Assessment'!I2:I6,"High")</f>
        <v/>
      </c>
    </row>
    <row r="4">
      <c r="A4" s="2" t="inlineStr">
        <is>
          <t>Medium Risk Suppliers</t>
        </is>
      </c>
      <c r="B4" s="2">
        <f>COUNTIF('Compliance Assessment'!I2:I6,"Medium")</f>
        <v/>
      </c>
    </row>
    <row r="5">
      <c r="A5" s="2" t="inlineStr">
        <is>
          <t>Low Risk Suppliers</t>
        </is>
      </c>
      <c r="B5" s="2">
        <f>COUNTIF('Compliance Assessment'!I2:I6,"Low")</f>
        <v/>
      </c>
    </row>
    <row r="6">
      <c r="A6" s="2" t="inlineStr">
        <is>
          <t>High Risk Supplier Names</t>
        </is>
      </c>
      <c r="B6" s="2">
        <f>IF('Compliance Assessment'!I2="High",'Compliance Assessment'!A2&amp;", ","")&amp;IF('Compliance Assessment'!I3="High",'Compliance Assessment'!A3&amp;", ","")&amp;IF('Compliance Assessment'!I4="High",'Compliance Assessment'!A4&amp;", ","")&amp;IF('Compliance Assessment'!I5="High",'Compliance Assessment'!A5&amp;", ","")&amp;IF('Compliance Assessment'!I6="High",'Compliance Assessment'!A6,"" 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6" customWidth="1" min="3" max="3"/>
    <col width="48" customWidth="1" min="4" max="4"/>
    <col width="18" customWidth="1" min="5" max="5"/>
  </cols>
  <sheetData>
    <row r="1">
      <c r="A1" s="1" t="inlineStr">
        <is>
          <t>Supplier</t>
        </is>
      </c>
      <c r="B1" s="1" t="inlineStr">
        <is>
          <t>To</t>
        </is>
      </c>
      <c r="C1" s="1" t="inlineStr">
        <is>
          <t>Subject</t>
        </is>
      </c>
      <c r="D1" s="1" t="inlineStr">
        <is>
          <t>Draft Body</t>
        </is>
      </c>
      <c r="E1" s="1" t="inlineStr">
        <is>
          <t>Status</t>
        </is>
      </c>
    </row>
    <row r="2">
      <c r="A2" s="2" t="inlineStr">
        <is>
          <t>ООО ТехСервис</t>
        </is>
      </c>
      <c r="B2" s="2">
        <f>'Supplier Register'!C2</f>
        <v/>
      </c>
      <c r="C2" s="2" t="inlineStr">
        <is>
          <t>Contract Compliance Audit Findings</t>
        </is>
      </c>
      <c r="D2" s="2" t="inlineStr">
        <is>
          <t>Compliance Score 83.33/100; Risk Medium; Corrective actions: Liability Limits</t>
        </is>
      </c>
      <c r="E2" s="2" t="inlineStr">
        <is>
          <t>Draft - Not Sent</t>
        </is>
      </c>
    </row>
    <row r="3">
      <c r="A3" s="2" t="inlineStr">
        <is>
          <t>Глобал Логистика</t>
        </is>
      </c>
      <c r="B3" s="2">
        <f>'Supplier Register'!C3</f>
        <v/>
      </c>
      <c r="C3" s="2" t="inlineStr">
        <is>
          <t>Contract Compliance Audit Findings</t>
        </is>
      </c>
      <c r="D3" s="2" t="inlineStr">
        <is>
          <t>Compliance Score 66.67/100; Risk High; Corrective actions: SLA Present, Confidentiality</t>
        </is>
      </c>
      <c r="E3" s="2" t="inlineStr">
        <is>
          <t>Draft - Not Sent</t>
        </is>
      </c>
    </row>
    <row r="4">
      <c r="A4" s="2" t="inlineStr">
        <is>
          <t>КонтролКачество</t>
        </is>
      </c>
      <c r="B4" s="2">
        <f>'Supplier Register'!C4</f>
        <v/>
      </c>
      <c r="C4" s="2" t="inlineStr">
        <is>
          <t>Contract Compliance Audit Findings</t>
        </is>
      </c>
      <c r="D4" s="2" t="inlineStr">
        <is>
          <t>Compliance Score 83.33/100; Risk Medium; Corrective actions: Payment Terms</t>
        </is>
      </c>
      <c r="E4" s="2" t="inlineStr">
        <is>
          <t>Draft - Not Sent</t>
        </is>
      </c>
    </row>
    <row r="5">
      <c r="A5" s="2" t="inlineStr">
        <is>
          <t>КонсалтГрупп</t>
        </is>
      </c>
      <c r="B5" s="2">
        <f>'Supplier Register'!C5</f>
        <v/>
      </c>
      <c r="C5" s="2" t="inlineStr">
        <is>
          <t>Contract Compliance Audit Findings</t>
        </is>
      </c>
      <c r="D5" s="2" t="inlineStr">
        <is>
          <t>Compliance Score 66.67/100; Risk High; Corrective actions: Scope Clarity, IP Rights</t>
        </is>
      </c>
      <c r="E5" s="2" t="inlineStr">
        <is>
          <t>Draft - Not Sent</t>
        </is>
      </c>
    </row>
    <row r="6">
      <c r="A6" s="2" t="inlineStr">
        <is>
          <t>СервисПоддержка</t>
        </is>
      </c>
      <c r="B6" s="2">
        <f>'Supplier Register'!C6</f>
        <v/>
      </c>
      <c r="C6" s="2" t="inlineStr">
        <is>
          <t>Contract Compliance Audit Findings</t>
        </is>
      </c>
      <c r="D6" s="2" t="inlineStr">
        <is>
          <t>Compliance Score 100.00/100; Risk Low; Corrective actions: No corrective action required</t>
        </is>
      </c>
      <c r="E6" s="2" t="inlineStr">
        <is>
          <t>Draft - Not Sent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4" customWidth="1" min="3" max="3"/>
    <col width="30" customWidth="1" min="4" max="4"/>
    <col width="14" customWidth="1" min="5" max="5"/>
    <col width="21" customWidth="1" min="6" max="6"/>
  </cols>
  <sheetData>
    <row r="1">
      <c r="A1" s="1" t="inlineStr">
        <is>
          <t>Supplier</t>
        </is>
      </c>
      <c r="B1" s="1" t="inlineStr">
        <is>
          <t>Meeting Title</t>
        </is>
      </c>
      <c r="C1" s="1" t="inlineStr">
        <is>
          <t>Owner</t>
        </is>
      </c>
      <c r="D1" s="1" t="inlineStr">
        <is>
          <t>Corrective Actions</t>
        </is>
      </c>
      <c r="E1" s="1" t="inlineStr">
        <is>
          <t>Target Date</t>
        </is>
      </c>
      <c r="F1" s="1" t="inlineStr">
        <is>
          <t>Status</t>
        </is>
      </c>
    </row>
    <row r="2">
      <c r="A2" s="2" t="inlineStr">
        <is>
          <t>Глобал Логистика</t>
        </is>
      </c>
      <c r="B2" s="2" t="inlineStr">
        <is>
          <t>Contract Compliance Improvement Review</t>
        </is>
      </c>
      <c r="C2" s="2" t="inlineStr">
        <is>
          <t>Procurement Compliance</t>
        </is>
      </c>
      <c r="D2" s="2" t="inlineStr">
        <is>
          <t>SLA Present, Confidentiality</t>
        </is>
      </c>
      <c r="E2" s="2" t="inlineStr">
        <is>
          <t>2026-10-03</t>
        </is>
      </c>
      <c r="F2" s="2" t="inlineStr">
        <is>
          <t>Draft - Not Created</t>
        </is>
      </c>
    </row>
    <row r="3">
      <c r="A3" s="2" t="inlineStr">
        <is>
          <t>КонсалтГрупп</t>
        </is>
      </c>
      <c r="B3" s="2" t="inlineStr">
        <is>
          <t>Contract Compliance Improvement Review</t>
        </is>
      </c>
      <c r="C3" s="2" t="inlineStr">
        <is>
          <t>Procurement Compliance</t>
        </is>
      </c>
      <c r="D3" s="2" t="inlineStr">
        <is>
          <t>Scope Clarity, IP Rights</t>
        </is>
      </c>
      <c r="E3" s="2" t="inlineStr">
        <is>
          <t>2026-10-03</t>
        </is>
      </c>
      <c r="F3" s="2" t="inlineStr">
        <is>
          <t>Draft - Not Created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2026-09-03T10:06:15Z</dcterms:created>
  <dcterms:modified xmlns:dcterms="http://purl.org/dc/terms/" xmlns:xsi="http://www.w3.org/2001/XMLSchema-instance" xsi:type="dcterms:W3CDTF">2026-09-03T10:06:15Z</dcterms:modified>
</cp:coreProperties>
</file>