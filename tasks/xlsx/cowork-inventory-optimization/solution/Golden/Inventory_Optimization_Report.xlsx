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Status" sheetId="1" state="visible" r:id="rId1"/>
    <sheet xmlns:r="http://schemas.openxmlformats.org/officeDocument/2006/relationships" name="Supplier_Info" sheetId="2" state="visible" r:id="rId2"/>
    <sheet xmlns:r="http://schemas.openxmlformats.org/officeDocument/2006/relationships" name="Demand_History" sheetId="3" state="visible" r:id="rId3"/>
    <sheet xmlns:r="http://schemas.openxmlformats.org/officeDocument/2006/relationships" name="Restock_Plan" sheetId="4" state="visible" r:id="rId4"/>
    <sheet xmlns:r="http://schemas.openxmlformats.org/officeDocument/2006/relationships" name="Restock_Summary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tockStatus" displayName="StockStatus" ref="A1:H78" headerRowCount="1">
  <autoFilter ref="A1:H78"/>
  <tableColumns count="8">
    <tableColumn id="1" name="Product_ID"/>
    <tableColumn id="2" name="Product"/>
    <tableColumn id="3" name="Category"/>
    <tableColumn id="4" name="Current_Stock"/>
    <tableColumn id="5" name="Total_Sales"/>
    <tableColumn id="6" name="Daily_Rate"/>
    <tableColumn id="7" name="Days_Remaining"/>
    <tableColumn id="8" name="Needs_Restock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upplierInfo" displayName="SupplierInfo" ref="A1:G5" headerRowCount="1">
  <autoFilter ref="A1:G5"/>
  <tableColumns count="7">
    <tableColumn id="1" name="Supplier"/>
    <tableColumn id="2" name="City"/>
    <tableColumn id="3" name="Lead_Time_Days"/>
    <tableColumn id="4" name="Min_Order_Qty"/>
    <tableColumn id="5" name="Reliability_Score"/>
    <tableColumn id="6" name="Risk_Index"/>
    <tableColumn id="7" name="Risk_Ban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emandHistory" displayName="DemandHistory" ref="A1:C7" headerRowCount="1">
  <autoFilter ref="A1:C7"/>
  <tableColumns count="3">
    <tableColumn id="1" name="Category"/>
    <tableColumn id="2" name="Total_Units_Ordered"/>
    <tableColumn id="3" name="Order_Coun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estockPlan" displayName="RestockPlan" ref="A1:H3" headerRowCount="1">
  <autoFilter ref="A1:H3"/>
  <tableColumns count="8">
    <tableColumn id="1" name="Priority_Rank"/>
    <tableColumn id="2" name="Product_ID"/>
    <tableColumn id="3" name="Product"/>
    <tableColumn id="4" name="Category"/>
    <tableColumn id="5" name="Current_Stock"/>
    <tableColumn id="6" name="Total_Sales"/>
    <tableColumn id="7" name="Days_Remaining"/>
    <tableColumn id="8" name="Recommended_Ac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RestockSummary" displayName="RestockSummary" ref="A1:B6" headerRowCount="1">
  <autoFilter ref="A1:B6"/>
  <tableColumns count="2">
    <tableColumn id="1" name="Metric"/>
    <tableColumn id="2" name="Valu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25" customWidth="1" min="3" max="3"/>
    <col width="15" customWidth="1" min="4" max="4"/>
    <col width="14" customWidth="1" min="5" max="5"/>
    <col width="14" customWidth="1" min="6" max="6"/>
    <col width="33" customWidth="1" min="7" max="7"/>
    <col width="24" customWidth="1" min="8" max="8"/>
  </cols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Total_Sales</t>
        </is>
      </c>
      <c r="F1" s="1" t="inlineStr">
        <is>
          <t>Daily_Rate</t>
        </is>
      </c>
      <c r="G1" s="1" t="inlineStr">
        <is>
          <t>Days_Remaining</t>
        </is>
      </c>
      <c r="H1" s="1" t="inlineStr">
        <is>
          <t>Needs_Restock</t>
        </is>
      </c>
    </row>
    <row r="2">
      <c r="A2" s="2" t="n">
        <v>70</v>
      </c>
      <c r="B2" s="2" t="inlineStr">
        <is>
          <t>(Renewed) Havells FHVVEDXOWH08 200mm Exhaust Fan (White)</t>
        </is>
      </c>
      <c r="C2" s="2" t="inlineStr">
        <is>
          <t>Бытовая техника</t>
        </is>
      </c>
      <c r="D2" s="2" t="n">
        <v>2</v>
      </c>
      <c r="E2" s="2" t="n">
        <v>4</v>
      </c>
      <c r="F2" s="3">
        <f>E2/90</f>
        <v/>
      </c>
      <c r="G2" s="4">
        <f>IF(F2=0,999,ROUND(D2/F2,1))</f>
        <v/>
      </c>
      <c r="H2" s="2">
        <f>IF(G2&lt;30,"Yes","No")</f>
        <v/>
      </c>
    </row>
    <row r="3">
      <c r="A3" s="2" t="n">
        <v>74</v>
      </c>
      <c r="B3" s="2" t="inlineStr">
        <is>
          <t>(Renewed) JBL Flip 4 Portable Wireless Speaker with Powerful Bass &amp; Mic (Squad)</t>
        </is>
      </c>
      <c r="C3" s="2" t="inlineStr">
        <is>
          <t>Аудио</t>
        </is>
      </c>
      <c r="D3" s="2" t="n">
        <v>8</v>
      </c>
      <c r="E3" s="2" t="n">
        <v>16</v>
      </c>
      <c r="F3" s="3">
        <f>E3/90</f>
        <v/>
      </c>
      <c r="G3" s="4">
        <f>IF(F3=0,999,ROUND(D3/F3,1))</f>
        <v/>
      </c>
      <c r="H3" s="2">
        <f>IF(G3&lt;30,"Yes","No")</f>
        <v/>
      </c>
    </row>
    <row r="4">
      <c r="A4" s="2" t="n">
        <v>34</v>
      </c>
      <c r="B4" s="2" t="inlineStr">
        <is>
          <t>AGARO Adjustable Camera Tripod Stand with Mobile Phones Clip &amp; Camera Holder, Supports Up to 3 Kgs, 66 inches (167 cm) Tall</t>
        </is>
      </c>
      <c r="C4" s="2" t="inlineStr">
        <is>
          <t>Камеры</t>
        </is>
      </c>
      <c r="D4" s="2" t="n">
        <v>28</v>
      </c>
      <c r="E4" s="2" t="n">
        <v>5</v>
      </c>
      <c r="F4" s="3">
        <f>E4/90</f>
        <v/>
      </c>
      <c r="G4" s="4">
        <f>IF(F4=0,999,ROUND(D4/F4,1))</f>
        <v/>
      </c>
      <c r="H4" s="2">
        <f>IF(G4&lt;30,"Yes","No")</f>
        <v/>
      </c>
    </row>
    <row r="5">
      <c r="A5" s="2" t="n">
        <v>11</v>
      </c>
      <c r="B5" s="2" t="inlineStr">
        <is>
          <t>AmazonBasics Expanding File Folder, Letter Size (Fits A4 Paper) - Black - with 13 pockets</t>
        </is>
      </c>
      <c r="C5" s="2" t="inlineStr">
        <is>
          <t>Электроника</t>
        </is>
      </c>
      <c r="D5" s="2" t="n">
        <v>34</v>
      </c>
      <c r="E5" s="2" t="n">
        <v>5</v>
      </c>
      <c r="F5" s="3">
        <f>E5/90</f>
        <v/>
      </c>
      <c r="G5" s="4">
        <f>IF(F5=0,999,ROUND(D5/F5,1))</f>
        <v/>
      </c>
      <c r="H5" s="2">
        <f>IF(G5&lt;30,"Yes","No")</f>
        <v/>
      </c>
    </row>
    <row r="6">
      <c r="A6" s="2" t="n">
        <v>12</v>
      </c>
      <c r="B6" s="2" t="inlineStr">
        <is>
          <t>Ambrane Mobile Holding Tabletop Stand, 180 Perfect View, Height Adjustment, Wide Compatibility, Multipurpose, Anti-Skid De...</t>
        </is>
      </c>
      <c r="C6" s="2" t="inlineStr">
        <is>
          <t>Электроника</t>
        </is>
      </c>
      <c r="D6" s="2" t="n">
        <v>17</v>
      </c>
      <c r="E6" s="2" t="n">
        <v>13</v>
      </c>
      <c r="F6" s="3">
        <f>E6/90</f>
        <v/>
      </c>
      <c r="G6" s="4">
        <f>IF(F6=0,999,ROUND(D6/F6,1))</f>
        <v/>
      </c>
      <c r="H6" s="2">
        <f>IF(G6&lt;30,"Yes","No")</f>
        <v/>
      </c>
    </row>
    <row r="7">
      <c r="A7" s="2" t="n">
        <v>64</v>
      </c>
      <c r="B7" s="2" t="inlineStr">
        <is>
          <t>Anne Klein New York Womens Stainless Steel Analogue Watch - AK3344NVRG (Blue_Free Size)</t>
        </is>
      </c>
      <c r="C7" s="2" t="inlineStr">
        <is>
          <t>Часы</t>
        </is>
      </c>
      <c r="D7" s="2" t="n">
        <v>9</v>
      </c>
      <c r="E7" s="2" t="n">
        <v>4</v>
      </c>
      <c r="F7" s="3">
        <f>E7/90</f>
        <v/>
      </c>
      <c r="G7" s="4">
        <f>IF(F7=0,999,ROUND(D7/F7,1))</f>
        <v/>
      </c>
      <c r="H7" s="2">
        <f>IF(G7&lt;30,"Yes","No")</f>
        <v/>
      </c>
    </row>
    <row r="8">
      <c r="A8" s="2" t="n">
        <v>30</v>
      </c>
      <c r="B8" s="2" t="inlineStr">
        <is>
          <t>Artis 65Watt Universal Laptop Adapter with 8 Interchangeable Connector pins (Power Cord Included) Compatible with Dell/HP/...</t>
        </is>
      </c>
      <c r="C8" s="2" t="inlineStr">
        <is>
          <t>Электроника</t>
        </is>
      </c>
      <c r="D8" s="2" t="n">
        <v>3</v>
      </c>
      <c r="E8" s="2" t="n">
        <v>3</v>
      </c>
      <c r="F8" s="3">
        <f>E8/90</f>
        <v/>
      </c>
      <c r="G8" s="4">
        <f>IF(F8=0,999,ROUND(D8/F8,1))</f>
        <v/>
      </c>
      <c r="H8" s="2">
        <f>IF(G8&lt;30,"Yes","No")</f>
        <v/>
      </c>
    </row>
    <row r="9">
      <c r="A9" s="2" t="n">
        <v>33</v>
      </c>
      <c r="B9" s="2" t="inlineStr">
        <is>
          <t>Belkin Ultra HD High Speed HDMI® Cable, Supports 8K and 4K, HDMI 2.1 Certified, Dolby Vision, Black</t>
        </is>
      </c>
      <c r="C9" s="2" t="inlineStr">
        <is>
          <t>Камеры</t>
        </is>
      </c>
      <c r="D9" s="2" t="n">
        <v>9</v>
      </c>
      <c r="E9" s="2" t="n">
        <v>5</v>
      </c>
      <c r="F9" s="3">
        <f>E9/90</f>
        <v/>
      </c>
      <c r="G9" s="4">
        <f>IF(F9=0,999,ROUND(D9/F9,1))</f>
        <v/>
      </c>
      <c r="H9" s="2">
        <f>IF(G9&lt;30,"Yes","No")</f>
        <v/>
      </c>
    </row>
    <row r="10">
      <c r="A10" s="2" t="n">
        <v>7</v>
      </c>
      <c r="B10" s="2" t="inlineStr">
        <is>
          <t>boAt Dual Port Rapid 5V Car Charger (Qualcomm Certified) Smart Charging with Quick Charge 3.0 for Cellular Phones (Black)...</t>
        </is>
      </c>
      <c r="C10" s="2" t="inlineStr">
        <is>
          <t>Электроника</t>
        </is>
      </c>
      <c r="D10" s="2" t="n">
        <v>2</v>
      </c>
      <c r="E10" s="2" t="n">
        <v>1</v>
      </c>
      <c r="F10" s="3">
        <f>E10/90</f>
        <v/>
      </c>
      <c r="G10" s="4">
        <f>IF(F10=0,999,ROUND(D10/F10,1))</f>
        <v/>
      </c>
      <c r="H10" s="2">
        <f>IF(G10&lt;30,"Yes","No")</f>
        <v/>
      </c>
    </row>
    <row r="11">
      <c r="A11" s="2" t="n">
        <v>25</v>
      </c>
      <c r="B11" s="2" t="inlineStr">
        <is>
          <t>boAt Wave Call Smart Watch, Smart Talk with Advanced Dedicated Bluetooth Calling Chip, 1.69” HD Display with 550 NITS &amp; 7...</t>
        </is>
      </c>
      <c r="C11" s="2" t="inlineStr">
        <is>
          <t>Электроника</t>
        </is>
      </c>
      <c r="D11" s="2" t="n">
        <v>17</v>
      </c>
      <c r="E11" s="2" t="n">
        <v>5</v>
      </c>
      <c r="F11" s="3">
        <f>E11/90</f>
        <v/>
      </c>
      <c r="G11" s="4">
        <f>IF(F11=0,999,ROUND(D11/F11,1))</f>
        <v/>
      </c>
      <c r="H11" s="2">
        <f>IF(G11&lt;30,"Yes","No")</f>
        <v/>
      </c>
    </row>
    <row r="12">
      <c r="A12" s="2" t="n">
        <v>1</v>
      </c>
      <c r="B12" s="2" t="inlineStr">
        <is>
          <t>boAt Wave Lite Smartwatch with 1.69 Inches(4.29cm) HD Display, Heart Rate &amp; SpO2 Level Monitor, Multiple Watch Faces, Acti...</t>
        </is>
      </c>
      <c r="C12" s="2" t="inlineStr">
        <is>
          <t>Электроника</t>
        </is>
      </c>
      <c r="D12" s="2" t="n">
        <v>18</v>
      </c>
      <c r="E12" s="2" t="n">
        <v>3</v>
      </c>
      <c r="F12" s="3">
        <f>E12/90</f>
        <v/>
      </c>
      <c r="G12" s="4">
        <f>IF(F12=0,999,ROUND(D12/F12,1))</f>
        <v/>
      </c>
      <c r="H12" s="2">
        <f>IF(G12&lt;30,"Yes","No")</f>
        <v/>
      </c>
    </row>
    <row r="13">
      <c r="A13" s="2" t="n">
        <v>17</v>
      </c>
      <c r="B13" s="2" t="inlineStr">
        <is>
          <t>Boult Audio Powerbuds True Wireless in Ear Earbuds with 120H Playtime, in-Built Powerbank, Type-C Fast Charging, Made in I...</t>
        </is>
      </c>
      <c r="C13" s="2" t="inlineStr">
        <is>
          <t>Электроника</t>
        </is>
      </c>
      <c r="D13" s="2" t="n">
        <v>35</v>
      </c>
      <c r="E13" s="2" t="n">
        <v>0</v>
      </c>
      <c r="F13" s="3">
        <f>E13/90</f>
        <v/>
      </c>
      <c r="G13" s="4">
        <f>IF(F13=0,999,ROUND(D13/F13,1))</f>
        <v/>
      </c>
      <c r="H13" s="2">
        <f>IF(G13&lt;30,"Yes","No")</f>
        <v/>
      </c>
    </row>
    <row r="14">
      <c r="A14" s="2" t="n">
        <v>16</v>
      </c>
      <c r="B14" s="2" t="inlineStr">
        <is>
          <t>Canon M50 Mark II 15-45mm f3.5-6.3 is STM</t>
        </is>
      </c>
      <c r="C14" s="2" t="inlineStr">
        <is>
          <t>Электроника</t>
        </is>
      </c>
      <c r="D14" s="2" t="n">
        <v>14</v>
      </c>
      <c r="E14" s="2" t="n">
        <v>11</v>
      </c>
      <c r="F14" s="3">
        <f>E14/90</f>
        <v/>
      </c>
      <c r="G14" s="4">
        <f>IF(F14=0,999,ROUND(D14/F14,1))</f>
        <v/>
      </c>
      <c r="H14" s="2">
        <f>IF(G14&lt;30,"Yes","No")</f>
        <v/>
      </c>
    </row>
    <row r="15">
      <c r="A15" s="2" t="n">
        <v>22</v>
      </c>
      <c r="B15" s="2" t="inlineStr">
        <is>
          <t>CASEOLOGY by Spigen Athlex Back Cover Case Compatible with Samsung Galaxy S23 Ultra (TPU and PC | Active Black)</t>
        </is>
      </c>
      <c r="C15" s="2" t="inlineStr">
        <is>
          <t>Электроника</t>
        </is>
      </c>
      <c r="D15" s="2" t="n">
        <v>1</v>
      </c>
      <c r="E15" s="2" t="n">
        <v>10</v>
      </c>
      <c r="F15" s="3">
        <f>E15/90</f>
        <v/>
      </c>
      <c r="G15" s="4">
        <f>IF(F15=0,999,ROUND(D15/F15,1))</f>
        <v/>
      </c>
      <c r="H15" s="2">
        <f>IF(G15&lt;30,"Yes","No")</f>
        <v/>
      </c>
    </row>
    <row r="16">
      <c r="A16" s="2" t="n">
        <v>62</v>
      </c>
      <c r="B16" s="2" t="inlineStr">
        <is>
          <t>Citizen Eco-Drive Analog Mother of Pearl Dial Women's Watch-EW2543-85D</t>
        </is>
      </c>
      <c r="C16" s="2" t="inlineStr">
        <is>
          <t>Часы</t>
        </is>
      </c>
      <c r="D16" s="2" t="n">
        <v>24</v>
      </c>
      <c r="E16" s="2" t="n">
        <v>5</v>
      </c>
      <c r="F16" s="3">
        <f>E16/90</f>
        <v/>
      </c>
      <c r="G16" s="4">
        <f>IF(F16=0,999,ROUND(D16/F16,1))</f>
        <v/>
      </c>
      <c r="H16" s="2">
        <f>IF(G16&lt;30,"Yes","No")</f>
        <v/>
      </c>
    </row>
    <row r="17">
      <c r="A17" s="2" t="n">
        <v>8</v>
      </c>
      <c r="B17" s="2" t="inlineStr">
        <is>
          <t>CraftDev A500MB Portable Paper Trimmer 12 Inch Cut</t>
        </is>
      </c>
      <c r="C17" s="2" t="inlineStr">
        <is>
          <t>Электроника</t>
        </is>
      </c>
      <c r="D17" s="2" t="n">
        <v>7</v>
      </c>
      <c r="E17" s="2" t="n">
        <v>6</v>
      </c>
      <c r="F17" s="3">
        <f>E17/90</f>
        <v/>
      </c>
      <c r="G17" s="4">
        <f>IF(F17=0,999,ROUND(D17/F17,1))</f>
        <v/>
      </c>
      <c r="H17" s="2">
        <f>IF(G17&lt;30,"Yes","No")</f>
        <v/>
      </c>
    </row>
    <row r="18">
      <c r="A18" s="2" t="n">
        <v>67</v>
      </c>
      <c r="B18" s="2" t="inlineStr">
        <is>
          <t>Craftwings Handheld Press Fan Mini Kids Fan Toy Plaything Hand Press Fan Cartoon Fan Toy (1)</t>
        </is>
      </c>
      <c r="C18" s="2" t="inlineStr">
        <is>
          <t>Бытовая техника</t>
        </is>
      </c>
      <c r="D18" s="2" t="n">
        <v>41</v>
      </c>
      <c r="E18" s="2" t="n">
        <v>9</v>
      </c>
      <c r="F18" s="3">
        <f>E18/90</f>
        <v/>
      </c>
      <c r="G18" s="4">
        <f>IF(F18=0,999,ROUND(D18/F18,1))</f>
        <v/>
      </c>
      <c r="H18" s="2">
        <f>IF(G18&lt;30,"Yes","No")</f>
        <v/>
      </c>
    </row>
    <row r="19">
      <c r="A19" s="2" t="n">
        <v>76</v>
      </c>
      <c r="B19" s="2" t="inlineStr">
        <is>
          <t>DALI ALTECO C-1 100 Watt 2.0 Channel Speaker with Dolby Atmos (Black)</t>
        </is>
      </c>
      <c r="C19" s="2" t="inlineStr">
        <is>
          <t>Аудио</t>
        </is>
      </c>
      <c r="D19" s="2" t="n">
        <v>25</v>
      </c>
      <c r="E19" s="2" t="n">
        <v>3</v>
      </c>
      <c r="F19" s="3">
        <f>E19/90</f>
        <v/>
      </c>
      <c r="G19" s="4">
        <f>IF(F19=0,999,ROUND(D19/F19,1))</f>
        <v/>
      </c>
      <c r="H19" s="2">
        <f>IF(G19&lt;30,"Yes","No")</f>
        <v/>
      </c>
    </row>
    <row r="20">
      <c r="A20" s="2" t="n">
        <v>28</v>
      </c>
      <c r="B20" s="2" t="inlineStr">
        <is>
          <t>Dell S2721HNM-Grey 27" FHD 1920 x 1080 @75 Hz |Minimalistic Design | IPS Panel |Brightness: 300 cd/m²|Colour Gamut: 99% sR...</t>
        </is>
      </c>
      <c r="C20" s="2" t="inlineStr">
        <is>
          <t>Электроника</t>
        </is>
      </c>
      <c r="D20" s="2" t="n">
        <v>5</v>
      </c>
      <c r="E20" s="2" t="n">
        <v>3</v>
      </c>
      <c r="F20" s="3">
        <f>E20/90</f>
        <v/>
      </c>
      <c r="G20" s="4">
        <f>IF(F20=0,999,ROUND(D20/F20,1))</f>
        <v/>
      </c>
      <c r="H20" s="2">
        <f>IF(G20&lt;30,"Yes","No")</f>
        <v/>
      </c>
    </row>
    <row r="21">
      <c r="A21" s="2" t="n">
        <v>61</v>
      </c>
      <c r="B21" s="2" t="inlineStr">
        <is>
          <t>dlx hmt Women Watch Casual Dress Analog Luxury Quartz Wrist Watches Stainless Steel Watch (Silver, Set of 2)</t>
        </is>
      </c>
      <c r="C21" s="2" t="inlineStr">
        <is>
          <t>Часы</t>
        </is>
      </c>
      <c r="D21" s="2" t="n">
        <v>3</v>
      </c>
      <c r="E21" s="2" t="n">
        <v>0</v>
      </c>
      <c r="F21" s="3">
        <f>E21/90</f>
        <v/>
      </c>
      <c r="G21" s="4">
        <f>IF(F21=0,999,ROUND(D21/F21,1))</f>
        <v/>
      </c>
      <c r="H21" s="2">
        <f>IF(G21&lt;30,"Yes","No")</f>
        <v/>
      </c>
    </row>
    <row r="22">
      <c r="A22" s="2" t="n">
        <v>31</v>
      </c>
      <c r="B22" s="2" t="inlineStr">
        <is>
          <t>Eloies® Tripod for Mobile and Camera Jaguar Series Alluminum Made 3 Way Pan Head Photo Video Tripod Heavy Duty Tripod Stan...</t>
        </is>
      </c>
      <c r="C22" s="2" t="inlineStr">
        <is>
          <t>Камеры</t>
        </is>
      </c>
      <c r="D22" s="2" t="n">
        <v>1</v>
      </c>
      <c r="E22" s="2" t="n">
        <v>6</v>
      </c>
      <c r="F22" s="3">
        <f>E22/90</f>
        <v/>
      </c>
      <c r="G22" s="4">
        <f>IF(F22=0,999,ROUND(D22/F22,1))</f>
        <v/>
      </c>
      <c r="H22" s="2">
        <f>IF(G22&lt;30,"Yes","No")</f>
        <v/>
      </c>
    </row>
    <row r="23">
      <c r="A23" s="2" t="n">
        <v>3</v>
      </c>
      <c r="B23" s="2" t="inlineStr">
        <is>
          <t>FOLX FMS1210 Metal Stainless Steel Bands Compatible with Apple Watch Bands, Loop Magnetic Milanese Mesh Strap for iWatch S...</t>
        </is>
      </c>
      <c r="C23" s="2" t="inlineStr">
        <is>
          <t>Электроника</t>
        </is>
      </c>
      <c r="D23" s="2" t="n">
        <v>9</v>
      </c>
      <c r="E23" s="2" t="n">
        <v>2</v>
      </c>
      <c r="F23" s="3">
        <f>E23/90</f>
        <v/>
      </c>
      <c r="G23" s="4">
        <f>IF(F23=0,999,ROUND(D23/F23,1))</f>
        <v/>
      </c>
      <c r="H23" s="2">
        <f>IF(G23&lt;30,"Yes","No")</f>
        <v/>
      </c>
    </row>
    <row r="24">
      <c r="A24" s="2" t="n">
        <v>36</v>
      </c>
      <c r="B24" s="2" t="inlineStr">
        <is>
          <t>Fujifilm Instax Stained Glass Instant Film, 10 Sheets</t>
        </is>
      </c>
      <c r="C24" s="2" t="inlineStr">
        <is>
          <t>Камеры</t>
        </is>
      </c>
      <c r="D24" s="2" t="n">
        <v>19</v>
      </c>
      <c r="E24" s="2" t="n">
        <v>6</v>
      </c>
      <c r="F24" s="3">
        <f>E24/90</f>
        <v/>
      </c>
      <c r="G24" s="4">
        <f>IF(F24=0,999,ROUND(D24/F24,1))</f>
        <v/>
      </c>
      <c r="H24" s="2">
        <f>IF(G24&lt;30,"Yes","No")</f>
        <v/>
      </c>
    </row>
    <row r="25">
      <c r="A25" s="2" t="n">
        <v>43</v>
      </c>
      <c r="B25" s="2" t="inlineStr">
        <is>
          <t>In-Ear Headphone For Samsung Galaxy A20, A 20 In- Ear Headphone | Earphones | Headphone| Handsfree | Headset | Universal H...</t>
        </is>
      </c>
      <c r="C25" s="2" t="inlineStr">
        <is>
          <t>Аудио</t>
        </is>
      </c>
      <c r="D25" s="2" t="n">
        <v>8</v>
      </c>
      <c r="E25" s="2" t="n">
        <v>4</v>
      </c>
      <c r="F25" s="3">
        <f>E25/90</f>
        <v/>
      </c>
      <c r="G25" s="4">
        <f>IF(F25=0,999,ROUND(D25/F25,1))</f>
        <v/>
      </c>
      <c r="H25" s="2">
        <f>IF(G25&lt;30,"Yes","No")</f>
        <v/>
      </c>
    </row>
    <row r="26">
      <c r="A26" s="2" t="n">
        <v>53</v>
      </c>
      <c r="B26" s="2" t="inlineStr">
        <is>
          <t>INVANTER 2022 Model Smart TV FRAMLESS Android 43 INCH-SR 2 E</t>
        </is>
      </c>
      <c r="C26" s="2" t="inlineStr">
        <is>
          <t>ТВ и домашний кинотеатр</t>
        </is>
      </c>
      <c r="D26" s="2" t="n">
        <v>5</v>
      </c>
      <c r="E26" s="2" t="n">
        <v>0</v>
      </c>
      <c r="F26" s="3">
        <f>E26/90</f>
        <v/>
      </c>
      <c r="G26" s="4">
        <f>IF(F26=0,999,ROUND(D26/F26,1))</f>
        <v/>
      </c>
      <c r="H26" s="2">
        <f>IF(G26&lt;30,"Yes","No")</f>
        <v/>
      </c>
    </row>
    <row r="27">
      <c r="A27" s="2" t="n">
        <v>80</v>
      </c>
      <c r="B27" s="2" t="inlineStr">
        <is>
          <t>IVELECT USB Male To 3RCA Female Video AV A/V Converter Cable Adapter For HDTV TV</t>
        </is>
      </c>
      <c r="C27" s="2" t="inlineStr">
        <is>
          <t>ТВ и домашний кинотеатр</t>
        </is>
      </c>
      <c r="D27" s="2" t="n">
        <v>19</v>
      </c>
      <c r="E27" s="2" t="n">
        <v>7</v>
      </c>
      <c r="F27" s="3">
        <f>E27/90</f>
        <v/>
      </c>
      <c r="G27" s="4">
        <f>IF(F27=0,999,ROUND(D27/F27,1))</f>
        <v/>
      </c>
      <c r="H27" s="2">
        <f>IF(G27&lt;30,"Yes","No")</f>
        <v/>
      </c>
    </row>
    <row r="28">
      <c r="A28" s="2" t="n">
        <v>23</v>
      </c>
      <c r="B28" s="2" t="inlineStr">
        <is>
          <t>JUDEE Keyboard Cleaning Brush 7 in 1 Kit, Portable Keyboard Tools Including Screen Dust Brush, Airpod Cleaner Per with Key...</t>
        </is>
      </c>
      <c r="C28" s="2" t="inlineStr">
        <is>
          <t>Электроника</t>
        </is>
      </c>
      <c r="D28" s="2" t="n">
        <v>11</v>
      </c>
      <c r="E28" s="2" t="n">
        <v>8</v>
      </c>
      <c r="F28" s="3">
        <f>E28/90</f>
        <v/>
      </c>
      <c r="G28" s="4">
        <f>IF(F28=0,999,ROUND(D28/F28,1))</f>
        <v/>
      </c>
      <c r="H28" s="2">
        <f>IF(G28&lt;30,"Yes","No")</f>
        <v/>
      </c>
    </row>
    <row r="29">
      <c r="A29" s="2" t="n">
        <v>59</v>
      </c>
      <c r="B29" s="2" t="inlineStr">
        <is>
          <t>Kingland Analogue Heart Dial Magnetic Metal Strap Girl's and Women's Watch(Watch-06)</t>
        </is>
      </c>
      <c r="C29" s="2" t="inlineStr">
        <is>
          <t>Часы</t>
        </is>
      </c>
      <c r="D29" s="2" t="n">
        <v>60</v>
      </c>
      <c r="E29" s="2" t="n">
        <v>7</v>
      </c>
      <c r="F29" s="3">
        <f>E29/90</f>
        <v/>
      </c>
      <c r="G29" s="4">
        <f>IF(F29=0,999,ROUND(D29/F29,1))</f>
        <v/>
      </c>
      <c r="H29" s="2">
        <f>IF(G29&lt;30,"Yes","No")</f>
        <v/>
      </c>
    </row>
    <row r="30">
      <c r="A30" s="2" t="n">
        <v>56</v>
      </c>
      <c r="B30" s="2" t="inlineStr">
        <is>
          <t>LED TV ASIN 55-SR 6 R</t>
        </is>
      </c>
      <c r="C30" s="2" t="inlineStr">
        <is>
          <t>ТВ и домашний кинотеатр</t>
        </is>
      </c>
      <c r="D30" s="2" t="n">
        <v>36</v>
      </c>
      <c r="E30" s="2" t="n">
        <v>2</v>
      </c>
      <c r="F30" s="3">
        <f>E30/90</f>
        <v/>
      </c>
      <c r="G30" s="4">
        <f>IF(F30=0,999,ROUND(D30/F30,1))</f>
        <v/>
      </c>
      <c r="H30" s="2">
        <f>IF(G30&lt;30,"Yes","No")</f>
        <v/>
      </c>
    </row>
    <row r="31">
      <c r="A31" s="2" t="n">
        <v>18</v>
      </c>
      <c r="B31" s="2" t="inlineStr">
        <is>
          <t>Lenovo Tab P11 5G FHD (11 inch (27.94 cm), 6 GB, 128 GB, Wi-Fi+LTE, Calling), Storm Grey with Qualcomm Snapdragon Processo...</t>
        </is>
      </c>
      <c r="C31" s="2" t="inlineStr">
        <is>
          <t>Электроника</t>
        </is>
      </c>
      <c r="D31" s="2" t="n">
        <v>7</v>
      </c>
      <c r="E31" s="2" t="n">
        <v>8</v>
      </c>
      <c r="F31" s="3">
        <f>E31/90</f>
        <v/>
      </c>
      <c r="G31" s="4">
        <f>IF(F31=0,999,ROUND(D31/F31,1))</f>
        <v/>
      </c>
      <c r="H31" s="2">
        <f>IF(G31&lt;30,"Yes","No")</f>
        <v/>
      </c>
    </row>
    <row r="32">
      <c r="A32" s="2" t="n">
        <v>41</v>
      </c>
      <c r="B32" s="2" t="inlineStr">
        <is>
          <t>Levelplus Jack Neckband Bluetooth Headset (Grey in The Ear)</t>
        </is>
      </c>
      <c r="C32" s="2" t="inlineStr">
        <is>
          <t>Аудио</t>
        </is>
      </c>
      <c r="D32" s="2" t="n">
        <v>55</v>
      </c>
      <c r="E32" s="2" t="n">
        <v>6</v>
      </c>
      <c r="F32" s="3">
        <f>E32/90</f>
        <v/>
      </c>
      <c r="G32" s="4">
        <f>IF(F32=0,999,ROUND(D32/F32,1))</f>
        <v/>
      </c>
      <c r="H32" s="2">
        <f>IF(G32&lt;30,"Yes","No")</f>
        <v/>
      </c>
    </row>
    <row r="33">
      <c r="A33" s="2" t="n">
        <v>54</v>
      </c>
      <c r="B33" s="2" t="inlineStr">
        <is>
          <t>LG 139 cm (55 Inches) Nanocell Series 4K Ultra HD Smart LED TV 55NANO80SQA (Black) (2022 Model)</t>
        </is>
      </c>
      <c r="C33" s="2" t="inlineStr">
        <is>
          <t>ТВ и домашний кинотеатр</t>
        </is>
      </c>
      <c r="D33" s="2" t="n">
        <v>3</v>
      </c>
      <c r="E33" s="2" t="n">
        <v>5</v>
      </c>
      <c r="F33" s="3">
        <f>E33/90</f>
        <v/>
      </c>
      <c r="G33" s="4">
        <f>IF(F33=0,999,ROUND(D33/F33,1))</f>
        <v/>
      </c>
      <c r="H33" s="2">
        <f>IF(G33&lt;30,"Yes","No")</f>
        <v/>
      </c>
    </row>
    <row r="34">
      <c r="A34" s="2" t="n">
        <v>68</v>
      </c>
      <c r="B34" s="2" t="inlineStr">
        <is>
          <t>LIMBANI BROTHERS™ Automatic Vacuum Sealing Machine | Vacuum Sealer for Flatbreads, Nuts, Vegetables, Fruits, Dry-Fruits | ...</t>
        </is>
      </c>
      <c r="C34" s="2" t="inlineStr">
        <is>
          <t>Бытовая техника</t>
        </is>
      </c>
      <c r="D34" s="2" t="n">
        <v>21</v>
      </c>
      <c r="E34" s="2" t="n">
        <v>2</v>
      </c>
      <c r="F34" s="3">
        <f>E34/90</f>
        <v/>
      </c>
      <c r="G34" s="4">
        <f>IF(F34=0,999,ROUND(D34/F34,1))</f>
        <v/>
      </c>
      <c r="H34" s="2">
        <f>IF(G34&lt;30,"Yes","No")</f>
        <v/>
      </c>
    </row>
    <row r="35">
      <c r="A35" s="2" t="n">
        <v>4</v>
      </c>
      <c r="B35" s="2" t="inlineStr">
        <is>
          <t>MAONO AU-100 Auxiliary Omnidirectional Lavalier Clip On Collar Microphone for Mobile Phone, Camera with 6M Audio Cable, 3....</t>
        </is>
      </c>
      <c r="C35" s="2" t="inlineStr">
        <is>
          <t>Электроника</t>
        </is>
      </c>
      <c r="D35" s="2" t="n">
        <v>10</v>
      </c>
      <c r="E35" s="2" t="n">
        <v>8</v>
      </c>
      <c r="F35" s="3">
        <f>E35/90</f>
        <v/>
      </c>
      <c r="G35" s="4">
        <f>IF(F35=0,999,ROUND(D35/F35,1))</f>
        <v/>
      </c>
      <c r="H35" s="2">
        <f>IF(G35&lt;30,"Yes","No")</f>
        <v/>
      </c>
    </row>
    <row r="36">
      <c r="A36" s="2" t="n">
        <v>27</v>
      </c>
      <c r="B36" s="2" t="inlineStr">
        <is>
          <t>Mi Extended Warranty (1year) - Brand Authorised Plan for Mi TV Between 13999-19999(Email Delivery, No Physical Kit)</t>
        </is>
      </c>
      <c r="C36" s="2" t="inlineStr">
        <is>
          <t>Электроника</t>
        </is>
      </c>
      <c r="D36" s="2" t="n">
        <v>5</v>
      </c>
      <c r="E36" s="2" t="n">
        <v>0</v>
      </c>
      <c r="F36" s="3">
        <f>E36/90</f>
        <v/>
      </c>
      <c r="G36" s="4">
        <f>IF(F36=0,999,ROUND(D36/F36,1))</f>
        <v/>
      </c>
      <c r="H36" s="2">
        <f>IF(G36&lt;30,"Yes","No")</f>
        <v/>
      </c>
    </row>
    <row r="37">
      <c r="A37" s="2" t="n">
        <v>57</v>
      </c>
      <c r="B37" s="2" t="inlineStr">
        <is>
          <t>MICROSMT M83 Smart LED TV (75-SMT-4K/1024/08-KSR-22),75 Inches.</t>
        </is>
      </c>
      <c r="C37" s="2" t="inlineStr">
        <is>
          <t>ТВ и домашний кинотеатр</t>
        </is>
      </c>
      <c r="D37" s="2" t="n">
        <v>28</v>
      </c>
      <c r="E37" s="2" t="n">
        <v>5</v>
      </c>
      <c r="F37" s="3">
        <f>E37/90</f>
        <v/>
      </c>
      <c r="G37" s="4">
        <f>IF(F37=0,999,ROUND(D37/F37,1))</f>
        <v/>
      </c>
      <c r="H37" s="2">
        <f>IF(G37&lt;30,"Yes","No")</f>
        <v/>
      </c>
    </row>
    <row r="38">
      <c r="A38" s="2" t="n">
        <v>58</v>
      </c>
      <c r="B38" s="2" t="inlineStr">
        <is>
          <t>MICROSMT Smart LED TV (32-SMT-FL/512/04-KSR-22),32 Inches</t>
        </is>
      </c>
      <c r="C38" s="2" t="inlineStr">
        <is>
          <t>ТВ и домашний кинотеатр</t>
        </is>
      </c>
      <c r="D38" s="2" t="n">
        <v>6</v>
      </c>
      <c r="E38" s="2" t="n">
        <v>0</v>
      </c>
      <c r="F38" s="3">
        <f>E38/90</f>
        <v/>
      </c>
      <c r="G38" s="4">
        <f>IF(F38=0,999,ROUND(D38/F38,1))</f>
        <v/>
      </c>
      <c r="H38" s="2">
        <f>IF(G38&lt;30,"Yes","No")</f>
        <v/>
      </c>
    </row>
    <row r="39">
      <c r="A39" s="2" t="n">
        <v>65</v>
      </c>
      <c r="B39" s="2" t="inlineStr">
        <is>
          <t>MYJAS - Inverter battery cap level indicator white with warranty (30mm - set of 6)</t>
        </is>
      </c>
      <c r="C39" s="2" t="inlineStr">
        <is>
          <t>Бытовая техника</t>
        </is>
      </c>
      <c r="D39" s="2" t="n">
        <v>25</v>
      </c>
      <c r="E39" s="2" t="n">
        <v>6</v>
      </c>
      <c r="F39" s="3">
        <f>E39/90</f>
        <v/>
      </c>
      <c r="G39" s="4">
        <f>IF(F39=0,999,ROUND(D39/F39,1))</f>
        <v/>
      </c>
      <c r="H39" s="2">
        <f>IF(G39&lt;30,"Yes","No")</f>
        <v/>
      </c>
    </row>
    <row r="40">
      <c r="A40" s="2" t="n">
        <v>10</v>
      </c>
      <c r="B40" s="2" t="inlineStr">
        <is>
          <t>NIHARA Wood Smart Multipurpose Foldable Laptop Table with Cup Holder Ergonomic &amp; Rounded Edges (Black)</t>
        </is>
      </c>
      <c r="C40" s="2" t="inlineStr">
        <is>
          <t>Электроника</t>
        </is>
      </c>
      <c r="D40" s="2" t="n">
        <v>11</v>
      </c>
      <c r="E40" s="2" t="n">
        <v>3</v>
      </c>
      <c r="F40" s="3">
        <f>E40/90</f>
        <v/>
      </c>
      <c r="G40" s="4">
        <f>IF(F40=0,999,ROUND(D40/F40,1))</f>
        <v/>
      </c>
      <c r="H40" s="2">
        <f>IF(G40&lt;30,"Yes","No")</f>
        <v/>
      </c>
    </row>
    <row r="41">
      <c r="A41" s="2" t="n">
        <v>69</v>
      </c>
      <c r="B41" s="2" t="inlineStr">
        <is>
          <t>Nikrim™ Portable Blender, Personal Mini Bottle Travel Electric Smoothie Blender Maker Fruit Juicer Cup, with 13oz Bottles,...</t>
        </is>
      </c>
      <c r="C41" s="2" t="inlineStr">
        <is>
          <t>Бытовая техника</t>
        </is>
      </c>
      <c r="D41" s="2" t="n">
        <v>15</v>
      </c>
      <c r="E41" s="2" t="n">
        <v>7</v>
      </c>
      <c r="F41" s="3">
        <f>E41/90</f>
        <v/>
      </c>
      <c r="G41" s="4">
        <f>IF(F41=0,999,ROUND(D41/F41,1))</f>
        <v/>
      </c>
      <c r="H41" s="2">
        <f>IF(G41&lt;30,"Yes","No")</f>
        <v/>
      </c>
    </row>
    <row r="42">
      <c r="A42" s="2" t="n">
        <v>40</v>
      </c>
      <c r="B42" s="2" t="inlineStr">
        <is>
          <t>NP-BN1 Rechargeable Lithium-Ion Camera Battery Compatible with Sony Camera DSC-W710 DSC-W730 DSC-W810 DSC-W830 DSC-W530 DS...</t>
        </is>
      </c>
      <c r="C42" s="2" t="inlineStr">
        <is>
          <t>Камеры</t>
        </is>
      </c>
      <c r="D42" s="2" t="n">
        <v>12</v>
      </c>
      <c r="E42" s="2" t="n">
        <v>9</v>
      </c>
      <c r="F42" s="3">
        <f>E42/90</f>
        <v/>
      </c>
      <c r="G42" s="4">
        <f>IF(F42=0,999,ROUND(D42/F42,1))</f>
        <v/>
      </c>
      <c r="H42" s="2">
        <f>IF(G42&lt;30,"Yes","No")</f>
        <v/>
      </c>
    </row>
    <row r="43">
      <c r="A43" s="2" t="n">
        <v>55</v>
      </c>
      <c r="B43" s="2" t="inlineStr">
        <is>
          <t>OnePlus 138.7 cm (55 inches) U Series 4K LED Smart Android TV 55U1S (Black)</t>
        </is>
      </c>
      <c r="C43" s="2" t="inlineStr">
        <is>
          <t>ТВ и домашний кинотеатр</t>
        </is>
      </c>
      <c r="D43" s="2" t="n">
        <v>20</v>
      </c>
      <c r="E43" s="2" t="n">
        <v>4</v>
      </c>
      <c r="F43" s="3">
        <f>E43/90</f>
        <v/>
      </c>
      <c r="G43" s="4">
        <f>IF(F43=0,999,ROUND(D43/F43,1))</f>
        <v/>
      </c>
      <c r="H43" s="2">
        <f>IF(G43&lt;30,"Yes","No")</f>
        <v/>
      </c>
    </row>
    <row r="44">
      <c r="A44" s="2" t="n">
        <v>29</v>
      </c>
      <c r="B44" s="2" t="inlineStr">
        <is>
          <t>OnePlus Buds Pro Bluetooth Truly Wireless in Ear Earbuds with mic, Smart Adaptive Noise Cancellation, 10 Minutes Warp Char...</t>
        </is>
      </c>
      <c r="C44" s="2" t="inlineStr">
        <is>
          <t>Электроника</t>
        </is>
      </c>
      <c r="D44" s="2" t="n">
        <v>7</v>
      </c>
      <c r="E44" s="2" t="n">
        <v>6</v>
      </c>
      <c r="F44" s="3">
        <f>E44/90</f>
        <v/>
      </c>
      <c r="G44" s="4">
        <f>IF(F44=0,999,ROUND(D44/F44,1))</f>
        <v/>
      </c>
      <c r="H44" s="2">
        <f>IF(G44&lt;30,"Yes","No")</f>
        <v/>
      </c>
    </row>
    <row r="45">
      <c r="A45" s="2" t="n">
        <v>24</v>
      </c>
      <c r="B45" s="2" t="inlineStr">
        <is>
          <t>OpenTech® Tempered Glass Screen Protector Compatible for Nothing Phone 1 with Edge to Edge Coverage and Easy Installation kit</t>
        </is>
      </c>
      <c r="C45" s="2" t="inlineStr">
        <is>
          <t>Электроника</t>
        </is>
      </c>
      <c r="D45" s="2" t="n">
        <v>12</v>
      </c>
      <c r="E45" s="2" t="n">
        <v>0</v>
      </c>
      <c r="F45" s="3">
        <f>E45/90</f>
        <v/>
      </c>
      <c r="G45" s="4">
        <f>IF(F45=0,999,ROUND(D45/F45,1))</f>
        <v/>
      </c>
      <c r="H45" s="2">
        <f>IF(G45&lt;30,"Yes","No")</f>
        <v/>
      </c>
    </row>
    <row r="46">
      <c r="A46" s="2" t="n">
        <v>44</v>
      </c>
      <c r="B46" s="2" t="inlineStr">
        <is>
          <t>Oppo Enco Air 3 True Wireless in-Ear Earbuds with 25hrs Playtime, Fast Charging,13.4mm Driver &amp; BT v5.3 (Glaze White)</t>
        </is>
      </c>
      <c r="C46" s="2" t="inlineStr">
        <is>
          <t>Аудио</t>
        </is>
      </c>
      <c r="D46" s="2" t="n">
        <v>16</v>
      </c>
      <c r="E46" s="2" t="n">
        <v>10</v>
      </c>
      <c r="F46" s="3">
        <f>E46/90</f>
        <v/>
      </c>
      <c r="G46" s="4">
        <f>IF(F46=0,999,ROUND(D46/F46,1))</f>
        <v/>
      </c>
      <c r="H46" s="2">
        <f>IF(G46&lt;30,"Yes","No")</f>
        <v/>
      </c>
    </row>
    <row r="47">
      <c r="A47" s="2" t="n">
        <v>9</v>
      </c>
      <c r="B47" s="2" t="inlineStr">
        <is>
          <t>Oraimo 25.5W 4 Ports USB Charger, 5.1A USB Wall Charger Phone Adapter Compatible for iPhone 13/13 Mini/13 Pro Max/12/12 Pr...</t>
        </is>
      </c>
      <c r="C47" s="2" t="inlineStr">
        <is>
          <t>Электроника</t>
        </is>
      </c>
      <c r="D47" s="2" t="n">
        <v>20</v>
      </c>
      <c r="E47" s="2" t="n">
        <v>6</v>
      </c>
      <c r="F47" s="3">
        <f>E47/90</f>
        <v/>
      </c>
      <c r="G47" s="4">
        <f>IF(F47=0,999,ROUND(D47/F47,1))</f>
        <v/>
      </c>
      <c r="H47" s="2">
        <f>IF(G47&lt;30,"Yes","No")</f>
        <v/>
      </c>
    </row>
    <row r="48">
      <c r="A48" s="2" t="n">
        <v>35</v>
      </c>
      <c r="B48" s="2" t="inlineStr">
        <is>
          <t>ORICO SD Card Holder, Water-Resistant SD Card Storage, Professional Anti-Shock Memory Card Carrying Case for 26 Micro SD S...</t>
        </is>
      </c>
      <c r="C48" s="2" t="inlineStr">
        <is>
          <t>Камеры</t>
        </is>
      </c>
      <c r="D48" s="2" t="n">
        <v>32</v>
      </c>
      <c r="E48" s="2" t="n">
        <v>13</v>
      </c>
      <c r="F48" s="3">
        <f>E48/90</f>
        <v/>
      </c>
      <c r="G48" s="4">
        <f>IF(F48=0,999,ROUND(D48/F48,1))</f>
        <v/>
      </c>
      <c r="H48" s="2">
        <f>IF(G48&lt;30,"Yes","No")</f>
        <v/>
      </c>
    </row>
    <row r="49">
      <c r="A49" s="2" t="n">
        <v>75</v>
      </c>
      <c r="B49" s="2" t="inlineStr">
        <is>
          <t>PAMPA Wireless Portable Bluetooth Speaker with Handle Compatible with All Devices for Home/Office/Party/Beach.</t>
        </is>
      </c>
      <c r="C49" s="2" t="inlineStr">
        <is>
          <t>Аудио</t>
        </is>
      </c>
      <c r="D49" s="2" t="n">
        <v>11</v>
      </c>
      <c r="E49" s="2" t="n">
        <v>3</v>
      </c>
      <c r="F49" s="3">
        <f>E49/90</f>
        <v/>
      </c>
      <c r="G49" s="4">
        <f>IF(F49=0,999,ROUND(D49/F49,1))</f>
        <v/>
      </c>
      <c r="H49" s="2">
        <f>IF(G49&lt;30,"Yes","No")</f>
        <v/>
      </c>
    </row>
    <row r="50">
      <c r="A50" s="2" t="n">
        <v>2</v>
      </c>
      <c r="B50" s="2" t="inlineStr">
        <is>
          <t>Pentonic Multicolor Gel Pen With Hard Box Case | 0.6 mm-1.0 mm | Sleek Matt Finish, Featherlite feel | Waterproof Gel Ink,...</t>
        </is>
      </c>
      <c r="C50" s="2" t="inlineStr">
        <is>
          <t>Электроника</t>
        </is>
      </c>
      <c r="D50" s="2" t="n">
        <v>11</v>
      </c>
      <c r="E50" s="2" t="n">
        <v>10</v>
      </c>
      <c r="F50" s="3">
        <f>E50/90</f>
        <v/>
      </c>
      <c r="G50" s="4">
        <f>IF(F50=0,999,ROUND(D50/F50,1))</f>
        <v/>
      </c>
      <c r="H50" s="2">
        <f>IF(G50&lt;30,"Yes","No")</f>
        <v/>
      </c>
    </row>
    <row r="51">
      <c r="A51" s="2" t="n">
        <v>63</v>
      </c>
      <c r="B51" s="2" t="inlineStr">
        <is>
          <t>PFN Analog DW Maroon Colour White dial Mens Watch Womens Watch</t>
        </is>
      </c>
      <c r="C51" s="2" t="inlineStr">
        <is>
          <t>Часы</t>
        </is>
      </c>
      <c r="D51" s="2" t="n">
        <v>1</v>
      </c>
      <c r="E51" s="2" t="n">
        <v>1</v>
      </c>
      <c r="F51" s="3">
        <f>E51/90</f>
        <v/>
      </c>
      <c r="G51" s="4">
        <f>IF(F51=0,999,ROUND(D51/F51,1))</f>
        <v/>
      </c>
      <c r="H51" s="2">
        <f>IF(G51&lt;30,"Yes","No")</f>
        <v/>
      </c>
    </row>
    <row r="52">
      <c r="A52" s="2" t="n">
        <v>42</v>
      </c>
      <c r="B52" s="2" t="inlineStr">
        <is>
          <t>PJ Masks Catboy Kids Headphones by CozyPhones - Over The Ear Headband Headphones - Volume Limited with Thin Speakers &amp; Sof...</t>
        </is>
      </c>
      <c r="C52" s="2" t="inlineStr">
        <is>
          <t>Аудио</t>
        </is>
      </c>
      <c r="D52" s="2" t="n">
        <v>36</v>
      </c>
      <c r="E52" s="2" t="n">
        <v>5</v>
      </c>
      <c r="F52" s="3">
        <f>E52/90</f>
        <v/>
      </c>
      <c r="G52" s="4">
        <f>IF(F52=0,999,ROUND(D52/F52,1))</f>
        <v/>
      </c>
      <c r="H52" s="2">
        <f>IF(G52&lt;30,"Yes","No")</f>
        <v/>
      </c>
    </row>
    <row r="53">
      <c r="A53" s="2" t="n">
        <v>15</v>
      </c>
      <c r="B53" s="2" t="inlineStr">
        <is>
          <t>POPIO Tempered Glass Compatible for iPhone 6; iPhone 6S; iPhone 7; iPhone 8 (Transparent) Full Screen Coverage (Except Edg...</t>
        </is>
      </c>
      <c r="C53" s="2" t="inlineStr">
        <is>
          <t>Электроника</t>
        </is>
      </c>
      <c r="D53" s="2" t="n">
        <v>5</v>
      </c>
      <c r="E53" s="2" t="n">
        <v>6</v>
      </c>
      <c r="F53" s="3">
        <f>E53/90</f>
        <v/>
      </c>
      <c r="G53" s="4">
        <f>IF(F53=0,999,ROUND(D53/F53,1))</f>
        <v/>
      </c>
      <c r="H53" s="2">
        <f>IF(G53&lt;30,"Yes","No")</f>
        <v/>
      </c>
    </row>
    <row r="54">
      <c r="A54" s="2" t="n">
        <v>51</v>
      </c>
      <c r="B54" s="2" t="inlineStr">
        <is>
          <t>Power Guard 80 cm (32 inches) Frameless HD Ready Smart LED TV PG32FSVC (Black)</t>
        </is>
      </c>
      <c r="C54" s="2" t="inlineStr">
        <is>
          <t>ТВ и домашний кинотеатр</t>
        </is>
      </c>
      <c r="D54" s="2" t="n">
        <v>18</v>
      </c>
      <c r="E54" s="2" t="n">
        <v>7</v>
      </c>
      <c r="F54" s="3">
        <f>E54/90</f>
        <v/>
      </c>
      <c r="G54" s="4">
        <f>IF(F54=0,999,ROUND(D54/F54,1))</f>
        <v/>
      </c>
      <c r="H54" s="2">
        <f>IF(G54&lt;30,"Yes","No")</f>
        <v/>
      </c>
    </row>
    <row r="55">
      <c r="A55" s="2" t="n">
        <v>81</v>
      </c>
      <c r="B55" s="2" t="inlineStr">
        <is>
          <t>Rambutan Opto Coupler 1.8</t>
        </is>
      </c>
      <c r="C55" s="2" t="inlineStr">
        <is>
          <t>ТВ и домашний кинотеатр</t>
        </is>
      </c>
      <c r="D55" s="2" t="n">
        <v>7</v>
      </c>
      <c r="E55" s="2" t="n">
        <v>0</v>
      </c>
      <c r="F55" s="3">
        <f>E55/90</f>
        <v/>
      </c>
      <c r="G55" s="4">
        <f>IF(F55=0,999,ROUND(D55/F55,1))</f>
        <v/>
      </c>
      <c r="H55" s="2">
        <f>IF(G55&lt;30,"Yes","No")</f>
        <v/>
      </c>
    </row>
    <row r="56">
      <c r="A56" s="2" t="n">
        <v>21</v>
      </c>
      <c r="B56" s="2" t="inlineStr">
        <is>
          <t>Robustrion Smart Trifold Hard Back Flip Stand Case Cover for Lenovo Tab M10 HD 2nd Gen TB-X306X / Smart Tab M10 HD 2nd Gen...</t>
        </is>
      </c>
      <c r="C56" s="2" t="inlineStr">
        <is>
          <t>Электроника</t>
        </is>
      </c>
      <c r="D56" s="2" t="n">
        <v>3</v>
      </c>
      <c r="E56" s="2" t="n">
        <v>4</v>
      </c>
      <c r="F56" s="3">
        <f>E56/90</f>
        <v/>
      </c>
      <c r="G56" s="4">
        <f>IF(F56=0,999,ROUND(D56/F56,1))</f>
        <v/>
      </c>
      <c r="H56" s="2">
        <f>IF(G56&lt;30,"Yes","No")</f>
        <v/>
      </c>
    </row>
    <row r="57">
      <c r="A57" s="2" t="n">
        <v>52</v>
      </c>
      <c r="B57" s="2" t="inlineStr">
        <is>
          <t>Samsung 1m 09cm (43") Smart Monitor with Built-in Speaker - LS43AM704UWXXL</t>
        </is>
      </c>
      <c r="C57" s="2" t="inlineStr">
        <is>
          <t>ТВ и домашний кинотеатр</t>
        </is>
      </c>
      <c r="D57" s="2" t="n">
        <v>3</v>
      </c>
      <c r="E57" s="2" t="n">
        <v>2</v>
      </c>
      <c r="F57" s="3">
        <f>E57/90</f>
        <v/>
      </c>
      <c r="G57" s="4">
        <f>IF(F57=0,999,ROUND(D57/F57,1))</f>
        <v/>
      </c>
      <c r="H57" s="2">
        <f>IF(G57&lt;30,"Yes","No")</f>
        <v/>
      </c>
    </row>
    <row r="58">
      <c r="A58" s="2" t="n">
        <v>14</v>
      </c>
      <c r="B58" s="2" t="inlineStr">
        <is>
          <t>SeCro 3.5mm Female to 6.35mm Male Plug Stereo Audio Auxiliary Jack Converter for Charging Adapter (Golden)</t>
        </is>
      </c>
      <c r="C58" s="2" t="inlineStr">
        <is>
          <t>Электроника</t>
        </is>
      </c>
      <c r="D58" s="2" t="n">
        <v>26</v>
      </c>
      <c r="E58" s="2" t="n">
        <v>8</v>
      </c>
      <c r="F58" s="3">
        <f>E58/90</f>
        <v/>
      </c>
      <c r="G58" s="4">
        <f>IF(F58=0,999,ROUND(D58/F58,1))</f>
        <v/>
      </c>
      <c r="H58" s="2">
        <f>IF(G58&lt;30,"Yes","No")</f>
        <v/>
      </c>
    </row>
    <row r="59">
      <c r="A59" s="2" t="n">
        <v>73</v>
      </c>
      <c r="B59" s="2" t="inlineStr">
        <is>
          <t>Shopnet Wireless Bluetooth Speaker TG113 For Huawei MediaPad T2 7.0 Pro Ultra Boost Bass with DJ Sound Portable Home Speak...</t>
        </is>
      </c>
      <c r="C59" s="2" t="inlineStr">
        <is>
          <t>Аудио</t>
        </is>
      </c>
      <c r="D59" s="2" t="n">
        <v>26</v>
      </c>
      <c r="E59" s="2" t="n">
        <v>1</v>
      </c>
      <c r="F59" s="3">
        <f>E59/90</f>
        <v/>
      </c>
      <c r="G59" s="4">
        <f>IF(F59=0,999,ROUND(D59/F59,1))</f>
        <v/>
      </c>
      <c r="H59" s="2">
        <f>IF(G59&lt;30,"Yes","No")</f>
        <v/>
      </c>
    </row>
    <row r="60">
      <c r="A60" s="2" t="n">
        <v>77</v>
      </c>
      <c r="B60" s="2" t="inlineStr">
        <is>
          <t>Shopnet Wireless Bluetooth Speaker TG113 For Samsung Galaxy Tab A 7.0 9 (2016), Samsung Galaxy Tab A 8.0, Samsung Galaxy T...</t>
        </is>
      </c>
      <c r="C60" s="2" t="inlineStr">
        <is>
          <t>Аудио</t>
        </is>
      </c>
      <c r="D60" s="2" t="n">
        <v>4</v>
      </c>
      <c r="E60" s="2" t="n">
        <v>6</v>
      </c>
      <c r="F60" s="3">
        <f>E60/90</f>
        <v/>
      </c>
      <c r="G60" s="4">
        <f>IF(F60=0,999,ROUND(D60/F60,1))</f>
        <v/>
      </c>
      <c r="H60" s="2">
        <f>IF(G60&lt;30,"Yes","No")</f>
        <v/>
      </c>
    </row>
    <row r="61">
      <c r="A61" s="2" t="n">
        <v>37</v>
      </c>
      <c r="B61" s="2" t="inlineStr">
        <is>
          <t>SONATA GOLD Series CCTV Mini WiFi Magnet Camera, Wireless CCTV 1080P IR Night Viewing 2 Way Audio Smart Surveillance Camer...</t>
        </is>
      </c>
      <c r="C61" s="2" t="inlineStr">
        <is>
          <t>Камеры</t>
        </is>
      </c>
      <c r="D61" s="2" t="n">
        <v>12</v>
      </c>
      <c r="E61" s="2" t="n">
        <v>10</v>
      </c>
      <c r="F61" s="3">
        <f>E61/90</f>
        <v/>
      </c>
      <c r="G61" s="4">
        <f>IF(F61=0,999,ROUND(D61/F61,1))</f>
        <v/>
      </c>
      <c r="H61" s="2">
        <f>IF(G61&lt;30,"Yes","No")</f>
        <v/>
      </c>
    </row>
    <row r="62">
      <c r="A62" s="2" t="n">
        <v>26</v>
      </c>
      <c r="B62" s="2" t="inlineStr">
        <is>
          <t>Sony Extra Bass MDR-XB450AP On-Ear Wired Headphones with Mic (Black)</t>
        </is>
      </c>
      <c r="C62" s="2" t="inlineStr">
        <is>
          <t>Электроника</t>
        </is>
      </c>
      <c r="D62" s="2" t="n">
        <v>10</v>
      </c>
      <c r="E62" s="2" t="n">
        <v>6</v>
      </c>
      <c r="F62" s="3">
        <f>E62/90</f>
        <v/>
      </c>
      <c r="G62" s="4">
        <f>IF(F62=0,999,ROUND(D62/F62,1))</f>
        <v/>
      </c>
      <c r="H62" s="2">
        <f>IF(G62&lt;30,"Yes","No")</f>
        <v/>
      </c>
    </row>
    <row r="63">
      <c r="A63" s="2" t="n">
        <v>66</v>
      </c>
      <c r="B63" s="2" t="inlineStr">
        <is>
          <t>Techzere Portable Rechargeable Handsfree Neck Fan with LED Red &amp; Black</t>
        </is>
      </c>
      <c r="C63" s="2" t="inlineStr">
        <is>
          <t>Бытовая техника</t>
        </is>
      </c>
      <c r="D63" s="2" t="n">
        <v>39</v>
      </c>
      <c r="E63" s="2" t="n">
        <v>5</v>
      </c>
      <c r="F63" s="3">
        <f>E63/90</f>
        <v/>
      </c>
      <c r="G63" s="4">
        <f>IF(F63=0,999,ROUND(D63/F63,1))</f>
        <v/>
      </c>
      <c r="H63" s="2">
        <f>IF(G63&lt;30,"Yes","No")</f>
        <v/>
      </c>
    </row>
    <row r="64">
      <c r="A64" s="2" t="n">
        <v>32</v>
      </c>
      <c r="B64" s="2" t="inlineStr">
        <is>
          <t>TELESIN Battery for GoPro Hero 11/10/9 Camera with 1750mAh Rechargeable Battery | Camera Battery (1 X Charger &amp; 2 X Battery)</t>
        </is>
      </c>
      <c r="C64" s="2" t="inlineStr">
        <is>
          <t>Камеры</t>
        </is>
      </c>
      <c r="D64" s="2" t="n">
        <v>4</v>
      </c>
      <c r="E64" s="2" t="n">
        <v>9</v>
      </c>
      <c r="F64" s="3">
        <f>E64/90</f>
        <v/>
      </c>
      <c r="G64" s="4">
        <f>IF(F64=0,999,ROUND(D64/F64,1))</f>
        <v/>
      </c>
      <c r="H64" s="2">
        <f>IF(G64&lt;30,"Yes","No")</f>
        <v/>
      </c>
    </row>
    <row r="65">
      <c r="A65" s="2" t="n">
        <v>5</v>
      </c>
      <c r="B65" s="2" t="inlineStr">
        <is>
          <t>TheGiftKart Flip Back Cover Case for OnePlus Nord CE 2 LITE 5G | Dual-Color Leather Finish | Inbuilt Stand &amp; Pockets | Wal...</t>
        </is>
      </c>
      <c r="C65" s="2" t="inlineStr">
        <is>
          <t>Электроника</t>
        </is>
      </c>
      <c r="D65" s="2" t="n">
        <v>1</v>
      </c>
      <c r="E65" s="2" t="n">
        <v>0</v>
      </c>
      <c r="F65" s="3">
        <f>E65/90</f>
        <v/>
      </c>
      <c r="G65" s="4">
        <f>IF(F65=0,999,ROUND(D65/F65,1))</f>
        <v/>
      </c>
      <c r="H65" s="2">
        <f>IF(G65&lt;30,"Yes","No")</f>
        <v/>
      </c>
    </row>
    <row r="66">
      <c r="A66" s="2" t="n">
        <v>19</v>
      </c>
      <c r="B66" s="2" t="inlineStr">
        <is>
          <t>TheGiftKart Shockproof Crystal Clear Back Cover Case for Redmi A1 | 360 Degree Protection | Protective Design | Transparen...</t>
        </is>
      </c>
      <c r="C66" s="2" t="inlineStr">
        <is>
          <t>Электроника</t>
        </is>
      </c>
      <c r="D66" s="2" t="n">
        <v>4</v>
      </c>
      <c r="E66" s="2" t="n">
        <v>7</v>
      </c>
      <c r="F66" s="3">
        <f>E66/90</f>
        <v/>
      </c>
      <c r="G66" s="4">
        <f>IF(F66=0,999,ROUND(D66/F66,1))</f>
        <v/>
      </c>
      <c r="H66" s="2">
        <f>IF(G66&lt;30,"Yes","No")</f>
        <v/>
      </c>
    </row>
    <row r="67">
      <c r="A67" s="2" t="n">
        <v>49</v>
      </c>
      <c r="B67" s="2" t="inlineStr">
        <is>
          <t>Tiitan N2 Wireless Bluetooth In Ear Neckband Earphone with Mic (Black)</t>
        </is>
      </c>
      <c r="C67" s="2" t="inlineStr">
        <is>
          <t>Аудио</t>
        </is>
      </c>
      <c r="D67" s="2" t="n">
        <v>10</v>
      </c>
      <c r="E67" s="2" t="n">
        <v>7</v>
      </c>
      <c r="F67" s="3">
        <f>E67/90</f>
        <v/>
      </c>
      <c r="G67" s="4">
        <f>IF(F67=0,999,ROUND(D67/F67,1))</f>
        <v/>
      </c>
      <c r="H67" s="2">
        <f>IF(G67&lt;30,"Yes","No")</f>
        <v/>
      </c>
    </row>
    <row r="68">
      <c r="A68" s="2" t="n">
        <v>82</v>
      </c>
      <c r="B68" s="2" t="inlineStr">
        <is>
          <t>Tronica Super King 40W 5.1 Bluetooth Home Theater System with FM/PenDrive/Sd Card/Mobile/Aux Support &amp; Remote (5.1 Speaker...</t>
        </is>
      </c>
      <c r="C68" s="2" t="inlineStr">
        <is>
          <t>ТВ и домашний кинотеатр</t>
        </is>
      </c>
      <c r="D68" s="2" t="n">
        <v>4</v>
      </c>
      <c r="E68" s="2" t="n">
        <v>4</v>
      </c>
      <c r="F68" s="3">
        <f>E68/90</f>
        <v/>
      </c>
      <c r="G68" s="4">
        <f>IF(F68=0,999,ROUND(D68/F68,1))</f>
        <v/>
      </c>
      <c r="H68" s="2">
        <f>IF(G68&lt;30,"Yes","No")</f>
        <v/>
      </c>
    </row>
    <row r="69">
      <c r="A69" s="2" t="n">
        <v>46</v>
      </c>
      <c r="B69" s="2" t="inlineStr">
        <is>
          <t>Type C Earphone AK-G Wired Earphone For Samsung Galaxy Note20 5G , Samsung Galaxy Note 20 5G USB C Headphones Type C Earph...</t>
        </is>
      </c>
      <c r="C69" s="2" t="inlineStr">
        <is>
          <t>Аудио</t>
        </is>
      </c>
      <c r="D69" s="2" t="n">
        <v>30</v>
      </c>
      <c r="E69" s="2" t="n">
        <v>9</v>
      </c>
      <c r="F69" s="3">
        <f>E69/90</f>
        <v/>
      </c>
      <c r="G69" s="4">
        <f>IF(F69=0,999,ROUND(D69/F69,1))</f>
        <v/>
      </c>
      <c r="H69" s="2">
        <f>IF(G69&lt;30,"Yes","No")</f>
        <v/>
      </c>
    </row>
    <row r="70">
      <c r="A70" s="2" t="n">
        <v>38</v>
      </c>
      <c r="B70" s="2" t="inlineStr">
        <is>
          <t>VIBLITZ® 3 in 1 Universal Stabilizer C-Shape Bracket Video Handheld Grip + Ball Head hot Shoe Adapter + Mobile Phone Clip ...</t>
        </is>
      </c>
      <c r="C70" s="2" t="inlineStr">
        <is>
          <t>Камеры</t>
        </is>
      </c>
      <c r="D70" s="2" t="n">
        <v>13</v>
      </c>
      <c r="E70" s="2" t="n">
        <v>2</v>
      </c>
      <c r="F70" s="3">
        <f>E70/90</f>
        <v/>
      </c>
      <c r="G70" s="4">
        <f>IF(F70=0,999,ROUND(D70/F70,1))</f>
        <v/>
      </c>
      <c r="H70" s="2">
        <f>IF(G70&lt;30,"Yes","No")</f>
        <v/>
      </c>
    </row>
    <row r="71">
      <c r="A71" s="2" t="n">
        <v>6</v>
      </c>
      <c r="B71" s="2" t="inlineStr">
        <is>
          <t>Vivo Y56 5G (Black Engine, 8GB RAM, 128GB Storage) with No Cost EMI/Additional Exchange Offers</t>
        </is>
      </c>
      <c r="C71" s="2" t="inlineStr">
        <is>
          <t>Электроника</t>
        </is>
      </c>
      <c r="D71" s="2" t="n">
        <v>20</v>
      </c>
      <c r="E71" s="2" t="n">
        <v>4</v>
      </c>
      <c r="F71" s="3">
        <f>E71/90</f>
        <v/>
      </c>
      <c r="G71" s="4">
        <f>IF(F71=0,999,ROUND(D71/F71,1))</f>
        <v/>
      </c>
      <c r="H71" s="2">
        <f>IF(G71&lt;30,"Yes","No")</f>
        <v/>
      </c>
    </row>
    <row r="72">
      <c r="A72" s="2" t="n">
        <v>48</v>
      </c>
      <c r="B72" s="2" t="inlineStr">
        <is>
          <t>Wireless Bluetooth Headphones Earphone For Huawei Honor 7A Neckband Earphone Bluetooth 5.0 Wireless Headphones with Hi-Fi ...</t>
        </is>
      </c>
      <c r="C72" s="2" t="inlineStr">
        <is>
          <t>Аудио</t>
        </is>
      </c>
      <c r="D72" s="2" t="n">
        <v>7</v>
      </c>
      <c r="E72" s="2" t="n">
        <v>4</v>
      </c>
      <c r="F72" s="3">
        <f>E72/90</f>
        <v/>
      </c>
      <c r="G72" s="4">
        <f>IF(F72=0,999,ROUND(D72/F72,1))</f>
        <v/>
      </c>
      <c r="H72" s="2">
        <f>IF(G72&lt;30,"Yes","No")</f>
        <v/>
      </c>
    </row>
    <row r="73">
      <c r="A73" s="2" t="n">
        <v>78</v>
      </c>
      <c r="B73" s="2" t="inlineStr">
        <is>
          <t>WorldCare® Durable VGA Wall Socket Module Modular Wallplate with Frame Directly Plug</t>
        </is>
      </c>
      <c r="C73" s="2" t="inlineStr">
        <is>
          <t>ТВ и домашний кинотеатр</t>
        </is>
      </c>
      <c r="D73" s="2" t="n">
        <v>17</v>
      </c>
      <c r="E73" s="2" t="n">
        <v>3</v>
      </c>
      <c r="F73" s="3">
        <f>E73/90</f>
        <v/>
      </c>
      <c r="G73" s="4">
        <f>IF(F73=0,999,ROUND(D73/F73,1))</f>
        <v/>
      </c>
      <c r="H73" s="2">
        <f>IF(G73&lt;30,"Yes","No")</f>
        <v/>
      </c>
    </row>
    <row r="74">
      <c r="A74" s="2" t="n">
        <v>50</v>
      </c>
      <c r="B74" s="2" t="inlineStr">
        <is>
          <t>XTOUCH XTBC01 XBass Rich Bass and Noise Cancellation Earphone with Type C Port, 13mm Driver, Inline Mic &amp; Volume Controlle...</t>
        </is>
      </c>
      <c r="C74" s="2" t="inlineStr">
        <is>
          <t>Аудио</t>
        </is>
      </c>
      <c r="D74" s="2" t="n">
        <v>2</v>
      </c>
      <c r="E74" s="2" t="n">
        <v>1</v>
      </c>
      <c r="F74" s="3">
        <f>E74/90</f>
        <v/>
      </c>
      <c r="G74" s="4">
        <f>IF(F74=0,999,ROUND(D74/F74,1))</f>
        <v/>
      </c>
      <c r="H74" s="2">
        <f>IF(G74&lt;30,"Yes","No")</f>
        <v/>
      </c>
    </row>
    <row r="75">
      <c r="A75" s="2" t="n">
        <v>60</v>
      </c>
      <c r="B75" s="2" t="inlineStr">
        <is>
          <t>Zaha New Generation Digital Red LED Watch for Boys, Girls &amp; Kids Pack of 2. (White &amp; Black)</t>
        </is>
      </c>
      <c r="C75" s="2" t="inlineStr">
        <is>
          <t>Часы</t>
        </is>
      </c>
      <c r="D75" s="2" t="n">
        <v>25</v>
      </c>
      <c r="E75" s="2" t="n">
        <v>3</v>
      </c>
      <c r="F75" s="3">
        <f>E75/90</f>
        <v/>
      </c>
      <c r="G75" s="4">
        <f>IF(F75=0,999,ROUND(D75/F75,1))</f>
        <v/>
      </c>
      <c r="H75" s="2">
        <f>IF(G75&lt;30,"Yes","No")</f>
        <v/>
      </c>
    </row>
    <row r="76">
      <c r="A76" s="2" t="n">
        <v>47</v>
      </c>
      <c r="B76" s="2" t="inlineStr">
        <is>
          <t>Zavia French Fox ENC Earbuds, Dolby Atmos,50 Hrs Playtime,500 mAh Battery,Made in India,Fast Charge, 2 Mics for Perfect Ca...</t>
        </is>
      </c>
      <c r="C76" s="2" t="inlineStr">
        <is>
          <t>Аудио</t>
        </is>
      </c>
      <c r="D76" s="2" t="n">
        <v>44</v>
      </c>
      <c r="E76" s="2" t="n">
        <v>5</v>
      </c>
      <c r="F76" s="3">
        <f>E76/90</f>
        <v/>
      </c>
      <c r="G76" s="4">
        <f>IF(F76=0,999,ROUND(D76/F76,1))</f>
        <v/>
      </c>
      <c r="H76" s="2">
        <f>IF(G76&lt;30,"Yes","No")</f>
        <v/>
      </c>
    </row>
    <row r="77">
      <c r="A77" s="2" t="n">
        <v>13</v>
      </c>
      <c r="B77" s="2" t="inlineStr">
        <is>
          <t>ZEBRONICS Zeb-100HB 4 Ports USB Hub for Laptop, PC Computers, Plug &amp; Play, Backward Compatible - Black</t>
        </is>
      </c>
      <c r="C77" s="2" t="inlineStr">
        <is>
          <t>Электроника</t>
        </is>
      </c>
      <c r="D77" s="2" t="n">
        <v>6</v>
      </c>
      <c r="E77" s="2" t="n">
        <v>11</v>
      </c>
      <c r="F77" s="3">
        <f>E77/90</f>
        <v/>
      </c>
      <c r="G77" s="4">
        <f>IF(F77=0,999,ROUND(D77/F77,1))</f>
        <v/>
      </c>
      <c r="H77" s="2">
        <f>IF(G77&lt;30,"Yes","No")</f>
        <v/>
      </c>
    </row>
    <row r="78">
      <c r="A78" s="2" t="n">
        <v>72</v>
      </c>
      <c r="B78" s="2" t="inlineStr">
        <is>
          <t>ZETONES Electric Mini Cooking Pot, Electric Cooker Steamer (Blue, 1.5 L, 600-Watts, Outer Lid)</t>
        </is>
      </c>
      <c r="C78" s="2" t="inlineStr">
        <is>
          <t>Бытовая техника</t>
        </is>
      </c>
      <c r="D78" s="2" t="n">
        <v>21</v>
      </c>
      <c r="E78" s="2" t="n">
        <v>11</v>
      </c>
      <c r="F78" s="3">
        <f>E78/90</f>
        <v/>
      </c>
      <c r="G78" s="4">
        <f>IF(F78=0,999,ROUND(D78/F78,1))</f>
        <v/>
      </c>
      <c r="H78" s="2">
        <f>IF(G78&lt;30,"Yes","No")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5" customWidth="1" min="4" max="4"/>
    <col width="19" customWidth="1" min="5" max="5"/>
    <col width="21" customWidth="1" min="6" max="6"/>
    <col width="54" customWidth="1" min="7" max="7"/>
  </cols>
  <sheetData>
    <row r="1">
      <c r="A1" s="1" t="inlineStr">
        <is>
          <t>Supplier</t>
        </is>
      </c>
      <c r="B1" s="1" t="inlineStr">
        <is>
          <t>City</t>
        </is>
      </c>
      <c r="C1" s="1" t="inlineStr">
        <is>
          <t>Lead_Time_Days</t>
        </is>
      </c>
      <c r="D1" s="1" t="inlineStr">
        <is>
          <t>Min_Order_Qty</t>
        </is>
      </c>
      <c r="E1" s="1" t="inlineStr">
        <is>
          <t>Reliability_Score</t>
        </is>
      </c>
      <c r="F1" s="1" t="inlineStr">
        <is>
          <t>Risk_Index</t>
        </is>
      </c>
      <c r="G1" s="1" t="inlineStr">
        <is>
          <t>Risk_Band</t>
        </is>
      </c>
    </row>
    <row r="2">
      <c r="A2" s="2" t="inlineStr">
        <is>
          <t>ТехноСнаб Москва</t>
        </is>
      </c>
      <c r="B2" s="2" t="inlineStr">
        <is>
          <t>Москва</t>
        </is>
      </c>
      <c r="C2" s="2" t="n">
        <v>14</v>
      </c>
      <c r="D2" s="2" t="n">
        <v>50</v>
      </c>
      <c r="E2" s="4" t="n">
        <v>4.2</v>
      </c>
      <c r="F2" s="3">
        <f>ROUND(C2*(5-E2),2)</f>
        <v/>
      </c>
      <c r="G2" s="2">
        <f>IF(OR(C2&gt;=14,E2&lt;4),"High",IF(OR(C2&gt;=10,E2&lt;4.5),"Medium","Low"))</f>
        <v/>
      </c>
    </row>
    <row r="3">
      <c r="A3" s="2" t="inlineStr">
        <is>
          <t>УралОптТорг</t>
        </is>
      </c>
      <c r="B3" s="2" t="inlineStr">
        <is>
          <t>Екатеринбург</t>
        </is>
      </c>
      <c r="C3" s="2" t="n">
        <v>7</v>
      </c>
      <c r="D3" s="2" t="n">
        <v>25</v>
      </c>
      <c r="E3" s="4" t="n">
        <v>4.8</v>
      </c>
      <c r="F3" s="3">
        <f>ROUND(C3*(5-E3),2)</f>
        <v/>
      </c>
      <c r="G3" s="2">
        <f>IF(OR(C3&gt;=14,E3&lt;4),"High",IF(OR(C3&gt;=10,E3&lt;4.5),"Medium","Low"))</f>
        <v/>
      </c>
    </row>
    <row r="4">
      <c r="A4" s="2" t="inlineStr">
        <is>
          <t>СибПоставка</t>
        </is>
      </c>
      <c r="B4" s="2" t="inlineStr">
        <is>
          <t>Новосибирск</t>
        </is>
      </c>
      <c r="C4" s="2" t="n">
        <v>21</v>
      </c>
      <c r="D4" s="2" t="n">
        <v>100</v>
      </c>
      <c r="E4" s="4" t="n">
        <v>3.9</v>
      </c>
      <c r="F4" s="3">
        <f>ROUND(C4*(5-E4),2)</f>
        <v/>
      </c>
      <c r="G4" s="2">
        <f>IF(OR(C4&gt;=14,E4&lt;4),"High",IF(OR(C4&gt;=10,E4&lt;4.5),"Medium","Low"))</f>
        <v/>
      </c>
    </row>
    <row r="5">
      <c r="A5" s="2" t="inlineStr">
        <is>
          <t>БалтЛогистик</t>
        </is>
      </c>
      <c r="B5" s="2" t="inlineStr">
        <is>
          <t>Санкт-Петербург</t>
        </is>
      </c>
      <c r="C5" s="2" t="n">
        <v>10</v>
      </c>
      <c r="D5" s="2" t="n">
        <v>30</v>
      </c>
      <c r="E5" s="4" t="n">
        <v>4.5</v>
      </c>
      <c r="F5" s="3">
        <f>ROUND(C5*(5-E5),2)</f>
        <v/>
      </c>
      <c r="G5" s="2">
        <f>IF(OR(C5&gt;=14,E5&lt;4),"High",IF(OR(C5&gt;=10,E5&lt;4.5),"Medium","Low"))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Total_Units_Ordered</t>
        </is>
      </c>
      <c r="C1" s="1" t="inlineStr">
        <is>
          <t>Order_Count</t>
        </is>
      </c>
    </row>
    <row r="2">
      <c r="A2" s="2" t="inlineStr">
        <is>
          <t>Аудио</t>
        </is>
      </c>
      <c r="B2" s="2" t="n">
        <v>86</v>
      </c>
      <c r="C2" s="2" t="n">
        <v>43</v>
      </c>
    </row>
    <row r="3">
      <c r="A3" s="2" t="inlineStr">
        <is>
          <t>Бытовая техника</t>
        </is>
      </c>
      <c r="B3" s="2" t="n">
        <v>44</v>
      </c>
      <c r="C3" s="2" t="n">
        <v>24</v>
      </c>
    </row>
    <row r="4">
      <c r="A4" s="2" t="inlineStr">
        <is>
          <t>Камеры</t>
        </is>
      </c>
      <c r="B4" s="2" t="n">
        <v>67</v>
      </c>
      <c r="C4" s="2" t="n">
        <v>31</v>
      </c>
    </row>
    <row r="5">
      <c r="A5" s="2" t="inlineStr">
        <is>
          <t>ТВ и домашний кинотеатр</t>
        </is>
      </c>
      <c r="B5" s="2" t="n">
        <v>50</v>
      </c>
      <c r="C5" s="2" t="n">
        <v>27</v>
      </c>
    </row>
    <row r="6">
      <c r="A6" s="2" t="inlineStr">
        <is>
          <t>Часы</t>
        </is>
      </c>
      <c r="B6" s="2" t="n">
        <v>20</v>
      </c>
      <c r="C6" s="2" t="n">
        <v>10</v>
      </c>
    </row>
    <row r="7">
      <c r="A7" s="2" t="inlineStr">
        <is>
          <t>Электроника</t>
        </is>
      </c>
      <c r="B7" s="2" t="n">
        <v>160</v>
      </c>
      <c r="C7" s="2" t="n">
        <v>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54" customWidth="1" min="8" max="8"/>
  </cols>
  <sheetData>
    <row r="1">
      <c r="A1" s="1" t="inlineStr">
        <is>
          <t>Priority_Rank</t>
        </is>
      </c>
      <c r="B1" s="1" t="inlineStr">
        <is>
          <t>Product_ID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Current_Stock</t>
        </is>
      </c>
      <c r="F1" s="1" t="inlineStr">
        <is>
          <t>Total_Sales</t>
        </is>
      </c>
      <c r="G1" s="1" t="inlineStr">
        <is>
          <t>Days_Remaining</t>
        </is>
      </c>
      <c r="H1" s="1" t="inlineStr">
        <is>
          <t>Recommended_Action</t>
        </is>
      </c>
    </row>
    <row r="2">
      <c r="A2" s="2">
        <f>ROW()-1</f>
        <v/>
      </c>
      <c r="B2" s="2">
        <f>'Stock_Status'!A15</f>
        <v/>
      </c>
      <c r="C2" s="2">
        <f>'Stock_Status'!B15</f>
        <v/>
      </c>
      <c r="D2" s="2">
        <f>'Stock_Status'!C15</f>
        <v/>
      </c>
      <c r="E2" s="2">
        <f>'Stock_Status'!D15</f>
        <v/>
      </c>
      <c r="F2" s="2">
        <f>'Stock_Status'!E15</f>
        <v/>
      </c>
      <c r="G2" s="4">
        <f>'Stock_Status'!G15</f>
        <v/>
      </c>
      <c r="H2" s="2" t="inlineStr">
        <is>
          <t>Place replenishment order; review supplier lead time and reliability</t>
        </is>
      </c>
    </row>
    <row r="3">
      <c r="A3" s="2">
        <f>ROW()-1</f>
        <v/>
      </c>
      <c r="B3" s="2">
        <f>'Stock_Status'!A22</f>
        <v/>
      </c>
      <c r="C3" s="2">
        <f>'Stock_Status'!B22</f>
        <v/>
      </c>
      <c r="D3" s="2">
        <f>'Stock_Status'!C22</f>
        <v/>
      </c>
      <c r="E3" s="2">
        <f>'Stock_Status'!D22</f>
        <v/>
      </c>
      <c r="F3" s="2">
        <f>'Stock_Status'!E22</f>
        <v/>
      </c>
      <c r="G3" s="4">
        <f>'Stock_Status'!G22</f>
        <v/>
      </c>
      <c r="H3" s="2" t="inlineStr">
        <is>
          <t>Place replenishment order; review supplier lead time and reliability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Total_Products_Analyzed</t>
        </is>
      </c>
      <c r="B2" s="2">
        <f>COUNTA('Stock_Status'!A2:A78)</f>
        <v/>
      </c>
    </row>
    <row r="3">
      <c r="A3" s="2" t="inlineStr">
        <is>
          <t>Products_Need_Restock</t>
        </is>
      </c>
      <c r="B3" s="2">
        <f>COUNTIF('Stock_Status'!H2:H78,"Yes")</f>
        <v/>
      </c>
    </row>
    <row r="4">
      <c r="A4" s="2" t="inlineStr">
        <is>
          <t>Products_Healthy</t>
        </is>
      </c>
      <c r="B4" s="2">
        <f>COUNTIF('Stock_Status'!H2:H78,"No")</f>
        <v/>
      </c>
    </row>
    <row r="5">
      <c r="A5" s="2" t="inlineStr">
        <is>
          <t>Avg_Days_Remaining</t>
        </is>
      </c>
      <c r="B5" s="4">
        <f>ROUND(AVERAGE('Stock_Status'!G2:G78),1)</f>
        <v/>
      </c>
    </row>
    <row r="6">
      <c r="A6" s="2" t="inlineStr">
        <is>
          <t>Snapshot_Date</t>
        </is>
      </c>
      <c r="B6" s="2" t="inlineStr">
        <is>
          <t>2026-03-07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2026-09-03T17:33:31Z</dcterms:created>
  <dcterms:modified xmlns:dcterms="http://purl.org/dc/terms/" xmlns:xsi="http://www.w3.org/2001/XMLSchema-instance" xsi:type="dcterms:W3CDTF">2026-09-03T17:33:31Z</dcterms:modified>
</cp:coreProperties>
</file>