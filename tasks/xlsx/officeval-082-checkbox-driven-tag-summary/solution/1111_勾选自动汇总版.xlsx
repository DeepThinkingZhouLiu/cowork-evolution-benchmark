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标签维度表" sheetId="1" state="visible" r:id="rId1"/>
  </sheets>
  <definedNames>
    <definedName name="_xlnm.Print_Area" localSheetId="0">'标签维度表'!$A$1:$J$68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3">
    <font>
      <name val="Carlito"/>
      <charset val="134"/>
      <sz val="11"/>
    </font>
    <font>
      <name val="Carlito"/>
      <charset val="134"/>
      <b val="1"/>
      <color rgb="FFFFFFFF"/>
      <sz val="16"/>
    </font>
    <font>
      <name val="宋体"/>
      <charset val="134"/>
      <color rgb="FF134E4A"/>
      <sz val="10"/>
    </font>
    <font>
      <name val="Carlito"/>
      <charset val="134"/>
      <color rgb="FF134E4A"/>
      <sz val="10"/>
    </font>
    <font>
      <name val="宋体"/>
      <charset val="134"/>
      <b val="1"/>
      <color rgb="FF000000"/>
      <sz val="11"/>
    </font>
    <font>
      <name val="Carlito"/>
      <charset val="134"/>
      <b val="1"/>
      <color rgb="FFFFFFFF"/>
      <sz val="11"/>
    </font>
    <font>
      <name val="宋体"/>
      <charset val="134"/>
      <b val="1"/>
      <color theme="0"/>
      <sz val="11"/>
    </font>
    <font>
      <name val="Carlito"/>
      <charset val="134"/>
      <b val="1"/>
      <color rgb="FF0F172A"/>
      <sz val="10"/>
    </font>
    <font>
      <name val="Carlito"/>
      <charset val="134"/>
      <color rgb="FF111827"/>
      <sz val="10"/>
    </font>
    <font>
      <name val="宋体"/>
      <charset val="134"/>
      <b val="1"/>
      <color rgb="FF0F172A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color rgb="FF111827"/>
      <sz val="10"/>
    </font>
    <font>
      <name val="Microsoft YaHei"/>
      <b val="1"/>
      <color rgb="00FFFFFF"/>
      <sz val="11"/>
    </font>
    <font>
      <name val="Microsoft YaHei"/>
      <color rgb="001F2937"/>
      <sz val="10"/>
    </font>
  </fonts>
  <fills count="46">
    <fill>
      <patternFill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115E59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FFE4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15E59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3">
    <border>
      <left/>
      <right/>
      <top/>
      <bottom/>
      <diagonal/>
    </border>
    <border>
      <left style="medium">
        <color rgb="FF0F766E"/>
      </left>
      <right/>
      <top style="medium">
        <color rgb="FF0F766E"/>
      </top>
      <bottom/>
      <diagonal/>
    </border>
    <border>
      <left/>
      <right/>
      <top style="medium">
        <color rgb="FF0F766E"/>
      </top>
      <bottom/>
      <diagonal/>
    </border>
    <border>
      <left style="medium">
        <color rgb="FF0F766E"/>
      </left>
      <right/>
      <top/>
      <bottom style="medium">
        <color rgb="FF0F766E"/>
      </bottom>
      <diagonal/>
    </border>
    <border>
      <left/>
      <right/>
      <top/>
      <bottom style="medium">
        <color rgb="FF0F766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F766E"/>
      </left>
      <right style="thin">
        <color rgb="FFCBD5E1"/>
      </right>
      <top style="medium">
        <color rgb="FF0F766E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0F766E"/>
      </top>
      <bottom style="thin">
        <color rgb="FFCBD5E1"/>
      </bottom>
      <diagonal/>
    </border>
    <border>
      <left style="medium">
        <color rgb="FF0F766E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F766E"/>
      </left>
      <right style="thin">
        <color rgb="FFCBD5E1"/>
      </right>
      <top style="thin">
        <color rgb="FFCBD5E1"/>
      </top>
      <bottom style="medium">
        <color rgb="FF0F766E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766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50">
    <xf numFmtId="0" fontId="1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12" borderId="12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3" applyAlignment="1">
      <alignment vertical="center"/>
    </xf>
    <xf numFmtId="0" fontId="17" fillId="0" borderId="13" applyAlignment="1">
      <alignment vertical="center"/>
    </xf>
    <xf numFmtId="0" fontId="18" fillId="0" borderId="14" applyAlignment="1">
      <alignment vertical="center"/>
    </xf>
    <xf numFmtId="0" fontId="18" fillId="0" borderId="0" applyAlignment="1">
      <alignment vertical="center"/>
    </xf>
    <xf numFmtId="0" fontId="19" fillId="13" borderId="15" applyAlignment="1">
      <alignment vertical="center"/>
    </xf>
    <xf numFmtId="0" fontId="20" fillId="14" borderId="16" applyAlignment="1">
      <alignment vertical="center"/>
    </xf>
    <xf numFmtId="0" fontId="21" fillId="14" borderId="15" applyAlignment="1">
      <alignment vertical="center"/>
    </xf>
    <xf numFmtId="0" fontId="22" fillId="15" borderId="17" applyAlignment="1">
      <alignment vertical="center"/>
    </xf>
    <xf numFmtId="0" fontId="23" fillId="0" borderId="18" applyAlignment="1">
      <alignment vertical="center"/>
    </xf>
    <xf numFmtId="0" fontId="24" fillId="0" borderId="19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9" fillId="36" borderId="0" applyAlignment="1">
      <alignment vertical="center"/>
    </xf>
    <xf numFmtId="0" fontId="29" fillId="37" borderId="0" applyAlignment="1">
      <alignment vertical="center"/>
    </xf>
    <xf numFmtId="0" fontId="28" fillId="38" borderId="0" applyAlignment="1">
      <alignment vertical="center"/>
    </xf>
    <xf numFmtId="0" fontId="28" fillId="39" borderId="0" applyAlignment="1">
      <alignment vertical="center"/>
    </xf>
    <xf numFmtId="0" fontId="29" fillId="40" borderId="0" applyAlignment="1">
      <alignment vertical="center"/>
    </xf>
    <xf numFmtId="0" fontId="29" fillId="41" borderId="0" applyAlignment="1">
      <alignment vertical="center"/>
    </xf>
    <xf numFmtId="0" fontId="28" fillId="42" borderId="0" applyAlignment="1">
      <alignment vertical="center"/>
    </xf>
    <xf numFmtId="0" fontId="0" fillId="0" borderId="0"/>
  </cellStyleXfs>
  <cellXfs count="29">
    <xf numFmtId="0" fontId="0" fillId="0" borderId="0" pivotButton="0" quotePrefix="0" xfId="49"/>
    <xf numFmtId="0" fontId="1" fillId="2" borderId="1" applyAlignment="1" pivotButton="0" quotePrefix="0" xfId="49">
      <alignment horizontal="center" vertical="center"/>
    </xf>
    <xf numFmtId="0" fontId="1" fillId="2" borderId="2" applyAlignment="1" pivotButton="0" quotePrefix="0" xfId="49">
      <alignment horizontal="center" vertical="center"/>
    </xf>
    <xf numFmtId="0" fontId="2" fillId="3" borderId="3" applyAlignment="1" pivotButton="0" quotePrefix="0" xfId="49">
      <alignment horizontal="center" vertical="center"/>
    </xf>
    <xf numFmtId="0" fontId="3" fillId="3" borderId="4" applyAlignment="1" pivotButton="0" quotePrefix="0" xfId="49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center" wrapText="1"/>
    </xf>
    <xf numFmtId="0" fontId="5" fillId="4" borderId="6" applyAlignment="1" pivotButton="0" quotePrefix="0" xfId="49">
      <alignment horizontal="center" vertical="center"/>
    </xf>
    <xf numFmtId="0" fontId="5" fillId="4" borderId="7" applyAlignment="1" pivotButton="0" quotePrefix="0" xfId="49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7" fillId="5" borderId="8" applyAlignment="1" pivotButton="0" quotePrefix="0" xfId="49">
      <alignment horizontal="center" vertical="center" wrapText="1"/>
    </xf>
    <xf numFmtId="0" fontId="8" fillId="6" borderId="9" applyAlignment="1" pivotButton="0" quotePrefix="0" xfId="49">
      <alignment horizontal="left" vertical="center" wrapText="1"/>
    </xf>
    <xf numFmtId="0" fontId="8" fillId="7" borderId="9" applyAlignment="1" pivotButton="0" quotePrefix="0" xfId="49">
      <alignment horizontal="left" vertical="center" wrapText="1"/>
    </xf>
    <xf numFmtId="0" fontId="9" fillId="8" borderId="8" applyAlignment="1" pivotButton="0" quotePrefix="0" xfId="49">
      <alignment horizontal="center" vertical="center" wrapText="1"/>
    </xf>
    <xf numFmtId="0" fontId="7" fillId="8" borderId="8" applyAlignment="1" pivotButton="0" quotePrefix="0" xfId="49">
      <alignment horizontal="center" vertical="center" wrapText="1"/>
    </xf>
    <xf numFmtId="0" fontId="7" fillId="9" borderId="8" applyAlignment="1" pivotButton="0" quotePrefix="0" xfId="49">
      <alignment horizontal="center" vertical="center" wrapText="1"/>
    </xf>
    <xf numFmtId="0" fontId="9" fillId="10" borderId="8" applyAlignment="1" pivotButton="0" quotePrefix="0" xfId="49">
      <alignment horizontal="center" vertical="center" wrapText="1"/>
    </xf>
    <xf numFmtId="0" fontId="7" fillId="10" borderId="8" applyAlignment="1" pivotButton="0" quotePrefix="0" xfId="49">
      <alignment horizontal="center" vertical="center" wrapText="1"/>
    </xf>
    <xf numFmtId="0" fontId="9" fillId="11" borderId="8" applyAlignment="1" pivotButton="0" quotePrefix="0" xfId="49">
      <alignment horizontal="center" vertical="center" wrapText="1"/>
    </xf>
    <xf numFmtId="0" fontId="7" fillId="11" borderId="8" applyAlignment="1" pivotButton="0" quotePrefix="0" xfId="49">
      <alignment horizontal="center" vertical="center" wrapText="1"/>
    </xf>
    <xf numFmtId="0" fontId="7" fillId="11" borderId="10" applyAlignment="1" pivotButton="0" quotePrefix="0" xfId="49">
      <alignment horizontal="center" vertical="center" wrapText="1"/>
    </xf>
    <xf numFmtId="0" fontId="8" fillId="7" borderId="11" applyAlignment="1" pivotButton="0" quotePrefix="0" xfId="49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31" fillId="43" borderId="22" applyAlignment="1" pivotButton="0" quotePrefix="0" xfId="0">
      <alignment horizontal="center" vertical="center"/>
    </xf>
    <xf numFmtId="0" fontId="0" fillId="0" borderId="21" pivotButton="0" quotePrefix="0" xfId="0"/>
    <xf numFmtId="0" fontId="32" fillId="44" borderId="22" applyAlignment="1" pivotButton="0" quotePrefix="0" xfId="0">
      <alignment horizontal="left" vertical="center" wrapText="1"/>
    </xf>
    <xf numFmtId="0" fontId="32" fillId="45" borderId="22" applyAlignment="1" pivotButton="0" quotePrefix="0" xfId="0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rgb="00DCFCE7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lean Teal">
  <a:themeElements>
    <a:clrScheme name="Clean Teal">
      <a:dk1>
        <a:srgbClr val="111827"/>
      </a:dk1>
      <a:lt1>
        <a:srgbClr val="FFFFFF"/>
      </a:lt1>
      <a:dk2>
        <a:srgbClr val="0E2841"/>
      </a:dk2>
      <a:lt2>
        <a:srgbClr val="F8FAFC"/>
      </a:lt2>
      <a:accent1>
        <a:srgbClr val="0F766E"/>
      </a:accent1>
      <a:accent2>
        <a:srgbClr val="14B8A6"/>
      </a:accent2>
      <a:accent3>
        <a:srgbClr val="F59E0B"/>
      </a:accent3>
      <a:accent4>
        <a:srgbClr val="0F9ED5"/>
      </a:accent4>
      <a:accent5>
        <a:srgbClr val="A02B93"/>
      </a:accent5>
      <a:accent6>
        <a:srgbClr val="4EA72E"/>
      </a:accent6>
      <a:hlink>
        <a:srgbClr val="0F766E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lean Teal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30"/>
  <sheetViews>
    <sheetView showGridLines="1" tabSelected="1" zoomScale="75" workbookViewId="0">
      <pane ySplit="4" topLeftCell="A5" activePane="bottomLeft" state="frozen"/>
      <selection pane="bottomLeft" activeCell="I5" sqref="I5"/>
    </sheetView>
  </sheetViews>
  <sheetFormatPr baseColWidth="8" defaultColWidth="9" defaultRowHeight="14.25"/>
  <cols>
    <col width="10" customWidth="1" style="22" min="1" max="1"/>
    <col width="25" customWidth="1" style="22" min="2" max="3"/>
    <col width="25" customWidth="1" style="22" min="3" max="3"/>
    <col width="25" customWidth="1" style="22" min="9" max="9"/>
    <col width="25" customWidth="1" style="22" min="10" max="10"/>
    <col hidden="1" width="13" customWidth="1" style="22" min="12" max="12"/>
    <col hidden="1" width="13" customWidth="1" style="22" min="13" max="13"/>
  </cols>
  <sheetData>
    <row r="1" ht="30" customHeight="1" s="22">
      <c r="A1" s="1" t="inlineStr">
        <is>
          <t>用户标签维度表</t>
        </is>
      </c>
      <c r="B1" s="23" t="n"/>
      <c r="C1" s="23" t="n"/>
    </row>
    <row r="2" ht="22" customHeight="1" s="22">
      <c r="A2" s="3" t="n"/>
      <c r="B2" s="24" t="n"/>
      <c r="C2" s="24" t="n"/>
      <c r="I2" s="5" t="n"/>
      <c r="J2" s="6" t="n"/>
    </row>
    <row r="3">
      <c r="I3" s="5" t="n"/>
    </row>
    <row r="4" ht="24" customHeight="1" s="22">
      <c r="A4" s="7" t="inlineStr">
        <is>
          <t>分类维度</t>
        </is>
      </c>
      <c r="B4" s="8" t="inlineStr">
        <is>
          <t>标签选项一</t>
        </is>
      </c>
      <c r="C4" s="8" t="inlineStr">
        <is>
          <t>标签选项二</t>
        </is>
      </c>
      <c r="I4" s="25" t="inlineStr">
        <is>
          <t>维度分类（选定）</t>
        </is>
      </c>
      <c r="J4" s="26" t="n"/>
    </row>
    <row r="5" ht="22" customHeight="1" s="22">
      <c r="A5" s="10" t="inlineStr">
        <is>
          <t>基础信息</t>
        </is>
      </c>
      <c r="B5" s="11" t="inlineStr">
        <is>
          <t>☑ 新用户</t>
        </is>
      </c>
      <c r="C5" s="11" t="inlineStr">
        <is>
          <t>□ 线上购物偏好</t>
        </is>
      </c>
      <c r="I5" s="27" t="str">
        <f>IFERROR(IF(LEFT(INDEX($B$5:$B$68,MATCH(SMALL($L$5:$M$68,ROWS($I$5:I5)),$L$5:$L$68,0)),1)="☑",INDEX($A$5:$A$68,MATCH(SMALL($L$5:$M$68,ROWS($I$5:I5)),$L$5:$L$68,0)),""),IFERROR(IF(LEFT(INDEX($C$5:$C$68,MATCH(SMALL($L$5:$M$68,ROWS($I$5:I5)),$M$5:$M$68,0)),1)="☑",INDEX($A$5:$A$68,MATCH(SMALL($L$5:$M$68,ROWS($I$5:I5)),$M$5:$M$68,0)),""),""))</f>
        <v>基础信息</v>
      </c>
      <c r="J5" s="27" t="str">
        <f>IFERROR(IF(LEFT(INDEX($B$5:$B$68,MATCH(SMALL($L$5:$M$68,ROWS($I$5:I5)),$L$5:$L$68,0)),1)="☑",MID(INDEX($B$5:$B$68,MATCH(SMALL($L$5:$M$68,ROWS($I$5:I5)),$L$5:$L$68,0)),3,999),""),IFERROR(IF(LEFT(INDEX($C$5:$C$68,MATCH(SMALL($L$5:$M$68,ROWS($I$5:I5)),$M$5:$M$68,0)),1)="☑",MID(INDEX($C$5:$C$68,MATCH(SMALL($L$5:$M$68,ROWS($I$5:I5)),$M$5:$M$68,0)),3,999),""),""))</f>
        <v>新用户</v>
      </c>
      <c r="L5">
        <f>IF(LEFT(B5,1)="☑",COUNTIF($B$5:B5,"☑*"),"")</f>
        <v/>
      </c>
      <c r="M5">
        <f>IF(LEFT(C5,1)="☑",COUNTIF($B$5:$B$68,"☑*")+COUNTIF($C$5:C5,"☑*"),"")</f>
        <v/>
      </c>
    </row>
    <row r="6" ht="22" customHeight="1" s="22">
      <c r="A6" s="10" t="inlineStr">
        <is>
          <t>基础信息</t>
        </is>
      </c>
      <c r="B6" s="12" t="inlineStr">
        <is>
          <t>□ 老用户</t>
        </is>
      </c>
      <c r="C6" s="12" t="inlineStr">
        <is>
          <t>☑ 线下体验偏好</t>
        </is>
      </c>
      <c r="I6" s="28" t="str">
        <f>IFERROR(IF(LEFT(INDEX($B$5:$B$68,MATCH(SMALL($L$5:$M$68,ROWS($I$5:I6)),$L$5:$L$68,0)),1)="☑",INDEX($A$5:$A$68,MATCH(SMALL($L$5:$M$68,ROWS($I$5:I6)),$L$5:$L$68,0)),""),IFERROR(IF(LEFT(INDEX($C$5:$C$68,MATCH(SMALL($L$5:$M$68,ROWS($I$5:I6)),$M$5:$M$68,0)),1)="☑",INDEX($A$5:$A$68,MATCH(SMALL($L$5:$M$68,ROWS($I$5:I6)),$M$5:$M$68,0)),""),""))</f>
        <v>花销去向</v>
      </c>
      <c r="J6" s="28" t="str">
        <f>IFERROR(IF(LEFT(INDEX($B$5:$B$68,MATCH(SMALL($L$5:$M$68,ROWS($I$5:I6)),$L$5:$L$68,0)),1)="☑",MID(INDEX($B$5:$B$68,MATCH(SMALL($L$5:$M$68,ROWS($I$5:I6)),$L$5:$L$68,0)),3,999),""),IFERROR(IF(LEFT(INDEX($C$5:$C$68,MATCH(SMALL($L$5:$M$68,ROWS($I$5:I6)),$M$5:$M$68,0)),1)="☑",MID(INDEX($C$5:$C$68,MATCH(SMALL($L$5:$M$68,ROWS($I$5:I6)),$M$5:$M$68,0)),3,999),""),""))</f>
        <v>市场运营</v>
      </c>
      <c r="L6">
        <f>IF(LEFT(B6,1)="☑",COUNTIF($B$5:B6,"☑*"),"")</f>
        <v/>
      </c>
      <c r="M6">
        <f>IF(LEFT(C6,1)="☑",COUNTIF($B$5:$B$68,"☑*")+COUNTIF($C$5:C6,"☑*"),"")</f>
        <v/>
      </c>
    </row>
    <row r="7" ht="22" customHeight="1" s="22">
      <c r="A7" s="10" t="inlineStr">
        <is>
          <t>基础信息</t>
        </is>
      </c>
      <c r="B7" s="11" t="inlineStr">
        <is>
          <t>□ 单人使用</t>
        </is>
      </c>
      <c r="C7" s="11" t="inlineStr">
        <is>
          <t>□ 喜欢提前规划</t>
        </is>
      </c>
      <c r="I7" s="27" t="str">
        <f>IFERROR(IF(LEFT(INDEX($B$5:$B$68,MATCH(SMALL($L$5:$M$68,ROWS($I$5:I7)),$L$5:$L$68,0)),1)="☑",INDEX($A$5:$A$68,MATCH(SMALL($L$5:$M$68,ROWS($I$5:I7)),$L$5:$L$68,0)),""),IFERROR(IF(LEFT(INDEX($C$5:$C$68,MATCH(SMALL($L$5:$M$68,ROWS($I$5:I7)),$M$5:$M$68,0)),1)="☑",INDEX($A$5:$A$68,MATCH(SMALL($L$5:$M$68,ROWS($I$5:I7)),$M$5:$M$68,0)),""),""))</f>
        <v>基础信息</v>
      </c>
      <c r="J7" s="27" t="str">
        <f>IFERROR(IF(LEFT(INDEX($B$5:$B$68,MATCH(SMALL($L$5:$M$68,ROWS($I$5:I7)),$L$5:$L$68,0)),1)="☑",MID(INDEX($B$5:$B$68,MATCH(SMALL($L$5:$M$68,ROWS($I$5:I7)),$L$5:$L$68,0)),3,999),""),IFERROR(IF(LEFT(INDEX($C$5:$C$68,MATCH(SMALL($L$5:$M$68,ROWS($I$5:I7)),$M$5:$M$68,0)),1)="☑",MID(INDEX($C$5:$C$68,MATCH(SMALL($L$5:$M$68,ROWS($I$5:I7)),$M$5:$M$68,0)),3,999),""),""))</f>
        <v>线下体验偏好</v>
      </c>
      <c r="L7">
        <f>IF(LEFT(B7,1)="☑",COUNTIF($B$5:B7,"☑*"),"")</f>
        <v/>
      </c>
      <c r="M7">
        <f>IF(LEFT(C7,1)="☑",COUNTIF($B$5:$B$68,"☑*")+COUNTIF($C$5:C7,"☑*"),"")</f>
        <v/>
      </c>
    </row>
    <row r="8" ht="22" customHeight="1" s="22">
      <c r="A8" s="10" t="inlineStr">
        <is>
          <t>基础信息</t>
        </is>
      </c>
      <c r="B8" s="12" t="inlineStr">
        <is>
          <t>□ 多人共享</t>
        </is>
      </c>
      <c r="C8" s="12" t="inlineStr">
        <is>
          <t>□ 临时决策较多</t>
        </is>
      </c>
      <c r="I8" s="28" t="str">
        <f>IFERROR(IF(LEFT(INDEX($B$5:$B$68,MATCH(SMALL($L$5:$M$68,ROWS($I$5:I8)),$L$5:$L$68,0)),1)="☑",INDEX($A$5:$A$68,MATCH(SMALL($L$5:$M$68,ROWS($I$5:I8)),$L$5:$L$68,0)),""),IFERROR(IF(LEFT(INDEX($C$5:$C$68,MATCH(SMALL($L$5:$M$68,ROWS($I$5:I8)),$M$5:$M$68,0)),1)="☑",INDEX($A$5:$A$68,MATCH(SMALL($L$5:$M$68,ROWS($I$5:I8)),$M$5:$M$68,0)),""),""))</f>
        <v>使用场景</v>
      </c>
      <c r="J8" s="28" t="str">
        <f>IFERROR(IF(LEFT(INDEX($B$5:$B$68,MATCH(SMALL($L$5:$M$68,ROWS($I$5:I8)),$L$5:$L$68,0)),1)="☑",MID(INDEX($B$5:$B$68,MATCH(SMALL($L$5:$M$68,ROWS($I$5:I8)),$L$5:$L$68,0)),3,999),""),IFERROR(IF(LEFT(INDEX($C$5:$C$68,MATCH(SMALL($L$5:$M$68,ROWS($I$5:I8)),$M$5:$M$68,0)),1)="☑",MID(INDEX($C$5:$C$68,MATCH(SMALL($L$5:$M$68,ROWS($I$5:I8)),$M$5:$M$68,0)),3,999),""),""))</f>
        <v>夜间使用</v>
      </c>
      <c r="L8">
        <f>IF(LEFT(B8,1)="☑",COUNTIF($B$5:B8,"☑*"),"")</f>
        <v/>
      </c>
      <c r="M8">
        <f>IF(LEFT(C8,1)="☑",COUNTIF($B$5:$B$68,"☑*")+COUNTIF($C$5:C8,"☑*"),"")</f>
        <v/>
      </c>
    </row>
    <row r="9" ht="22" customHeight="1" s="22">
      <c r="A9" s="10" t="inlineStr">
        <is>
          <t>基础信息</t>
        </is>
      </c>
      <c r="B9" s="11" t="inlineStr">
        <is>
          <t>□ 学生群体</t>
        </is>
      </c>
      <c r="C9" s="11" t="inlineStr">
        <is>
          <t>□ 注重口碑评价</t>
        </is>
      </c>
      <c r="I9" s="27">
        <f>IFERROR(IF(LEFT(INDEX($B$5:$B$68,MATCH(SMALL($L$5:$M$68,ROWS($I$5:I9)),$L$5:$L$68,0)),1)="☑",INDEX($A$5:$A$68,MATCH(SMALL($L$5:$M$68,ROWS($I$5:I9)),$L$5:$L$68,0)),""),IFERROR(IF(LEFT(INDEX($C$5:$C$68,MATCH(SMALL($L$5:$M$68,ROWS($I$5:I9)),$M$5:$M$68,0)),1)="☑",INDEX($A$5:$A$68,MATCH(SMALL($L$5:$M$68,ROWS($I$5:I9)),$M$5:$M$68,0)),""),""))</f>
        <v/>
      </c>
      <c r="J9" s="27">
        <f>IFERROR(IF(LEFT(INDEX($B$5:$B$68,MATCH(SMALL($L$5:$M$68,ROWS($I$5:I9)),$L$5:$L$68,0)),1)="☑",MID(INDEX($B$5:$B$68,MATCH(SMALL($L$5:$M$68,ROWS($I$5:I9)),$L$5:$L$68,0)),3,999),""),IFERROR(IF(LEFT(INDEX($C$5:$C$68,MATCH(SMALL($L$5:$M$68,ROWS($I$5:I9)),$M$5:$M$68,0)),1)="☑",MID(INDEX($C$5:$C$68,MATCH(SMALL($L$5:$M$68,ROWS($I$5:I9)),$M$5:$M$68,0)),3,999),""),""))</f>
        <v/>
      </c>
      <c r="L9">
        <f>IF(LEFT(B9,1)="☑",COUNTIF($B$5:B9,"☑*"),"")</f>
        <v/>
      </c>
      <c r="M9">
        <f>IF(LEFT(C9,1)="☑",COUNTIF($B$5:$B$68,"☑*")+COUNTIF($C$5:C9,"☑*"),"")</f>
        <v/>
      </c>
    </row>
    <row r="10" ht="22" customHeight="1" s="22">
      <c r="A10" s="10" t="inlineStr">
        <is>
          <t>基础信息</t>
        </is>
      </c>
      <c r="B10" s="12" t="inlineStr">
        <is>
          <t>□ 初入职场</t>
        </is>
      </c>
      <c r="C10" s="12" t="inlineStr">
        <is>
          <t>□ 常看测评内容</t>
        </is>
      </c>
      <c r="I10" s="28">
        <f>IFERROR(IF(LEFT(INDEX($B$5:$B$68,MATCH(SMALL($L$5:$M$68,ROWS($I$5:I10)),$L$5:$L$68,0)),1)="☑",INDEX($A$5:$A$68,MATCH(SMALL($L$5:$M$68,ROWS($I$5:I10)),$L$5:$L$68,0)),""),IFERROR(IF(LEFT(INDEX($C$5:$C$68,MATCH(SMALL($L$5:$M$68,ROWS($I$5:I10)),$M$5:$M$68,0)),1)="☑",INDEX($A$5:$A$68,MATCH(SMALL($L$5:$M$68,ROWS($I$5:I10)),$M$5:$M$68,0)),""),""))</f>
        <v/>
      </c>
      <c r="J10" s="28">
        <f>IFERROR(IF(LEFT(INDEX($B$5:$B$68,MATCH(SMALL($L$5:$M$68,ROWS($I$5:I10)),$L$5:$L$68,0)),1)="☑",MID(INDEX($B$5:$B$68,MATCH(SMALL($L$5:$M$68,ROWS($I$5:I10)),$L$5:$L$68,0)),3,999),""),IFERROR(IF(LEFT(INDEX($C$5:$C$68,MATCH(SMALL($L$5:$M$68,ROWS($I$5:I10)),$M$5:$M$68,0)),1)="☑",MID(INDEX($C$5:$C$68,MATCH(SMALL($L$5:$M$68,ROWS($I$5:I10)),$M$5:$M$68,0)),3,999),""),""))</f>
        <v/>
      </c>
      <c r="L10">
        <f>IF(LEFT(B10,1)="☑",COUNTIF($B$5:B10,"☑*"),"")</f>
        <v/>
      </c>
      <c r="M10">
        <f>IF(LEFT(C10,1)="☑",COUNTIF($B$5:$B$68,"☑*")+COUNTIF($C$5:C10,"☑*"),"")</f>
        <v/>
      </c>
    </row>
    <row r="11" ht="22" customHeight="1" s="22">
      <c r="A11" s="10" t="inlineStr">
        <is>
          <t>基础信息</t>
        </is>
      </c>
      <c r="B11" s="11" t="inlineStr">
        <is>
          <t>□ 稳定职场</t>
        </is>
      </c>
      <c r="C11" s="11" t="inlineStr">
        <is>
          <t>□ 偏好品牌直营</t>
        </is>
      </c>
      <c r="I11" s="27">
        <f>IFERROR(IF(LEFT(INDEX($B$5:$B$68,MATCH(SMALL($L$5:$M$68,ROWS($I$5:I11)),$L$5:$L$68,0)),1)="☑",INDEX($A$5:$A$68,MATCH(SMALL($L$5:$M$68,ROWS($I$5:I11)),$L$5:$L$68,0)),""),IFERROR(IF(LEFT(INDEX($C$5:$C$68,MATCH(SMALL($L$5:$M$68,ROWS($I$5:I11)),$M$5:$M$68,0)),1)="☑",INDEX($A$5:$A$68,MATCH(SMALL($L$5:$M$68,ROWS($I$5:I11)),$M$5:$M$68,0)),""),""))</f>
        <v/>
      </c>
      <c r="J11" s="27">
        <f>IFERROR(IF(LEFT(INDEX($B$5:$B$68,MATCH(SMALL($L$5:$M$68,ROWS($I$5:I11)),$L$5:$L$68,0)),1)="☑",MID(INDEX($B$5:$B$68,MATCH(SMALL($L$5:$M$68,ROWS($I$5:I11)),$L$5:$L$68,0)),3,999),""),IFERROR(IF(LEFT(INDEX($C$5:$C$68,MATCH(SMALL($L$5:$M$68,ROWS($I$5:I11)),$M$5:$M$68,0)),1)="☑",MID(INDEX($C$5:$C$68,MATCH(SMALL($L$5:$M$68,ROWS($I$5:I11)),$M$5:$M$68,0)),3,999),""),""))</f>
        <v/>
      </c>
      <c r="L11">
        <f>IF(LEFT(B11,1)="☑",COUNTIF($B$5:B11,"☑*"),"")</f>
        <v/>
      </c>
      <c r="M11">
        <f>IF(LEFT(C11,1)="☑",COUNTIF($B$5:$B$68,"☑*")+COUNTIF($C$5:C11,"☑*"),"")</f>
        <v/>
      </c>
    </row>
    <row r="12" ht="22" customHeight="1" s="22">
      <c r="A12" s="10" t="inlineStr">
        <is>
          <t>基础信息</t>
        </is>
      </c>
      <c r="B12" s="12" t="inlineStr">
        <is>
          <t>□ 家庭用户</t>
        </is>
      </c>
      <c r="C12" s="12" t="inlineStr">
        <is>
          <t>□ 接受新品牌</t>
        </is>
      </c>
      <c r="I12" s="28">
        <f>IFERROR(IF(LEFT(INDEX($B$5:$B$68,MATCH(SMALL($L$5:$M$68,ROWS($I$5:I12)),$L$5:$L$68,0)),1)="☑",INDEX($A$5:$A$68,MATCH(SMALL($L$5:$M$68,ROWS($I$5:I12)),$L$5:$L$68,0)),""),IFERROR(IF(LEFT(INDEX($C$5:$C$68,MATCH(SMALL($L$5:$M$68,ROWS($I$5:I12)),$M$5:$M$68,0)),1)="☑",INDEX($A$5:$A$68,MATCH(SMALL($L$5:$M$68,ROWS($I$5:I12)),$M$5:$M$68,0)),""),""))</f>
        <v/>
      </c>
      <c r="J12" s="28">
        <f>IFERROR(IF(LEFT(INDEX($B$5:$B$68,MATCH(SMALL($L$5:$M$68,ROWS($I$5:I12)),$L$5:$L$68,0)),1)="☑",MID(INDEX($B$5:$B$68,MATCH(SMALL($L$5:$M$68,ROWS($I$5:I12)),$L$5:$L$68,0)),3,999),""),IFERROR(IF(LEFT(INDEX($C$5:$C$68,MATCH(SMALL($L$5:$M$68,ROWS($I$5:I12)),$M$5:$M$68,0)),1)="☑",MID(INDEX($C$5:$C$68,MATCH(SMALL($L$5:$M$68,ROWS($I$5:I12)),$M$5:$M$68,0)),3,999),""),""))</f>
        <v/>
      </c>
      <c r="L12">
        <f>IF(LEFT(B12,1)="☑",COUNTIF($B$5:B12,"☑*"),"")</f>
        <v/>
      </c>
      <c r="M12">
        <f>IF(LEFT(C12,1)="☑",COUNTIF($B$5:$B$68,"☑*")+COUNTIF($C$5:C12,"☑*"),"")</f>
        <v/>
      </c>
    </row>
    <row r="13" ht="22" customHeight="1" s="22">
      <c r="A13" s="10" t="inlineStr">
        <is>
          <t>基础信息</t>
        </is>
      </c>
      <c r="B13" s="11" t="inlineStr">
        <is>
          <t>□ 城市通勤</t>
        </is>
      </c>
      <c r="C13" s="11" t="inlineStr">
        <is>
          <t>□ 喜欢套装组合</t>
        </is>
      </c>
      <c r="I13" s="27">
        <f>IFERROR(IF(LEFT(INDEX($B$5:$B$68,MATCH(SMALL($L$5:$M$68,ROWS($I$5:I13)),$L$5:$L$68,0)),1)="☑",INDEX($A$5:$A$68,MATCH(SMALL($L$5:$M$68,ROWS($I$5:I13)),$L$5:$L$68,0)),""),IFERROR(IF(LEFT(INDEX($C$5:$C$68,MATCH(SMALL($L$5:$M$68,ROWS($I$5:I13)),$M$5:$M$68,0)),1)="☑",INDEX($A$5:$A$68,MATCH(SMALL($L$5:$M$68,ROWS($I$5:I13)),$M$5:$M$68,0)),""),""))</f>
        <v/>
      </c>
      <c r="J13" s="27">
        <f>IFERROR(IF(LEFT(INDEX($B$5:$B$68,MATCH(SMALL($L$5:$M$68,ROWS($I$5:I13)),$L$5:$L$68,0)),1)="☑",MID(INDEX($B$5:$B$68,MATCH(SMALL($L$5:$M$68,ROWS($I$5:I13)),$L$5:$L$68,0)),3,999),""),IFERROR(IF(LEFT(INDEX($C$5:$C$68,MATCH(SMALL($L$5:$M$68,ROWS($I$5:I13)),$M$5:$M$68,0)),1)="☑",MID(INDEX($C$5:$C$68,MATCH(SMALL($L$5:$M$68,ROWS($I$5:I13)),$M$5:$M$68,0)),3,999),""),""))</f>
        <v/>
      </c>
      <c r="L13">
        <f>IF(LEFT(B13,1)="☑",COUNTIF($B$5:B13,"☑*"),"")</f>
        <v/>
      </c>
      <c r="M13">
        <f>IF(LEFT(C13,1)="☑",COUNTIF($B$5:$B$68,"☑*")+COUNTIF($C$5:C13,"☑*"),"")</f>
        <v/>
      </c>
    </row>
    <row r="14" ht="22" customHeight="1" s="22">
      <c r="A14" s="10" t="inlineStr">
        <is>
          <t>基础信息</t>
        </is>
      </c>
      <c r="B14" s="12" t="inlineStr">
        <is>
          <t>□ 近郊生活</t>
        </is>
      </c>
      <c r="C14" s="12" t="inlineStr">
        <is>
          <t>□ 偏好单品购买</t>
        </is>
      </c>
      <c r="I14" s="28">
        <f>IFERROR(IF(LEFT(INDEX($B$5:$B$68,MATCH(SMALL($L$5:$M$68,ROWS($I$5:I14)),$L$5:$L$68,0)),1)="☑",INDEX($A$5:$A$68,MATCH(SMALL($L$5:$M$68,ROWS($I$5:I14)),$L$5:$L$68,0)),""),IFERROR(IF(LEFT(INDEX($C$5:$C$68,MATCH(SMALL($L$5:$M$68,ROWS($I$5:I14)),$M$5:$M$68,0)),1)="☑",INDEX($A$5:$A$68,MATCH(SMALL($L$5:$M$68,ROWS($I$5:I14)),$M$5:$M$68,0)),""),""))</f>
        <v/>
      </c>
      <c r="J14" s="28">
        <f>IFERROR(IF(LEFT(INDEX($B$5:$B$68,MATCH(SMALL($L$5:$M$68,ROWS($I$5:I14)),$L$5:$L$68,0)),1)="☑",MID(INDEX($B$5:$B$68,MATCH(SMALL($L$5:$M$68,ROWS($I$5:I14)),$L$5:$L$68,0)),3,999),""),IFERROR(IF(LEFT(INDEX($C$5:$C$68,MATCH(SMALL($L$5:$M$68,ROWS($I$5:I14)),$M$5:$M$68,0)),1)="☑",MID(INDEX($C$5:$C$68,MATCH(SMALL($L$5:$M$68,ROWS($I$5:I14)),$M$5:$M$68,0)),3,999),""),""))</f>
        <v/>
      </c>
      <c r="L14">
        <f>IF(LEFT(B14,1)="☑",COUNTIF($B$5:B14,"☑*"),"")</f>
        <v/>
      </c>
      <c r="M14">
        <f>IF(LEFT(C14,1)="☑",COUNTIF($B$5:$B$68,"☑*")+COUNTIF($C$5:C14,"☑*"),"")</f>
        <v/>
      </c>
    </row>
    <row r="15" ht="22" customHeight="1" s="22">
      <c r="A15" s="10" t="inlineStr">
        <is>
          <t>基础信息</t>
        </is>
      </c>
      <c r="B15" s="11" t="inlineStr">
        <is>
          <t>□ 租房居住</t>
        </is>
      </c>
      <c r="C15" s="11" t="inlineStr">
        <is>
          <t>□ 关注售后服务</t>
        </is>
      </c>
      <c r="I15" s="27">
        <f>IFERROR(IF(LEFT(INDEX($B$5:$B$68,MATCH(SMALL($L$5:$M$68,ROWS($I$5:I15)),$L$5:$L$68,0)),1)="☑",INDEX($A$5:$A$68,MATCH(SMALL($L$5:$M$68,ROWS($I$5:I15)),$L$5:$L$68,0)),""),IFERROR(IF(LEFT(INDEX($C$5:$C$68,MATCH(SMALL($L$5:$M$68,ROWS($I$5:I15)),$M$5:$M$68,0)),1)="☑",INDEX($A$5:$A$68,MATCH(SMALL($L$5:$M$68,ROWS($I$5:I15)),$M$5:$M$68,0)),""),""))</f>
        <v/>
      </c>
      <c r="J15" s="27">
        <f>IFERROR(IF(LEFT(INDEX($B$5:$B$68,MATCH(SMALL($L$5:$M$68,ROWS($I$5:I15)),$L$5:$L$68,0)),1)="☑",MID(INDEX($B$5:$B$68,MATCH(SMALL($L$5:$M$68,ROWS($I$5:I15)),$L$5:$L$68,0)),3,999),""),IFERROR(IF(LEFT(INDEX($C$5:$C$68,MATCH(SMALL($L$5:$M$68,ROWS($I$5:I15)),$M$5:$M$68,0)),1)="☑",MID(INDEX($C$5:$C$68,MATCH(SMALL($L$5:$M$68,ROWS($I$5:I15)),$M$5:$M$68,0)),3,999),""),""))</f>
        <v/>
      </c>
      <c r="L15">
        <f>IF(LEFT(B15,1)="☑",COUNTIF($B$5:B15,"☑*"),"")</f>
        <v/>
      </c>
      <c r="M15">
        <f>IF(LEFT(C15,1)="☑",COUNTIF($B$5:$B$68,"☑*")+COUNTIF($C$5:C15,"☑*"),"")</f>
        <v/>
      </c>
    </row>
    <row r="16" ht="22" customHeight="1" s="22">
      <c r="A16" s="10" t="inlineStr">
        <is>
          <t>基础信息</t>
        </is>
      </c>
      <c r="B16" s="12" t="inlineStr">
        <is>
          <t>□ 自有住房</t>
        </is>
      </c>
      <c r="C16" s="12" t="inlineStr">
        <is>
          <t>□ 关注配送时效</t>
        </is>
      </c>
      <c r="I16" s="28">
        <f>IFERROR(IF(LEFT(INDEX($B$5:$B$68,MATCH(SMALL($L$5:$M$68,ROWS($I$5:I16)),$L$5:$L$68,0)),1)="☑",INDEX($A$5:$A$68,MATCH(SMALL($L$5:$M$68,ROWS($I$5:I16)),$L$5:$L$68,0)),""),IFERROR(IF(LEFT(INDEX($C$5:$C$68,MATCH(SMALL($L$5:$M$68,ROWS($I$5:I16)),$M$5:$M$68,0)),1)="☑",INDEX($A$5:$A$68,MATCH(SMALL($L$5:$M$68,ROWS($I$5:I16)),$M$5:$M$68,0)),""),""))</f>
        <v/>
      </c>
      <c r="J16" s="28">
        <f>IFERROR(IF(LEFT(INDEX($B$5:$B$68,MATCH(SMALL($L$5:$M$68,ROWS($I$5:I16)),$L$5:$L$68,0)),1)="☑",MID(INDEX($B$5:$B$68,MATCH(SMALL($L$5:$M$68,ROWS($I$5:I16)),$L$5:$L$68,0)),3,999),""),IFERROR(IF(LEFT(INDEX($C$5:$C$68,MATCH(SMALL($L$5:$M$68,ROWS($I$5:I16)),$M$5:$M$68,0)),1)="☑",MID(INDEX($C$5:$C$68,MATCH(SMALL($L$5:$M$68,ROWS($I$5:I16)),$M$5:$M$68,0)),3,999),""),""))</f>
        <v/>
      </c>
      <c r="L16">
        <f>IF(LEFT(B16,1)="☑",COUNTIF($B$5:B16,"☑*"),"")</f>
        <v/>
      </c>
      <c r="M16">
        <f>IF(LEFT(C16,1)="☑",COUNTIF($B$5:$B$68,"☑*")+COUNTIF($C$5:C16,"☑*"),"")</f>
        <v/>
      </c>
    </row>
    <row r="17" ht="22" customHeight="1" s="22">
      <c r="A17" s="10" t="inlineStr">
        <is>
          <t>基础信息</t>
        </is>
      </c>
      <c r="B17" s="11" t="inlineStr">
        <is>
          <t>□ 偶尔购买</t>
        </is>
      </c>
      <c r="C17" s="11" t="inlineStr">
        <is>
          <t>□ 会员权益敏感</t>
        </is>
      </c>
      <c r="I17" s="27">
        <f>IFERROR(IF(LEFT(INDEX($B$5:$B$68,MATCH(SMALL($L$5:$M$68,ROWS($I$5:I17)),$L$5:$L$68,0)),1)="☑",INDEX($A$5:$A$68,MATCH(SMALL($L$5:$M$68,ROWS($I$5:I17)),$L$5:$L$68,0)),""),IFERROR(IF(LEFT(INDEX($C$5:$C$68,MATCH(SMALL($L$5:$M$68,ROWS($I$5:I17)),$M$5:$M$68,0)),1)="☑",INDEX($A$5:$A$68,MATCH(SMALL($L$5:$M$68,ROWS($I$5:I17)),$M$5:$M$68,0)),""),""))</f>
        <v/>
      </c>
      <c r="J17" s="27">
        <f>IFERROR(IF(LEFT(INDEX($B$5:$B$68,MATCH(SMALL($L$5:$M$68,ROWS($I$5:I17)),$L$5:$L$68,0)),1)="☑",MID(INDEX($B$5:$B$68,MATCH(SMALL($L$5:$M$68,ROWS($I$5:I17)),$L$5:$L$68,0)),3,999),""),IFERROR(IF(LEFT(INDEX($C$5:$C$68,MATCH(SMALL($L$5:$M$68,ROWS($I$5:I17)),$M$5:$M$68,0)),1)="☑",MID(INDEX($C$5:$C$68,MATCH(SMALL($L$5:$M$68,ROWS($I$5:I17)),$M$5:$M$68,0)),3,999),""),""))</f>
        <v/>
      </c>
      <c r="L17">
        <f>IF(LEFT(B17,1)="☑",COUNTIF($B$5:B17,"☑*"),"")</f>
        <v/>
      </c>
      <c r="M17">
        <f>IF(LEFT(C17,1)="☑",COUNTIF($B$5:$B$68,"☑*")+COUNTIF($C$5:C17,"☑*"),"")</f>
        <v/>
      </c>
    </row>
    <row r="18" ht="22" customHeight="1" s="22">
      <c r="A18" s="10" t="inlineStr">
        <is>
          <t>基础信息</t>
        </is>
      </c>
      <c r="B18" s="12" t="inlineStr">
        <is>
          <t>□ 高频购买</t>
        </is>
      </c>
      <c r="C18" s="12" t="inlineStr">
        <is>
          <t>□ 活动促销敏感</t>
        </is>
      </c>
      <c r="I18" s="28">
        <f>IFERROR(IF(LEFT(INDEX($B$5:$B$68,MATCH(SMALL($L$5:$M$68,ROWS($I$5:I18)),$L$5:$L$68,0)),1)="☑",INDEX($A$5:$A$68,MATCH(SMALL($L$5:$M$68,ROWS($I$5:I18)),$L$5:$L$68,0)),""),IFERROR(IF(LEFT(INDEX($C$5:$C$68,MATCH(SMALL($L$5:$M$68,ROWS($I$5:I18)),$M$5:$M$68,0)),1)="☑",INDEX($A$5:$A$68,MATCH(SMALL($L$5:$M$68,ROWS($I$5:I18)),$M$5:$M$68,0)),""),""))</f>
        <v/>
      </c>
      <c r="J18" s="28">
        <f>IFERROR(IF(LEFT(INDEX($B$5:$B$68,MATCH(SMALL($L$5:$M$68,ROWS($I$5:I18)),$L$5:$L$68,0)),1)="☑",MID(INDEX($B$5:$B$68,MATCH(SMALL($L$5:$M$68,ROWS($I$5:I18)),$L$5:$L$68,0)),3,999),""),IFERROR(IF(LEFT(INDEX($C$5:$C$68,MATCH(SMALL($L$5:$M$68,ROWS($I$5:I18)),$M$5:$M$68,0)),1)="☑",MID(INDEX($C$5:$C$68,MATCH(SMALL($L$5:$M$68,ROWS($I$5:I18)),$M$5:$M$68,0)),3,999),""),""))</f>
        <v/>
      </c>
      <c r="L18">
        <f>IF(LEFT(B18,1)="☑",COUNTIF($B$5:B18,"☑*"),"")</f>
        <v/>
      </c>
      <c r="M18">
        <f>IF(LEFT(C18,1)="☑",COUNTIF($B$5:$B$68,"☑*")+COUNTIF($C$5:C18,"☑*"),"")</f>
        <v/>
      </c>
    </row>
    <row r="19" ht="22" customHeight="1" s="22">
      <c r="A19" s="13" t="inlineStr">
        <is>
          <t>花销去向</t>
        </is>
      </c>
      <c r="B19" s="11" t="inlineStr">
        <is>
          <t>□ 行政办公</t>
        </is>
      </c>
      <c r="C19" s="11" t="inlineStr">
        <is>
          <t>□ 入门预算</t>
        </is>
      </c>
      <c r="I19" s="27">
        <f>IFERROR(IF(LEFT(INDEX($B$5:$B$68,MATCH(SMALL($L$5:$M$68,ROWS($I$5:I19)),$L$5:$L$68,0)),1)="☑",INDEX($A$5:$A$68,MATCH(SMALL($L$5:$M$68,ROWS($I$5:I19)),$L$5:$L$68,0)),""),IFERROR(IF(LEFT(INDEX($C$5:$C$68,MATCH(SMALL($L$5:$M$68,ROWS($I$5:I19)),$M$5:$M$68,0)),1)="☑",INDEX($A$5:$A$68,MATCH(SMALL($L$5:$M$68,ROWS($I$5:I19)),$M$5:$M$68,0)),""),""))</f>
        <v/>
      </c>
      <c r="J19" s="27">
        <f>IFERROR(IF(LEFT(INDEX($B$5:$B$68,MATCH(SMALL($L$5:$M$68,ROWS($I$5:I19)),$L$5:$L$68,0)),1)="☑",MID(INDEX($B$5:$B$68,MATCH(SMALL($L$5:$M$68,ROWS($I$5:I19)),$L$5:$L$68,0)),3,999),""),IFERROR(IF(LEFT(INDEX($C$5:$C$68,MATCH(SMALL($L$5:$M$68,ROWS($I$5:I19)),$M$5:$M$68,0)),1)="☑",MID(INDEX($C$5:$C$68,MATCH(SMALL($L$5:$M$68,ROWS($I$5:I19)),$M$5:$M$68,0)),3,999),""),""))</f>
        <v/>
      </c>
      <c r="L19">
        <f>IF(LEFT(B19,1)="☑",COUNTIF($B$5:B19,"☑*"),"")</f>
        <v/>
      </c>
      <c r="M19">
        <f>IF(LEFT(C19,1)="☑",COUNTIF($B$5:$B$68,"☑*")+COUNTIF($C$5:C19,"☑*"),"")</f>
        <v/>
      </c>
    </row>
    <row r="20" ht="22" customHeight="1" s="22">
      <c r="A20" s="14" t="inlineStr">
        <is>
          <t>花销去向</t>
        </is>
      </c>
      <c r="B20" s="12" t="inlineStr">
        <is>
          <t>☑ 市场运营</t>
        </is>
      </c>
      <c r="C20" s="12" t="inlineStr">
        <is>
          <t>□ 中等预算</t>
        </is>
      </c>
      <c r="I20" s="28">
        <f>IFERROR(IF(LEFT(INDEX($B$5:$B$68,MATCH(SMALL($L$5:$M$68,ROWS($I$5:I20)),$L$5:$L$68,0)),1)="☑",INDEX($A$5:$A$68,MATCH(SMALL($L$5:$M$68,ROWS($I$5:I20)),$L$5:$L$68,0)),""),IFERROR(IF(LEFT(INDEX($C$5:$C$68,MATCH(SMALL($L$5:$M$68,ROWS($I$5:I20)),$M$5:$M$68,0)),1)="☑",INDEX($A$5:$A$68,MATCH(SMALL($L$5:$M$68,ROWS($I$5:I20)),$M$5:$M$68,0)),""),""))</f>
        <v/>
      </c>
      <c r="J20" s="28">
        <f>IFERROR(IF(LEFT(INDEX($B$5:$B$68,MATCH(SMALL($L$5:$M$68,ROWS($I$5:I20)),$L$5:$L$68,0)),1)="☑",MID(INDEX($B$5:$B$68,MATCH(SMALL($L$5:$M$68,ROWS($I$5:I20)),$L$5:$L$68,0)),3,999),""),IFERROR(IF(LEFT(INDEX($C$5:$C$68,MATCH(SMALL($L$5:$M$68,ROWS($I$5:I20)),$M$5:$M$68,0)),1)="☑",MID(INDEX($C$5:$C$68,MATCH(SMALL($L$5:$M$68,ROWS($I$5:I20)),$M$5:$M$68,0)),3,999),""),""))</f>
        <v/>
      </c>
      <c r="L20">
        <f>IF(LEFT(B20,1)="☑",COUNTIF($B$5:B20,"☑*"),"")</f>
        <v/>
      </c>
      <c r="M20">
        <f>IF(LEFT(C20,1)="☑",COUNTIF($B$5:$B$68,"☑*")+COUNTIF($C$5:C20,"☑*"),"")</f>
        <v/>
      </c>
    </row>
    <row r="21" ht="22" customHeight="1" s="22">
      <c r="A21" s="14" t="inlineStr">
        <is>
          <t>花销去向</t>
        </is>
      </c>
      <c r="B21" s="11" t="inlineStr">
        <is>
          <t>□ 产品策划</t>
        </is>
      </c>
      <c r="C21" s="11" t="inlineStr">
        <is>
          <t>□ 高预算</t>
        </is>
      </c>
      <c r="I21" s="27">
        <f>IFERROR(IF(LEFT(INDEX($B$5:$B$68,MATCH(SMALL($L$5:$M$68,ROWS($I$5:I21)),$L$5:$L$68,0)),1)="☑",INDEX($A$5:$A$68,MATCH(SMALL($L$5:$M$68,ROWS($I$5:I21)),$L$5:$L$68,0)),""),IFERROR(IF(LEFT(INDEX($C$5:$C$68,MATCH(SMALL($L$5:$M$68,ROWS($I$5:I21)),$M$5:$M$68,0)),1)="☑",INDEX($A$5:$A$68,MATCH(SMALL($L$5:$M$68,ROWS($I$5:I21)),$M$5:$M$68,0)),""),""))</f>
        <v/>
      </c>
      <c r="J21" s="27">
        <f>IFERROR(IF(LEFT(INDEX($B$5:$B$68,MATCH(SMALL($L$5:$M$68,ROWS($I$5:I21)),$L$5:$L$68,0)),1)="☑",MID(INDEX($B$5:$B$68,MATCH(SMALL($L$5:$M$68,ROWS($I$5:I21)),$L$5:$L$68,0)),3,999),""),IFERROR(IF(LEFT(INDEX($C$5:$C$68,MATCH(SMALL($L$5:$M$68,ROWS($I$5:I21)),$M$5:$M$68,0)),1)="☑",MID(INDEX($C$5:$C$68,MATCH(SMALL($L$5:$M$68,ROWS($I$5:I21)),$M$5:$M$68,0)),3,999),""),""))</f>
        <v/>
      </c>
      <c r="L21">
        <f>IF(LEFT(B21,1)="☑",COUNTIF($B$5:B21,"☑*"),"")</f>
        <v/>
      </c>
      <c r="M21">
        <f>IF(LEFT(C21,1)="☑",COUNTIF($B$5:$B$68,"☑*")+COUNTIF($C$5:C21,"☑*"),"")</f>
        <v/>
      </c>
    </row>
    <row r="22" ht="22" customHeight="1" s="22">
      <c r="A22" s="14" t="inlineStr">
        <is>
          <t>花销去向</t>
        </is>
      </c>
      <c r="B22" s="12" t="inlineStr">
        <is>
          <t>□ 设计创意</t>
        </is>
      </c>
      <c r="C22" s="12" t="inlineStr">
        <is>
          <t>□ 注重长期成本</t>
        </is>
      </c>
      <c r="I22" s="28">
        <f>IFERROR(IF(LEFT(INDEX($B$5:$B$68,MATCH(SMALL($L$5:$M$68,ROWS($I$5:I22)),$L$5:$L$68,0)),1)="☑",INDEX($A$5:$A$68,MATCH(SMALL($L$5:$M$68,ROWS($I$5:I22)),$L$5:$L$68,0)),""),IFERROR(IF(LEFT(INDEX($C$5:$C$68,MATCH(SMALL($L$5:$M$68,ROWS($I$5:I22)),$M$5:$M$68,0)),1)="☑",INDEX($A$5:$A$68,MATCH(SMALL($L$5:$M$68,ROWS($I$5:I22)),$M$5:$M$68,0)),""),""))</f>
        <v/>
      </c>
      <c r="J22" s="28">
        <f>IFERROR(IF(LEFT(INDEX($B$5:$B$68,MATCH(SMALL($L$5:$M$68,ROWS($I$5:I22)),$L$5:$L$68,0)),1)="☑",MID(INDEX($B$5:$B$68,MATCH(SMALL($L$5:$M$68,ROWS($I$5:I22)),$L$5:$L$68,0)),3,999),""),IFERROR(IF(LEFT(INDEX($C$5:$C$68,MATCH(SMALL($L$5:$M$68,ROWS($I$5:I22)),$M$5:$M$68,0)),1)="☑",MID(INDEX($C$5:$C$68,MATCH(SMALL($L$5:$M$68,ROWS($I$5:I22)),$M$5:$M$68,0)),3,999),""),""))</f>
        <v/>
      </c>
      <c r="L22">
        <f>IF(LEFT(B22,1)="☑",COUNTIF($B$5:B22,"☑*"),"")</f>
        <v/>
      </c>
      <c r="M22">
        <f>IF(LEFT(C22,1)="☑",COUNTIF($B$5:$B$68,"☑*")+COUNTIF($C$5:C22,"☑*"),"")</f>
        <v/>
      </c>
    </row>
    <row r="23" ht="22" customHeight="1" s="22">
      <c r="A23" s="14" t="inlineStr">
        <is>
          <t>花销去向</t>
        </is>
      </c>
      <c r="B23" s="11" t="inlineStr">
        <is>
          <t>□ 客户服务</t>
        </is>
      </c>
      <c r="C23" s="11" t="inlineStr">
        <is>
          <t>□ 关注一次性投入</t>
        </is>
      </c>
      <c r="I23" s="27">
        <f>IFERROR(IF(LEFT(INDEX($B$5:$B$68,MATCH(SMALL($L$5:$M$68,ROWS($I$5:I23)),$L$5:$L$68,0)),1)="☑",INDEX($A$5:$A$68,MATCH(SMALL($L$5:$M$68,ROWS($I$5:I23)),$L$5:$L$68,0)),""),IFERROR(IF(LEFT(INDEX($C$5:$C$68,MATCH(SMALL($L$5:$M$68,ROWS($I$5:I23)),$M$5:$M$68,0)),1)="☑",INDEX($A$5:$A$68,MATCH(SMALL($L$5:$M$68,ROWS($I$5:I23)),$M$5:$M$68,0)),""),""))</f>
        <v/>
      </c>
      <c r="J23" s="27">
        <f>IFERROR(IF(LEFT(INDEX($B$5:$B$68,MATCH(SMALL($L$5:$M$68,ROWS($I$5:I23)),$L$5:$L$68,0)),1)="☑",MID(INDEX($B$5:$B$68,MATCH(SMALL($L$5:$M$68,ROWS($I$5:I23)),$L$5:$L$68,0)),3,999),""),IFERROR(IF(LEFT(INDEX($C$5:$C$68,MATCH(SMALL($L$5:$M$68,ROWS($I$5:I23)),$M$5:$M$68,0)),1)="☑",MID(INDEX($C$5:$C$68,MATCH(SMALL($L$5:$M$68,ROWS($I$5:I23)),$M$5:$M$68,0)),3,999),""),""))</f>
        <v/>
      </c>
      <c r="L23">
        <f>IF(LEFT(B23,1)="☑",COUNTIF($B$5:B23,"☑*"),"")</f>
        <v/>
      </c>
      <c r="M23">
        <f>IF(LEFT(C23,1)="☑",COUNTIF($B$5:$B$68,"☑*")+COUNTIF($C$5:C23,"☑*"),"")</f>
        <v/>
      </c>
    </row>
    <row r="24" ht="22" customHeight="1" s="22">
      <c r="A24" s="14" t="inlineStr">
        <is>
          <t>花销去向</t>
        </is>
      </c>
      <c r="B24" s="12" t="inlineStr">
        <is>
          <t>□ 数据分析</t>
        </is>
      </c>
      <c r="C24" s="12" t="inlineStr">
        <is>
          <t>□ 喜欢分期付款</t>
        </is>
      </c>
      <c r="I24" s="28">
        <f>IFERROR(IF(LEFT(INDEX($B$5:$B$68,MATCH(SMALL($L$5:$M$68,ROWS($I$5:I24)),$L$5:$L$68,0)),1)="☑",INDEX($A$5:$A$68,MATCH(SMALL($L$5:$M$68,ROWS($I$5:I24)),$L$5:$L$68,0)),""),IFERROR(IF(LEFT(INDEX($C$5:$C$68,MATCH(SMALL($L$5:$M$68,ROWS($I$5:I24)),$M$5:$M$68,0)),1)="☑",INDEX($A$5:$A$68,MATCH(SMALL($L$5:$M$68,ROWS($I$5:I24)),$M$5:$M$68,0)),""),""))</f>
        <v/>
      </c>
      <c r="J24" s="28">
        <f>IFERROR(IF(LEFT(INDEX($B$5:$B$68,MATCH(SMALL($L$5:$M$68,ROWS($I$5:I24)),$L$5:$L$68,0)),1)="☑",MID(INDEX($B$5:$B$68,MATCH(SMALL($L$5:$M$68,ROWS($I$5:I24)),$L$5:$L$68,0)),3,999),""),IFERROR(IF(LEFT(INDEX($C$5:$C$68,MATCH(SMALL($L$5:$M$68,ROWS($I$5:I24)),$M$5:$M$68,0)),1)="☑",MID(INDEX($C$5:$C$68,MATCH(SMALL($L$5:$M$68,ROWS($I$5:I24)),$M$5:$M$68,0)),3,999),""),""))</f>
        <v/>
      </c>
      <c r="L24">
        <f>IF(LEFT(B24,1)="☑",COUNTIF($B$5:B24,"☑*"),"")</f>
        <v/>
      </c>
      <c r="M24">
        <f>IF(LEFT(C24,1)="☑",COUNTIF($B$5:$B$68,"☑*")+COUNTIF($C$5:C24,"☑*"),"")</f>
        <v/>
      </c>
    </row>
    <row r="25" ht="22" customHeight="1" s="22">
      <c r="A25" s="14" t="inlineStr">
        <is>
          <t>花销去向</t>
        </is>
      </c>
      <c r="B25" s="11" t="inlineStr">
        <is>
          <t>□ 电商运营</t>
        </is>
      </c>
      <c r="C25" s="11" t="inlineStr">
        <is>
          <t>□ 经常比价</t>
        </is>
      </c>
      <c r="I25" s="27">
        <f>IFERROR(IF(LEFT(INDEX($B$5:$B$68,MATCH(SMALL($L$5:$M$68,ROWS($I$5:I25)),$L$5:$L$68,0)),1)="☑",INDEX($A$5:$A$68,MATCH(SMALL($L$5:$M$68,ROWS($I$5:I25)),$L$5:$L$68,0)),""),IFERROR(IF(LEFT(INDEX($C$5:$C$68,MATCH(SMALL($L$5:$M$68,ROWS($I$5:I25)),$M$5:$M$68,0)),1)="☑",INDEX($A$5:$A$68,MATCH(SMALL($L$5:$M$68,ROWS($I$5:I25)),$M$5:$M$68,0)),""),""))</f>
        <v/>
      </c>
      <c r="J25" s="27">
        <f>IFERROR(IF(LEFT(INDEX($B$5:$B$68,MATCH(SMALL($L$5:$M$68,ROWS($I$5:I25)),$L$5:$L$68,0)),1)="☑",MID(INDEX($B$5:$B$68,MATCH(SMALL($L$5:$M$68,ROWS($I$5:I25)),$L$5:$L$68,0)),3,999),""),IFERROR(IF(LEFT(INDEX($C$5:$C$68,MATCH(SMALL($L$5:$M$68,ROWS($I$5:I25)),$M$5:$M$68,0)),1)="☑",MID(INDEX($C$5:$C$68,MATCH(SMALL($L$5:$M$68,ROWS($I$5:I25)),$M$5:$M$68,0)),3,999),""),""))</f>
        <v/>
      </c>
      <c r="L25">
        <f>IF(LEFT(B25,1)="☑",COUNTIF($B$5:B25,"☑*"),"")</f>
        <v/>
      </c>
      <c r="M25">
        <f>IF(LEFT(C25,1)="☑",COUNTIF($B$5:$B$68,"☑*")+COUNTIF($C$5:C25,"☑*"),"")</f>
        <v/>
      </c>
    </row>
    <row r="26" ht="22" customHeight="1" s="22">
      <c r="A26" s="14" t="inlineStr">
        <is>
          <t>花销去向</t>
        </is>
      </c>
      <c r="B26" s="12" t="inlineStr">
        <is>
          <t>□ 内容编辑</t>
        </is>
      </c>
      <c r="C26" s="12" t="inlineStr">
        <is>
          <t>□ 看重品牌溢价</t>
        </is>
      </c>
      <c r="I26" s="28">
        <f>IFERROR(IF(LEFT(INDEX($B$5:$B$68,MATCH(SMALL($L$5:$M$68,ROWS($I$5:I26)),$L$5:$L$68,0)),1)="☑",INDEX($A$5:$A$68,MATCH(SMALL($L$5:$M$68,ROWS($I$5:I26)),$L$5:$L$68,0)),""),IFERROR(IF(LEFT(INDEX($C$5:$C$68,MATCH(SMALL($L$5:$M$68,ROWS($I$5:I26)),$M$5:$M$68,0)),1)="☑",INDEX($A$5:$A$68,MATCH(SMALL($L$5:$M$68,ROWS($I$5:I26)),$M$5:$M$68,0)),""),""))</f>
        <v/>
      </c>
      <c r="J26" s="28">
        <f>IFERROR(IF(LEFT(INDEX($B$5:$B$68,MATCH(SMALL($L$5:$M$68,ROWS($I$5:I26)),$L$5:$L$68,0)),1)="☑",MID(INDEX($B$5:$B$68,MATCH(SMALL($L$5:$M$68,ROWS($I$5:I26)),$L$5:$L$68,0)),3,999),""),IFERROR(IF(LEFT(INDEX($C$5:$C$68,MATCH(SMALL($L$5:$M$68,ROWS($I$5:I26)),$M$5:$M$68,0)),1)="☑",MID(INDEX($C$5:$C$68,MATCH(SMALL($L$5:$M$68,ROWS($I$5:I26)),$M$5:$M$68,0)),3,999),""),""))</f>
        <v/>
      </c>
      <c r="L26">
        <f>IF(LEFT(B26,1)="☑",COUNTIF($B$5:B26,"☑*"),"")</f>
        <v/>
      </c>
      <c r="M26">
        <f>IF(LEFT(C26,1)="☑",COUNTIF($B$5:$B$68,"☑*")+COUNTIF($C$5:C26,"☑*"),"")</f>
        <v/>
      </c>
    </row>
    <row r="27" ht="22" customHeight="1" s="22">
      <c r="A27" s="14" t="inlineStr">
        <is>
          <t>花销去向</t>
        </is>
      </c>
      <c r="B27" s="11" t="inlineStr">
        <is>
          <t>□ 门店管理</t>
        </is>
      </c>
      <c r="C27" s="11" t="inlineStr">
        <is>
          <t>□ 重视实用功能</t>
        </is>
      </c>
      <c r="I27" s="27">
        <f>IFERROR(IF(LEFT(INDEX($B$5:$B$68,MATCH(SMALL($L$5:$M$68,ROWS($I$5:I27)),$L$5:$L$68,0)),1)="☑",INDEX($A$5:$A$68,MATCH(SMALL($L$5:$M$68,ROWS($I$5:I27)),$L$5:$L$68,0)),""),IFERROR(IF(LEFT(INDEX($C$5:$C$68,MATCH(SMALL($L$5:$M$68,ROWS($I$5:I27)),$M$5:$M$68,0)),1)="☑",INDEX($A$5:$A$68,MATCH(SMALL($L$5:$M$68,ROWS($I$5:I27)),$M$5:$M$68,0)),""),""))</f>
        <v/>
      </c>
      <c r="J27" s="27">
        <f>IFERROR(IF(LEFT(INDEX($B$5:$B$68,MATCH(SMALL($L$5:$M$68,ROWS($I$5:I27)),$L$5:$L$68,0)),1)="☑",MID(INDEX($B$5:$B$68,MATCH(SMALL($L$5:$M$68,ROWS($I$5:I27)),$L$5:$L$68,0)),3,999),""),IFERROR(IF(LEFT(INDEX($C$5:$C$68,MATCH(SMALL($L$5:$M$68,ROWS($I$5:I27)),$M$5:$M$68,0)),1)="☑",MID(INDEX($C$5:$C$68,MATCH(SMALL($L$5:$M$68,ROWS($I$5:I27)),$M$5:$M$68,0)),3,999),""),""))</f>
        <v/>
      </c>
      <c r="L27">
        <f>IF(LEFT(B27,1)="☑",COUNTIF($B$5:B27,"☑*"),"")</f>
        <v/>
      </c>
      <c r="M27">
        <f>IF(LEFT(C27,1)="☑",COUNTIF($B$5:$B$68,"☑*")+COUNTIF($C$5:C27,"☑*"),"")</f>
        <v/>
      </c>
    </row>
    <row r="28" ht="22" customHeight="1" s="22">
      <c r="A28" s="14" t="inlineStr">
        <is>
          <t>花销去向</t>
        </is>
      </c>
      <c r="B28" s="12" t="inlineStr">
        <is>
          <t>□ 物流配送</t>
        </is>
      </c>
      <c r="C28" s="12" t="inlineStr">
        <is>
          <t>□ 偏好高颜值设计</t>
        </is>
      </c>
      <c r="I28" s="28">
        <f>IFERROR(IF(LEFT(INDEX($B$5:$B$68,MATCH(SMALL($L$5:$M$68,ROWS($I$5:I28)),$L$5:$L$68,0)),1)="☑",INDEX($A$5:$A$68,MATCH(SMALL($L$5:$M$68,ROWS($I$5:I28)),$L$5:$L$68,0)),""),IFERROR(IF(LEFT(INDEX($C$5:$C$68,MATCH(SMALL($L$5:$M$68,ROWS($I$5:I28)),$M$5:$M$68,0)),1)="☑",INDEX($A$5:$A$68,MATCH(SMALL($L$5:$M$68,ROWS($I$5:I28)),$M$5:$M$68,0)),""),""))</f>
        <v/>
      </c>
      <c r="J28" s="28">
        <f>IFERROR(IF(LEFT(INDEX($B$5:$B$68,MATCH(SMALL($L$5:$M$68,ROWS($I$5:I28)),$L$5:$L$68,0)),1)="☑",MID(INDEX($B$5:$B$68,MATCH(SMALL($L$5:$M$68,ROWS($I$5:I28)),$L$5:$L$68,0)),3,999),""),IFERROR(IF(LEFT(INDEX($C$5:$C$68,MATCH(SMALL($L$5:$M$68,ROWS($I$5:I28)),$M$5:$M$68,0)),1)="☑",MID(INDEX($C$5:$C$68,MATCH(SMALL($L$5:$M$68,ROWS($I$5:I28)),$M$5:$M$68,0)),3,999),""),""))</f>
        <v/>
      </c>
      <c r="L28">
        <f>IF(LEFT(B28,1)="☑",COUNTIF($B$5:B28,"☑*"),"")</f>
        <v/>
      </c>
      <c r="M28">
        <f>IF(LEFT(C28,1)="☑",COUNTIF($B$5:$B$68,"☑*")+COUNTIF($C$5:C28,"☑*"),"")</f>
        <v/>
      </c>
    </row>
    <row r="29" ht="22" customHeight="1" s="22">
      <c r="A29" s="14" t="inlineStr">
        <is>
          <t>花销去向</t>
        </is>
      </c>
      <c r="B29" s="11" t="inlineStr">
        <is>
          <t>□ 财务会计</t>
        </is>
      </c>
      <c r="C29" s="11" t="inlineStr">
        <is>
          <t>□ 愿意为服务付费</t>
        </is>
      </c>
      <c r="I29" s="27">
        <f>IFERROR(IF(LEFT(INDEX($B$5:$B$68,MATCH(SMALL($L$5:$M$68,ROWS($I$5:I29)),$L$5:$L$68,0)),1)="☑",INDEX($A$5:$A$68,MATCH(SMALL($L$5:$M$68,ROWS($I$5:I29)),$L$5:$L$68,0)),""),IFERROR(IF(LEFT(INDEX($C$5:$C$68,MATCH(SMALL($L$5:$M$68,ROWS($I$5:I29)),$M$5:$M$68,0)),1)="☑",INDEX($A$5:$A$68,MATCH(SMALL($L$5:$M$68,ROWS($I$5:I29)),$M$5:$M$68,0)),""),""))</f>
        <v/>
      </c>
      <c r="J29" s="27">
        <f>IFERROR(IF(LEFT(INDEX($B$5:$B$68,MATCH(SMALL($L$5:$M$68,ROWS($I$5:I29)),$L$5:$L$68,0)),1)="☑",MID(INDEX($B$5:$B$68,MATCH(SMALL($L$5:$M$68,ROWS($I$5:I29)),$L$5:$L$68,0)),3,999),""),IFERROR(IF(LEFT(INDEX($C$5:$C$68,MATCH(SMALL($L$5:$M$68,ROWS($I$5:I29)),$M$5:$M$68,0)),1)="☑",MID(INDEX($C$5:$C$68,MATCH(SMALL($L$5:$M$68,ROWS($I$5:I29)),$M$5:$M$68,0)),3,999),""),""))</f>
        <v/>
      </c>
      <c r="L29">
        <f>IF(LEFT(B29,1)="☑",COUNTIF($B$5:B29,"☑*"),"")</f>
        <v/>
      </c>
      <c r="M29">
        <f>IF(LEFT(C29,1)="☑",COUNTIF($B$5:$B$68,"☑*")+COUNTIF($C$5:C29,"☑*"),"")</f>
        <v/>
      </c>
    </row>
    <row r="30" ht="22" customHeight="1" s="22">
      <c r="A30" s="14" t="inlineStr">
        <is>
          <t>花销去向</t>
        </is>
      </c>
      <c r="B30" s="12" t="inlineStr">
        <is>
          <t>□ 人力资源</t>
        </is>
      </c>
      <c r="C30" s="12" t="inlineStr">
        <is>
          <t>□ 常用企业采购</t>
        </is>
      </c>
      <c r="I30" s="28">
        <f>IFERROR(IF(LEFT(INDEX($B$5:$B$68,MATCH(SMALL($L$5:$M$68,ROWS($I$5:I30)),$L$5:$L$68,0)),1)="☑",INDEX($A$5:$A$68,MATCH(SMALL($L$5:$M$68,ROWS($I$5:I30)),$L$5:$L$68,0)),""),IFERROR(IF(LEFT(INDEX($C$5:$C$68,MATCH(SMALL($L$5:$M$68,ROWS($I$5:I30)),$M$5:$M$68,0)),1)="☑",INDEX($A$5:$A$68,MATCH(SMALL($L$5:$M$68,ROWS($I$5:I30)),$M$5:$M$68,0)),""),""))</f>
        <v/>
      </c>
      <c r="J30" s="28">
        <f>IFERROR(IF(LEFT(INDEX($B$5:$B$68,MATCH(SMALL($L$5:$M$68,ROWS($I$5:I30)),$L$5:$L$68,0)),1)="☑",MID(INDEX($B$5:$B$68,MATCH(SMALL($L$5:$M$68,ROWS($I$5:I30)),$L$5:$L$68,0)),3,999),""),IFERROR(IF(LEFT(INDEX($C$5:$C$68,MATCH(SMALL($L$5:$M$68,ROWS($I$5:I30)),$M$5:$M$68,0)),1)="☑",MID(INDEX($C$5:$C$68,MATCH(SMALL($L$5:$M$68,ROWS($I$5:I30)),$M$5:$M$68,0)),3,999),""),""))</f>
        <v/>
      </c>
      <c r="L30">
        <f>IF(LEFT(B30,1)="☑",COUNTIF($B$5:B30,"☑*"),"")</f>
        <v/>
      </c>
      <c r="M30">
        <f>IF(LEFT(C30,1)="☑",COUNTIF($B$5:$B$68,"☑*")+COUNTIF($C$5:C30,"☑*"),"")</f>
        <v/>
      </c>
    </row>
    <row r="31" ht="22" customHeight="1" s="22">
      <c r="A31" s="14" t="inlineStr">
        <is>
          <t>花销去向</t>
        </is>
      </c>
      <c r="B31" s="11" t="inlineStr">
        <is>
          <t>□ 项目协调</t>
        </is>
      </c>
      <c r="C31" s="11" t="inlineStr">
        <is>
          <t>□ 常用个人采购</t>
        </is>
      </c>
      <c r="I31" s="27">
        <f>IFERROR(IF(LEFT(INDEX($B$5:$B$68,MATCH(SMALL($L$5:$M$68,ROWS($I$5:I31)),$L$5:$L$68,0)),1)="☑",INDEX($A$5:$A$68,MATCH(SMALL($L$5:$M$68,ROWS($I$5:I31)),$L$5:$L$68,0)),""),IFERROR(IF(LEFT(INDEX($C$5:$C$68,MATCH(SMALL($L$5:$M$68,ROWS($I$5:I31)),$M$5:$M$68,0)),1)="☑",INDEX($A$5:$A$68,MATCH(SMALL($L$5:$M$68,ROWS($I$5:I31)),$M$5:$M$68,0)),""),""))</f>
        <v/>
      </c>
      <c r="J31" s="27">
        <f>IFERROR(IF(LEFT(INDEX($B$5:$B$68,MATCH(SMALL($L$5:$M$68,ROWS($I$5:I31)),$L$5:$L$68,0)),1)="☑",MID(INDEX($B$5:$B$68,MATCH(SMALL($L$5:$M$68,ROWS($I$5:I31)),$L$5:$L$68,0)),3,999),""),IFERROR(IF(LEFT(INDEX($C$5:$C$68,MATCH(SMALL($L$5:$M$68,ROWS($I$5:I31)),$M$5:$M$68,0)),1)="☑",MID(INDEX($C$5:$C$68,MATCH(SMALL($L$5:$M$68,ROWS($I$5:I31)),$M$5:$M$68,0)),3,999),""),""))</f>
        <v/>
      </c>
      <c r="L31">
        <f>IF(LEFT(B31,1)="☑",COUNTIF($B$5:B31,"☑*"),"")</f>
        <v/>
      </c>
      <c r="M31">
        <f>IF(LEFT(C31,1)="☑",COUNTIF($B$5:$B$68,"☑*")+COUNTIF($C$5:C31,"☑*"),"")</f>
        <v/>
      </c>
    </row>
    <row r="32" ht="22" customHeight="1" s="22">
      <c r="A32" s="14" t="inlineStr">
        <is>
          <t>花销去向</t>
        </is>
      </c>
      <c r="B32" s="12" t="inlineStr"/>
      <c r="C32" s="12" t="inlineStr">
        <is>
          <t>□ 关注发票报销</t>
        </is>
      </c>
      <c r="I32" s="28">
        <f>IFERROR(IF(LEFT(INDEX($B$5:$B$68,MATCH(SMALL($L$5:$M$68,ROWS($I$5:I32)),$L$5:$L$68,0)),1)="☑",INDEX($A$5:$A$68,MATCH(SMALL($L$5:$M$68,ROWS($I$5:I32)),$L$5:$L$68,0)),""),IFERROR(IF(LEFT(INDEX($C$5:$C$68,MATCH(SMALL($L$5:$M$68,ROWS($I$5:I32)),$M$5:$M$68,0)),1)="☑",INDEX($A$5:$A$68,MATCH(SMALL($L$5:$M$68,ROWS($I$5:I32)),$M$5:$M$68,0)),""),""))</f>
        <v/>
      </c>
      <c r="J32" s="28">
        <f>IFERROR(IF(LEFT(INDEX($B$5:$B$68,MATCH(SMALL($L$5:$M$68,ROWS($I$5:I32)),$L$5:$L$68,0)),1)="☑",MID(INDEX($B$5:$B$68,MATCH(SMALL($L$5:$M$68,ROWS($I$5:I32)),$L$5:$L$68,0)),3,999),""),IFERROR(IF(LEFT(INDEX($C$5:$C$68,MATCH(SMALL($L$5:$M$68,ROWS($I$5:I32)),$M$5:$M$68,0)),1)="☑",MID(INDEX($C$5:$C$68,MATCH(SMALL($L$5:$M$68,ROWS($I$5:I32)),$M$5:$M$68,0)),3,999),""),""))</f>
        <v/>
      </c>
      <c r="L32">
        <f>IF(LEFT(B32,1)="☑",COUNTIF($B$5:B32,"☑*"),"")</f>
        <v/>
      </c>
      <c r="M32">
        <f>IF(LEFT(C32,1)="☑",COUNTIF($B$5:$B$68,"☑*")+COUNTIF($C$5:C32,"☑*"),"")</f>
        <v/>
      </c>
    </row>
    <row r="33" ht="22" customHeight="1" s="22">
      <c r="A33" s="15" t="inlineStr">
        <is>
          <t>使用场景</t>
        </is>
      </c>
      <c r="B33" s="11" t="inlineStr">
        <is>
          <t>□ 日常通勤</t>
        </is>
      </c>
      <c r="C33" s="11" t="inlineStr">
        <is>
          <t>□ 室内使用</t>
        </is>
      </c>
      <c r="I33" s="27">
        <f>IFERROR(IF(LEFT(INDEX($B$5:$B$68,MATCH(SMALL($L$5:$M$68,ROWS($I$5:I33)),$L$5:$L$68,0)),1)="☑",INDEX($A$5:$A$68,MATCH(SMALL($L$5:$M$68,ROWS($I$5:I33)),$L$5:$L$68,0)),""),IFERROR(IF(LEFT(INDEX($C$5:$C$68,MATCH(SMALL($L$5:$M$68,ROWS($I$5:I33)),$M$5:$M$68,0)),1)="☑",INDEX($A$5:$A$68,MATCH(SMALL($L$5:$M$68,ROWS($I$5:I33)),$M$5:$M$68,0)),""),""))</f>
        <v/>
      </c>
      <c r="J33" s="27">
        <f>IFERROR(IF(LEFT(INDEX($B$5:$B$68,MATCH(SMALL($L$5:$M$68,ROWS($I$5:I33)),$L$5:$L$68,0)),1)="☑",MID(INDEX($B$5:$B$68,MATCH(SMALL($L$5:$M$68,ROWS($I$5:I33)),$L$5:$L$68,0)),3,999),""),IFERROR(IF(LEFT(INDEX($C$5:$C$68,MATCH(SMALL($L$5:$M$68,ROWS($I$5:I33)),$M$5:$M$68,0)),1)="☑",MID(INDEX($C$5:$C$68,MATCH(SMALL($L$5:$M$68,ROWS($I$5:I33)),$M$5:$M$68,0)),3,999),""),""))</f>
        <v/>
      </c>
      <c r="L33">
        <f>IF(LEFT(B33,1)="☑",COUNTIF($B$5:B33,"☑*"),"")</f>
        <v/>
      </c>
      <c r="M33">
        <f>IF(LEFT(C33,1)="☑",COUNTIF($B$5:$B$68,"☑*")+COUNTIF($C$5:C33,"☑*"),"")</f>
        <v/>
      </c>
    </row>
    <row r="34" ht="22" customHeight="1" s="22">
      <c r="A34" s="15" t="inlineStr">
        <is>
          <t>使用场景</t>
        </is>
      </c>
      <c r="B34" s="12" t="inlineStr">
        <is>
          <t>□ 周末短途</t>
        </is>
      </c>
      <c r="C34" s="12" t="inlineStr">
        <is>
          <t>□ 室外使用</t>
        </is>
      </c>
      <c r="I34" s="28">
        <f>IFERROR(IF(LEFT(INDEX($B$5:$B$68,MATCH(SMALL($L$5:$M$68,ROWS($I$5:I34)),$L$5:$L$68,0)),1)="☑",INDEX($A$5:$A$68,MATCH(SMALL($L$5:$M$68,ROWS($I$5:I34)),$L$5:$L$68,0)),""),IFERROR(IF(LEFT(INDEX($C$5:$C$68,MATCH(SMALL($L$5:$M$68,ROWS($I$5:I34)),$M$5:$M$68,0)),1)="☑",INDEX($A$5:$A$68,MATCH(SMALL($L$5:$M$68,ROWS($I$5:I34)),$M$5:$M$68,0)),""),""))</f>
        <v/>
      </c>
      <c r="J34" s="28">
        <f>IFERROR(IF(LEFT(INDEX($B$5:$B$68,MATCH(SMALL($L$5:$M$68,ROWS($I$5:I34)),$L$5:$L$68,0)),1)="☑",MID(INDEX($B$5:$B$68,MATCH(SMALL($L$5:$M$68,ROWS($I$5:I34)),$L$5:$L$68,0)),3,999),""),IFERROR(IF(LEFT(INDEX($C$5:$C$68,MATCH(SMALL($L$5:$M$68,ROWS($I$5:I34)),$M$5:$M$68,0)),1)="☑",MID(INDEX($C$5:$C$68,MATCH(SMALL($L$5:$M$68,ROWS($I$5:I34)),$M$5:$M$68,0)),3,999),""),""))</f>
        <v/>
      </c>
      <c r="L34">
        <f>IF(LEFT(B34,1)="☑",COUNTIF($B$5:B34,"☑*"),"")</f>
        <v/>
      </c>
      <c r="M34">
        <f>IF(LEFT(C34,1)="☑",COUNTIF($B$5:$B$68,"☑*")+COUNTIF($C$5:C34,"☑*"),"")</f>
        <v/>
      </c>
    </row>
    <row r="35" ht="22" customHeight="1" s="22">
      <c r="A35" s="15" t="inlineStr">
        <is>
          <t>使用场景</t>
        </is>
      </c>
      <c r="B35" s="11" t="inlineStr">
        <is>
          <t>□ 长途出差</t>
        </is>
      </c>
      <c r="C35" s="11" t="inlineStr">
        <is>
          <t>□ 移动携带</t>
        </is>
      </c>
      <c r="I35" s="27">
        <f>IFERROR(IF(LEFT(INDEX($B$5:$B$68,MATCH(SMALL($L$5:$M$68,ROWS($I$5:I35)),$L$5:$L$68,0)),1)="☑",INDEX($A$5:$A$68,MATCH(SMALL($L$5:$M$68,ROWS($I$5:I35)),$L$5:$L$68,0)),""),IFERROR(IF(LEFT(INDEX($C$5:$C$68,MATCH(SMALL($L$5:$M$68,ROWS($I$5:I35)),$M$5:$M$68,0)),1)="☑",INDEX($A$5:$A$68,MATCH(SMALL($L$5:$M$68,ROWS($I$5:I35)),$M$5:$M$68,0)),""),""))</f>
        <v/>
      </c>
      <c r="J35" s="27">
        <f>IFERROR(IF(LEFT(INDEX($B$5:$B$68,MATCH(SMALL($L$5:$M$68,ROWS($I$5:I35)),$L$5:$L$68,0)),1)="☑",MID(INDEX($B$5:$B$68,MATCH(SMALL($L$5:$M$68,ROWS($I$5:I35)),$L$5:$L$68,0)),3,999),""),IFERROR(IF(LEFT(INDEX($C$5:$C$68,MATCH(SMALL($L$5:$M$68,ROWS($I$5:I35)),$M$5:$M$68,0)),1)="☑",MID(INDEX($C$5:$C$68,MATCH(SMALL($L$5:$M$68,ROWS($I$5:I35)),$M$5:$M$68,0)),3,999),""),""))</f>
        <v/>
      </c>
      <c r="L35">
        <f>IF(LEFT(B35,1)="☑",COUNTIF($B$5:B35,"☑*"),"")</f>
        <v/>
      </c>
      <c r="M35">
        <f>IF(LEFT(C35,1)="☑",COUNTIF($B$5:$B$68,"☑*")+COUNTIF($C$5:C35,"☑*"),"")</f>
        <v/>
      </c>
    </row>
    <row r="36" ht="22" customHeight="1" s="22">
      <c r="A36" s="15" t="inlineStr">
        <is>
          <t>使用场景</t>
        </is>
      </c>
      <c r="B36" s="12" t="inlineStr">
        <is>
          <t>□ 家庭聚会</t>
        </is>
      </c>
      <c r="C36" s="12" t="inlineStr">
        <is>
          <t>□ 固定摆放</t>
        </is>
      </c>
      <c r="I36" s="28">
        <f>IFERROR(IF(LEFT(INDEX($B$5:$B$68,MATCH(SMALL($L$5:$M$68,ROWS($I$5:I36)),$L$5:$L$68,0)),1)="☑",INDEX($A$5:$A$68,MATCH(SMALL($L$5:$M$68,ROWS($I$5:I36)),$L$5:$L$68,0)),""),IFERROR(IF(LEFT(INDEX($C$5:$C$68,MATCH(SMALL($L$5:$M$68,ROWS($I$5:I36)),$M$5:$M$68,0)),1)="☑",INDEX($A$5:$A$68,MATCH(SMALL($L$5:$M$68,ROWS($I$5:I36)),$M$5:$M$68,0)),""),""))</f>
        <v/>
      </c>
      <c r="J36" s="28">
        <f>IFERROR(IF(LEFT(INDEX($B$5:$B$68,MATCH(SMALL($L$5:$M$68,ROWS($I$5:I36)),$L$5:$L$68,0)),1)="☑",MID(INDEX($B$5:$B$68,MATCH(SMALL($L$5:$M$68,ROWS($I$5:I36)),$L$5:$L$68,0)),3,999),""),IFERROR(IF(LEFT(INDEX($C$5:$C$68,MATCH(SMALL($L$5:$M$68,ROWS($I$5:I36)),$M$5:$M$68,0)),1)="☑",MID(INDEX($C$5:$C$68,MATCH(SMALL($L$5:$M$68,ROWS($I$5:I36)),$M$5:$M$68,0)),3,999),""),""))</f>
        <v/>
      </c>
      <c r="L36">
        <f>IF(LEFT(B36,1)="☑",COUNTIF($B$5:B36,"☑*"),"")</f>
        <v/>
      </c>
      <c r="M36">
        <f>IF(LEFT(C36,1)="☑",COUNTIF($B$5:$B$68,"☑*")+COUNTIF($C$5:C36,"☑*"),"")</f>
        <v/>
      </c>
    </row>
    <row r="37" ht="22" customHeight="1" s="22">
      <c r="A37" s="15" t="inlineStr">
        <is>
          <t>使用场景</t>
        </is>
      </c>
      <c r="B37" s="11" t="inlineStr">
        <is>
          <t>□ 校园活动</t>
        </is>
      </c>
      <c r="C37" s="11" t="inlineStr">
        <is>
          <t>□ 小空间适用</t>
        </is>
      </c>
      <c r="I37" s="27">
        <f>IFERROR(IF(LEFT(INDEX($B$5:$B$68,MATCH(SMALL($L$5:$M$68,ROWS($I$5:I37)),$L$5:$L$68,0)),1)="☑",INDEX($A$5:$A$68,MATCH(SMALL($L$5:$M$68,ROWS($I$5:I37)),$L$5:$L$68,0)),""),IFERROR(IF(LEFT(INDEX($C$5:$C$68,MATCH(SMALL($L$5:$M$68,ROWS($I$5:I37)),$M$5:$M$68,0)),1)="☑",INDEX($A$5:$A$68,MATCH(SMALL($L$5:$M$68,ROWS($I$5:I37)),$M$5:$M$68,0)),""),""))</f>
        <v/>
      </c>
      <c r="J37" s="27">
        <f>IFERROR(IF(LEFT(INDEX($B$5:$B$68,MATCH(SMALL($L$5:$M$68,ROWS($I$5:I37)),$L$5:$L$68,0)),1)="☑",MID(INDEX($B$5:$B$68,MATCH(SMALL($L$5:$M$68,ROWS($I$5:I37)),$L$5:$L$68,0)),3,999),""),IFERROR(IF(LEFT(INDEX($C$5:$C$68,MATCH(SMALL($L$5:$M$68,ROWS($I$5:I37)),$M$5:$M$68,0)),1)="☑",MID(INDEX($C$5:$C$68,MATCH(SMALL($L$5:$M$68,ROWS($I$5:I37)),$M$5:$M$68,0)),3,999),""),""))</f>
        <v/>
      </c>
      <c r="L37">
        <f>IF(LEFT(B37,1)="☑",COUNTIF($B$5:B37,"☑*"),"")</f>
        <v/>
      </c>
      <c r="M37">
        <f>IF(LEFT(C37,1)="☑",COUNTIF($B$5:$B$68,"☑*")+COUNTIF($C$5:C37,"☑*"),"")</f>
        <v/>
      </c>
    </row>
    <row r="38" ht="22" customHeight="1" s="22">
      <c r="A38" s="15" t="inlineStr">
        <is>
          <t>使用场景</t>
        </is>
      </c>
      <c r="B38" s="12" t="inlineStr">
        <is>
          <t>□ 办公会议</t>
        </is>
      </c>
      <c r="C38" s="12" t="inlineStr">
        <is>
          <t>□ 大空间适用</t>
        </is>
      </c>
      <c r="I38" s="28">
        <f>IFERROR(IF(LEFT(INDEX($B$5:$B$68,MATCH(SMALL($L$5:$M$68,ROWS($I$5:I38)),$L$5:$L$68,0)),1)="☑",INDEX($A$5:$A$68,MATCH(SMALL($L$5:$M$68,ROWS($I$5:I38)),$L$5:$L$68,0)),""),IFERROR(IF(LEFT(INDEX($C$5:$C$68,MATCH(SMALL($L$5:$M$68,ROWS($I$5:I38)),$M$5:$M$68,0)),1)="☑",INDEX($A$5:$A$68,MATCH(SMALL($L$5:$M$68,ROWS($I$5:I38)),$M$5:$M$68,0)),""),""))</f>
        <v/>
      </c>
      <c r="J38" s="28">
        <f>IFERROR(IF(LEFT(INDEX($B$5:$B$68,MATCH(SMALL($L$5:$M$68,ROWS($I$5:I38)),$L$5:$L$68,0)),1)="☑",MID(INDEX($B$5:$B$68,MATCH(SMALL($L$5:$M$68,ROWS($I$5:I38)),$L$5:$L$68,0)),3,999),""),IFERROR(IF(LEFT(INDEX($C$5:$C$68,MATCH(SMALL($L$5:$M$68,ROWS($I$5:I38)),$M$5:$M$68,0)),1)="☑",MID(INDEX($C$5:$C$68,MATCH(SMALL($L$5:$M$68,ROWS($I$5:I38)),$M$5:$M$68,0)),3,999),""),""))</f>
        <v/>
      </c>
      <c r="L38">
        <f>IF(LEFT(B38,1)="☑",COUNTIF($B$5:B38,"☑*"),"")</f>
        <v/>
      </c>
      <c r="M38">
        <f>IF(LEFT(C38,1)="☑",COUNTIF($B$5:$B$68,"☑*")+COUNTIF($C$5:C38,"☑*"),"")</f>
        <v/>
      </c>
    </row>
    <row r="39" ht="22" customHeight="1" s="22">
      <c r="A39" s="15" t="inlineStr">
        <is>
          <t>使用场景</t>
        </is>
      </c>
      <c r="B39" s="11" t="inlineStr">
        <is>
          <t>□ 社群活动</t>
        </is>
      </c>
      <c r="C39" s="11" t="inlineStr">
        <is>
          <t>□ 多设备协同</t>
        </is>
      </c>
      <c r="I39" s="27">
        <f>IFERROR(IF(LEFT(INDEX($B$5:$B$68,MATCH(SMALL($L$5:$M$68,ROWS($I$5:I39)),$L$5:$L$68,0)),1)="☑",INDEX($A$5:$A$68,MATCH(SMALL($L$5:$M$68,ROWS($I$5:I39)),$L$5:$L$68,0)),""),IFERROR(IF(LEFT(INDEX($C$5:$C$68,MATCH(SMALL($L$5:$M$68,ROWS($I$5:I39)),$M$5:$M$68,0)),1)="☑",INDEX($A$5:$A$68,MATCH(SMALL($L$5:$M$68,ROWS($I$5:I39)),$M$5:$M$68,0)),""),""))</f>
        <v/>
      </c>
      <c r="J39" s="27">
        <f>IFERROR(IF(LEFT(INDEX($B$5:$B$68,MATCH(SMALL($L$5:$M$68,ROWS($I$5:I39)),$L$5:$L$68,0)),1)="☑",MID(INDEX($B$5:$B$68,MATCH(SMALL($L$5:$M$68,ROWS($I$5:I39)),$L$5:$L$68,0)),3,999),""),IFERROR(IF(LEFT(INDEX($C$5:$C$68,MATCH(SMALL($L$5:$M$68,ROWS($I$5:I39)),$M$5:$M$68,0)),1)="☑",MID(INDEX($C$5:$C$68,MATCH(SMALL($L$5:$M$68,ROWS($I$5:I39)),$M$5:$M$68,0)),3,999),""),""))</f>
        <v/>
      </c>
      <c r="L39">
        <f>IF(LEFT(B39,1)="☑",COUNTIF($B$5:B39,"☑*"),"")</f>
        <v/>
      </c>
      <c r="M39">
        <f>IF(LEFT(C39,1)="☑",COUNTIF($B$5:$B$68,"☑*")+COUNTIF($C$5:C39,"☑*"),"")</f>
        <v/>
      </c>
    </row>
    <row r="40" ht="22" customHeight="1" s="22">
      <c r="A40" s="15" t="inlineStr">
        <is>
          <t>使用场景</t>
        </is>
      </c>
      <c r="B40" s="12" t="inlineStr">
        <is>
          <t>□ 亲友送礼</t>
        </is>
      </c>
      <c r="C40" s="12" t="inlineStr">
        <is>
          <t>☑ 夜间使用</t>
        </is>
      </c>
      <c r="I40" s="28">
        <f>IFERROR(IF(LEFT(INDEX($B$5:$B$68,MATCH(SMALL($L$5:$M$68,ROWS($I$5:I40)),$L$5:$L$68,0)),1)="☑",INDEX($A$5:$A$68,MATCH(SMALL($L$5:$M$68,ROWS($I$5:I40)),$L$5:$L$68,0)),""),IFERROR(IF(LEFT(INDEX($C$5:$C$68,MATCH(SMALL($L$5:$M$68,ROWS($I$5:I40)),$M$5:$M$68,0)),1)="☑",INDEX($A$5:$A$68,MATCH(SMALL($L$5:$M$68,ROWS($I$5:I40)),$M$5:$M$68,0)),""),""))</f>
        <v/>
      </c>
      <c r="J40" s="28">
        <f>IFERROR(IF(LEFT(INDEX($B$5:$B$68,MATCH(SMALL($L$5:$M$68,ROWS($I$5:I40)),$L$5:$L$68,0)),1)="☑",MID(INDEX($B$5:$B$68,MATCH(SMALL($L$5:$M$68,ROWS($I$5:I40)),$L$5:$L$68,0)),3,999),""),IFERROR(IF(LEFT(INDEX($C$5:$C$68,MATCH(SMALL($L$5:$M$68,ROWS($I$5:I40)),$M$5:$M$68,0)),1)="☑",MID(INDEX($C$5:$C$68,MATCH(SMALL($L$5:$M$68,ROWS($I$5:I40)),$M$5:$M$68,0)),3,999),""),""))</f>
        <v/>
      </c>
      <c r="L40">
        <f>IF(LEFT(B40,1)="☑",COUNTIF($B$5:B40,"☑*"),"")</f>
        <v/>
      </c>
      <c r="M40">
        <f>IF(LEFT(C40,1)="☑",COUNTIF($B$5:$B$68,"☑*")+COUNTIF($C$5:C40,"☑*"),"")</f>
        <v/>
      </c>
    </row>
    <row r="41" ht="22" customHeight="1" s="22">
      <c r="A41" s="15" t="inlineStr">
        <is>
          <t>使用场景</t>
        </is>
      </c>
      <c r="B41" s="11" t="inlineStr">
        <is>
          <t>□ 新居布置</t>
        </is>
      </c>
      <c r="C41" s="11" t="inlineStr">
        <is>
          <t>□ 高频清洁维护</t>
        </is>
      </c>
      <c r="I41" s="27">
        <f>IFERROR(IF(LEFT(INDEX($B$5:$B$68,MATCH(SMALL($L$5:$M$68,ROWS($I$5:I41)),$L$5:$L$68,0)),1)="☑",INDEX($A$5:$A$68,MATCH(SMALL($L$5:$M$68,ROWS($I$5:I41)),$L$5:$L$68,0)),""),IFERROR(IF(LEFT(INDEX($C$5:$C$68,MATCH(SMALL($L$5:$M$68,ROWS($I$5:I41)),$M$5:$M$68,0)),1)="☑",INDEX($A$5:$A$68,MATCH(SMALL($L$5:$M$68,ROWS($I$5:I41)),$M$5:$M$68,0)),""),""))</f>
        <v/>
      </c>
      <c r="J41" s="27">
        <f>IFERROR(IF(LEFT(INDEX($B$5:$B$68,MATCH(SMALL($L$5:$M$68,ROWS($I$5:I41)),$L$5:$L$68,0)),1)="☑",MID(INDEX($B$5:$B$68,MATCH(SMALL($L$5:$M$68,ROWS($I$5:I41)),$L$5:$L$68,0)),3,999),""),IFERROR(IF(LEFT(INDEX($C$5:$C$68,MATCH(SMALL($L$5:$M$68,ROWS($I$5:I41)),$M$5:$M$68,0)),1)="☑",MID(INDEX($C$5:$C$68,MATCH(SMALL($L$5:$M$68,ROWS($I$5:I41)),$M$5:$M$68,0)),3,999),""),""))</f>
        <v/>
      </c>
      <c r="L41">
        <f>IF(LEFT(B41,1)="☑",COUNTIF($B$5:B41,"☑*"),"")</f>
        <v/>
      </c>
      <c r="M41">
        <f>IF(LEFT(C41,1)="☑",COUNTIF($B$5:$B$68,"☑*")+COUNTIF($C$5:C41,"☑*"),"")</f>
        <v/>
      </c>
    </row>
    <row r="42" ht="22" customHeight="1" s="22">
      <c r="A42" s="15" t="inlineStr">
        <is>
          <t>使用场景</t>
        </is>
      </c>
      <c r="B42" s="12" t="inlineStr">
        <is>
          <t>□ 节日采购</t>
        </is>
      </c>
      <c r="C42" s="12" t="inlineStr">
        <is>
          <t>□ 低维护需求</t>
        </is>
      </c>
      <c r="I42" s="28">
        <f>IFERROR(IF(LEFT(INDEX($B$5:$B$68,MATCH(SMALL($L$5:$M$68,ROWS($I$5:I42)),$L$5:$L$68,0)),1)="☑",INDEX($A$5:$A$68,MATCH(SMALL($L$5:$M$68,ROWS($I$5:I42)),$L$5:$L$68,0)),""),IFERROR(IF(LEFT(INDEX($C$5:$C$68,MATCH(SMALL($L$5:$M$68,ROWS($I$5:I42)),$M$5:$M$68,0)),1)="☑",INDEX($A$5:$A$68,MATCH(SMALL($L$5:$M$68,ROWS($I$5:I42)),$M$5:$M$68,0)),""),""))</f>
        <v/>
      </c>
      <c r="J42" s="28">
        <f>IFERROR(IF(LEFT(INDEX($B$5:$B$68,MATCH(SMALL($L$5:$M$68,ROWS($I$5:I42)),$L$5:$L$68,0)),1)="☑",MID(INDEX($B$5:$B$68,MATCH(SMALL($L$5:$M$68,ROWS($I$5:I42)),$L$5:$L$68,0)),3,999),""),IFERROR(IF(LEFT(INDEX($C$5:$C$68,MATCH(SMALL($L$5:$M$68,ROWS($I$5:I42)),$M$5:$M$68,0)),1)="☑",MID(INDEX($C$5:$C$68,MATCH(SMALL($L$5:$M$68,ROWS($I$5:I42)),$M$5:$M$68,0)),3,999),""),""))</f>
        <v/>
      </c>
      <c r="L42">
        <f>IF(LEFT(B42,1)="☑",COUNTIF($B$5:B42,"☑*"),"")</f>
        <v/>
      </c>
      <c r="M42">
        <f>IF(LEFT(C42,1)="☑",COUNTIF($B$5:$B$68,"☑*")+COUNTIF($C$5:C42,"☑*"),"")</f>
        <v/>
      </c>
    </row>
    <row r="43" ht="22" customHeight="1" s="22">
      <c r="A43" s="15" t="inlineStr">
        <is>
          <t>使用场景</t>
        </is>
      </c>
      <c r="B43" s="11" t="inlineStr">
        <is>
          <t>□ 临时应急</t>
        </is>
      </c>
      <c r="C43" s="11" t="inlineStr">
        <is>
          <t>□ 轻量化需求</t>
        </is>
      </c>
      <c r="I43" s="27">
        <f>IFERROR(IF(LEFT(INDEX($B$5:$B$68,MATCH(SMALL($L$5:$M$68,ROWS($I$5:I43)),$L$5:$L$68,0)),1)="☑",INDEX($A$5:$A$68,MATCH(SMALL($L$5:$M$68,ROWS($I$5:I43)),$L$5:$L$68,0)),""),IFERROR(IF(LEFT(INDEX($C$5:$C$68,MATCH(SMALL($L$5:$M$68,ROWS($I$5:I43)),$M$5:$M$68,0)),1)="☑",INDEX($A$5:$A$68,MATCH(SMALL($L$5:$M$68,ROWS($I$5:I43)),$M$5:$M$68,0)),""),""))</f>
        <v/>
      </c>
      <c r="J43" s="27">
        <f>IFERROR(IF(LEFT(INDEX($B$5:$B$68,MATCH(SMALL($L$5:$M$68,ROWS($I$5:I43)),$L$5:$L$68,0)),1)="☑",MID(INDEX($B$5:$B$68,MATCH(SMALL($L$5:$M$68,ROWS($I$5:I43)),$L$5:$L$68,0)),3,999),""),IFERROR(IF(LEFT(INDEX($C$5:$C$68,MATCH(SMALL($L$5:$M$68,ROWS($I$5:I43)),$M$5:$M$68,0)),1)="☑",MID(INDEX($C$5:$C$68,MATCH(SMALL($L$5:$M$68,ROWS($I$5:I43)),$M$5:$M$68,0)),3,999),""),""))</f>
        <v/>
      </c>
      <c r="L43">
        <f>IF(LEFT(B43,1)="☑",COUNTIF($B$5:B43,"☑*"),"")</f>
        <v/>
      </c>
      <c r="M43">
        <f>IF(LEFT(C43,1)="☑",COUNTIF($B$5:$B$68,"☑*")+COUNTIF($C$5:C43,"☑*"),"")</f>
        <v/>
      </c>
    </row>
    <row r="44" ht="22" customHeight="1" s="22">
      <c r="A44" s="15" t="inlineStr">
        <is>
          <t>使用场景</t>
        </is>
      </c>
      <c r="B44" s="12" t="inlineStr">
        <is>
          <t>□ 计划囤货</t>
        </is>
      </c>
      <c r="C44" s="12" t="inlineStr">
        <is>
          <t>□ 耐用性需求</t>
        </is>
      </c>
      <c r="I44" s="28">
        <f>IFERROR(IF(LEFT(INDEX($B$5:$B$68,MATCH(SMALL($L$5:$M$68,ROWS($I$5:I44)),$L$5:$L$68,0)),1)="☑",INDEX($A$5:$A$68,MATCH(SMALL($L$5:$M$68,ROWS($I$5:I44)),$L$5:$L$68,0)),""),IFERROR(IF(LEFT(INDEX($C$5:$C$68,MATCH(SMALL($L$5:$M$68,ROWS($I$5:I44)),$M$5:$M$68,0)),1)="☑",INDEX($A$5:$A$68,MATCH(SMALL($L$5:$M$68,ROWS($I$5:I44)),$M$5:$M$68,0)),""),""))</f>
        <v/>
      </c>
      <c r="J44" s="28">
        <f>IFERROR(IF(LEFT(INDEX($B$5:$B$68,MATCH(SMALL($L$5:$M$68,ROWS($I$5:I44)),$L$5:$L$68,0)),1)="☑",MID(INDEX($B$5:$B$68,MATCH(SMALL($L$5:$M$68,ROWS($I$5:I44)),$L$5:$L$68,0)),3,999),""),IFERROR(IF(LEFT(INDEX($C$5:$C$68,MATCH(SMALL($L$5:$M$68,ROWS($I$5:I44)),$M$5:$M$68,0)),1)="☑",MID(INDEX($C$5:$C$68,MATCH(SMALL($L$5:$M$68,ROWS($I$5:I44)),$M$5:$M$68,0)),3,999),""),""))</f>
        <v/>
      </c>
      <c r="L44">
        <f>IF(LEFT(B44,1)="☑",COUNTIF($B$5:B44,"☑*"),"")</f>
        <v/>
      </c>
      <c r="M44">
        <f>IF(LEFT(C44,1)="☑",COUNTIF($B$5:$B$68,"☑*")+COUNTIF($C$5:C44,"☑*"),"")</f>
        <v/>
      </c>
    </row>
    <row r="45" ht="22" customHeight="1" s="22">
      <c r="A45" s="15" t="inlineStr">
        <is>
          <t>使用场景</t>
        </is>
      </c>
      <c r="B45" s="11" t="inlineStr">
        <is>
          <t>□ 户外休闲</t>
        </is>
      </c>
      <c r="C45" s="11" t="inlineStr">
        <is>
          <t>□ 可收纳需求</t>
        </is>
      </c>
      <c r="I45" s="27">
        <f>IFERROR(IF(LEFT(INDEX($B$5:$B$68,MATCH(SMALL($L$5:$M$68,ROWS($I$5:I45)),$L$5:$L$68,0)),1)="☑",INDEX($A$5:$A$68,MATCH(SMALL($L$5:$M$68,ROWS($I$5:I45)),$L$5:$L$68,0)),""),IFERROR(IF(LEFT(INDEX($C$5:$C$68,MATCH(SMALL($L$5:$M$68,ROWS($I$5:I45)),$M$5:$M$68,0)),1)="☑",INDEX($A$5:$A$68,MATCH(SMALL($L$5:$M$68,ROWS($I$5:I45)),$M$5:$M$68,0)),""),""))</f>
        <v/>
      </c>
      <c r="J45" s="27">
        <f>IFERROR(IF(LEFT(INDEX($B$5:$B$68,MATCH(SMALL($L$5:$M$68,ROWS($I$5:I45)),$L$5:$L$68,0)),1)="☑",MID(INDEX($B$5:$B$68,MATCH(SMALL($L$5:$M$68,ROWS($I$5:I45)),$L$5:$L$68,0)),3,999),""),IFERROR(IF(LEFT(INDEX($C$5:$C$68,MATCH(SMALL($L$5:$M$68,ROWS($I$5:I45)),$M$5:$M$68,0)),1)="☑",MID(INDEX($C$5:$C$68,MATCH(SMALL($L$5:$M$68,ROWS($I$5:I45)),$M$5:$M$68,0)),3,999),""),""))</f>
        <v/>
      </c>
      <c r="L45">
        <f>IF(LEFT(B45,1)="☑",COUNTIF($B$5:B45,"☑*"),"")</f>
        <v/>
      </c>
      <c r="M45">
        <f>IF(LEFT(C45,1)="☑",COUNTIF($B$5:$B$68,"☑*")+COUNTIF($C$5:C45,"☑*"),"")</f>
        <v/>
      </c>
    </row>
    <row r="46" ht="22" customHeight="1" s="22">
      <c r="A46" s="16" t="inlineStr">
        <is>
          <t>日常爱好</t>
        </is>
      </c>
      <c r="B46" s="12" t="inlineStr">
        <is>
          <t>□ 数码产品</t>
        </is>
      </c>
      <c r="C46" s="12" t="inlineStr">
        <is>
          <t>□ 新品资讯</t>
        </is>
      </c>
      <c r="I46" s="28">
        <f>IFERROR(IF(LEFT(INDEX($B$5:$B$68,MATCH(SMALL($L$5:$M$68,ROWS($I$5:I46)),$L$5:$L$68,0)),1)="☑",INDEX($A$5:$A$68,MATCH(SMALL($L$5:$M$68,ROWS($I$5:I46)),$L$5:$L$68,0)),""),IFERROR(IF(LEFT(INDEX($C$5:$C$68,MATCH(SMALL($L$5:$M$68,ROWS($I$5:I46)),$M$5:$M$68,0)),1)="☑",INDEX($A$5:$A$68,MATCH(SMALL($L$5:$M$68,ROWS($I$5:I46)),$M$5:$M$68,0)),""),""))</f>
        <v/>
      </c>
      <c r="J46" s="28">
        <f>IFERROR(IF(LEFT(INDEX($B$5:$B$68,MATCH(SMALL($L$5:$M$68,ROWS($I$5:I46)),$L$5:$L$68,0)),1)="☑",MID(INDEX($B$5:$B$68,MATCH(SMALL($L$5:$M$68,ROWS($I$5:I46)),$L$5:$L$68,0)),3,999),""),IFERROR(IF(LEFT(INDEX($C$5:$C$68,MATCH(SMALL($L$5:$M$68,ROWS($I$5:I46)),$M$5:$M$68,0)),1)="☑",MID(INDEX($C$5:$C$68,MATCH(SMALL($L$5:$M$68,ROWS($I$5:I46)),$M$5:$M$68,0)),3,999),""),""))</f>
        <v/>
      </c>
      <c r="L46">
        <f>IF(LEFT(B46,1)="☑",COUNTIF($B$5:B46,"☑*"),"")</f>
        <v/>
      </c>
      <c r="M46">
        <f>IF(LEFT(C46,1)="☑",COUNTIF($B$5:$B$68,"☑*")+COUNTIF($C$5:C46,"☑*"),"")</f>
        <v/>
      </c>
    </row>
    <row r="47" ht="22" customHeight="1" s="22">
      <c r="A47" s="17" t="inlineStr">
        <is>
          <t>日常爱好</t>
        </is>
      </c>
      <c r="B47" s="11" t="inlineStr">
        <is>
          <t>□ 家居整理</t>
        </is>
      </c>
      <c r="C47" s="11" t="inlineStr">
        <is>
          <t>□ 购物清单</t>
        </is>
      </c>
      <c r="I47" s="27">
        <f>IFERROR(IF(LEFT(INDEX($B$5:$B$68,MATCH(SMALL($L$5:$M$68,ROWS($I$5:I47)),$L$5:$L$68,0)),1)="☑",INDEX($A$5:$A$68,MATCH(SMALL($L$5:$M$68,ROWS($I$5:I47)),$L$5:$L$68,0)),""),IFERROR(IF(LEFT(INDEX($C$5:$C$68,MATCH(SMALL($L$5:$M$68,ROWS($I$5:I47)),$M$5:$M$68,0)),1)="☑",INDEX($A$5:$A$68,MATCH(SMALL($L$5:$M$68,ROWS($I$5:I47)),$M$5:$M$68,0)),""),""))</f>
        <v/>
      </c>
      <c r="J47" s="27">
        <f>IFERROR(IF(LEFT(INDEX($B$5:$B$68,MATCH(SMALL($L$5:$M$68,ROWS($I$5:I47)),$L$5:$L$68,0)),1)="☑",MID(INDEX($B$5:$B$68,MATCH(SMALL($L$5:$M$68,ROWS($I$5:I47)),$L$5:$L$68,0)),3,999),""),IFERROR(IF(LEFT(INDEX($C$5:$C$68,MATCH(SMALL($L$5:$M$68,ROWS($I$5:I47)),$M$5:$M$68,0)),1)="☑",MID(INDEX($C$5:$C$68,MATCH(SMALL($L$5:$M$68,ROWS($I$5:I47)),$M$5:$M$68,0)),3,999),""),""))</f>
        <v/>
      </c>
      <c r="L47">
        <f>IF(LEFT(B47,1)="☑",COUNTIF($B$5:B47,"☑*"),"")</f>
        <v/>
      </c>
      <c r="M47">
        <f>IF(LEFT(C47,1)="☑",COUNTIF($B$5:$B$68,"☑*")+COUNTIF($C$5:C47,"☑*"),"")</f>
        <v/>
      </c>
    </row>
    <row r="48" ht="22" customHeight="1" s="22">
      <c r="A48" s="17" t="inlineStr">
        <is>
          <t>日常爱好</t>
        </is>
      </c>
      <c r="B48" s="12" t="inlineStr">
        <is>
          <t>□ 运动健身</t>
        </is>
      </c>
      <c r="C48" s="12" t="inlineStr">
        <is>
          <t>□ 使用教程</t>
        </is>
      </c>
      <c r="I48" s="28">
        <f>IFERROR(IF(LEFT(INDEX($B$5:$B$68,MATCH(SMALL($L$5:$M$68,ROWS($I$5:I48)),$L$5:$L$68,0)),1)="☑",INDEX($A$5:$A$68,MATCH(SMALL($L$5:$M$68,ROWS($I$5:I48)),$L$5:$L$68,0)),""),IFERROR(IF(LEFT(INDEX($C$5:$C$68,MATCH(SMALL($L$5:$M$68,ROWS($I$5:I48)),$M$5:$M$68,0)),1)="☑",INDEX($A$5:$A$68,MATCH(SMALL($L$5:$M$68,ROWS($I$5:I48)),$M$5:$M$68,0)),""),""))</f>
        <v/>
      </c>
      <c r="J48" s="28">
        <f>IFERROR(IF(LEFT(INDEX($B$5:$B$68,MATCH(SMALL($L$5:$M$68,ROWS($I$5:I48)),$L$5:$L$68,0)),1)="☑",MID(INDEX($B$5:$B$68,MATCH(SMALL($L$5:$M$68,ROWS($I$5:I48)),$L$5:$L$68,0)),3,999),""),IFERROR(IF(LEFT(INDEX($C$5:$C$68,MATCH(SMALL($L$5:$M$68,ROWS($I$5:I48)),$M$5:$M$68,0)),1)="☑",MID(INDEX($C$5:$C$68,MATCH(SMALL($L$5:$M$68,ROWS($I$5:I48)),$M$5:$M$68,0)),3,999),""),""))</f>
        <v/>
      </c>
      <c r="L48">
        <f>IF(LEFT(B48,1)="☑",COUNTIF($B$5:B48,"☑*"),"")</f>
        <v/>
      </c>
      <c r="M48">
        <f>IF(LEFT(C48,1)="☑",COUNTIF($B$5:$B$68,"☑*")+COUNTIF($C$5:C48,"☑*"),"")</f>
        <v/>
      </c>
    </row>
    <row r="49" ht="22" customHeight="1" s="22">
      <c r="A49" s="17" t="inlineStr">
        <is>
          <t>日常爱好</t>
        </is>
      </c>
      <c r="B49" s="11" t="inlineStr">
        <is>
          <t>□ 美食烹饪</t>
        </is>
      </c>
      <c r="C49" s="11" t="inlineStr">
        <is>
          <t>□ 深度评测</t>
        </is>
      </c>
      <c r="I49" s="27">
        <f>IFERROR(IF(LEFT(INDEX($B$5:$B$68,MATCH(SMALL($L$5:$M$68,ROWS($I$5:I49)),$L$5:$L$68,0)),1)="☑",INDEX($A$5:$A$68,MATCH(SMALL($L$5:$M$68,ROWS($I$5:I49)),$L$5:$L$68,0)),""),IFERROR(IF(LEFT(INDEX($C$5:$C$68,MATCH(SMALL($L$5:$M$68,ROWS($I$5:I49)),$M$5:$M$68,0)),1)="☑",INDEX($A$5:$A$68,MATCH(SMALL($L$5:$M$68,ROWS($I$5:I49)),$M$5:$M$68,0)),""),""))</f>
        <v/>
      </c>
      <c r="J49" s="27">
        <f>IFERROR(IF(LEFT(INDEX($B$5:$B$68,MATCH(SMALL($L$5:$M$68,ROWS($I$5:I49)),$L$5:$L$68,0)),1)="☑",MID(INDEX($B$5:$B$68,MATCH(SMALL($L$5:$M$68,ROWS($I$5:I49)),$L$5:$L$68,0)),3,999),""),IFERROR(IF(LEFT(INDEX($C$5:$C$68,MATCH(SMALL($L$5:$M$68,ROWS($I$5:I49)),$M$5:$M$68,0)),1)="☑",MID(INDEX($C$5:$C$68,MATCH(SMALL($L$5:$M$68,ROWS($I$5:I49)),$M$5:$M$68,0)),3,999),""),""))</f>
        <v/>
      </c>
      <c r="L49">
        <f>IF(LEFT(B49,1)="☑",COUNTIF($B$5:B49,"☑*"),"")</f>
        <v/>
      </c>
      <c r="M49">
        <f>IF(LEFT(C49,1)="☑",COUNTIF($B$5:$B$68,"☑*")+COUNTIF($C$5:C49,"☑*"),"")</f>
        <v/>
      </c>
    </row>
    <row r="50" ht="22" customHeight="1" s="22">
      <c r="A50" s="17" t="inlineStr">
        <is>
          <t>日常爱好</t>
        </is>
      </c>
      <c r="B50" s="12" t="inlineStr">
        <is>
          <t>□ 旅行攻略</t>
        </is>
      </c>
      <c r="C50" s="12" t="inlineStr">
        <is>
          <t>□ 对比测评</t>
        </is>
      </c>
      <c r="I50" s="28">
        <f>IFERROR(IF(LEFT(INDEX($B$5:$B$68,MATCH(SMALL($L$5:$M$68,ROWS($I$5:I50)),$L$5:$L$68,0)),1)="☑",INDEX($A$5:$A$68,MATCH(SMALL($L$5:$M$68,ROWS($I$5:I50)),$L$5:$L$68,0)),""),IFERROR(IF(LEFT(INDEX($C$5:$C$68,MATCH(SMALL($L$5:$M$68,ROWS($I$5:I50)),$M$5:$M$68,0)),1)="☑",INDEX($A$5:$A$68,MATCH(SMALL($L$5:$M$68,ROWS($I$5:I50)),$M$5:$M$68,0)),""),""))</f>
        <v/>
      </c>
      <c r="J50" s="28">
        <f>IFERROR(IF(LEFT(INDEX($B$5:$B$68,MATCH(SMALL($L$5:$M$68,ROWS($I$5:I50)),$L$5:$L$68,0)),1)="☑",MID(INDEX($B$5:$B$68,MATCH(SMALL($L$5:$M$68,ROWS($I$5:I50)),$L$5:$L$68,0)),3,999),""),IFERROR(IF(LEFT(INDEX($C$5:$C$68,MATCH(SMALL($L$5:$M$68,ROWS($I$5:I50)),$M$5:$M$68,0)),1)="☑",MID(INDEX($C$5:$C$68,MATCH(SMALL($L$5:$M$68,ROWS($I$5:I50)),$M$5:$M$68,0)),3,999),""),""))</f>
        <v/>
      </c>
      <c r="L50">
        <f>IF(LEFT(B50,1)="☑",COUNTIF($B$5:B50,"☑*"),"")</f>
        <v/>
      </c>
      <c r="M50">
        <f>IF(LEFT(C50,1)="☑",COUNTIF($B$5:$B$68,"☑*")+COUNTIF($C$5:C50,"☑*"),"")</f>
        <v/>
      </c>
    </row>
    <row r="51" ht="22" customHeight="1" s="22">
      <c r="A51" s="17" t="inlineStr">
        <is>
          <t>日常爱好</t>
        </is>
      </c>
      <c r="B51" s="11" t="inlineStr">
        <is>
          <t>□ 亲子教育</t>
        </is>
      </c>
      <c r="C51" s="11" t="inlineStr">
        <is>
          <t>□ 真实案例</t>
        </is>
      </c>
      <c r="I51" s="27">
        <f>IFERROR(IF(LEFT(INDEX($B$5:$B$68,MATCH(SMALL($L$5:$M$68,ROWS($I$5:I51)),$L$5:$L$68,0)),1)="☑",INDEX($A$5:$A$68,MATCH(SMALL($L$5:$M$68,ROWS($I$5:I51)),$L$5:$L$68,0)),""),IFERROR(IF(LEFT(INDEX($C$5:$C$68,MATCH(SMALL($L$5:$M$68,ROWS($I$5:I51)),$M$5:$M$68,0)),1)="☑",INDEX($A$5:$A$68,MATCH(SMALL($L$5:$M$68,ROWS($I$5:I51)),$M$5:$M$68,0)),""),""))</f>
        <v/>
      </c>
      <c r="J51" s="27">
        <f>IFERROR(IF(LEFT(INDEX($B$5:$B$68,MATCH(SMALL($L$5:$M$68,ROWS($I$5:I51)),$L$5:$L$68,0)),1)="☑",MID(INDEX($B$5:$B$68,MATCH(SMALL($L$5:$M$68,ROWS($I$5:I51)),$L$5:$L$68,0)),3,999),""),IFERROR(IF(LEFT(INDEX($C$5:$C$68,MATCH(SMALL($L$5:$M$68,ROWS($I$5:I51)),$M$5:$M$68,0)),1)="☑",MID(INDEX($C$5:$C$68,MATCH(SMALL($L$5:$M$68,ROWS($I$5:I51)),$M$5:$M$68,0)),3,999),""),""))</f>
        <v/>
      </c>
      <c r="L51">
        <f>IF(LEFT(B51,1)="☑",COUNTIF($B$5:B51,"☑*"),"")</f>
        <v/>
      </c>
      <c r="M51">
        <f>IF(LEFT(C51,1)="☑",COUNTIF($B$5:$B$68,"☑*")+COUNTIF($C$5:C51,"☑*"),"")</f>
        <v/>
      </c>
    </row>
    <row r="52" ht="22" customHeight="1" s="22">
      <c r="A52" s="17" t="inlineStr">
        <is>
          <t>日常爱好</t>
        </is>
      </c>
      <c r="B52" s="12" t="inlineStr">
        <is>
          <t>□ 职场技能</t>
        </is>
      </c>
      <c r="C52" s="12" t="inlineStr">
        <is>
          <t>□ 清单模板</t>
        </is>
      </c>
      <c r="I52" s="28">
        <f>IFERROR(IF(LEFT(INDEX($B$5:$B$68,MATCH(SMALL($L$5:$M$68,ROWS($I$5:I52)),$L$5:$L$68,0)),1)="☑",INDEX($A$5:$A$68,MATCH(SMALL($L$5:$M$68,ROWS($I$5:I52)),$L$5:$L$68,0)),""),IFERROR(IF(LEFT(INDEX($C$5:$C$68,MATCH(SMALL($L$5:$M$68,ROWS($I$5:I52)),$M$5:$M$68,0)),1)="☑",INDEX($A$5:$A$68,MATCH(SMALL($L$5:$M$68,ROWS($I$5:I52)),$M$5:$M$68,0)),""),""))</f>
        <v/>
      </c>
      <c r="J52" s="28">
        <f>IFERROR(IF(LEFT(INDEX($B$5:$B$68,MATCH(SMALL($L$5:$M$68,ROWS($I$5:I52)),$L$5:$L$68,0)),1)="☑",MID(INDEX($B$5:$B$68,MATCH(SMALL($L$5:$M$68,ROWS($I$5:I52)),$L$5:$L$68,0)),3,999),""),IFERROR(IF(LEFT(INDEX($C$5:$C$68,MATCH(SMALL($L$5:$M$68,ROWS($I$5:I52)),$M$5:$M$68,0)),1)="☑",MID(INDEX($C$5:$C$68,MATCH(SMALL($L$5:$M$68,ROWS($I$5:I52)),$M$5:$M$68,0)),3,999),""),""))</f>
        <v/>
      </c>
      <c r="L52">
        <f>IF(LEFT(B52,1)="☑",COUNTIF($B$5:B52,"☑*"),"")</f>
        <v/>
      </c>
      <c r="M52">
        <f>IF(LEFT(C52,1)="☑",COUNTIF($B$5:$B$68,"☑*")+COUNTIF($C$5:C52,"☑*"),"")</f>
        <v/>
      </c>
    </row>
    <row r="53" ht="22" customHeight="1" s="22">
      <c r="A53" s="17" t="inlineStr">
        <is>
          <t>日常爱好</t>
        </is>
      </c>
      <c r="B53" s="11" t="inlineStr">
        <is>
          <t>□ 财务规划</t>
        </is>
      </c>
      <c r="C53" s="11" t="inlineStr">
        <is>
          <t>□ 经验分享</t>
        </is>
      </c>
      <c r="I53" s="27">
        <f>IFERROR(IF(LEFT(INDEX($B$5:$B$68,MATCH(SMALL($L$5:$M$68,ROWS($I$5:I53)),$L$5:$L$68,0)),1)="☑",INDEX($A$5:$A$68,MATCH(SMALL($L$5:$M$68,ROWS($I$5:I53)),$L$5:$L$68,0)),""),IFERROR(IF(LEFT(INDEX($C$5:$C$68,MATCH(SMALL($L$5:$M$68,ROWS($I$5:I53)),$M$5:$M$68,0)),1)="☑",INDEX($A$5:$A$68,MATCH(SMALL($L$5:$M$68,ROWS($I$5:I53)),$M$5:$M$68,0)),""),""))</f>
        <v/>
      </c>
      <c r="J53" s="27">
        <f>IFERROR(IF(LEFT(INDEX($B$5:$B$68,MATCH(SMALL($L$5:$M$68,ROWS($I$5:I53)),$L$5:$L$68,0)),1)="☑",MID(INDEX($B$5:$B$68,MATCH(SMALL($L$5:$M$68,ROWS($I$5:I53)),$L$5:$L$68,0)),3,999),""),IFERROR(IF(LEFT(INDEX($C$5:$C$68,MATCH(SMALL($L$5:$M$68,ROWS($I$5:I53)),$M$5:$M$68,0)),1)="☑",MID(INDEX($C$5:$C$68,MATCH(SMALL($L$5:$M$68,ROWS($I$5:I53)),$M$5:$M$68,0)),3,999),""),""))</f>
        <v/>
      </c>
      <c r="L53">
        <f>IF(LEFT(B53,1)="☑",COUNTIF($B$5:B53,"☑*"),"")</f>
        <v/>
      </c>
      <c r="M53">
        <f>IF(LEFT(C53,1)="☑",COUNTIF($B$5:$B$68,"☑*")+COUNTIF($C$5:C53,"☑*"),"")</f>
        <v/>
      </c>
    </row>
    <row r="54" ht="22" customHeight="1" s="22">
      <c r="A54" s="17" t="inlineStr">
        <is>
          <t>日常爱好</t>
        </is>
      </c>
      <c r="B54" s="12" t="inlineStr">
        <is>
          <t>□ 影音娱乐</t>
        </is>
      </c>
      <c r="C54" s="12" t="inlineStr">
        <is>
          <t>□ 短视频内容</t>
        </is>
      </c>
      <c r="I54" s="28">
        <f>IFERROR(IF(LEFT(INDEX($B$5:$B$68,MATCH(SMALL($L$5:$M$68,ROWS($I$5:I54)),$L$5:$L$68,0)),1)="☑",INDEX($A$5:$A$68,MATCH(SMALL($L$5:$M$68,ROWS($I$5:I54)),$L$5:$L$68,0)),""),IFERROR(IF(LEFT(INDEX($C$5:$C$68,MATCH(SMALL($L$5:$M$68,ROWS($I$5:I54)),$M$5:$M$68,0)),1)="☑",INDEX($A$5:$A$68,MATCH(SMALL($L$5:$M$68,ROWS($I$5:I54)),$M$5:$M$68,0)),""),""))</f>
        <v/>
      </c>
      <c r="J54" s="28">
        <f>IFERROR(IF(LEFT(INDEX($B$5:$B$68,MATCH(SMALL($L$5:$M$68,ROWS($I$5:I54)),$L$5:$L$68,0)),1)="☑",MID(INDEX($B$5:$B$68,MATCH(SMALL($L$5:$M$68,ROWS($I$5:I54)),$L$5:$L$68,0)),3,999),""),IFERROR(IF(LEFT(INDEX($C$5:$C$68,MATCH(SMALL($L$5:$M$68,ROWS($I$5:I54)),$M$5:$M$68,0)),1)="☑",MID(INDEX($C$5:$C$68,MATCH(SMALL($L$5:$M$68,ROWS($I$5:I54)),$M$5:$M$68,0)),3,999),""),""))</f>
        <v/>
      </c>
      <c r="L54">
        <f>IF(LEFT(B54,1)="☑",COUNTIF($B$5:B54,"☑*"),"")</f>
        <v/>
      </c>
      <c r="M54">
        <f>IF(LEFT(C54,1)="☑",COUNTIF($B$5:$B$68,"☑*")+COUNTIF($C$5:C54,"☑*"),"")</f>
        <v/>
      </c>
    </row>
    <row r="55" ht="22" customHeight="1" s="22">
      <c r="A55" s="17" t="inlineStr">
        <is>
          <t>日常爱好</t>
        </is>
      </c>
      <c r="B55" s="11" t="inlineStr">
        <is>
          <t>□ 手作创意</t>
        </is>
      </c>
      <c r="C55" s="11" t="inlineStr">
        <is>
          <t>□ 图文内容</t>
        </is>
      </c>
      <c r="I55" s="27">
        <f>IFERROR(IF(LEFT(INDEX($B$5:$B$68,MATCH(SMALL($L$5:$M$68,ROWS($I$5:I55)),$L$5:$L$68,0)),1)="☑",INDEX($A$5:$A$68,MATCH(SMALL($L$5:$M$68,ROWS($I$5:I55)),$L$5:$L$68,0)),""),IFERROR(IF(LEFT(INDEX($C$5:$C$68,MATCH(SMALL($L$5:$M$68,ROWS($I$5:I55)),$M$5:$M$68,0)),1)="☑",INDEX($A$5:$A$68,MATCH(SMALL($L$5:$M$68,ROWS($I$5:I55)),$M$5:$M$68,0)),""),""))</f>
        <v/>
      </c>
      <c r="J55" s="27">
        <f>IFERROR(IF(LEFT(INDEX($B$5:$B$68,MATCH(SMALL($L$5:$M$68,ROWS($I$5:I55)),$L$5:$L$68,0)),1)="☑",MID(INDEX($B$5:$B$68,MATCH(SMALL($L$5:$M$68,ROWS($I$5:I55)),$L$5:$L$68,0)),3,999),""),IFERROR(IF(LEFT(INDEX($C$5:$C$68,MATCH(SMALL($L$5:$M$68,ROWS($I$5:I55)),$M$5:$M$68,0)),1)="☑",MID(INDEX($C$5:$C$68,MATCH(SMALL($L$5:$M$68,ROWS($I$5:I55)),$M$5:$M$68,0)),3,999),""),""))</f>
        <v/>
      </c>
      <c r="L55">
        <f>IF(LEFT(B55,1)="☑",COUNTIF($B$5:B55,"☑*"),"")</f>
        <v/>
      </c>
      <c r="M55">
        <f>IF(LEFT(C55,1)="☑",COUNTIF($B$5:$B$68,"☑*")+COUNTIF($C$5:C55,"☑*"),"")</f>
        <v/>
      </c>
    </row>
    <row r="56" ht="22" customHeight="1" s="22">
      <c r="A56" s="17" t="inlineStr">
        <is>
          <t>日常爱好</t>
        </is>
      </c>
      <c r="B56" s="12" t="inlineStr">
        <is>
          <t>□ 绿色生活</t>
        </is>
      </c>
      <c r="C56" s="12" t="inlineStr">
        <is>
          <t>□ 直播讲解</t>
        </is>
      </c>
      <c r="I56" s="28">
        <f>IFERROR(IF(LEFT(INDEX($B$5:$B$68,MATCH(SMALL($L$5:$M$68,ROWS($I$5:I56)),$L$5:$L$68,0)),1)="☑",INDEX($A$5:$A$68,MATCH(SMALL($L$5:$M$68,ROWS($I$5:I56)),$L$5:$L$68,0)),""),IFERROR(IF(LEFT(INDEX($C$5:$C$68,MATCH(SMALL($L$5:$M$68,ROWS($I$5:I56)),$M$5:$M$68,0)),1)="☑",INDEX($A$5:$A$68,MATCH(SMALL($L$5:$M$68,ROWS($I$5:I56)),$M$5:$M$68,0)),""),""))</f>
        <v/>
      </c>
      <c r="J56" s="28">
        <f>IFERROR(IF(LEFT(INDEX($B$5:$B$68,MATCH(SMALL($L$5:$M$68,ROWS($I$5:I56)),$L$5:$L$68,0)),1)="☑",MID(INDEX($B$5:$B$68,MATCH(SMALL($L$5:$M$68,ROWS($I$5:I56)),$L$5:$L$68,0)),3,999),""),IFERROR(IF(LEFT(INDEX($C$5:$C$68,MATCH(SMALL($L$5:$M$68,ROWS($I$5:I56)),$M$5:$M$68,0)),1)="☑",MID(INDEX($C$5:$C$68,MATCH(SMALL($L$5:$M$68,ROWS($I$5:I56)),$M$5:$M$68,0)),3,999),""),""))</f>
        <v/>
      </c>
      <c r="L56">
        <f>IF(LEFT(B56,1)="☑",COUNTIF($B$5:B56,"☑*"),"")</f>
        <v/>
      </c>
      <c r="M56">
        <f>IF(LEFT(C56,1)="☑",COUNTIF($B$5:$B$68,"☑*")+COUNTIF($C$5:C56,"☑*"),"")</f>
        <v/>
      </c>
    </row>
    <row r="57" ht="22" customHeight="1" s="22">
      <c r="A57" s="17" t="inlineStr">
        <is>
          <t>日常爱好</t>
        </is>
      </c>
      <c r="B57" s="11" t="inlineStr">
        <is>
          <t>□ 宠物护理</t>
        </is>
      </c>
      <c r="C57" s="11" t="inlineStr">
        <is>
          <t>□ 社群讨论</t>
        </is>
      </c>
      <c r="I57" s="27">
        <f>IFERROR(IF(LEFT(INDEX($B$5:$B$68,MATCH(SMALL($L$5:$M$68,ROWS($I$5:I57)),$L$5:$L$68,0)),1)="☑",INDEX($A$5:$A$68,MATCH(SMALL($L$5:$M$68,ROWS($I$5:I57)),$L$5:$L$68,0)),""),IFERROR(IF(LEFT(INDEX($C$5:$C$68,MATCH(SMALL($L$5:$M$68,ROWS($I$5:I57)),$M$5:$M$68,0)),1)="☑",INDEX($A$5:$A$68,MATCH(SMALL($L$5:$M$68,ROWS($I$5:I57)),$M$5:$M$68,0)),""),""))</f>
        <v/>
      </c>
      <c r="J57" s="27">
        <f>IFERROR(IF(LEFT(INDEX($B$5:$B$68,MATCH(SMALL($L$5:$M$68,ROWS($I$5:I57)),$L$5:$L$68,0)),1)="☑",MID(INDEX($B$5:$B$68,MATCH(SMALL($L$5:$M$68,ROWS($I$5:I57)),$L$5:$L$68,0)),3,999),""),IFERROR(IF(LEFT(INDEX($C$5:$C$68,MATCH(SMALL($L$5:$M$68,ROWS($I$5:I57)),$M$5:$M$68,0)),1)="☑",MID(INDEX($C$5:$C$68,MATCH(SMALL($L$5:$M$68,ROWS($I$5:I57)),$M$5:$M$68,0)),3,999),""),""))</f>
        <v/>
      </c>
      <c r="L57">
        <f>IF(LEFT(B57,1)="☑",COUNTIF($B$5:B57,"☑*"),"")</f>
        <v/>
      </c>
      <c r="M57">
        <f>IF(LEFT(C57,1)="☑",COUNTIF($B$5:$B$68,"☑*")+COUNTIF($C$5:C57,"☑*"),"")</f>
        <v/>
      </c>
    </row>
    <row r="58" ht="22" customHeight="1" s="22">
      <c r="A58" s="17" t="inlineStr">
        <is>
          <t>日常爱好</t>
        </is>
      </c>
      <c r="B58" s="12" t="inlineStr"/>
      <c r="C58" s="12" t="inlineStr">
        <is>
          <t>□ 专家建议</t>
        </is>
      </c>
      <c r="I58" s="28">
        <f>IFERROR(IF(LEFT(INDEX($B$5:$B$68,MATCH(SMALL($L$5:$M$68,ROWS($I$5:I58)),$L$5:$L$68,0)),1)="☑",INDEX($A$5:$A$68,MATCH(SMALL($L$5:$M$68,ROWS($I$5:I58)),$L$5:$L$68,0)),""),IFERROR(IF(LEFT(INDEX($C$5:$C$68,MATCH(SMALL($L$5:$M$68,ROWS($I$5:I58)),$M$5:$M$68,0)),1)="☑",INDEX($A$5:$A$68,MATCH(SMALL($L$5:$M$68,ROWS($I$5:I58)),$M$5:$M$68,0)),""),""))</f>
        <v/>
      </c>
      <c r="J58" s="28">
        <f>IFERROR(IF(LEFT(INDEX($B$5:$B$68,MATCH(SMALL($L$5:$M$68,ROWS($I$5:I58)),$L$5:$L$68,0)),1)="☑",MID(INDEX($B$5:$B$68,MATCH(SMALL($L$5:$M$68,ROWS($I$5:I58)),$L$5:$L$68,0)),3,999),""),IFERROR(IF(LEFT(INDEX($C$5:$C$68,MATCH(SMALL($L$5:$M$68,ROWS($I$5:I58)),$M$5:$M$68,0)),1)="☑",MID(INDEX($C$5:$C$68,MATCH(SMALL($L$5:$M$68,ROWS($I$5:I58)),$M$5:$M$68,0)),3,999),""),""))</f>
        <v/>
      </c>
      <c r="L58">
        <f>IF(LEFT(B58,1)="☑",COUNTIF($B$5:B58,"☑*"),"")</f>
        <v/>
      </c>
      <c r="M58">
        <f>IF(LEFT(C58,1)="☑",COUNTIF($B$5:$B$68,"☑*")+COUNTIF($C$5:C58,"☑*"),"")</f>
        <v/>
      </c>
    </row>
    <row r="59" ht="22" customHeight="1" s="22">
      <c r="A59" s="18" t="inlineStr">
        <is>
          <t>购买动因</t>
        </is>
      </c>
      <c r="B59" s="11" t="inlineStr">
        <is>
          <t>□ 节省时间</t>
        </is>
      </c>
      <c r="C59" s="11" t="inlineStr">
        <is>
          <t>□ 品质稳定</t>
        </is>
      </c>
      <c r="I59" s="27">
        <f>IFERROR(IF(LEFT(INDEX($B$5:$B$68,MATCH(SMALL($L$5:$M$68,ROWS($I$5:I59)),$L$5:$L$68,0)),1)="☑",INDEX($A$5:$A$68,MATCH(SMALL($L$5:$M$68,ROWS($I$5:I59)),$L$5:$L$68,0)),""),IFERROR(IF(LEFT(INDEX($C$5:$C$68,MATCH(SMALL($L$5:$M$68,ROWS($I$5:I59)),$M$5:$M$68,0)),1)="☑",INDEX($A$5:$A$68,MATCH(SMALL($L$5:$M$68,ROWS($I$5:I59)),$M$5:$M$68,0)),""),""))</f>
        <v/>
      </c>
      <c r="J59" s="27">
        <f>IFERROR(IF(LEFT(INDEX($B$5:$B$68,MATCH(SMALL($L$5:$M$68,ROWS($I$5:I59)),$L$5:$L$68,0)),1)="☑",MID(INDEX($B$5:$B$68,MATCH(SMALL($L$5:$M$68,ROWS($I$5:I59)),$L$5:$L$68,0)),3,999),""),IFERROR(IF(LEFT(INDEX($C$5:$C$68,MATCH(SMALL($L$5:$M$68,ROWS($I$5:I59)),$M$5:$M$68,0)),1)="☑",MID(INDEX($C$5:$C$68,MATCH(SMALL($L$5:$M$68,ROWS($I$5:I59)),$M$5:$M$68,0)),3,999),""),""))</f>
        <v/>
      </c>
      <c r="L59">
        <f>IF(LEFT(B59,1)="☑",COUNTIF($B$5:B59,"☑*"),"")</f>
        <v/>
      </c>
      <c r="M59">
        <f>IF(LEFT(C59,1)="☑",COUNTIF($B$5:$B$68,"☑*")+COUNTIF($C$5:C59,"☑*"),"")</f>
        <v/>
      </c>
    </row>
    <row r="60" ht="22" customHeight="1" s="22">
      <c r="A60" s="19" t="inlineStr">
        <is>
          <t>购买动因</t>
        </is>
      </c>
      <c r="B60" s="12" t="inlineStr">
        <is>
          <t>□ 降低成本</t>
        </is>
      </c>
      <c r="C60" s="12" t="inlineStr">
        <is>
          <t>□ 操作简单</t>
        </is>
      </c>
      <c r="I60" s="28">
        <f>IFERROR(IF(LEFT(INDEX($B$5:$B$68,MATCH(SMALL($L$5:$M$68,ROWS($I$5:I60)),$L$5:$L$68,0)),1)="☑",INDEX($A$5:$A$68,MATCH(SMALL($L$5:$M$68,ROWS($I$5:I60)),$L$5:$L$68,0)),""),IFERROR(IF(LEFT(INDEX($C$5:$C$68,MATCH(SMALL($L$5:$M$68,ROWS($I$5:I60)),$M$5:$M$68,0)),1)="☑",INDEX($A$5:$A$68,MATCH(SMALL($L$5:$M$68,ROWS($I$5:I60)),$M$5:$M$68,0)),""),""))</f>
        <v/>
      </c>
      <c r="J60" s="28">
        <f>IFERROR(IF(LEFT(INDEX($B$5:$B$68,MATCH(SMALL($L$5:$M$68,ROWS($I$5:I60)),$L$5:$L$68,0)),1)="☑",MID(INDEX($B$5:$B$68,MATCH(SMALL($L$5:$M$68,ROWS($I$5:I60)),$L$5:$L$68,0)),3,999),""),IFERROR(IF(LEFT(INDEX($C$5:$C$68,MATCH(SMALL($L$5:$M$68,ROWS($I$5:I60)),$M$5:$M$68,0)),1)="☑",MID(INDEX($C$5:$C$68,MATCH(SMALL($L$5:$M$68,ROWS($I$5:I60)),$M$5:$M$68,0)),3,999),""),""))</f>
        <v/>
      </c>
      <c r="L60">
        <f>IF(LEFT(B60,1)="☑",COUNTIF($B$5:B60,"☑*"),"")</f>
        <v/>
      </c>
      <c r="M60">
        <f>IF(LEFT(C60,1)="☑",COUNTIF($B$5:$B$68,"☑*")+COUNTIF($C$5:C60,"☑*"),"")</f>
        <v/>
      </c>
    </row>
    <row r="61" ht="22" customHeight="1" s="22">
      <c r="A61" s="19" t="inlineStr">
        <is>
          <t>购买动因</t>
        </is>
      </c>
      <c r="B61" s="11" t="inlineStr">
        <is>
          <t>□ 提升体验</t>
        </is>
      </c>
      <c r="C61" s="11" t="inlineStr">
        <is>
          <t>□ 外观协调</t>
        </is>
      </c>
      <c r="I61" s="27">
        <f>IFERROR(IF(LEFT(INDEX($B$5:$B$68,MATCH(SMALL($L$5:$M$68,ROWS($I$5:I61)),$L$5:$L$68,0)),1)="☑",INDEX($A$5:$A$68,MATCH(SMALL($L$5:$M$68,ROWS($I$5:I61)),$L$5:$L$68,0)),""),IFERROR(IF(LEFT(INDEX($C$5:$C$68,MATCH(SMALL($L$5:$M$68,ROWS($I$5:I61)),$M$5:$M$68,0)),1)="☑",INDEX($A$5:$A$68,MATCH(SMALL($L$5:$M$68,ROWS($I$5:I61)),$M$5:$M$68,0)),""),""))</f>
        <v/>
      </c>
      <c r="J61" s="27">
        <f>IFERROR(IF(LEFT(INDEX($B$5:$B$68,MATCH(SMALL($L$5:$M$68,ROWS($I$5:I61)),$L$5:$L$68,0)),1)="☑",MID(INDEX($B$5:$B$68,MATCH(SMALL($L$5:$M$68,ROWS($I$5:I61)),$L$5:$L$68,0)),3,999),""),IFERROR(IF(LEFT(INDEX($C$5:$C$68,MATCH(SMALL($L$5:$M$68,ROWS($I$5:I61)),$M$5:$M$68,0)),1)="☑",MID(INDEX($C$5:$C$68,MATCH(SMALL($L$5:$M$68,ROWS($I$5:I61)),$M$5:$M$68,0)),3,999),""),""))</f>
        <v/>
      </c>
      <c r="L61">
        <f>IF(LEFT(B61,1)="☑",COUNTIF($B$5:B61,"☑*"),"")</f>
        <v/>
      </c>
      <c r="M61">
        <f>IF(LEFT(C61,1)="☑",COUNTIF($B$5:$B$68,"☑*")+COUNTIF($C$5:C61,"☑*"),"")</f>
        <v/>
      </c>
    </row>
    <row r="62" ht="22" customHeight="1" s="22">
      <c r="A62" s="19" t="inlineStr">
        <is>
          <t>购买动因</t>
        </is>
      </c>
      <c r="B62" s="12" t="inlineStr">
        <is>
          <t>□ 减少麻烦</t>
        </is>
      </c>
      <c r="C62" s="12" t="inlineStr">
        <is>
          <t>□ 售后可靠</t>
        </is>
      </c>
      <c r="I62" s="28">
        <f>IFERROR(IF(LEFT(INDEX($B$5:$B$68,MATCH(SMALL($L$5:$M$68,ROWS($I$5:I62)),$L$5:$L$68,0)),1)="☑",INDEX($A$5:$A$68,MATCH(SMALL($L$5:$M$68,ROWS($I$5:I62)),$L$5:$L$68,0)),""),IFERROR(IF(LEFT(INDEX($C$5:$C$68,MATCH(SMALL($L$5:$M$68,ROWS($I$5:I62)),$M$5:$M$68,0)),1)="☑",INDEX($A$5:$A$68,MATCH(SMALL($L$5:$M$68,ROWS($I$5:I62)),$M$5:$M$68,0)),""),""))</f>
        <v/>
      </c>
      <c r="J62" s="28">
        <f>IFERROR(IF(LEFT(INDEX($B$5:$B$68,MATCH(SMALL($L$5:$M$68,ROWS($I$5:I62)),$L$5:$L$68,0)),1)="☑",MID(INDEX($B$5:$B$68,MATCH(SMALL($L$5:$M$68,ROWS($I$5:I62)),$L$5:$L$68,0)),3,999),""),IFERROR(IF(LEFT(INDEX($C$5:$C$68,MATCH(SMALL($L$5:$M$68,ROWS($I$5:I62)),$M$5:$M$68,0)),1)="☑",MID(INDEX($C$5:$C$68,MATCH(SMALL($L$5:$M$68,ROWS($I$5:I62)),$M$5:$M$68,0)),3,999),""),""))</f>
        <v/>
      </c>
      <c r="L62">
        <f>IF(LEFT(B62,1)="☑",COUNTIF($B$5:B62,"☑*"),"")</f>
        <v/>
      </c>
      <c r="M62">
        <f>IF(LEFT(C62,1)="☑",COUNTIF($B$5:$B$68,"☑*")+COUNTIF($C$5:C62,"☑*"),"")</f>
        <v/>
      </c>
    </row>
    <row r="63" ht="22" customHeight="1" s="22">
      <c r="A63" s="19" t="inlineStr">
        <is>
          <t>购买动因</t>
        </is>
      </c>
      <c r="B63" s="11" t="inlineStr">
        <is>
          <t>□ 增强安全感</t>
        </is>
      </c>
      <c r="C63" s="11" t="inlineStr">
        <is>
          <t>□ 使用灵活</t>
        </is>
      </c>
      <c r="I63" s="27">
        <f>IFERROR(IF(LEFT(INDEX($B$5:$B$68,MATCH(SMALL($L$5:$M$68,ROWS($I$5:I63)),$L$5:$L$68,0)),1)="☑",INDEX($A$5:$A$68,MATCH(SMALL($L$5:$M$68,ROWS($I$5:I63)),$L$5:$L$68,0)),""),IFERROR(IF(LEFT(INDEX($C$5:$C$68,MATCH(SMALL($L$5:$M$68,ROWS($I$5:I63)),$M$5:$M$68,0)),1)="☑",INDEX($A$5:$A$68,MATCH(SMALL($L$5:$M$68,ROWS($I$5:I63)),$M$5:$M$68,0)),""),""))</f>
        <v/>
      </c>
      <c r="J63" s="27">
        <f>IFERROR(IF(LEFT(INDEX($B$5:$B$68,MATCH(SMALL($L$5:$M$68,ROWS($I$5:I63)),$L$5:$L$68,0)),1)="☑",MID(INDEX($B$5:$B$68,MATCH(SMALL($L$5:$M$68,ROWS($I$5:I63)),$L$5:$L$68,0)),3,999),""),IFERROR(IF(LEFT(INDEX($C$5:$C$68,MATCH(SMALL($L$5:$M$68,ROWS($I$5:I63)),$M$5:$M$68,0)),1)="☑",MID(INDEX($C$5:$C$68,MATCH(SMALL($L$5:$M$68,ROWS($I$5:I63)),$M$5:$M$68,0)),3,999),""),""))</f>
        <v/>
      </c>
      <c r="L63">
        <f>IF(LEFT(B63,1)="☑",COUNTIF($B$5:B63,"☑*"),"")</f>
        <v/>
      </c>
      <c r="M63">
        <f>IF(LEFT(C63,1)="☑",COUNTIF($B$5:$B$68,"☑*")+COUNTIF($C$5:C63,"☑*"),"")</f>
        <v/>
      </c>
    </row>
    <row r="64" ht="22" customHeight="1" s="22">
      <c r="A64" s="19" t="inlineStr">
        <is>
          <t>购买动因</t>
        </is>
      </c>
      <c r="B64" s="12" t="inlineStr">
        <is>
          <t>□ 获得成就感</t>
        </is>
      </c>
      <c r="C64" s="12" t="inlineStr">
        <is>
          <t>□ 便于携带</t>
        </is>
      </c>
      <c r="I64" s="28">
        <f>IFERROR(IF(LEFT(INDEX($B$5:$B$68,MATCH(SMALL($L$5:$M$68,ROWS($I$5:I64)),$L$5:$L$68,0)),1)="☑",INDEX($A$5:$A$68,MATCH(SMALL($L$5:$M$68,ROWS($I$5:I64)),$L$5:$L$68,0)),""),IFERROR(IF(LEFT(INDEX($C$5:$C$68,MATCH(SMALL($L$5:$M$68,ROWS($I$5:I64)),$M$5:$M$68,0)),1)="☑",INDEX($A$5:$A$68,MATCH(SMALL($L$5:$M$68,ROWS($I$5:I64)),$M$5:$M$68,0)),""),""))</f>
        <v/>
      </c>
      <c r="J64" s="28">
        <f>IFERROR(IF(LEFT(INDEX($B$5:$B$68,MATCH(SMALL($L$5:$M$68,ROWS($I$5:I64)),$L$5:$L$68,0)),1)="☑",MID(INDEX($B$5:$B$68,MATCH(SMALL($L$5:$M$68,ROWS($I$5:I64)),$L$5:$L$68,0)),3,999),""),IFERROR(IF(LEFT(INDEX($C$5:$C$68,MATCH(SMALL($L$5:$M$68,ROWS($I$5:I64)),$M$5:$M$68,0)),1)="☑",MID(INDEX($C$5:$C$68,MATCH(SMALL($L$5:$M$68,ROWS($I$5:I64)),$M$5:$M$68,0)),3,999),""),""))</f>
        <v/>
      </c>
      <c r="L64">
        <f>IF(LEFT(B64,1)="☑",COUNTIF($B$5:B64,"☑*"),"")</f>
        <v/>
      </c>
      <c r="M64">
        <f>IF(LEFT(C64,1)="☑",COUNTIF($B$5:$B$68,"☑*")+COUNTIF($C$5:C64,"☑*"),"")</f>
        <v/>
      </c>
    </row>
    <row r="65" ht="22" customHeight="1" s="22">
      <c r="A65" s="19" t="inlineStr">
        <is>
          <t>购买动因</t>
        </is>
      </c>
      <c r="B65" s="11" t="inlineStr">
        <is>
          <t>□ 保持整洁</t>
        </is>
      </c>
      <c r="C65" s="11" t="inlineStr">
        <is>
          <t>□ 适合长期用</t>
        </is>
      </c>
      <c r="I65" s="27">
        <f>IFERROR(IF(LEFT(INDEX($B$5:$B$68,MATCH(SMALL($L$5:$M$68,ROWS($I$5:I65)),$L$5:$L$68,0)),1)="☑",INDEX($A$5:$A$68,MATCH(SMALL($L$5:$M$68,ROWS($I$5:I65)),$L$5:$L$68,0)),""),IFERROR(IF(LEFT(INDEX($C$5:$C$68,MATCH(SMALL($L$5:$M$68,ROWS($I$5:I65)),$M$5:$M$68,0)),1)="☑",INDEX($A$5:$A$68,MATCH(SMALL($L$5:$M$68,ROWS($I$5:I65)),$M$5:$M$68,0)),""),""))</f>
        <v/>
      </c>
      <c r="J65" s="27">
        <f>IFERROR(IF(LEFT(INDEX($B$5:$B$68,MATCH(SMALL($L$5:$M$68,ROWS($I$5:I65)),$L$5:$L$68,0)),1)="☑",MID(INDEX($B$5:$B$68,MATCH(SMALL($L$5:$M$68,ROWS($I$5:I65)),$L$5:$L$68,0)),3,999),""),IFERROR(IF(LEFT(INDEX($C$5:$C$68,MATCH(SMALL($L$5:$M$68,ROWS($I$5:I65)),$M$5:$M$68,0)),1)="☑",MID(INDEX($C$5:$C$68,MATCH(SMALL($L$5:$M$68,ROWS($I$5:I65)),$M$5:$M$68,0)),3,999),""),""))</f>
        <v/>
      </c>
      <c r="L65">
        <f>IF(LEFT(B65,1)="☑",COUNTIF($B$5:B65,"☑*"),"")</f>
        <v/>
      </c>
      <c r="M65">
        <f>IF(LEFT(C65,1)="☑",COUNTIF($B$5:$B$68,"☑*")+COUNTIF($C$5:C65,"☑*"),"")</f>
        <v/>
      </c>
    </row>
    <row r="66" ht="22" customHeight="1" s="22">
      <c r="A66" s="19" t="inlineStr">
        <is>
          <t>购买动因</t>
        </is>
      </c>
      <c r="B66" s="12" t="inlineStr">
        <is>
          <t>□ 提高效率</t>
        </is>
      </c>
      <c r="C66" s="12" t="inlineStr">
        <is>
          <t>□ 适合多人用</t>
        </is>
      </c>
      <c r="I66" s="28">
        <f>IFERROR(IF(LEFT(INDEX($B$5:$B$68,MATCH(SMALL($L$5:$M$68,ROWS($I$5:I66)),$L$5:$L$68,0)),1)="☑",INDEX($A$5:$A$68,MATCH(SMALL($L$5:$M$68,ROWS($I$5:I66)),$L$5:$L$68,0)),""),IFERROR(IF(LEFT(INDEX($C$5:$C$68,MATCH(SMALL($L$5:$M$68,ROWS($I$5:I66)),$M$5:$M$68,0)),1)="☑",INDEX($A$5:$A$68,MATCH(SMALL($L$5:$M$68,ROWS($I$5:I66)),$M$5:$M$68,0)),""),""))</f>
        <v/>
      </c>
      <c r="J66" s="28">
        <f>IFERROR(IF(LEFT(INDEX($B$5:$B$68,MATCH(SMALL($L$5:$M$68,ROWS($I$5:I66)),$L$5:$L$68,0)),1)="☑",MID(INDEX($B$5:$B$68,MATCH(SMALL($L$5:$M$68,ROWS($I$5:I66)),$L$5:$L$68,0)),3,999),""),IFERROR(IF(LEFT(INDEX($C$5:$C$68,MATCH(SMALL($L$5:$M$68,ROWS($I$5:I66)),$M$5:$M$68,0)),1)="☑",MID(INDEX($C$5:$C$68,MATCH(SMALL($L$5:$M$68,ROWS($I$5:I66)),$M$5:$M$68,0)),3,999),""),""))</f>
        <v/>
      </c>
      <c r="L66">
        <f>IF(LEFT(B66,1)="☑",COUNTIF($B$5:B66,"☑*"),"")</f>
        <v/>
      </c>
      <c r="M66">
        <f>IF(LEFT(C66,1)="☑",COUNTIF($B$5:$B$68,"☑*")+COUNTIF($C$5:C66,"☑*"),"")</f>
        <v/>
      </c>
    </row>
    <row r="67" ht="22" customHeight="1" s="22">
      <c r="A67" s="19" t="inlineStr">
        <is>
          <t>购买动因</t>
        </is>
      </c>
      <c r="B67" s="11" t="inlineStr">
        <is>
          <t>□ 改善舒适度</t>
        </is>
      </c>
      <c r="C67" s="11" t="inlineStr">
        <is>
          <t>□ 环保节能</t>
        </is>
      </c>
      <c r="I67" s="27">
        <f>IFERROR(IF(LEFT(INDEX($B$5:$B$68,MATCH(SMALL($L$5:$M$68,ROWS($I$5:I67)),$L$5:$L$68,0)),1)="☑",INDEX($A$5:$A$68,MATCH(SMALL($L$5:$M$68,ROWS($I$5:I67)),$L$5:$L$68,0)),""),IFERROR(IF(LEFT(INDEX($C$5:$C$68,MATCH(SMALL($L$5:$M$68,ROWS($I$5:I67)),$M$5:$M$68,0)),1)="☑",INDEX($A$5:$A$68,MATCH(SMALL($L$5:$M$68,ROWS($I$5:I67)),$M$5:$M$68,0)),""),""))</f>
        <v/>
      </c>
      <c r="J67" s="27">
        <f>IFERROR(IF(LEFT(INDEX($B$5:$B$68,MATCH(SMALL($L$5:$M$68,ROWS($I$5:I67)),$L$5:$L$68,0)),1)="☑",MID(INDEX($B$5:$B$68,MATCH(SMALL($L$5:$M$68,ROWS($I$5:I67)),$L$5:$L$68,0)),3,999),""),IFERROR(IF(LEFT(INDEX($C$5:$C$68,MATCH(SMALL($L$5:$M$68,ROWS($I$5:I67)),$M$5:$M$68,0)),1)="☑",MID(INDEX($C$5:$C$68,MATCH(SMALL($L$5:$M$68,ROWS($I$5:I67)),$M$5:$M$68,0)),3,999),""),""))</f>
        <v/>
      </c>
      <c r="L67">
        <f>IF(LEFT(B67,1)="☑",COUNTIF($B$5:B67,"☑*"),"")</f>
        <v/>
      </c>
      <c r="M67">
        <f>IF(LEFT(C67,1)="☑",COUNTIF($B$5:$B$68,"☑*")+COUNTIF($C$5:C67,"☑*"),"")</f>
        <v/>
      </c>
    </row>
    <row r="68" ht="22" customHeight="1" s="22">
      <c r="A68" s="20" t="inlineStr">
        <is>
          <t>购买动因</t>
        </is>
      </c>
      <c r="B68" s="21" t="inlineStr">
        <is>
          <t>□ 方便分享</t>
        </is>
      </c>
      <c r="C68" s="21" t="inlineStr">
        <is>
          <t>□ 可扩展升级</t>
        </is>
      </c>
      <c r="I68" s="28">
        <f>IFERROR(IF(LEFT(INDEX($B$5:$B$68,MATCH(SMALL($L$5:$M$68,ROWS($I$5:I68)),$L$5:$L$68,0)),1)="☑",INDEX($A$5:$A$68,MATCH(SMALL($L$5:$M$68,ROWS($I$5:I68)),$L$5:$L$68,0)),""),IFERROR(IF(LEFT(INDEX($C$5:$C$68,MATCH(SMALL($L$5:$M$68,ROWS($I$5:I68)),$M$5:$M$68,0)),1)="☑",INDEX($A$5:$A$68,MATCH(SMALL($L$5:$M$68,ROWS($I$5:I68)),$M$5:$M$68,0)),""),""))</f>
        <v/>
      </c>
      <c r="J68" s="28">
        <f>IFERROR(IF(LEFT(INDEX($B$5:$B$68,MATCH(SMALL($L$5:$M$68,ROWS($I$5:I68)),$L$5:$L$68,0)),1)="☑",MID(INDEX($B$5:$B$68,MATCH(SMALL($L$5:$M$68,ROWS($I$5:I68)),$L$5:$L$68,0)),3,999),""),IFERROR(IF(LEFT(INDEX($C$5:$C$68,MATCH(SMALL($L$5:$M$68,ROWS($I$5:I68)),$M$5:$M$68,0)),1)="☑",MID(INDEX($C$5:$C$68,MATCH(SMALL($L$5:$M$68,ROWS($I$5:I68)),$M$5:$M$68,0)),3,999),""),""))</f>
        <v/>
      </c>
      <c r="L68">
        <f>IF(LEFT(B68,1)="☑",COUNTIF($B$5:B68,"☑*"),"")</f>
        <v/>
      </c>
      <c r="M68">
        <f>IF(LEFT(C68,1)="☑",COUNTIF($B$5:$B$68,"☑*")+COUNTIF($C$5:C68,"☑*"),"")</f>
        <v/>
      </c>
    </row>
    <row r="69" ht="22" customHeight="1" s="22">
      <c r="I69" s="27">
        <f>IFERROR(IF(LEFT(INDEX($B$5:$B$68,MATCH(SMALL($L$5:$M$68,ROWS($I$5:I69)),$L$5:$L$68,0)),1)="☑",INDEX($A$5:$A$68,MATCH(SMALL($L$5:$M$68,ROWS($I$5:I69)),$L$5:$L$68,0)),""),IFERROR(IF(LEFT(INDEX($C$5:$C$68,MATCH(SMALL($L$5:$M$68,ROWS($I$5:I69)),$M$5:$M$68,0)),1)="☑",INDEX($A$5:$A$68,MATCH(SMALL($L$5:$M$68,ROWS($I$5:I69)),$M$5:$M$68,0)),""),""))</f>
        <v/>
      </c>
      <c r="J69" s="27">
        <f>IFERROR(IF(LEFT(INDEX($B$5:$B$68,MATCH(SMALL($L$5:$M$68,ROWS($I$5:I69)),$L$5:$L$68,0)),1)="☑",MID(INDEX($B$5:$B$68,MATCH(SMALL($L$5:$M$68,ROWS($I$5:I69)),$L$5:$L$68,0)),3,999),""),IFERROR(IF(LEFT(INDEX($C$5:$C$68,MATCH(SMALL($L$5:$M$68,ROWS($I$5:I69)),$M$5:$M$68,0)),1)="☑",MID(INDEX($C$5:$C$68,MATCH(SMALL($L$5:$M$68,ROWS($I$5:I69)),$M$5:$M$68,0)),3,999),""),""))</f>
        <v/>
      </c>
    </row>
    <row r="70" ht="22" customHeight="1" s="22">
      <c r="I70" s="28">
        <f>IFERROR(IF(LEFT(INDEX($B$5:$B$68,MATCH(SMALL($L$5:$M$68,ROWS($I$5:I70)),$L$5:$L$68,0)),1)="☑",INDEX($A$5:$A$68,MATCH(SMALL($L$5:$M$68,ROWS($I$5:I70)),$L$5:$L$68,0)),""),IFERROR(IF(LEFT(INDEX($C$5:$C$68,MATCH(SMALL($L$5:$M$68,ROWS($I$5:I70)),$M$5:$M$68,0)),1)="☑",INDEX($A$5:$A$68,MATCH(SMALL($L$5:$M$68,ROWS($I$5:I70)),$M$5:$M$68,0)),""),""))</f>
        <v/>
      </c>
      <c r="J70" s="28">
        <f>IFERROR(IF(LEFT(INDEX($B$5:$B$68,MATCH(SMALL($L$5:$M$68,ROWS($I$5:I70)),$L$5:$L$68,0)),1)="☑",MID(INDEX($B$5:$B$68,MATCH(SMALL($L$5:$M$68,ROWS($I$5:I70)),$L$5:$L$68,0)),3,999),""),IFERROR(IF(LEFT(INDEX($C$5:$C$68,MATCH(SMALL($L$5:$M$68,ROWS($I$5:I70)),$M$5:$M$68,0)),1)="☑",MID(INDEX($C$5:$C$68,MATCH(SMALL($L$5:$M$68,ROWS($I$5:I70)),$M$5:$M$68,0)),3,999),""),""))</f>
        <v/>
      </c>
    </row>
    <row r="71" ht="22" customHeight="1" s="22">
      <c r="I71" s="27">
        <f>IFERROR(IF(LEFT(INDEX($B$5:$B$68,MATCH(SMALL($L$5:$M$68,ROWS($I$5:I71)),$L$5:$L$68,0)),1)="☑",INDEX($A$5:$A$68,MATCH(SMALL($L$5:$M$68,ROWS($I$5:I71)),$L$5:$L$68,0)),""),IFERROR(IF(LEFT(INDEX($C$5:$C$68,MATCH(SMALL($L$5:$M$68,ROWS($I$5:I71)),$M$5:$M$68,0)),1)="☑",INDEX($A$5:$A$68,MATCH(SMALL($L$5:$M$68,ROWS($I$5:I71)),$M$5:$M$68,0)),""),""))</f>
        <v/>
      </c>
      <c r="J71" s="27">
        <f>IFERROR(IF(LEFT(INDEX($B$5:$B$68,MATCH(SMALL($L$5:$M$68,ROWS($I$5:I71)),$L$5:$L$68,0)),1)="☑",MID(INDEX($B$5:$B$68,MATCH(SMALL($L$5:$M$68,ROWS($I$5:I71)),$L$5:$L$68,0)),3,999),""),IFERROR(IF(LEFT(INDEX($C$5:$C$68,MATCH(SMALL($L$5:$M$68,ROWS($I$5:I71)),$M$5:$M$68,0)),1)="☑",MID(INDEX($C$5:$C$68,MATCH(SMALL($L$5:$M$68,ROWS($I$5:I71)),$M$5:$M$68,0)),3,999),""),""))</f>
        <v/>
      </c>
    </row>
    <row r="72" ht="22" customHeight="1" s="22">
      <c r="I72" s="28">
        <f>IFERROR(IF(LEFT(INDEX($B$5:$B$68,MATCH(SMALL($L$5:$M$68,ROWS($I$5:I72)),$L$5:$L$68,0)),1)="☑",INDEX($A$5:$A$68,MATCH(SMALL($L$5:$M$68,ROWS($I$5:I72)),$L$5:$L$68,0)),""),IFERROR(IF(LEFT(INDEX($C$5:$C$68,MATCH(SMALL($L$5:$M$68,ROWS($I$5:I72)),$M$5:$M$68,0)),1)="☑",INDEX($A$5:$A$68,MATCH(SMALL($L$5:$M$68,ROWS($I$5:I72)),$M$5:$M$68,0)),""),""))</f>
        <v/>
      </c>
      <c r="J72" s="28">
        <f>IFERROR(IF(LEFT(INDEX($B$5:$B$68,MATCH(SMALL($L$5:$M$68,ROWS($I$5:I72)),$L$5:$L$68,0)),1)="☑",MID(INDEX($B$5:$B$68,MATCH(SMALL($L$5:$M$68,ROWS($I$5:I72)),$L$5:$L$68,0)),3,999),""),IFERROR(IF(LEFT(INDEX($C$5:$C$68,MATCH(SMALL($L$5:$M$68,ROWS($I$5:I72)),$M$5:$M$68,0)),1)="☑",MID(INDEX($C$5:$C$68,MATCH(SMALL($L$5:$M$68,ROWS($I$5:I72)),$M$5:$M$68,0)),3,999),""),""))</f>
        <v/>
      </c>
    </row>
    <row r="73" ht="22" customHeight="1" s="22">
      <c r="I73" s="27">
        <f>IFERROR(IF(LEFT(INDEX($B$5:$B$68,MATCH(SMALL($L$5:$M$68,ROWS($I$5:I73)),$L$5:$L$68,0)),1)="☑",INDEX($A$5:$A$68,MATCH(SMALL($L$5:$M$68,ROWS($I$5:I73)),$L$5:$L$68,0)),""),IFERROR(IF(LEFT(INDEX($C$5:$C$68,MATCH(SMALL($L$5:$M$68,ROWS($I$5:I73)),$M$5:$M$68,0)),1)="☑",INDEX($A$5:$A$68,MATCH(SMALL($L$5:$M$68,ROWS($I$5:I73)),$M$5:$M$68,0)),""),""))</f>
        <v/>
      </c>
      <c r="J73" s="27">
        <f>IFERROR(IF(LEFT(INDEX($B$5:$B$68,MATCH(SMALL($L$5:$M$68,ROWS($I$5:I73)),$L$5:$L$68,0)),1)="☑",MID(INDEX($B$5:$B$68,MATCH(SMALL($L$5:$M$68,ROWS($I$5:I73)),$L$5:$L$68,0)),3,999),""),IFERROR(IF(LEFT(INDEX($C$5:$C$68,MATCH(SMALL($L$5:$M$68,ROWS($I$5:I73)),$M$5:$M$68,0)),1)="☑",MID(INDEX($C$5:$C$68,MATCH(SMALL($L$5:$M$68,ROWS($I$5:I73)),$M$5:$M$68,0)),3,999),""),""))</f>
        <v/>
      </c>
    </row>
    <row r="74" ht="22" customHeight="1" s="22">
      <c r="I74" s="28">
        <f>IFERROR(IF(LEFT(INDEX($B$5:$B$68,MATCH(SMALL($L$5:$M$68,ROWS($I$5:I74)),$L$5:$L$68,0)),1)="☑",INDEX($A$5:$A$68,MATCH(SMALL($L$5:$M$68,ROWS($I$5:I74)),$L$5:$L$68,0)),""),IFERROR(IF(LEFT(INDEX($C$5:$C$68,MATCH(SMALL($L$5:$M$68,ROWS($I$5:I74)),$M$5:$M$68,0)),1)="☑",INDEX($A$5:$A$68,MATCH(SMALL($L$5:$M$68,ROWS($I$5:I74)),$M$5:$M$68,0)),""),""))</f>
        <v/>
      </c>
      <c r="J74" s="28">
        <f>IFERROR(IF(LEFT(INDEX($B$5:$B$68,MATCH(SMALL($L$5:$M$68,ROWS($I$5:I74)),$L$5:$L$68,0)),1)="☑",MID(INDEX($B$5:$B$68,MATCH(SMALL($L$5:$M$68,ROWS($I$5:I74)),$L$5:$L$68,0)),3,999),""),IFERROR(IF(LEFT(INDEX($C$5:$C$68,MATCH(SMALL($L$5:$M$68,ROWS($I$5:I74)),$M$5:$M$68,0)),1)="☑",MID(INDEX($C$5:$C$68,MATCH(SMALL($L$5:$M$68,ROWS($I$5:I74)),$M$5:$M$68,0)),3,999),""),""))</f>
        <v/>
      </c>
    </row>
    <row r="75" ht="22" customHeight="1" s="22">
      <c r="I75" s="27">
        <f>IFERROR(IF(LEFT(INDEX($B$5:$B$68,MATCH(SMALL($L$5:$M$68,ROWS($I$5:I75)),$L$5:$L$68,0)),1)="☑",INDEX($A$5:$A$68,MATCH(SMALL($L$5:$M$68,ROWS($I$5:I75)),$L$5:$L$68,0)),""),IFERROR(IF(LEFT(INDEX($C$5:$C$68,MATCH(SMALL($L$5:$M$68,ROWS($I$5:I75)),$M$5:$M$68,0)),1)="☑",INDEX($A$5:$A$68,MATCH(SMALL($L$5:$M$68,ROWS($I$5:I75)),$M$5:$M$68,0)),""),""))</f>
        <v/>
      </c>
      <c r="J75" s="27">
        <f>IFERROR(IF(LEFT(INDEX($B$5:$B$68,MATCH(SMALL($L$5:$M$68,ROWS($I$5:I75)),$L$5:$L$68,0)),1)="☑",MID(INDEX($B$5:$B$68,MATCH(SMALL($L$5:$M$68,ROWS($I$5:I75)),$L$5:$L$68,0)),3,999),""),IFERROR(IF(LEFT(INDEX($C$5:$C$68,MATCH(SMALL($L$5:$M$68,ROWS($I$5:I75)),$M$5:$M$68,0)),1)="☑",MID(INDEX($C$5:$C$68,MATCH(SMALL($L$5:$M$68,ROWS($I$5:I75)),$M$5:$M$68,0)),3,999),""),""))</f>
        <v/>
      </c>
    </row>
    <row r="76" ht="22" customHeight="1" s="22">
      <c r="I76" s="28">
        <f>IFERROR(IF(LEFT(INDEX($B$5:$B$68,MATCH(SMALL($L$5:$M$68,ROWS($I$5:I76)),$L$5:$L$68,0)),1)="☑",INDEX($A$5:$A$68,MATCH(SMALL($L$5:$M$68,ROWS($I$5:I76)),$L$5:$L$68,0)),""),IFERROR(IF(LEFT(INDEX($C$5:$C$68,MATCH(SMALL($L$5:$M$68,ROWS($I$5:I76)),$M$5:$M$68,0)),1)="☑",INDEX($A$5:$A$68,MATCH(SMALL($L$5:$M$68,ROWS($I$5:I76)),$M$5:$M$68,0)),""),""))</f>
        <v/>
      </c>
      <c r="J76" s="28">
        <f>IFERROR(IF(LEFT(INDEX($B$5:$B$68,MATCH(SMALL($L$5:$M$68,ROWS($I$5:I76)),$L$5:$L$68,0)),1)="☑",MID(INDEX($B$5:$B$68,MATCH(SMALL($L$5:$M$68,ROWS($I$5:I76)),$L$5:$L$68,0)),3,999),""),IFERROR(IF(LEFT(INDEX($C$5:$C$68,MATCH(SMALL($L$5:$M$68,ROWS($I$5:I76)),$M$5:$M$68,0)),1)="☑",MID(INDEX($C$5:$C$68,MATCH(SMALL($L$5:$M$68,ROWS($I$5:I76)),$M$5:$M$68,0)),3,999),""),""))</f>
        <v/>
      </c>
    </row>
    <row r="77" ht="22" customHeight="1" s="22">
      <c r="I77" s="27">
        <f>IFERROR(IF(LEFT(INDEX($B$5:$B$68,MATCH(SMALL($L$5:$M$68,ROWS($I$5:I77)),$L$5:$L$68,0)),1)="☑",INDEX($A$5:$A$68,MATCH(SMALL($L$5:$M$68,ROWS($I$5:I77)),$L$5:$L$68,0)),""),IFERROR(IF(LEFT(INDEX($C$5:$C$68,MATCH(SMALL($L$5:$M$68,ROWS($I$5:I77)),$M$5:$M$68,0)),1)="☑",INDEX($A$5:$A$68,MATCH(SMALL($L$5:$M$68,ROWS($I$5:I77)),$M$5:$M$68,0)),""),""))</f>
        <v/>
      </c>
      <c r="J77" s="27">
        <f>IFERROR(IF(LEFT(INDEX($B$5:$B$68,MATCH(SMALL($L$5:$M$68,ROWS($I$5:I77)),$L$5:$L$68,0)),1)="☑",MID(INDEX($B$5:$B$68,MATCH(SMALL($L$5:$M$68,ROWS($I$5:I77)),$L$5:$L$68,0)),3,999),""),IFERROR(IF(LEFT(INDEX($C$5:$C$68,MATCH(SMALL($L$5:$M$68,ROWS($I$5:I77)),$M$5:$M$68,0)),1)="☑",MID(INDEX($C$5:$C$68,MATCH(SMALL($L$5:$M$68,ROWS($I$5:I77)),$M$5:$M$68,0)),3,999),""),""))</f>
        <v/>
      </c>
    </row>
    <row r="78" ht="22" customHeight="1" s="22">
      <c r="I78" s="28">
        <f>IFERROR(IF(LEFT(INDEX($B$5:$B$68,MATCH(SMALL($L$5:$M$68,ROWS($I$5:I78)),$L$5:$L$68,0)),1)="☑",INDEX($A$5:$A$68,MATCH(SMALL($L$5:$M$68,ROWS($I$5:I78)),$L$5:$L$68,0)),""),IFERROR(IF(LEFT(INDEX($C$5:$C$68,MATCH(SMALL($L$5:$M$68,ROWS($I$5:I78)),$M$5:$M$68,0)),1)="☑",INDEX($A$5:$A$68,MATCH(SMALL($L$5:$M$68,ROWS($I$5:I78)),$M$5:$M$68,0)),""),""))</f>
        <v/>
      </c>
      <c r="J78" s="28">
        <f>IFERROR(IF(LEFT(INDEX($B$5:$B$68,MATCH(SMALL($L$5:$M$68,ROWS($I$5:I78)),$L$5:$L$68,0)),1)="☑",MID(INDEX($B$5:$B$68,MATCH(SMALL($L$5:$M$68,ROWS($I$5:I78)),$L$5:$L$68,0)),3,999),""),IFERROR(IF(LEFT(INDEX($C$5:$C$68,MATCH(SMALL($L$5:$M$68,ROWS($I$5:I78)),$M$5:$M$68,0)),1)="☑",MID(INDEX($C$5:$C$68,MATCH(SMALL($L$5:$M$68,ROWS($I$5:I78)),$M$5:$M$68,0)),3,999),""),""))</f>
        <v/>
      </c>
    </row>
    <row r="79" ht="22" customHeight="1" s="22">
      <c r="I79" s="27">
        <f>IFERROR(IF(LEFT(INDEX($B$5:$B$68,MATCH(SMALL($L$5:$M$68,ROWS($I$5:I79)),$L$5:$L$68,0)),1)="☑",INDEX($A$5:$A$68,MATCH(SMALL($L$5:$M$68,ROWS($I$5:I79)),$L$5:$L$68,0)),""),IFERROR(IF(LEFT(INDEX($C$5:$C$68,MATCH(SMALL($L$5:$M$68,ROWS($I$5:I79)),$M$5:$M$68,0)),1)="☑",INDEX($A$5:$A$68,MATCH(SMALL($L$5:$M$68,ROWS($I$5:I79)),$M$5:$M$68,0)),""),""))</f>
        <v/>
      </c>
      <c r="J79" s="27">
        <f>IFERROR(IF(LEFT(INDEX($B$5:$B$68,MATCH(SMALL($L$5:$M$68,ROWS($I$5:I79)),$L$5:$L$68,0)),1)="☑",MID(INDEX($B$5:$B$68,MATCH(SMALL($L$5:$M$68,ROWS($I$5:I79)),$L$5:$L$68,0)),3,999),""),IFERROR(IF(LEFT(INDEX($C$5:$C$68,MATCH(SMALL($L$5:$M$68,ROWS($I$5:I79)),$M$5:$M$68,0)),1)="☑",MID(INDEX($C$5:$C$68,MATCH(SMALL($L$5:$M$68,ROWS($I$5:I79)),$M$5:$M$68,0)),3,999),""),""))</f>
        <v/>
      </c>
    </row>
    <row r="80" ht="22" customHeight="1" s="22">
      <c r="I80" s="28">
        <f>IFERROR(IF(LEFT(INDEX($B$5:$B$68,MATCH(SMALL($L$5:$M$68,ROWS($I$5:I80)),$L$5:$L$68,0)),1)="☑",INDEX($A$5:$A$68,MATCH(SMALL($L$5:$M$68,ROWS($I$5:I80)),$L$5:$L$68,0)),""),IFERROR(IF(LEFT(INDEX($C$5:$C$68,MATCH(SMALL($L$5:$M$68,ROWS($I$5:I80)),$M$5:$M$68,0)),1)="☑",INDEX($A$5:$A$68,MATCH(SMALL($L$5:$M$68,ROWS($I$5:I80)),$M$5:$M$68,0)),""),""))</f>
        <v/>
      </c>
      <c r="J80" s="28">
        <f>IFERROR(IF(LEFT(INDEX($B$5:$B$68,MATCH(SMALL($L$5:$M$68,ROWS($I$5:I80)),$L$5:$L$68,0)),1)="☑",MID(INDEX($B$5:$B$68,MATCH(SMALL($L$5:$M$68,ROWS($I$5:I80)),$L$5:$L$68,0)),3,999),""),IFERROR(IF(LEFT(INDEX($C$5:$C$68,MATCH(SMALL($L$5:$M$68,ROWS($I$5:I80)),$M$5:$M$68,0)),1)="☑",MID(INDEX($C$5:$C$68,MATCH(SMALL($L$5:$M$68,ROWS($I$5:I80)),$M$5:$M$68,0)),3,999),""),""))</f>
        <v/>
      </c>
    </row>
    <row r="81" ht="22" customHeight="1" s="22">
      <c r="I81" s="27">
        <f>IFERROR(IF(LEFT(INDEX($B$5:$B$68,MATCH(SMALL($L$5:$M$68,ROWS($I$5:I81)),$L$5:$L$68,0)),1)="☑",INDEX($A$5:$A$68,MATCH(SMALL($L$5:$M$68,ROWS($I$5:I81)),$L$5:$L$68,0)),""),IFERROR(IF(LEFT(INDEX($C$5:$C$68,MATCH(SMALL($L$5:$M$68,ROWS($I$5:I81)),$M$5:$M$68,0)),1)="☑",INDEX($A$5:$A$68,MATCH(SMALL($L$5:$M$68,ROWS($I$5:I81)),$M$5:$M$68,0)),""),""))</f>
        <v/>
      </c>
      <c r="J81" s="27">
        <f>IFERROR(IF(LEFT(INDEX($B$5:$B$68,MATCH(SMALL($L$5:$M$68,ROWS($I$5:I81)),$L$5:$L$68,0)),1)="☑",MID(INDEX($B$5:$B$68,MATCH(SMALL($L$5:$M$68,ROWS($I$5:I81)),$L$5:$L$68,0)),3,999),""),IFERROR(IF(LEFT(INDEX($C$5:$C$68,MATCH(SMALL($L$5:$M$68,ROWS($I$5:I81)),$M$5:$M$68,0)),1)="☑",MID(INDEX($C$5:$C$68,MATCH(SMALL($L$5:$M$68,ROWS($I$5:I81)),$M$5:$M$68,0)),3,999),""),""))</f>
        <v/>
      </c>
    </row>
    <row r="82" ht="22" customHeight="1" s="22">
      <c r="I82" s="28">
        <f>IFERROR(IF(LEFT(INDEX($B$5:$B$68,MATCH(SMALL($L$5:$M$68,ROWS($I$5:I82)),$L$5:$L$68,0)),1)="☑",INDEX($A$5:$A$68,MATCH(SMALL($L$5:$M$68,ROWS($I$5:I82)),$L$5:$L$68,0)),""),IFERROR(IF(LEFT(INDEX($C$5:$C$68,MATCH(SMALL($L$5:$M$68,ROWS($I$5:I82)),$M$5:$M$68,0)),1)="☑",INDEX($A$5:$A$68,MATCH(SMALL($L$5:$M$68,ROWS($I$5:I82)),$M$5:$M$68,0)),""),""))</f>
        <v/>
      </c>
      <c r="J82" s="28">
        <f>IFERROR(IF(LEFT(INDEX($B$5:$B$68,MATCH(SMALL($L$5:$M$68,ROWS($I$5:I82)),$L$5:$L$68,0)),1)="☑",MID(INDEX($B$5:$B$68,MATCH(SMALL($L$5:$M$68,ROWS($I$5:I82)),$L$5:$L$68,0)),3,999),""),IFERROR(IF(LEFT(INDEX($C$5:$C$68,MATCH(SMALL($L$5:$M$68,ROWS($I$5:I82)),$M$5:$M$68,0)),1)="☑",MID(INDEX($C$5:$C$68,MATCH(SMALL($L$5:$M$68,ROWS($I$5:I82)),$M$5:$M$68,0)),3,999),""),""))</f>
        <v/>
      </c>
    </row>
    <row r="83" ht="22" customHeight="1" s="22">
      <c r="I83" s="27">
        <f>IFERROR(IF(LEFT(INDEX($B$5:$B$68,MATCH(SMALL($L$5:$M$68,ROWS($I$5:I83)),$L$5:$L$68,0)),1)="☑",INDEX($A$5:$A$68,MATCH(SMALL($L$5:$M$68,ROWS($I$5:I83)),$L$5:$L$68,0)),""),IFERROR(IF(LEFT(INDEX($C$5:$C$68,MATCH(SMALL($L$5:$M$68,ROWS($I$5:I83)),$M$5:$M$68,0)),1)="☑",INDEX($A$5:$A$68,MATCH(SMALL($L$5:$M$68,ROWS($I$5:I83)),$M$5:$M$68,0)),""),""))</f>
        <v/>
      </c>
      <c r="J83" s="27">
        <f>IFERROR(IF(LEFT(INDEX($B$5:$B$68,MATCH(SMALL($L$5:$M$68,ROWS($I$5:I83)),$L$5:$L$68,0)),1)="☑",MID(INDEX($B$5:$B$68,MATCH(SMALL($L$5:$M$68,ROWS($I$5:I83)),$L$5:$L$68,0)),3,999),""),IFERROR(IF(LEFT(INDEX($C$5:$C$68,MATCH(SMALL($L$5:$M$68,ROWS($I$5:I83)),$M$5:$M$68,0)),1)="☑",MID(INDEX($C$5:$C$68,MATCH(SMALL($L$5:$M$68,ROWS($I$5:I83)),$M$5:$M$68,0)),3,999),""),""))</f>
        <v/>
      </c>
    </row>
    <row r="84" ht="22" customHeight="1" s="22">
      <c r="I84" s="28">
        <f>IFERROR(IF(LEFT(INDEX($B$5:$B$68,MATCH(SMALL($L$5:$M$68,ROWS($I$5:I84)),$L$5:$L$68,0)),1)="☑",INDEX($A$5:$A$68,MATCH(SMALL($L$5:$M$68,ROWS($I$5:I84)),$L$5:$L$68,0)),""),IFERROR(IF(LEFT(INDEX($C$5:$C$68,MATCH(SMALL($L$5:$M$68,ROWS($I$5:I84)),$M$5:$M$68,0)),1)="☑",INDEX($A$5:$A$68,MATCH(SMALL($L$5:$M$68,ROWS($I$5:I84)),$M$5:$M$68,0)),""),""))</f>
        <v/>
      </c>
      <c r="J84" s="28">
        <f>IFERROR(IF(LEFT(INDEX($B$5:$B$68,MATCH(SMALL($L$5:$M$68,ROWS($I$5:I84)),$L$5:$L$68,0)),1)="☑",MID(INDEX($B$5:$B$68,MATCH(SMALL($L$5:$M$68,ROWS($I$5:I84)),$L$5:$L$68,0)),3,999),""),IFERROR(IF(LEFT(INDEX($C$5:$C$68,MATCH(SMALL($L$5:$M$68,ROWS($I$5:I84)),$M$5:$M$68,0)),1)="☑",MID(INDEX($C$5:$C$68,MATCH(SMALL($L$5:$M$68,ROWS($I$5:I84)),$M$5:$M$68,0)),3,999),""),""))</f>
        <v/>
      </c>
    </row>
    <row r="85" ht="22" customHeight="1" s="22">
      <c r="I85" s="27">
        <f>IFERROR(IF(LEFT(INDEX($B$5:$B$68,MATCH(SMALL($L$5:$M$68,ROWS($I$5:I85)),$L$5:$L$68,0)),1)="☑",INDEX($A$5:$A$68,MATCH(SMALL($L$5:$M$68,ROWS($I$5:I85)),$L$5:$L$68,0)),""),IFERROR(IF(LEFT(INDEX($C$5:$C$68,MATCH(SMALL($L$5:$M$68,ROWS($I$5:I85)),$M$5:$M$68,0)),1)="☑",INDEX($A$5:$A$68,MATCH(SMALL($L$5:$M$68,ROWS($I$5:I85)),$M$5:$M$68,0)),""),""))</f>
        <v/>
      </c>
      <c r="J85" s="27">
        <f>IFERROR(IF(LEFT(INDEX($B$5:$B$68,MATCH(SMALL($L$5:$M$68,ROWS($I$5:I85)),$L$5:$L$68,0)),1)="☑",MID(INDEX($B$5:$B$68,MATCH(SMALL($L$5:$M$68,ROWS($I$5:I85)),$L$5:$L$68,0)),3,999),""),IFERROR(IF(LEFT(INDEX($C$5:$C$68,MATCH(SMALL($L$5:$M$68,ROWS($I$5:I85)),$M$5:$M$68,0)),1)="☑",MID(INDEX($C$5:$C$68,MATCH(SMALL($L$5:$M$68,ROWS($I$5:I85)),$M$5:$M$68,0)),3,999),""),""))</f>
        <v/>
      </c>
    </row>
    <row r="86" ht="22" customHeight="1" s="22">
      <c r="I86" s="28">
        <f>IFERROR(IF(LEFT(INDEX($B$5:$B$68,MATCH(SMALL($L$5:$M$68,ROWS($I$5:I86)),$L$5:$L$68,0)),1)="☑",INDEX($A$5:$A$68,MATCH(SMALL($L$5:$M$68,ROWS($I$5:I86)),$L$5:$L$68,0)),""),IFERROR(IF(LEFT(INDEX($C$5:$C$68,MATCH(SMALL($L$5:$M$68,ROWS($I$5:I86)),$M$5:$M$68,0)),1)="☑",INDEX($A$5:$A$68,MATCH(SMALL($L$5:$M$68,ROWS($I$5:I86)),$M$5:$M$68,0)),""),""))</f>
        <v/>
      </c>
      <c r="J86" s="28">
        <f>IFERROR(IF(LEFT(INDEX($B$5:$B$68,MATCH(SMALL($L$5:$M$68,ROWS($I$5:I86)),$L$5:$L$68,0)),1)="☑",MID(INDEX($B$5:$B$68,MATCH(SMALL($L$5:$M$68,ROWS($I$5:I86)),$L$5:$L$68,0)),3,999),""),IFERROR(IF(LEFT(INDEX($C$5:$C$68,MATCH(SMALL($L$5:$M$68,ROWS($I$5:I86)),$M$5:$M$68,0)),1)="☑",MID(INDEX($C$5:$C$68,MATCH(SMALL($L$5:$M$68,ROWS($I$5:I86)),$M$5:$M$68,0)),3,999),""),""))</f>
        <v/>
      </c>
    </row>
    <row r="87" ht="22" customHeight="1" s="22">
      <c r="I87" s="27">
        <f>IFERROR(IF(LEFT(INDEX($B$5:$B$68,MATCH(SMALL($L$5:$M$68,ROWS($I$5:I87)),$L$5:$L$68,0)),1)="☑",INDEX($A$5:$A$68,MATCH(SMALL($L$5:$M$68,ROWS($I$5:I87)),$L$5:$L$68,0)),""),IFERROR(IF(LEFT(INDEX($C$5:$C$68,MATCH(SMALL($L$5:$M$68,ROWS($I$5:I87)),$M$5:$M$68,0)),1)="☑",INDEX($A$5:$A$68,MATCH(SMALL($L$5:$M$68,ROWS($I$5:I87)),$M$5:$M$68,0)),""),""))</f>
        <v/>
      </c>
      <c r="J87" s="27">
        <f>IFERROR(IF(LEFT(INDEX($B$5:$B$68,MATCH(SMALL($L$5:$M$68,ROWS($I$5:I87)),$L$5:$L$68,0)),1)="☑",MID(INDEX($B$5:$B$68,MATCH(SMALL($L$5:$M$68,ROWS($I$5:I87)),$L$5:$L$68,0)),3,999),""),IFERROR(IF(LEFT(INDEX($C$5:$C$68,MATCH(SMALL($L$5:$M$68,ROWS($I$5:I87)),$M$5:$M$68,0)),1)="☑",MID(INDEX($C$5:$C$68,MATCH(SMALL($L$5:$M$68,ROWS($I$5:I87)),$M$5:$M$68,0)),3,999),""),""))</f>
        <v/>
      </c>
    </row>
    <row r="88" ht="22" customHeight="1" s="22">
      <c r="I88" s="28">
        <f>IFERROR(IF(LEFT(INDEX($B$5:$B$68,MATCH(SMALL($L$5:$M$68,ROWS($I$5:I88)),$L$5:$L$68,0)),1)="☑",INDEX($A$5:$A$68,MATCH(SMALL($L$5:$M$68,ROWS($I$5:I88)),$L$5:$L$68,0)),""),IFERROR(IF(LEFT(INDEX($C$5:$C$68,MATCH(SMALL($L$5:$M$68,ROWS($I$5:I88)),$M$5:$M$68,0)),1)="☑",INDEX($A$5:$A$68,MATCH(SMALL($L$5:$M$68,ROWS($I$5:I88)),$M$5:$M$68,0)),""),""))</f>
        <v/>
      </c>
      <c r="J88" s="28">
        <f>IFERROR(IF(LEFT(INDEX($B$5:$B$68,MATCH(SMALL($L$5:$M$68,ROWS($I$5:I88)),$L$5:$L$68,0)),1)="☑",MID(INDEX($B$5:$B$68,MATCH(SMALL($L$5:$M$68,ROWS($I$5:I88)),$L$5:$L$68,0)),3,999),""),IFERROR(IF(LEFT(INDEX($C$5:$C$68,MATCH(SMALL($L$5:$M$68,ROWS($I$5:I88)),$M$5:$M$68,0)),1)="☑",MID(INDEX($C$5:$C$68,MATCH(SMALL($L$5:$M$68,ROWS($I$5:I88)),$M$5:$M$68,0)),3,999),""),""))</f>
        <v/>
      </c>
    </row>
    <row r="89" ht="22" customHeight="1" s="22">
      <c r="I89" s="27">
        <f>IFERROR(IF(LEFT(INDEX($B$5:$B$68,MATCH(SMALL($L$5:$M$68,ROWS($I$5:I89)),$L$5:$L$68,0)),1)="☑",INDEX($A$5:$A$68,MATCH(SMALL($L$5:$M$68,ROWS($I$5:I89)),$L$5:$L$68,0)),""),IFERROR(IF(LEFT(INDEX($C$5:$C$68,MATCH(SMALL($L$5:$M$68,ROWS($I$5:I89)),$M$5:$M$68,0)),1)="☑",INDEX($A$5:$A$68,MATCH(SMALL($L$5:$M$68,ROWS($I$5:I89)),$M$5:$M$68,0)),""),""))</f>
        <v/>
      </c>
      <c r="J89" s="27">
        <f>IFERROR(IF(LEFT(INDEX($B$5:$B$68,MATCH(SMALL($L$5:$M$68,ROWS($I$5:I89)),$L$5:$L$68,0)),1)="☑",MID(INDEX($B$5:$B$68,MATCH(SMALL($L$5:$M$68,ROWS($I$5:I89)),$L$5:$L$68,0)),3,999),""),IFERROR(IF(LEFT(INDEX($C$5:$C$68,MATCH(SMALL($L$5:$M$68,ROWS($I$5:I89)),$M$5:$M$68,0)),1)="☑",MID(INDEX($C$5:$C$68,MATCH(SMALL($L$5:$M$68,ROWS($I$5:I89)),$M$5:$M$68,0)),3,999),""),""))</f>
        <v/>
      </c>
    </row>
    <row r="90" ht="22" customHeight="1" s="22">
      <c r="I90" s="28">
        <f>IFERROR(IF(LEFT(INDEX($B$5:$B$68,MATCH(SMALL($L$5:$M$68,ROWS($I$5:I90)),$L$5:$L$68,0)),1)="☑",INDEX($A$5:$A$68,MATCH(SMALL($L$5:$M$68,ROWS($I$5:I90)),$L$5:$L$68,0)),""),IFERROR(IF(LEFT(INDEX($C$5:$C$68,MATCH(SMALL($L$5:$M$68,ROWS($I$5:I90)),$M$5:$M$68,0)),1)="☑",INDEX($A$5:$A$68,MATCH(SMALL($L$5:$M$68,ROWS($I$5:I90)),$M$5:$M$68,0)),""),""))</f>
        <v/>
      </c>
      <c r="J90" s="28">
        <f>IFERROR(IF(LEFT(INDEX($B$5:$B$68,MATCH(SMALL($L$5:$M$68,ROWS($I$5:I90)),$L$5:$L$68,0)),1)="☑",MID(INDEX($B$5:$B$68,MATCH(SMALL($L$5:$M$68,ROWS($I$5:I90)),$L$5:$L$68,0)),3,999),""),IFERROR(IF(LEFT(INDEX($C$5:$C$68,MATCH(SMALL($L$5:$M$68,ROWS($I$5:I90)),$M$5:$M$68,0)),1)="☑",MID(INDEX($C$5:$C$68,MATCH(SMALL($L$5:$M$68,ROWS($I$5:I90)),$M$5:$M$68,0)),3,999),""),""))</f>
        <v/>
      </c>
    </row>
    <row r="91" ht="22" customHeight="1" s="22">
      <c r="I91" s="27">
        <f>IFERROR(IF(LEFT(INDEX($B$5:$B$68,MATCH(SMALL($L$5:$M$68,ROWS($I$5:I91)),$L$5:$L$68,0)),1)="☑",INDEX($A$5:$A$68,MATCH(SMALL($L$5:$M$68,ROWS($I$5:I91)),$L$5:$L$68,0)),""),IFERROR(IF(LEFT(INDEX($C$5:$C$68,MATCH(SMALL($L$5:$M$68,ROWS($I$5:I91)),$M$5:$M$68,0)),1)="☑",INDEX($A$5:$A$68,MATCH(SMALL($L$5:$M$68,ROWS($I$5:I91)),$M$5:$M$68,0)),""),""))</f>
        <v/>
      </c>
      <c r="J91" s="27">
        <f>IFERROR(IF(LEFT(INDEX($B$5:$B$68,MATCH(SMALL($L$5:$M$68,ROWS($I$5:I91)),$L$5:$L$68,0)),1)="☑",MID(INDEX($B$5:$B$68,MATCH(SMALL($L$5:$M$68,ROWS($I$5:I91)),$L$5:$L$68,0)),3,999),""),IFERROR(IF(LEFT(INDEX($C$5:$C$68,MATCH(SMALL($L$5:$M$68,ROWS($I$5:I91)),$M$5:$M$68,0)),1)="☑",MID(INDEX($C$5:$C$68,MATCH(SMALL($L$5:$M$68,ROWS($I$5:I91)),$M$5:$M$68,0)),3,999),""),""))</f>
        <v/>
      </c>
    </row>
    <row r="92" ht="22" customHeight="1" s="22">
      <c r="I92" s="28">
        <f>IFERROR(IF(LEFT(INDEX($B$5:$B$68,MATCH(SMALL($L$5:$M$68,ROWS($I$5:I92)),$L$5:$L$68,0)),1)="☑",INDEX($A$5:$A$68,MATCH(SMALL($L$5:$M$68,ROWS($I$5:I92)),$L$5:$L$68,0)),""),IFERROR(IF(LEFT(INDEX($C$5:$C$68,MATCH(SMALL($L$5:$M$68,ROWS($I$5:I92)),$M$5:$M$68,0)),1)="☑",INDEX($A$5:$A$68,MATCH(SMALL($L$5:$M$68,ROWS($I$5:I92)),$M$5:$M$68,0)),""),""))</f>
        <v/>
      </c>
      <c r="J92" s="28">
        <f>IFERROR(IF(LEFT(INDEX($B$5:$B$68,MATCH(SMALL($L$5:$M$68,ROWS($I$5:I92)),$L$5:$L$68,0)),1)="☑",MID(INDEX($B$5:$B$68,MATCH(SMALL($L$5:$M$68,ROWS($I$5:I92)),$L$5:$L$68,0)),3,999),""),IFERROR(IF(LEFT(INDEX($C$5:$C$68,MATCH(SMALL($L$5:$M$68,ROWS($I$5:I92)),$M$5:$M$68,0)),1)="☑",MID(INDEX($C$5:$C$68,MATCH(SMALL($L$5:$M$68,ROWS($I$5:I92)),$M$5:$M$68,0)),3,999),""),""))</f>
        <v/>
      </c>
    </row>
    <row r="93" ht="22" customHeight="1" s="22">
      <c r="I93" s="27">
        <f>IFERROR(IF(LEFT(INDEX($B$5:$B$68,MATCH(SMALL($L$5:$M$68,ROWS($I$5:I93)),$L$5:$L$68,0)),1)="☑",INDEX($A$5:$A$68,MATCH(SMALL($L$5:$M$68,ROWS($I$5:I93)),$L$5:$L$68,0)),""),IFERROR(IF(LEFT(INDEX($C$5:$C$68,MATCH(SMALL($L$5:$M$68,ROWS($I$5:I93)),$M$5:$M$68,0)),1)="☑",INDEX($A$5:$A$68,MATCH(SMALL($L$5:$M$68,ROWS($I$5:I93)),$M$5:$M$68,0)),""),""))</f>
        <v/>
      </c>
      <c r="J93" s="27">
        <f>IFERROR(IF(LEFT(INDEX($B$5:$B$68,MATCH(SMALL($L$5:$M$68,ROWS($I$5:I93)),$L$5:$L$68,0)),1)="☑",MID(INDEX($B$5:$B$68,MATCH(SMALL($L$5:$M$68,ROWS($I$5:I93)),$L$5:$L$68,0)),3,999),""),IFERROR(IF(LEFT(INDEX($C$5:$C$68,MATCH(SMALL($L$5:$M$68,ROWS($I$5:I93)),$M$5:$M$68,0)),1)="☑",MID(INDEX($C$5:$C$68,MATCH(SMALL($L$5:$M$68,ROWS($I$5:I93)),$M$5:$M$68,0)),3,999),""),""))</f>
        <v/>
      </c>
    </row>
    <row r="94" ht="22" customHeight="1" s="22">
      <c r="I94" s="28">
        <f>IFERROR(IF(LEFT(INDEX($B$5:$B$68,MATCH(SMALL($L$5:$M$68,ROWS($I$5:I94)),$L$5:$L$68,0)),1)="☑",INDEX($A$5:$A$68,MATCH(SMALL($L$5:$M$68,ROWS($I$5:I94)),$L$5:$L$68,0)),""),IFERROR(IF(LEFT(INDEX($C$5:$C$68,MATCH(SMALL($L$5:$M$68,ROWS($I$5:I94)),$M$5:$M$68,0)),1)="☑",INDEX($A$5:$A$68,MATCH(SMALL($L$5:$M$68,ROWS($I$5:I94)),$M$5:$M$68,0)),""),""))</f>
        <v/>
      </c>
      <c r="J94" s="28">
        <f>IFERROR(IF(LEFT(INDEX($B$5:$B$68,MATCH(SMALL($L$5:$M$68,ROWS($I$5:I94)),$L$5:$L$68,0)),1)="☑",MID(INDEX($B$5:$B$68,MATCH(SMALL($L$5:$M$68,ROWS($I$5:I94)),$L$5:$L$68,0)),3,999),""),IFERROR(IF(LEFT(INDEX($C$5:$C$68,MATCH(SMALL($L$5:$M$68,ROWS($I$5:I94)),$M$5:$M$68,0)),1)="☑",MID(INDEX($C$5:$C$68,MATCH(SMALL($L$5:$M$68,ROWS($I$5:I94)),$M$5:$M$68,0)),3,999),""),""))</f>
        <v/>
      </c>
    </row>
    <row r="95" ht="22" customHeight="1" s="22">
      <c r="I95" s="27">
        <f>IFERROR(IF(LEFT(INDEX($B$5:$B$68,MATCH(SMALL($L$5:$M$68,ROWS($I$5:I95)),$L$5:$L$68,0)),1)="☑",INDEX($A$5:$A$68,MATCH(SMALL($L$5:$M$68,ROWS($I$5:I95)),$L$5:$L$68,0)),""),IFERROR(IF(LEFT(INDEX($C$5:$C$68,MATCH(SMALL($L$5:$M$68,ROWS($I$5:I95)),$M$5:$M$68,0)),1)="☑",INDEX($A$5:$A$68,MATCH(SMALL($L$5:$M$68,ROWS($I$5:I95)),$M$5:$M$68,0)),""),""))</f>
        <v/>
      </c>
      <c r="J95" s="27">
        <f>IFERROR(IF(LEFT(INDEX($B$5:$B$68,MATCH(SMALL($L$5:$M$68,ROWS($I$5:I95)),$L$5:$L$68,0)),1)="☑",MID(INDEX($B$5:$B$68,MATCH(SMALL($L$5:$M$68,ROWS($I$5:I95)),$L$5:$L$68,0)),3,999),""),IFERROR(IF(LEFT(INDEX($C$5:$C$68,MATCH(SMALL($L$5:$M$68,ROWS($I$5:I95)),$M$5:$M$68,0)),1)="☑",MID(INDEX($C$5:$C$68,MATCH(SMALL($L$5:$M$68,ROWS($I$5:I95)),$M$5:$M$68,0)),3,999),""),""))</f>
        <v/>
      </c>
    </row>
    <row r="96" ht="22" customHeight="1" s="22">
      <c r="I96" s="28">
        <f>IFERROR(IF(LEFT(INDEX($B$5:$B$68,MATCH(SMALL($L$5:$M$68,ROWS($I$5:I96)),$L$5:$L$68,0)),1)="☑",INDEX($A$5:$A$68,MATCH(SMALL($L$5:$M$68,ROWS($I$5:I96)),$L$5:$L$68,0)),""),IFERROR(IF(LEFT(INDEX($C$5:$C$68,MATCH(SMALL($L$5:$M$68,ROWS($I$5:I96)),$M$5:$M$68,0)),1)="☑",INDEX($A$5:$A$68,MATCH(SMALL($L$5:$M$68,ROWS($I$5:I96)),$M$5:$M$68,0)),""),""))</f>
        <v/>
      </c>
      <c r="J96" s="28">
        <f>IFERROR(IF(LEFT(INDEX($B$5:$B$68,MATCH(SMALL($L$5:$M$68,ROWS($I$5:I96)),$L$5:$L$68,0)),1)="☑",MID(INDEX($B$5:$B$68,MATCH(SMALL($L$5:$M$68,ROWS($I$5:I96)),$L$5:$L$68,0)),3,999),""),IFERROR(IF(LEFT(INDEX($C$5:$C$68,MATCH(SMALL($L$5:$M$68,ROWS($I$5:I96)),$M$5:$M$68,0)),1)="☑",MID(INDEX($C$5:$C$68,MATCH(SMALL($L$5:$M$68,ROWS($I$5:I96)),$M$5:$M$68,0)),3,999),""),""))</f>
        <v/>
      </c>
    </row>
    <row r="97" ht="22" customHeight="1" s="22">
      <c r="I97" s="27">
        <f>IFERROR(IF(LEFT(INDEX($B$5:$B$68,MATCH(SMALL($L$5:$M$68,ROWS($I$5:I97)),$L$5:$L$68,0)),1)="☑",INDEX($A$5:$A$68,MATCH(SMALL($L$5:$M$68,ROWS($I$5:I97)),$L$5:$L$68,0)),""),IFERROR(IF(LEFT(INDEX($C$5:$C$68,MATCH(SMALL($L$5:$M$68,ROWS($I$5:I97)),$M$5:$M$68,0)),1)="☑",INDEX($A$5:$A$68,MATCH(SMALL($L$5:$M$68,ROWS($I$5:I97)),$M$5:$M$68,0)),""),""))</f>
        <v/>
      </c>
      <c r="J97" s="27">
        <f>IFERROR(IF(LEFT(INDEX($B$5:$B$68,MATCH(SMALL($L$5:$M$68,ROWS($I$5:I97)),$L$5:$L$68,0)),1)="☑",MID(INDEX($B$5:$B$68,MATCH(SMALL($L$5:$M$68,ROWS($I$5:I97)),$L$5:$L$68,0)),3,999),""),IFERROR(IF(LEFT(INDEX($C$5:$C$68,MATCH(SMALL($L$5:$M$68,ROWS($I$5:I97)),$M$5:$M$68,0)),1)="☑",MID(INDEX($C$5:$C$68,MATCH(SMALL($L$5:$M$68,ROWS($I$5:I97)),$M$5:$M$68,0)),3,999),""),""))</f>
        <v/>
      </c>
    </row>
    <row r="98" ht="22" customHeight="1" s="22">
      <c r="I98" s="28">
        <f>IFERROR(IF(LEFT(INDEX($B$5:$B$68,MATCH(SMALL($L$5:$M$68,ROWS($I$5:I98)),$L$5:$L$68,0)),1)="☑",INDEX($A$5:$A$68,MATCH(SMALL($L$5:$M$68,ROWS($I$5:I98)),$L$5:$L$68,0)),""),IFERROR(IF(LEFT(INDEX($C$5:$C$68,MATCH(SMALL($L$5:$M$68,ROWS($I$5:I98)),$M$5:$M$68,0)),1)="☑",INDEX($A$5:$A$68,MATCH(SMALL($L$5:$M$68,ROWS($I$5:I98)),$M$5:$M$68,0)),""),""))</f>
        <v/>
      </c>
      <c r="J98" s="28">
        <f>IFERROR(IF(LEFT(INDEX($B$5:$B$68,MATCH(SMALL($L$5:$M$68,ROWS($I$5:I98)),$L$5:$L$68,0)),1)="☑",MID(INDEX($B$5:$B$68,MATCH(SMALL($L$5:$M$68,ROWS($I$5:I98)),$L$5:$L$68,0)),3,999),""),IFERROR(IF(LEFT(INDEX($C$5:$C$68,MATCH(SMALL($L$5:$M$68,ROWS($I$5:I98)),$M$5:$M$68,0)),1)="☑",MID(INDEX($C$5:$C$68,MATCH(SMALL($L$5:$M$68,ROWS($I$5:I98)),$M$5:$M$68,0)),3,999),""),""))</f>
        <v/>
      </c>
    </row>
    <row r="99" ht="22" customHeight="1" s="22">
      <c r="I99" s="27">
        <f>IFERROR(IF(LEFT(INDEX($B$5:$B$68,MATCH(SMALL($L$5:$M$68,ROWS($I$5:I99)),$L$5:$L$68,0)),1)="☑",INDEX($A$5:$A$68,MATCH(SMALL($L$5:$M$68,ROWS($I$5:I99)),$L$5:$L$68,0)),""),IFERROR(IF(LEFT(INDEX($C$5:$C$68,MATCH(SMALL($L$5:$M$68,ROWS($I$5:I99)),$M$5:$M$68,0)),1)="☑",INDEX($A$5:$A$68,MATCH(SMALL($L$5:$M$68,ROWS($I$5:I99)),$M$5:$M$68,0)),""),""))</f>
        <v/>
      </c>
      <c r="J99" s="27">
        <f>IFERROR(IF(LEFT(INDEX($B$5:$B$68,MATCH(SMALL($L$5:$M$68,ROWS($I$5:I99)),$L$5:$L$68,0)),1)="☑",MID(INDEX($B$5:$B$68,MATCH(SMALL($L$5:$M$68,ROWS($I$5:I99)),$L$5:$L$68,0)),3,999),""),IFERROR(IF(LEFT(INDEX($C$5:$C$68,MATCH(SMALL($L$5:$M$68,ROWS($I$5:I99)),$M$5:$M$68,0)),1)="☑",MID(INDEX($C$5:$C$68,MATCH(SMALL($L$5:$M$68,ROWS($I$5:I99)),$M$5:$M$68,0)),3,999),""),""))</f>
        <v/>
      </c>
    </row>
    <row r="100" ht="22" customHeight="1" s="22">
      <c r="I100" s="28">
        <f>IFERROR(IF(LEFT(INDEX($B$5:$B$68,MATCH(SMALL($L$5:$M$68,ROWS($I$5:I100)),$L$5:$L$68,0)),1)="☑",INDEX($A$5:$A$68,MATCH(SMALL($L$5:$M$68,ROWS($I$5:I100)),$L$5:$L$68,0)),""),IFERROR(IF(LEFT(INDEX($C$5:$C$68,MATCH(SMALL($L$5:$M$68,ROWS($I$5:I100)),$M$5:$M$68,0)),1)="☑",INDEX($A$5:$A$68,MATCH(SMALL($L$5:$M$68,ROWS($I$5:I100)),$M$5:$M$68,0)),""),""))</f>
        <v/>
      </c>
      <c r="J100" s="28">
        <f>IFERROR(IF(LEFT(INDEX($B$5:$B$68,MATCH(SMALL($L$5:$M$68,ROWS($I$5:I100)),$L$5:$L$68,0)),1)="☑",MID(INDEX($B$5:$B$68,MATCH(SMALL($L$5:$M$68,ROWS($I$5:I100)),$L$5:$L$68,0)),3,999),""),IFERROR(IF(LEFT(INDEX($C$5:$C$68,MATCH(SMALL($L$5:$M$68,ROWS($I$5:I100)),$M$5:$M$68,0)),1)="☑",MID(INDEX($C$5:$C$68,MATCH(SMALL($L$5:$M$68,ROWS($I$5:I100)),$M$5:$M$68,0)),3,999),""),""))</f>
        <v/>
      </c>
    </row>
    <row r="101" ht="22" customHeight="1" s="22">
      <c r="I101" s="27">
        <f>IFERROR(IF(LEFT(INDEX($B$5:$B$68,MATCH(SMALL($L$5:$M$68,ROWS($I$5:I101)),$L$5:$L$68,0)),1)="☑",INDEX($A$5:$A$68,MATCH(SMALL($L$5:$M$68,ROWS($I$5:I101)),$L$5:$L$68,0)),""),IFERROR(IF(LEFT(INDEX($C$5:$C$68,MATCH(SMALL($L$5:$M$68,ROWS($I$5:I101)),$M$5:$M$68,0)),1)="☑",INDEX($A$5:$A$68,MATCH(SMALL($L$5:$M$68,ROWS($I$5:I101)),$M$5:$M$68,0)),""),""))</f>
        <v/>
      </c>
      <c r="J101" s="27">
        <f>IFERROR(IF(LEFT(INDEX($B$5:$B$68,MATCH(SMALL($L$5:$M$68,ROWS($I$5:I101)),$L$5:$L$68,0)),1)="☑",MID(INDEX($B$5:$B$68,MATCH(SMALL($L$5:$M$68,ROWS($I$5:I101)),$L$5:$L$68,0)),3,999),""),IFERROR(IF(LEFT(INDEX($C$5:$C$68,MATCH(SMALL($L$5:$M$68,ROWS($I$5:I101)),$M$5:$M$68,0)),1)="☑",MID(INDEX($C$5:$C$68,MATCH(SMALL($L$5:$M$68,ROWS($I$5:I101)),$M$5:$M$68,0)),3,999),""),""))</f>
        <v/>
      </c>
    </row>
    <row r="102" ht="22" customHeight="1" s="22">
      <c r="I102" s="28">
        <f>IFERROR(IF(LEFT(INDEX($B$5:$B$68,MATCH(SMALL($L$5:$M$68,ROWS($I$5:I102)),$L$5:$L$68,0)),1)="☑",INDEX($A$5:$A$68,MATCH(SMALL($L$5:$M$68,ROWS($I$5:I102)),$L$5:$L$68,0)),""),IFERROR(IF(LEFT(INDEX($C$5:$C$68,MATCH(SMALL($L$5:$M$68,ROWS($I$5:I102)),$M$5:$M$68,0)),1)="☑",INDEX($A$5:$A$68,MATCH(SMALL($L$5:$M$68,ROWS($I$5:I102)),$M$5:$M$68,0)),""),""))</f>
        <v/>
      </c>
      <c r="J102" s="28">
        <f>IFERROR(IF(LEFT(INDEX($B$5:$B$68,MATCH(SMALL($L$5:$M$68,ROWS($I$5:I102)),$L$5:$L$68,0)),1)="☑",MID(INDEX($B$5:$B$68,MATCH(SMALL($L$5:$M$68,ROWS($I$5:I102)),$L$5:$L$68,0)),3,999),""),IFERROR(IF(LEFT(INDEX($C$5:$C$68,MATCH(SMALL($L$5:$M$68,ROWS($I$5:I102)),$M$5:$M$68,0)),1)="☑",MID(INDEX($C$5:$C$68,MATCH(SMALL($L$5:$M$68,ROWS($I$5:I102)),$M$5:$M$68,0)),3,999),""),""))</f>
        <v/>
      </c>
    </row>
    <row r="103" ht="22" customHeight="1" s="22">
      <c r="I103" s="27">
        <f>IFERROR(IF(LEFT(INDEX($B$5:$B$68,MATCH(SMALL($L$5:$M$68,ROWS($I$5:I103)),$L$5:$L$68,0)),1)="☑",INDEX($A$5:$A$68,MATCH(SMALL($L$5:$M$68,ROWS($I$5:I103)),$L$5:$L$68,0)),""),IFERROR(IF(LEFT(INDEX($C$5:$C$68,MATCH(SMALL($L$5:$M$68,ROWS($I$5:I103)),$M$5:$M$68,0)),1)="☑",INDEX($A$5:$A$68,MATCH(SMALL($L$5:$M$68,ROWS($I$5:I103)),$M$5:$M$68,0)),""),""))</f>
        <v/>
      </c>
      <c r="J103" s="27">
        <f>IFERROR(IF(LEFT(INDEX($B$5:$B$68,MATCH(SMALL($L$5:$M$68,ROWS($I$5:I103)),$L$5:$L$68,0)),1)="☑",MID(INDEX($B$5:$B$68,MATCH(SMALL($L$5:$M$68,ROWS($I$5:I103)),$L$5:$L$68,0)),3,999),""),IFERROR(IF(LEFT(INDEX($C$5:$C$68,MATCH(SMALL($L$5:$M$68,ROWS($I$5:I103)),$M$5:$M$68,0)),1)="☑",MID(INDEX($C$5:$C$68,MATCH(SMALL($L$5:$M$68,ROWS($I$5:I103)),$M$5:$M$68,0)),3,999),""),""))</f>
        <v/>
      </c>
    </row>
    <row r="104" ht="22" customHeight="1" s="22">
      <c r="I104" s="28">
        <f>IFERROR(IF(LEFT(INDEX($B$5:$B$68,MATCH(SMALL($L$5:$M$68,ROWS($I$5:I104)),$L$5:$L$68,0)),1)="☑",INDEX($A$5:$A$68,MATCH(SMALL($L$5:$M$68,ROWS($I$5:I104)),$L$5:$L$68,0)),""),IFERROR(IF(LEFT(INDEX($C$5:$C$68,MATCH(SMALL($L$5:$M$68,ROWS($I$5:I104)),$M$5:$M$68,0)),1)="☑",INDEX($A$5:$A$68,MATCH(SMALL($L$5:$M$68,ROWS($I$5:I104)),$M$5:$M$68,0)),""),""))</f>
        <v/>
      </c>
      <c r="J104" s="28">
        <f>IFERROR(IF(LEFT(INDEX($B$5:$B$68,MATCH(SMALL($L$5:$M$68,ROWS($I$5:I104)),$L$5:$L$68,0)),1)="☑",MID(INDEX($B$5:$B$68,MATCH(SMALL($L$5:$M$68,ROWS($I$5:I104)),$L$5:$L$68,0)),3,999),""),IFERROR(IF(LEFT(INDEX($C$5:$C$68,MATCH(SMALL($L$5:$M$68,ROWS($I$5:I104)),$M$5:$M$68,0)),1)="☑",MID(INDEX($C$5:$C$68,MATCH(SMALL($L$5:$M$68,ROWS($I$5:I104)),$M$5:$M$68,0)),3,999),""),""))</f>
        <v/>
      </c>
    </row>
    <row r="105" ht="22" customHeight="1" s="22">
      <c r="I105" s="27">
        <f>IFERROR(IF(LEFT(INDEX($B$5:$B$68,MATCH(SMALL($L$5:$M$68,ROWS($I$5:I105)),$L$5:$L$68,0)),1)="☑",INDEX($A$5:$A$68,MATCH(SMALL($L$5:$M$68,ROWS($I$5:I105)),$L$5:$L$68,0)),""),IFERROR(IF(LEFT(INDEX($C$5:$C$68,MATCH(SMALL($L$5:$M$68,ROWS($I$5:I105)),$M$5:$M$68,0)),1)="☑",INDEX($A$5:$A$68,MATCH(SMALL($L$5:$M$68,ROWS($I$5:I105)),$M$5:$M$68,0)),""),""))</f>
        <v/>
      </c>
      <c r="J105" s="27">
        <f>IFERROR(IF(LEFT(INDEX($B$5:$B$68,MATCH(SMALL($L$5:$M$68,ROWS($I$5:I105)),$L$5:$L$68,0)),1)="☑",MID(INDEX($B$5:$B$68,MATCH(SMALL($L$5:$M$68,ROWS($I$5:I105)),$L$5:$L$68,0)),3,999),""),IFERROR(IF(LEFT(INDEX($C$5:$C$68,MATCH(SMALL($L$5:$M$68,ROWS($I$5:I105)),$M$5:$M$68,0)),1)="☑",MID(INDEX($C$5:$C$68,MATCH(SMALL($L$5:$M$68,ROWS($I$5:I105)),$M$5:$M$68,0)),3,999),""),""))</f>
        <v/>
      </c>
    </row>
    <row r="106" ht="22" customHeight="1" s="22">
      <c r="I106" s="28">
        <f>IFERROR(IF(LEFT(INDEX($B$5:$B$68,MATCH(SMALL($L$5:$M$68,ROWS($I$5:I106)),$L$5:$L$68,0)),1)="☑",INDEX($A$5:$A$68,MATCH(SMALL($L$5:$M$68,ROWS($I$5:I106)),$L$5:$L$68,0)),""),IFERROR(IF(LEFT(INDEX($C$5:$C$68,MATCH(SMALL($L$5:$M$68,ROWS($I$5:I106)),$M$5:$M$68,0)),1)="☑",INDEX($A$5:$A$68,MATCH(SMALL($L$5:$M$68,ROWS($I$5:I106)),$M$5:$M$68,0)),""),""))</f>
        <v/>
      </c>
      <c r="J106" s="28">
        <f>IFERROR(IF(LEFT(INDEX($B$5:$B$68,MATCH(SMALL($L$5:$M$68,ROWS($I$5:I106)),$L$5:$L$68,0)),1)="☑",MID(INDEX($B$5:$B$68,MATCH(SMALL($L$5:$M$68,ROWS($I$5:I106)),$L$5:$L$68,0)),3,999),""),IFERROR(IF(LEFT(INDEX($C$5:$C$68,MATCH(SMALL($L$5:$M$68,ROWS($I$5:I106)),$M$5:$M$68,0)),1)="☑",MID(INDEX($C$5:$C$68,MATCH(SMALL($L$5:$M$68,ROWS($I$5:I106)),$M$5:$M$68,0)),3,999),""),""))</f>
        <v/>
      </c>
    </row>
    <row r="107" ht="22" customHeight="1" s="22">
      <c r="I107" s="27">
        <f>IFERROR(IF(LEFT(INDEX($B$5:$B$68,MATCH(SMALL($L$5:$M$68,ROWS($I$5:I107)),$L$5:$L$68,0)),1)="☑",INDEX($A$5:$A$68,MATCH(SMALL($L$5:$M$68,ROWS($I$5:I107)),$L$5:$L$68,0)),""),IFERROR(IF(LEFT(INDEX($C$5:$C$68,MATCH(SMALL($L$5:$M$68,ROWS($I$5:I107)),$M$5:$M$68,0)),1)="☑",INDEX($A$5:$A$68,MATCH(SMALL($L$5:$M$68,ROWS($I$5:I107)),$M$5:$M$68,0)),""),""))</f>
        <v/>
      </c>
      <c r="J107" s="27">
        <f>IFERROR(IF(LEFT(INDEX($B$5:$B$68,MATCH(SMALL($L$5:$M$68,ROWS($I$5:I107)),$L$5:$L$68,0)),1)="☑",MID(INDEX($B$5:$B$68,MATCH(SMALL($L$5:$M$68,ROWS($I$5:I107)),$L$5:$L$68,0)),3,999),""),IFERROR(IF(LEFT(INDEX($C$5:$C$68,MATCH(SMALL($L$5:$M$68,ROWS($I$5:I107)),$M$5:$M$68,0)),1)="☑",MID(INDEX($C$5:$C$68,MATCH(SMALL($L$5:$M$68,ROWS($I$5:I107)),$M$5:$M$68,0)),3,999),""),""))</f>
        <v/>
      </c>
    </row>
    <row r="108" ht="22" customHeight="1" s="22">
      <c r="I108" s="28">
        <f>IFERROR(IF(LEFT(INDEX($B$5:$B$68,MATCH(SMALL($L$5:$M$68,ROWS($I$5:I108)),$L$5:$L$68,0)),1)="☑",INDEX($A$5:$A$68,MATCH(SMALL($L$5:$M$68,ROWS($I$5:I108)),$L$5:$L$68,0)),""),IFERROR(IF(LEFT(INDEX($C$5:$C$68,MATCH(SMALL($L$5:$M$68,ROWS($I$5:I108)),$M$5:$M$68,0)),1)="☑",INDEX($A$5:$A$68,MATCH(SMALL($L$5:$M$68,ROWS($I$5:I108)),$M$5:$M$68,0)),""),""))</f>
        <v/>
      </c>
      <c r="J108" s="28">
        <f>IFERROR(IF(LEFT(INDEX($B$5:$B$68,MATCH(SMALL($L$5:$M$68,ROWS($I$5:I108)),$L$5:$L$68,0)),1)="☑",MID(INDEX($B$5:$B$68,MATCH(SMALL($L$5:$M$68,ROWS($I$5:I108)),$L$5:$L$68,0)),3,999),""),IFERROR(IF(LEFT(INDEX($C$5:$C$68,MATCH(SMALL($L$5:$M$68,ROWS($I$5:I108)),$M$5:$M$68,0)),1)="☑",MID(INDEX($C$5:$C$68,MATCH(SMALL($L$5:$M$68,ROWS($I$5:I108)),$M$5:$M$68,0)),3,999),""),""))</f>
        <v/>
      </c>
    </row>
    <row r="109" ht="22" customHeight="1" s="22">
      <c r="I109" s="27">
        <f>IFERROR(IF(LEFT(INDEX($B$5:$B$68,MATCH(SMALL($L$5:$M$68,ROWS($I$5:I109)),$L$5:$L$68,0)),1)="☑",INDEX($A$5:$A$68,MATCH(SMALL($L$5:$M$68,ROWS($I$5:I109)),$L$5:$L$68,0)),""),IFERROR(IF(LEFT(INDEX($C$5:$C$68,MATCH(SMALL($L$5:$M$68,ROWS($I$5:I109)),$M$5:$M$68,0)),1)="☑",INDEX($A$5:$A$68,MATCH(SMALL($L$5:$M$68,ROWS($I$5:I109)),$M$5:$M$68,0)),""),""))</f>
        <v/>
      </c>
      <c r="J109" s="27">
        <f>IFERROR(IF(LEFT(INDEX($B$5:$B$68,MATCH(SMALL($L$5:$M$68,ROWS($I$5:I109)),$L$5:$L$68,0)),1)="☑",MID(INDEX($B$5:$B$68,MATCH(SMALL($L$5:$M$68,ROWS($I$5:I109)),$L$5:$L$68,0)),3,999),""),IFERROR(IF(LEFT(INDEX($C$5:$C$68,MATCH(SMALL($L$5:$M$68,ROWS($I$5:I109)),$M$5:$M$68,0)),1)="☑",MID(INDEX($C$5:$C$68,MATCH(SMALL($L$5:$M$68,ROWS($I$5:I109)),$M$5:$M$68,0)),3,999),""),""))</f>
        <v/>
      </c>
    </row>
    <row r="110" ht="22" customHeight="1" s="22">
      <c r="I110" s="28">
        <f>IFERROR(IF(LEFT(INDEX($B$5:$B$68,MATCH(SMALL($L$5:$M$68,ROWS($I$5:I110)),$L$5:$L$68,0)),1)="☑",INDEX($A$5:$A$68,MATCH(SMALL($L$5:$M$68,ROWS($I$5:I110)),$L$5:$L$68,0)),""),IFERROR(IF(LEFT(INDEX($C$5:$C$68,MATCH(SMALL($L$5:$M$68,ROWS($I$5:I110)),$M$5:$M$68,0)),1)="☑",INDEX($A$5:$A$68,MATCH(SMALL($L$5:$M$68,ROWS($I$5:I110)),$M$5:$M$68,0)),""),""))</f>
        <v/>
      </c>
      <c r="J110" s="28">
        <f>IFERROR(IF(LEFT(INDEX($B$5:$B$68,MATCH(SMALL($L$5:$M$68,ROWS($I$5:I110)),$L$5:$L$68,0)),1)="☑",MID(INDEX($B$5:$B$68,MATCH(SMALL($L$5:$M$68,ROWS($I$5:I110)),$L$5:$L$68,0)),3,999),""),IFERROR(IF(LEFT(INDEX($C$5:$C$68,MATCH(SMALL($L$5:$M$68,ROWS($I$5:I110)),$M$5:$M$68,0)),1)="☑",MID(INDEX($C$5:$C$68,MATCH(SMALL($L$5:$M$68,ROWS($I$5:I110)),$M$5:$M$68,0)),3,999),""),""))</f>
        <v/>
      </c>
    </row>
    <row r="111" ht="22" customHeight="1" s="22">
      <c r="I111" s="27">
        <f>IFERROR(IF(LEFT(INDEX($B$5:$B$68,MATCH(SMALL($L$5:$M$68,ROWS($I$5:I111)),$L$5:$L$68,0)),1)="☑",INDEX($A$5:$A$68,MATCH(SMALL($L$5:$M$68,ROWS($I$5:I111)),$L$5:$L$68,0)),""),IFERROR(IF(LEFT(INDEX($C$5:$C$68,MATCH(SMALL($L$5:$M$68,ROWS($I$5:I111)),$M$5:$M$68,0)),1)="☑",INDEX($A$5:$A$68,MATCH(SMALL($L$5:$M$68,ROWS($I$5:I111)),$M$5:$M$68,0)),""),""))</f>
        <v/>
      </c>
      <c r="J111" s="27">
        <f>IFERROR(IF(LEFT(INDEX($B$5:$B$68,MATCH(SMALL($L$5:$M$68,ROWS($I$5:I111)),$L$5:$L$68,0)),1)="☑",MID(INDEX($B$5:$B$68,MATCH(SMALL($L$5:$M$68,ROWS($I$5:I111)),$L$5:$L$68,0)),3,999),""),IFERROR(IF(LEFT(INDEX($C$5:$C$68,MATCH(SMALL($L$5:$M$68,ROWS($I$5:I111)),$M$5:$M$68,0)),1)="☑",MID(INDEX($C$5:$C$68,MATCH(SMALL($L$5:$M$68,ROWS($I$5:I111)),$M$5:$M$68,0)),3,999),""),""))</f>
        <v/>
      </c>
    </row>
    <row r="112" ht="22" customHeight="1" s="22">
      <c r="I112" s="28">
        <f>IFERROR(IF(LEFT(INDEX($B$5:$B$68,MATCH(SMALL($L$5:$M$68,ROWS($I$5:I112)),$L$5:$L$68,0)),1)="☑",INDEX($A$5:$A$68,MATCH(SMALL($L$5:$M$68,ROWS($I$5:I112)),$L$5:$L$68,0)),""),IFERROR(IF(LEFT(INDEX($C$5:$C$68,MATCH(SMALL($L$5:$M$68,ROWS($I$5:I112)),$M$5:$M$68,0)),1)="☑",INDEX($A$5:$A$68,MATCH(SMALL($L$5:$M$68,ROWS($I$5:I112)),$M$5:$M$68,0)),""),""))</f>
        <v/>
      </c>
      <c r="J112" s="28">
        <f>IFERROR(IF(LEFT(INDEX($B$5:$B$68,MATCH(SMALL($L$5:$M$68,ROWS($I$5:I112)),$L$5:$L$68,0)),1)="☑",MID(INDEX($B$5:$B$68,MATCH(SMALL($L$5:$M$68,ROWS($I$5:I112)),$L$5:$L$68,0)),3,999),""),IFERROR(IF(LEFT(INDEX($C$5:$C$68,MATCH(SMALL($L$5:$M$68,ROWS($I$5:I112)),$M$5:$M$68,0)),1)="☑",MID(INDEX($C$5:$C$68,MATCH(SMALL($L$5:$M$68,ROWS($I$5:I112)),$M$5:$M$68,0)),3,999),""),""))</f>
        <v/>
      </c>
    </row>
    <row r="113" ht="22" customHeight="1" s="22">
      <c r="I113" s="27">
        <f>IFERROR(IF(LEFT(INDEX($B$5:$B$68,MATCH(SMALL($L$5:$M$68,ROWS($I$5:I113)),$L$5:$L$68,0)),1)="☑",INDEX($A$5:$A$68,MATCH(SMALL($L$5:$M$68,ROWS($I$5:I113)),$L$5:$L$68,0)),""),IFERROR(IF(LEFT(INDEX($C$5:$C$68,MATCH(SMALL($L$5:$M$68,ROWS($I$5:I113)),$M$5:$M$68,0)),1)="☑",INDEX($A$5:$A$68,MATCH(SMALL($L$5:$M$68,ROWS($I$5:I113)),$M$5:$M$68,0)),""),""))</f>
        <v/>
      </c>
      <c r="J113" s="27">
        <f>IFERROR(IF(LEFT(INDEX($B$5:$B$68,MATCH(SMALL($L$5:$M$68,ROWS($I$5:I113)),$L$5:$L$68,0)),1)="☑",MID(INDEX($B$5:$B$68,MATCH(SMALL($L$5:$M$68,ROWS($I$5:I113)),$L$5:$L$68,0)),3,999),""),IFERROR(IF(LEFT(INDEX($C$5:$C$68,MATCH(SMALL($L$5:$M$68,ROWS($I$5:I113)),$M$5:$M$68,0)),1)="☑",MID(INDEX($C$5:$C$68,MATCH(SMALL($L$5:$M$68,ROWS($I$5:I113)),$M$5:$M$68,0)),3,999),""),""))</f>
        <v/>
      </c>
    </row>
    <row r="114" ht="22" customHeight="1" s="22">
      <c r="I114" s="28">
        <f>IFERROR(IF(LEFT(INDEX($B$5:$B$68,MATCH(SMALL($L$5:$M$68,ROWS($I$5:I114)),$L$5:$L$68,0)),1)="☑",INDEX($A$5:$A$68,MATCH(SMALL($L$5:$M$68,ROWS($I$5:I114)),$L$5:$L$68,0)),""),IFERROR(IF(LEFT(INDEX($C$5:$C$68,MATCH(SMALL($L$5:$M$68,ROWS($I$5:I114)),$M$5:$M$68,0)),1)="☑",INDEX($A$5:$A$68,MATCH(SMALL($L$5:$M$68,ROWS($I$5:I114)),$M$5:$M$68,0)),""),""))</f>
        <v/>
      </c>
      <c r="J114" s="28">
        <f>IFERROR(IF(LEFT(INDEX($B$5:$B$68,MATCH(SMALL($L$5:$M$68,ROWS($I$5:I114)),$L$5:$L$68,0)),1)="☑",MID(INDEX($B$5:$B$68,MATCH(SMALL($L$5:$M$68,ROWS($I$5:I114)),$L$5:$L$68,0)),3,999),""),IFERROR(IF(LEFT(INDEX($C$5:$C$68,MATCH(SMALL($L$5:$M$68,ROWS($I$5:I114)),$M$5:$M$68,0)),1)="☑",MID(INDEX($C$5:$C$68,MATCH(SMALL($L$5:$M$68,ROWS($I$5:I114)),$M$5:$M$68,0)),3,999),""),""))</f>
        <v/>
      </c>
    </row>
    <row r="115" ht="22" customHeight="1" s="22">
      <c r="I115" s="27">
        <f>IFERROR(IF(LEFT(INDEX($B$5:$B$68,MATCH(SMALL($L$5:$M$68,ROWS($I$5:I115)),$L$5:$L$68,0)),1)="☑",INDEX($A$5:$A$68,MATCH(SMALL($L$5:$M$68,ROWS($I$5:I115)),$L$5:$L$68,0)),""),IFERROR(IF(LEFT(INDEX($C$5:$C$68,MATCH(SMALL($L$5:$M$68,ROWS($I$5:I115)),$M$5:$M$68,0)),1)="☑",INDEX($A$5:$A$68,MATCH(SMALL($L$5:$M$68,ROWS($I$5:I115)),$M$5:$M$68,0)),""),""))</f>
        <v/>
      </c>
      <c r="J115" s="27">
        <f>IFERROR(IF(LEFT(INDEX($B$5:$B$68,MATCH(SMALL($L$5:$M$68,ROWS($I$5:I115)),$L$5:$L$68,0)),1)="☑",MID(INDEX($B$5:$B$68,MATCH(SMALL($L$5:$M$68,ROWS($I$5:I115)),$L$5:$L$68,0)),3,999),""),IFERROR(IF(LEFT(INDEX($C$5:$C$68,MATCH(SMALL($L$5:$M$68,ROWS($I$5:I115)),$M$5:$M$68,0)),1)="☑",MID(INDEX($C$5:$C$68,MATCH(SMALL($L$5:$M$68,ROWS($I$5:I115)),$M$5:$M$68,0)),3,999),""),""))</f>
        <v/>
      </c>
    </row>
    <row r="116" ht="22" customHeight="1" s="22">
      <c r="I116" s="28">
        <f>IFERROR(IF(LEFT(INDEX($B$5:$B$68,MATCH(SMALL($L$5:$M$68,ROWS($I$5:I116)),$L$5:$L$68,0)),1)="☑",INDEX($A$5:$A$68,MATCH(SMALL($L$5:$M$68,ROWS($I$5:I116)),$L$5:$L$68,0)),""),IFERROR(IF(LEFT(INDEX($C$5:$C$68,MATCH(SMALL($L$5:$M$68,ROWS($I$5:I116)),$M$5:$M$68,0)),1)="☑",INDEX($A$5:$A$68,MATCH(SMALL($L$5:$M$68,ROWS($I$5:I116)),$M$5:$M$68,0)),""),""))</f>
        <v/>
      </c>
      <c r="J116" s="28">
        <f>IFERROR(IF(LEFT(INDEX($B$5:$B$68,MATCH(SMALL($L$5:$M$68,ROWS($I$5:I116)),$L$5:$L$68,0)),1)="☑",MID(INDEX($B$5:$B$68,MATCH(SMALL($L$5:$M$68,ROWS($I$5:I116)),$L$5:$L$68,0)),3,999),""),IFERROR(IF(LEFT(INDEX($C$5:$C$68,MATCH(SMALL($L$5:$M$68,ROWS($I$5:I116)),$M$5:$M$68,0)),1)="☑",MID(INDEX($C$5:$C$68,MATCH(SMALL($L$5:$M$68,ROWS($I$5:I116)),$M$5:$M$68,0)),3,999),""),""))</f>
        <v/>
      </c>
    </row>
    <row r="117" ht="22" customHeight="1" s="22">
      <c r="I117" s="27">
        <f>IFERROR(IF(LEFT(INDEX($B$5:$B$68,MATCH(SMALL($L$5:$M$68,ROWS($I$5:I117)),$L$5:$L$68,0)),1)="☑",INDEX($A$5:$A$68,MATCH(SMALL($L$5:$M$68,ROWS($I$5:I117)),$L$5:$L$68,0)),""),IFERROR(IF(LEFT(INDEX($C$5:$C$68,MATCH(SMALL($L$5:$M$68,ROWS($I$5:I117)),$M$5:$M$68,0)),1)="☑",INDEX($A$5:$A$68,MATCH(SMALL($L$5:$M$68,ROWS($I$5:I117)),$M$5:$M$68,0)),""),""))</f>
        <v/>
      </c>
      <c r="J117" s="27">
        <f>IFERROR(IF(LEFT(INDEX($B$5:$B$68,MATCH(SMALL($L$5:$M$68,ROWS($I$5:I117)),$L$5:$L$68,0)),1)="☑",MID(INDEX($B$5:$B$68,MATCH(SMALL($L$5:$M$68,ROWS($I$5:I117)),$L$5:$L$68,0)),3,999),""),IFERROR(IF(LEFT(INDEX($C$5:$C$68,MATCH(SMALL($L$5:$M$68,ROWS($I$5:I117)),$M$5:$M$68,0)),1)="☑",MID(INDEX($C$5:$C$68,MATCH(SMALL($L$5:$M$68,ROWS($I$5:I117)),$M$5:$M$68,0)),3,999),""),""))</f>
        <v/>
      </c>
    </row>
    <row r="118" ht="22" customHeight="1" s="22">
      <c r="I118" s="28">
        <f>IFERROR(IF(LEFT(INDEX($B$5:$B$68,MATCH(SMALL($L$5:$M$68,ROWS($I$5:I118)),$L$5:$L$68,0)),1)="☑",INDEX($A$5:$A$68,MATCH(SMALL($L$5:$M$68,ROWS($I$5:I118)),$L$5:$L$68,0)),""),IFERROR(IF(LEFT(INDEX($C$5:$C$68,MATCH(SMALL($L$5:$M$68,ROWS($I$5:I118)),$M$5:$M$68,0)),1)="☑",INDEX($A$5:$A$68,MATCH(SMALL($L$5:$M$68,ROWS($I$5:I118)),$M$5:$M$68,0)),""),""))</f>
        <v/>
      </c>
      <c r="J118" s="28">
        <f>IFERROR(IF(LEFT(INDEX($B$5:$B$68,MATCH(SMALL($L$5:$M$68,ROWS($I$5:I118)),$L$5:$L$68,0)),1)="☑",MID(INDEX($B$5:$B$68,MATCH(SMALL($L$5:$M$68,ROWS($I$5:I118)),$L$5:$L$68,0)),3,999),""),IFERROR(IF(LEFT(INDEX($C$5:$C$68,MATCH(SMALL($L$5:$M$68,ROWS($I$5:I118)),$M$5:$M$68,0)),1)="☑",MID(INDEX($C$5:$C$68,MATCH(SMALL($L$5:$M$68,ROWS($I$5:I118)),$M$5:$M$68,0)),3,999),""),""))</f>
        <v/>
      </c>
    </row>
    <row r="119" ht="22" customHeight="1" s="22">
      <c r="I119" s="27">
        <f>IFERROR(IF(LEFT(INDEX($B$5:$B$68,MATCH(SMALL($L$5:$M$68,ROWS($I$5:I119)),$L$5:$L$68,0)),1)="☑",INDEX($A$5:$A$68,MATCH(SMALL($L$5:$M$68,ROWS($I$5:I119)),$L$5:$L$68,0)),""),IFERROR(IF(LEFT(INDEX($C$5:$C$68,MATCH(SMALL($L$5:$M$68,ROWS($I$5:I119)),$M$5:$M$68,0)),1)="☑",INDEX($A$5:$A$68,MATCH(SMALL($L$5:$M$68,ROWS($I$5:I119)),$M$5:$M$68,0)),""),""))</f>
        <v/>
      </c>
      <c r="J119" s="27">
        <f>IFERROR(IF(LEFT(INDEX($B$5:$B$68,MATCH(SMALL($L$5:$M$68,ROWS($I$5:I119)),$L$5:$L$68,0)),1)="☑",MID(INDEX($B$5:$B$68,MATCH(SMALL($L$5:$M$68,ROWS($I$5:I119)),$L$5:$L$68,0)),3,999),""),IFERROR(IF(LEFT(INDEX($C$5:$C$68,MATCH(SMALL($L$5:$M$68,ROWS($I$5:I119)),$M$5:$M$68,0)),1)="☑",MID(INDEX($C$5:$C$68,MATCH(SMALL($L$5:$M$68,ROWS($I$5:I119)),$M$5:$M$68,0)),3,999),""),""))</f>
        <v/>
      </c>
    </row>
    <row r="120" ht="22" customHeight="1" s="22">
      <c r="I120" s="28">
        <f>IFERROR(IF(LEFT(INDEX($B$5:$B$68,MATCH(SMALL($L$5:$M$68,ROWS($I$5:I120)),$L$5:$L$68,0)),1)="☑",INDEX($A$5:$A$68,MATCH(SMALL($L$5:$M$68,ROWS($I$5:I120)),$L$5:$L$68,0)),""),IFERROR(IF(LEFT(INDEX($C$5:$C$68,MATCH(SMALL($L$5:$M$68,ROWS($I$5:I120)),$M$5:$M$68,0)),1)="☑",INDEX($A$5:$A$68,MATCH(SMALL($L$5:$M$68,ROWS($I$5:I120)),$M$5:$M$68,0)),""),""))</f>
        <v/>
      </c>
      <c r="J120" s="28">
        <f>IFERROR(IF(LEFT(INDEX($B$5:$B$68,MATCH(SMALL($L$5:$M$68,ROWS($I$5:I120)),$L$5:$L$68,0)),1)="☑",MID(INDEX($B$5:$B$68,MATCH(SMALL($L$5:$M$68,ROWS($I$5:I120)),$L$5:$L$68,0)),3,999),""),IFERROR(IF(LEFT(INDEX($C$5:$C$68,MATCH(SMALL($L$5:$M$68,ROWS($I$5:I120)),$M$5:$M$68,0)),1)="☑",MID(INDEX($C$5:$C$68,MATCH(SMALL($L$5:$M$68,ROWS($I$5:I120)),$M$5:$M$68,0)),3,999),""),""))</f>
        <v/>
      </c>
    </row>
    <row r="121" ht="22" customHeight="1" s="22">
      <c r="I121" s="27">
        <f>IFERROR(IF(LEFT(INDEX($B$5:$B$68,MATCH(SMALL($L$5:$M$68,ROWS($I$5:I121)),$L$5:$L$68,0)),1)="☑",INDEX($A$5:$A$68,MATCH(SMALL($L$5:$M$68,ROWS($I$5:I121)),$L$5:$L$68,0)),""),IFERROR(IF(LEFT(INDEX($C$5:$C$68,MATCH(SMALL($L$5:$M$68,ROWS($I$5:I121)),$M$5:$M$68,0)),1)="☑",INDEX($A$5:$A$68,MATCH(SMALL($L$5:$M$68,ROWS($I$5:I121)),$M$5:$M$68,0)),""),""))</f>
        <v/>
      </c>
      <c r="J121" s="27">
        <f>IFERROR(IF(LEFT(INDEX($B$5:$B$68,MATCH(SMALL($L$5:$M$68,ROWS($I$5:I121)),$L$5:$L$68,0)),1)="☑",MID(INDEX($B$5:$B$68,MATCH(SMALL($L$5:$M$68,ROWS($I$5:I121)),$L$5:$L$68,0)),3,999),""),IFERROR(IF(LEFT(INDEX($C$5:$C$68,MATCH(SMALL($L$5:$M$68,ROWS($I$5:I121)),$M$5:$M$68,0)),1)="☑",MID(INDEX($C$5:$C$68,MATCH(SMALL($L$5:$M$68,ROWS($I$5:I121)),$M$5:$M$68,0)),3,999),""),""))</f>
        <v/>
      </c>
    </row>
    <row r="122" ht="22" customHeight="1" s="22">
      <c r="I122" s="28">
        <f>IFERROR(IF(LEFT(INDEX($B$5:$B$68,MATCH(SMALL($L$5:$M$68,ROWS($I$5:I122)),$L$5:$L$68,0)),1)="☑",INDEX($A$5:$A$68,MATCH(SMALL($L$5:$M$68,ROWS($I$5:I122)),$L$5:$L$68,0)),""),IFERROR(IF(LEFT(INDEX($C$5:$C$68,MATCH(SMALL($L$5:$M$68,ROWS($I$5:I122)),$M$5:$M$68,0)),1)="☑",INDEX($A$5:$A$68,MATCH(SMALL($L$5:$M$68,ROWS($I$5:I122)),$M$5:$M$68,0)),""),""))</f>
        <v/>
      </c>
      <c r="J122" s="28">
        <f>IFERROR(IF(LEFT(INDEX($B$5:$B$68,MATCH(SMALL($L$5:$M$68,ROWS($I$5:I122)),$L$5:$L$68,0)),1)="☑",MID(INDEX($B$5:$B$68,MATCH(SMALL($L$5:$M$68,ROWS($I$5:I122)),$L$5:$L$68,0)),3,999),""),IFERROR(IF(LEFT(INDEX($C$5:$C$68,MATCH(SMALL($L$5:$M$68,ROWS($I$5:I122)),$M$5:$M$68,0)),1)="☑",MID(INDEX($C$5:$C$68,MATCH(SMALL($L$5:$M$68,ROWS($I$5:I122)),$M$5:$M$68,0)),3,999),""),""))</f>
        <v/>
      </c>
    </row>
    <row r="123" ht="22" customHeight="1" s="22">
      <c r="I123" s="27">
        <f>IFERROR(IF(LEFT(INDEX($B$5:$B$68,MATCH(SMALL($L$5:$M$68,ROWS($I$5:I123)),$L$5:$L$68,0)),1)="☑",INDEX($A$5:$A$68,MATCH(SMALL($L$5:$M$68,ROWS($I$5:I123)),$L$5:$L$68,0)),""),IFERROR(IF(LEFT(INDEX($C$5:$C$68,MATCH(SMALL($L$5:$M$68,ROWS($I$5:I123)),$M$5:$M$68,0)),1)="☑",INDEX($A$5:$A$68,MATCH(SMALL($L$5:$M$68,ROWS($I$5:I123)),$M$5:$M$68,0)),""),""))</f>
        <v/>
      </c>
      <c r="J123" s="27">
        <f>IFERROR(IF(LEFT(INDEX($B$5:$B$68,MATCH(SMALL($L$5:$M$68,ROWS($I$5:I123)),$L$5:$L$68,0)),1)="☑",MID(INDEX($B$5:$B$68,MATCH(SMALL($L$5:$M$68,ROWS($I$5:I123)),$L$5:$L$68,0)),3,999),""),IFERROR(IF(LEFT(INDEX($C$5:$C$68,MATCH(SMALL($L$5:$M$68,ROWS($I$5:I123)),$M$5:$M$68,0)),1)="☑",MID(INDEX($C$5:$C$68,MATCH(SMALL($L$5:$M$68,ROWS($I$5:I123)),$M$5:$M$68,0)),3,999),""),""))</f>
        <v/>
      </c>
    </row>
    <row r="124" ht="22" customHeight="1" s="22">
      <c r="I124" s="28">
        <f>IFERROR(IF(LEFT(INDEX($B$5:$B$68,MATCH(SMALL($L$5:$M$68,ROWS($I$5:I124)),$L$5:$L$68,0)),1)="☑",INDEX($A$5:$A$68,MATCH(SMALL($L$5:$M$68,ROWS($I$5:I124)),$L$5:$L$68,0)),""),IFERROR(IF(LEFT(INDEX($C$5:$C$68,MATCH(SMALL($L$5:$M$68,ROWS($I$5:I124)),$M$5:$M$68,0)),1)="☑",INDEX($A$5:$A$68,MATCH(SMALL($L$5:$M$68,ROWS($I$5:I124)),$M$5:$M$68,0)),""),""))</f>
        <v/>
      </c>
      <c r="J124" s="28">
        <f>IFERROR(IF(LEFT(INDEX($B$5:$B$68,MATCH(SMALL($L$5:$M$68,ROWS($I$5:I124)),$L$5:$L$68,0)),1)="☑",MID(INDEX($B$5:$B$68,MATCH(SMALL($L$5:$M$68,ROWS($I$5:I124)),$L$5:$L$68,0)),3,999),""),IFERROR(IF(LEFT(INDEX($C$5:$C$68,MATCH(SMALL($L$5:$M$68,ROWS($I$5:I124)),$M$5:$M$68,0)),1)="☑",MID(INDEX($C$5:$C$68,MATCH(SMALL($L$5:$M$68,ROWS($I$5:I124)),$M$5:$M$68,0)),3,999),""),""))</f>
        <v/>
      </c>
    </row>
    <row r="125" ht="22" customHeight="1" s="22">
      <c r="I125" s="27">
        <f>IFERROR(IF(LEFT(INDEX($B$5:$B$68,MATCH(SMALL($L$5:$M$68,ROWS($I$5:I125)),$L$5:$L$68,0)),1)="☑",INDEX($A$5:$A$68,MATCH(SMALL($L$5:$M$68,ROWS($I$5:I125)),$L$5:$L$68,0)),""),IFERROR(IF(LEFT(INDEX($C$5:$C$68,MATCH(SMALL($L$5:$M$68,ROWS($I$5:I125)),$M$5:$M$68,0)),1)="☑",INDEX($A$5:$A$68,MATCH(SMALL($L$5:$M$68,ROWS($I$5:I125)),$M$5:$M$68,0)),""),""))</f>
        <v/>
      </c>
      <c r="J125" s="27">
        <f>IFERROR(IF(LEFT(INDEX($B$5:$B$68,MATCH(SMALL($L$5:$M$68,ROWS($I$5:I125)),$L$5:$L$68,0)),1)="☑",MID(INDEX($B$5:$B$68,MATCH(SMALL($L$5:$M$68,ROWS($I$5:I125)),$L$5:$L$68,0)),3,999),""),IFERROR(IF(LEFT(INDEX($C$5:$C$68,MATCH(SMALL($L$5:$M$68,ROWS($I$5:I125)),$M$5:$M$68,0)),1)="☑",MID(INDEX($C$5:$C$68,MATCH(SMALL($L$5:$M$68,ROWS($I$5:I125)),$M$5:$M$68,0)),3,999),""),""))</f>
        <v/>
      </c>
    </row>
    <row r="126" ht="22" customHeight="1" s="22">
      <c r="I126" s="28">
        <f>IFERROR(IF(LEFT(INDEX($B$5:$B$68,MATCH(SMALL($L$5:$M$68,ROWS($I$5:I126)),$L$5:$L$68,0)),1)="☑",INDEX($A$5:$A$68,MATCH(SMALL($L$5:$M$68,ROWS($I$5:I126)),$L$5:$L$68,0)),""),IFERROR(IF(LEFT(INDEX($C$5:$C$68,MATCH(SMALL($L$5:$M$68,ROWS($I$5:I126)),$M$5:$M$68,0)),1)="☑",INDEX($A$5:$A$68,MATCH(SMALL($L$5:$M$68,ROWS($I$5:I126)),$M$5:$M$68,0)),""),""))</f>
        <v/>
      </c>
      <c r="J126" s="28">
        <f>IFERROR(IF(LEFT(INDEX($B$5:$B$68,MATCH(SMALL($L$5:$M$68,ROWS($I$5:I126)),$L$5:$L$68,0)),1)="☑",MID(INDEX($B$5:$B$68,MATCH(SMALL($L$5:$M$68,ROWS($I$5:I126)),$L$5:$L$68,0)),3,999),""),IFERROR(IF(LEFT(INDEX($C$5:$C$68,MATCH(SMALL($L$5:$M$68,ROWS($I$5:I126)),$M$5:$M$68,0)),1)="☑",MID(INDEX($C$5:$C$68,MATCH(SMALL($L$5:$M$68,ROWS($I$5:I126)),$M$5:$M$68,0)),3,999),""),""))</f>
        <v/>
      </c>
    </row>
    <row r="127" ht="22" customHeight="1" s="22">
      <c r="I127" s="27">
        <f>IFERROR(IF(LEFT(INDEX($B$5:$B$68,MATCH(SMALL($L$5:$M$68,ROWS($I$5:I127)),$L$5:$L$68,0)),1)="☑",INDEX($A$5:$A$68,MATCH(SMALL($L$5:$M$68,ROWS($I$5:I127)),$L$5:$L$68,0)),""),IFERROR(IF(LEFT(INDEX($C$5:$C$68,MATCH(SMALL($L$5:$M$68,ROWS($I$5:I127)),$M$5:$M$68,0)),1)="☑",INDEX($A$5:$A$68,MATCH(SMALL($L$5:$M$68,ROWS($I$5:I127)),$M$5:$M$68,0)),""),""))</f>
        <v/>
      </c>
      <c r="J127" s="27">
        <f>IFERROR(IF(LEFT(INDEX($B$5:$B$68,MATCH(SMALL($L$5:$M$68,ROWS($I$5:I127)),$L$5:$L$68,0)),1)="☑",MID(INDEX($B$5:$B$68,MATCH(SMALL($L$5:$M$68,ROWS($I$5:I127)),$L$5:$L$68,0)),3,999),""),IFERROR(IF(LEFT(INDEX($C$5:$C$68,MATCH(SMALL($L$5:$M$68,ROWS($I$5:I127)),$M$5:$M$68,0)),1)="☑",MID(INDEX($C$5:$C$68,MATCH(SMALL($L$5:$M$68,ROWS($I$5:I127)),$M$5:$M$68,0)),3,999),""),""))</f>
        <v/>
      </c>
    </row>
    <row r="128" ht="22" customHeight="1" s="22">
      <c r="I128" s="28">
        <f>IFERROR(IF(LEFT(INDEX($B$5:$B$68,MATCH(SMALL($L$5:$M$68,ROWS($I$5:I128)),$L$5:$L$68,0)),1)="☑",INDEX($A$5:$A$68,MATCH(SMALL($L$5:$M$68,ROWS($I$5:I128)),$L$5:$L$68,0)),""),IFERROR(IF(LEFT(INDEX($C$5:$C$68,MATCH(SMALL($L$5:$M$68,ROWS($I$5:I128)),$M$5:$M$68,0)),1)="☑",INDEX($A$5:$A$68,MATCH(SMALL($L$5:$M$68,ROWS($I$5:I128)),$M$5:$M$68,0)),""),""))</f>
        <v/>
      </c>
      <c r="J128" s="28">
        <f>IFERROR(IF(LEFT(INDEX($B$5:$B$68,MATCH(SMALL($L$5:$M$68,ROWS($I$5:I128)),$L$5:$L$68,0)),1)="☑",MID(INDEX($B$5:$B$68,MATCH(SMALL($L$5:$M$68,ROWS($I$5:I128)),$L$5:$L$68,0)),3,999),""),IFERROR(IF(LEFT(INDEX($C$5:$C$68,MATCH(SMALL($L$5:$M$68,ROWS($I$5:I128)),$M$5:$M$68,0)),1)="☑",MID(INDEX($C$5:$C$68,MATCH(SMALL($L$5:$M$68,ROWS($I$5:I128)),$M$5:$M$68,0)),3,999),""),""))</f>
        <v/>
      </c>
    </row>
    <row r="129" ht="22" customHeight="1" s="22">
      <c r="I129" s="27">
        <f>IFERROR(IF(LEFT(INDEX($B$5:$B$68,MATCH(SMALL($L$5:$M$68,ROWS($I$5:I129)),$L$5:$L$68,0)),1)="☑",INDEX($A$5:$A$68,MATCH(SMALL($L$5:$M$68,ROWS($I$5:I129)),$L$5:$L$68,0)),""),IFERROR(IF(LEFT(INDEX($C$5:$C$68,MATCH(SMALL($L$5:$M$68,ROWS($I$5:I129)),$M$5:$M$68,0)),1)="☑",INDEX($A$5:$A$68,MATCH(SMALL($L$5:$M$68,ROWS($I$5:I129)),$M$5:$M$68,0)),""),""))</f>
        <v/>
      </c>
      <c r="J129" s="27">
        <f>IFERROR(IF(LEFT(INDEX($B$5:$B$68,MATCH(SMALL($L$5:$M$68,ROWS($I$5:I129)),$L$5:$L$68,0)),1)="☑",MID(INDEX($B$5:$B$68,MATCH(SMALL($L$5:$M$68,ROWS($I$5:I129)),$L$5:$L$68,0)),3,999),""),IFERROR(IF(LEFT(INDEX($C$5:$C$68,MATCH(SMALL($L$5:$M$68,ROWS($I$5:I129)),$M$5:$M$68,0)),1)="☑",MID(INDEX($C$5:$C$68,MATCH(SMALL($L$5:$M$68,ROWS($I$5:I129)),$M$5:$M$68,0)),3,999),""),""))</f>
        <v/>
      </c>
    </row>
    <row r="130" ht="22" customHeight="1" s="22">
      <c r="I130" s="28">
        <f>IFERROR(IF(LEFT(INDEX($B$5:$B$68,MATCH(SMALL($L$5:$M$68,ROWS($I$5:I130)),$L$5:$L$68,0)),1)="☑",INDEX($A$5:$A$68,MATCH(SMALL($L$5:$M$68,ROWS($I$5:I130)),$L$5:$L$68,0)),""),IFERROR(IF(LEFT(INDEX($C$5:$C$68,MATCH(SMALL($L$5:$M$68,ROWS($I$5:I130)),$M$5:$M$68,0)),1)="☑",INDEX($A$5:$A$68,MATCH(SMALL($L$5:$M$68,ROWS($I$5:I130)),$M$5:$M$68,0)),""),""))</f>
        <v/>
      </c>
      <c r="J130" s="28">
        <f>IFERROR(IF(LEFT(INDEX($B$5:$B$68,MATCH(SMALL($L$5:$M$68,ROWS($I$5:I130)),$L$5:$L$68,0)),1)="☑",MID(INDEX($B$5:$B$68,MATCH(SMALL($L$5:$M$68,ROWS($I$5:I130)),$L$5:$L$68,0)),3,999),""),IFERROR(IF(LEFT(INDEX($C$5:$C$68,MATCH(SMALL($L$5:$M$68,ROWS($I$5:I130)),$M$5:$M$68,0)),1)="☑",MID(INDEX($C$5:$C$68,MATCH(SMALL($L$5:$M$68,ROWS($I$5:I130)),$M$5:$M$68,0)),3,999),""),""))</f>
        <v/>
      </c>
    </row>
  </sheetData>
  <mergeCells count="3">
    <mergeCell ref="A1:C1"/>
    <mergeCell ref="I4:J4"/>
    <mergeCell ref="A2:C2"/>
  </mergeCells>
  <conditionalFormatting sqref="B5:C68">
    <cfRule type="expression" priority="1" dxfId="17">
      <formula>LEFT(B5,1)="☑"</formula>
    </cfRule>
  </conditionalFormatting>
  <dataValidations count="126">
    <dataValidation sqref="B5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新用户,☑ 新用户"</formula1>
    </dataValidation>
    <dataValidation sqref="C5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线上购物偏好,☑ 线上购物偏好"</formula1>
    </dataValidation>
    <dataValidation sqref="B6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老用户,☑ 老用户"</formula1>
    </dataValidation>
    <dataValidation sqref="C6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线下体验偏好,☑ 线下体验偏好"</formula1>
    </dataValidation>
    <dataValidation sqref="B7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单人使用,☑ 单人使用"</formula1>
    </dataValidation>
    <dataValidation sqref="C7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喜欢提前规划,☑ 喜欢提前规划"</formula1>
    </dataValidation>
    <dataValidation sqref="B8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多人共享,☑ 多人共享"</formula1>
    </dataValidation>
    <dataValidation sqref="C8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临时决策较多,☑ 临时决策较多"</formula1>
    </dataValidation>
    <dataValidation sqref="B9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学生群体,☑ 学生群体"</formula1>
    </dataValidation>
    <dataValidation sqref="C9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注重口碑评价,☑ 注重口碑评价"</formula1>
    </dataValidation>
    <dataValidation sqref="B10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初入职场,☑ 初入职场"</formula1>
    </dataValidation>
    <dataValidation sqref="C10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常看测评内容,☑ 常看测评内容"</formula1>
    </dataValidation>
    <dataValidation sqref="B11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稳定职场,☑ 稳定职场"</formula1>
    </dataValidation>
    <dataValidation sqref="C11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偏好品牌直营,☑ 偏好品牌直营"</formula1>
    </dataValidation>
    <dataValidation sqref="B12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家庭用户,☑ 家庭用户"</formula1>
    </dataValidation>
    <dataValidation sqref="C12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接受新品牌,☑ 接受新品牌"</formula1>
    </dataValidation>
    <dataValidation sqref="B13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城市通勤,☑ 城市通勤"</formula1>
    </dataValidation>
    <dataValidation sqref="C13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喜欢套装组合,☑ 喜欢套装组合"</formula1>
    </dataValidation>
    <dataValidation sqref="B14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近郊生活,☑ 近郊生活"</formula1>
    </dataValidation>
    <dataValidation sqref="C14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偏好单品购买,☑ 偏好单品购买"</formula1>
    </dataValidation>
    <dataValidation sqref="B15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租房居住,☑ 租房居住"</formula1>
    </dataValidation>
    <dataValidation sqref="C15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关注售后服务,☑ 关注售后服务"</formula1>
    </dataValidation>
    <dataValidation sqref="B16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自有住房,☑ 自有住房"</formula1>
    </dataValidation>
    <dataValidation sqref="C16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关注配送时效,☑ 关注配送时效"</formula1>
    </dataValidation>
    <dataValidation sqref="B17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偶尔购买,☑ 偶尔购买"</formula1>
    </dataValidation>
    <dataValidation sqref="C17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会员权益敏感,☑ 会员权益敏感"</formula1>
    </dataValidation>
    <dataValidation sqref="B18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高频购买,☑ 高频购买"</formula1>
    </dataValidation>
    <dataValidation sqref="C18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活动促销敏感,☑ 活动促销敏感"</formula1>
    </dataValidation>
    <dataValidation sqref="B19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行政办公,☑ 行政办公"</formula1>
    </dataValidation>
    <dataValidation sqref="C19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入门预算,☑ 入门预算"</formula1>
    </dataValidation>
    <dataValidation sqref="B20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市场运营,☑ 市场运营"</formula1>
    </dataValidation>
    <dataValidation sqref="C20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中等预算,☑ 中等预算"</formula1>
    </dataValidation>
    <dataValidation sqref="B21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产品策划,☑ 产品策划"</formula1>
    </dataValidation>
    <dataValidation sqref="C21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高预算,☑ 高预算"</formula1>
    </dataValidation>
    <dataValidation sqref="B22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设计创意,☑ 设计创意"</formula1>
    </dataValidation>
    <dataValidation sqref="C22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注重长期成本,☑ 注重长期成本"</formula1>
    </dataValidation>
    <dataValidation sqref="B23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客户服务,☑ 客户服务"</formula1>
    </dataValidation>
    <dataValidation sqref="C23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关注一次性投入,☑ 关注一次性投入"</formula1>
    </dataValidation>
    <dataValidation sqref="B24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数据分析,☑ 数据分析"</formula1>
    </dataValidation>
    <dataValidation sqref="C24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喜欢分期付款,☑ 喜欢分期付款"</formula1>
    </dataValidation>
    <dataValidation sqref="B25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电商运营,☑ 电商运营"</formula1>
    </dataValidation>
    <dataValidation sqref="C25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经常比价,☑ 经常比价"</formula1>
    </dataValidation>
    <dataValidation sqref="B26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内容编辑,☑ 内容编辑"</formula1>
    </dataValidation>
    <dataValidation sqref="C26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看重品牌溢价,☑ 看重品牌溢价"</formula1>
    </dataValidation>
    <dataValidation sqref="B27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门店管理,☑ 门店管理"</formula1>
    </dataValidation>
    <dataValidation sqref="C27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重视实用功能,☑ 重视实用功能"</formula1>
    </dataValidation>
    <dataValidation sqref="B28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物流配送,☑ 物流配送"</formula1>
    </dataValidation>
    <dataValidation sqref="C28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偏好高颜值设计,☑ 偏好高颜值设计"</formula1>
    </dataValidation>
    <dataValidation sqref="B29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财务会计,☑ 财务会计"</formula1>
    </dataValidation>
    <dataValidation sqref="C29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愿意为服务付费,☑ 愿意为服务付费"</formula1>
    </dataValidation>
    <dataValidation sqref="B30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人力资源,☑ 人力资源"</formula1>
    </dataValidation>
    <dataValidation sqref="C30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常用企业采购,☑ 常用企业采购"</formula1>
    </dataValidation>
    <dataValidation sqref="B31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项目协调,☑ 项目协调"</formula1>
    </dataValidation>
    <dataValidation sqref="C31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常用个人采购,☑ 常用个人采购"</formula1>
    </dataValidation>
    <dataValidation sqref="C32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关注发票报销,☑ 关注发票报销"</formula1>
    </dataValidation>
    <dataValidation sqref="B33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日常通勤,☑ 日常通勤"</formula1>
    </dataValidation>
    <dataValidation sqref="C33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室内使用,☑ 室内使用"</formula1>
    </dataValidation>
    <dataValidation sqref="B34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周末短途,☑ 周末短途"</formula1>
    </dataValidation>
    <dataValidation sqref="C34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室外使用,☑ 室外使用"</formula1>
    </dataValidation>
    <dataValidation sqref="B35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长途出差,☑ 长途出差"</formula1>
    </dataValidation>
    <dataValidation sqref="C35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移动携带,☑ 移动携带"</formula1>
    </dataValidation>
    <dataValidation sqref="B36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家庭聚会,☑ 家庭聚会"</formula1>
    </dataValidation>
    <dataValidation sqref="C36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固定摆放,☑ 固定摆放"</formula1>
    </dataValidation>
    <dataValidation sqref="B37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校园活动,☑ 校园活动"</formula1>
    </dataValidation>
    <dataValidation sqref="C37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小空间适用,☑ 小空间适用"</formula1>
    </dataValidation>
    <dataValidation sqref="B38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办公会议,☑ 办公会议"</formula1>
    </dataValidation>
    <dataValidation sqref="C38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大空间适用,☑ 大空间适用"</formula1>
    </dataValidation>
    <dataValidation sqref="B39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社群活动,☑ 社群活动"</formula1>
    </dataValidation>
    <dataValidation sqref="C39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多设备协同,☑ 多设备协同"</formula1>
    </dataValidation>
    <dataValidation sqref="B40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亲友送礼,☑ 亲友送礼"</formula1>
    </dataValidation>
    <dataValidation sqref="C40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夜间使用,☑ 夜间使用"</formula1>
    </dataValidation>
    <dataValidation sqref="B41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新居布置,☑ 新居布置"</formula1>
    </dataValidation>
    <dataValidation sqref="C41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高频清洁维护,☑ 高频清洁维护"</formula1>
    </dataValidation>
    <dataValidation sqref="B42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节日采购,☑ 节日采购"</formula1>
    </dataValidation>
    <dataValidation sqref="C42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低维护需求,☑ 低维护需求"</formula1>
    </dataValidation>
    <dataValidation sqref="B43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临时应急,☑ 临时应急"</formula1>
    </dataValidation>
    <dataValidation sqref="C43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轻量化需求,☑ 轻量化需求"</formula1>
    </dataValidation>
    <dataValidation sqref="B44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计划囤货,☑ 计划囤货"</formula1>
    </dataValidation>
    <dataValidation sqref="C44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耐用性需求,☑ 耐用性需求"</formula1>
    </dataValidation>
    <dataValidation sqref="B45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户外休闲,☑ 户外休闲"</formula1>
    </dataValidation>
    <dataValidation sqref="C45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可收纳需求,☑ 可收纳需求"</formula1>
    </dataValidation>
    <dataValidation sqref="B46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数码产品,☑ 数码产品"</formula1>
    </dataValidation>
    <dataValidation sqref="C46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新品资讯,☑ 新品资讯"</formula1>
    </dataValidation>
    <dataValidation sqref="B47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家居整理,☑ 家居整理"</formula1>
    </dataValidation>
    <dataValidation sqref="C47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购物清单,☑ 购物清单"</formula1>
    </dataValidation>
    <dataValidation sqref="B48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运动健身,☑ 运动健身"</formula1>
    </dataValidation>
    <dataValidation sqref="C48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使用教程,☑ 使用教程"</formula1>
    </dataValidation>
    <dataValidation sqref="B49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美食烹饪,☑ 美食烹饪"</formula1>
    </dataValidation>
    <dataValidation sqref="C49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深度评测,☑ 深度评测"</formula1>
    </dataValidation>
    <dataValidation sqref="B50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旅行攻略,☑ 旅行攻略"</formula1>
    </dataValidation>
    <dataValidation sqref="C50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对比测评,☑ 对比测评"</formula1>
    </dataValidation>
    <dataValidation sqref="B51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亲子教育,☑ 亲子教育"</formula1>
    </dataValidation>
    <dataValidation sqref="C51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真实案例,☑ 真实案例"</formula1>
    </dataValidation>
    <dataValidation sqref="B52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职场技能,☑ 职场技能"</formula1>
    </dataValidation>
    <dataValidation sqref="C52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清单模板,☑ 清单模板"</formula1>
    </dataValidation>
    <dataValidation sqref="B53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财务规划,☑ 财务规划"</formula1>
    </dataValidation>
    <dataValidation sqref="C53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经验分享,☑ 经验分享"</formula1>
    </dataValidation>
    <dataValidation sqref="B54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影音娱乐,☑ 影音娱乐"</formula1>
    </dataValidation>
    <dataValidation sqref="C54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短视频内容,☑ 短视频内容"</formula1>
    </dataValidation>
    <dataValidation sqref="B55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手作创意,☑ 手作创意"</formula1>
    </dataValidation>
    <dataValidation sqref="C55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图文内容,☑ 图文内容"</formula1>
    </dataValidation>
    <dataValidation sqref="B56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绿色生活,☑ 绿色生活"</formula1>
    </dataValidation>
    <dataValidation sqref="C56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直播讲解,☑ 直播讲解"</formula1>
    </dataValidation>
    <dataValidation sqref="B57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宠物护理,☑ 宠物护理"</formula1>
    </dataValidation>
    <dataValidation sqref="C57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社群讨论,☑ 社群讨论"</formula1>
    </dataValidation>
    <dataValidation sqref="C58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专家建议,☑ 专家建议"</formula1>
    </dataValidation>
    <dataValidation sqref="B59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节省时间,☑ 节省时间"</formula1>
    </dataValidation>
    <dataValidation sqref="C59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品质稳定,☑ 品质稳定"</formula1>
    </dataValidation>
    <dataValidation sqref="B60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降低成本,☑ 降低成本"</formula1>
    </dataValidation>
    <dataValidation sqref="C60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操作简单,☑ 操作简单"</formula1>
    </dataValidation>
    <dataValidation sqref="B61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提升体验,☑ 提升体验"</formula1>
    </dataValidation>
    <dataValidation sqref="C61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外观协调,☑ 外观协调"</formula1>
    </dataValidation>
    <dataValidation sqref="B62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减少麻烦,☑ 减少麻烦"</formula1>
    </dataValidation>
    <dataValidation sqref="C62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售后可靠,☑ 售后可靠"</formula1>
    </dataValidation>
    <dataValidation sqref="B63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增强安全感,☑ 增强安全感"</formula1>
    </dataValidation>
    <dataValidation sqref="C63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使用灵活,☑ 使用灵活"</formula1>
    </dataValidation>
    <dataValidation sqref="B64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获得成就感,☑ 获得成就感"</formula1>
    </dataValidation>
    <dataValidation sqref="C64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便于携带,☑ 便于携带"</formula1>
    </dataValidation>
    <dataValidation sqref="B65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保持整洁,☑ 保持整洁"</formula1>
    </dataValidation>
    <dataValidation sqref="C65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适合长期用,☑ 适合长期用"</formula1>
    </dataValidation>
    <dataValidation sqref="B66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提高效率,☑ 提高效率"</formula1>
    </dataValidation>
    <dataValidation sqref="C66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适合多人用,☑ 适合多人用"</formula1>
    </dataValidation>
    <dataValidation sqref="B67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改善舒适度,☑ 改善舒适度"</formula1>
    </dataValidation>
    <dataValidation sqref="C67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环保节能,☑ 环保节能"</formula1>
    </dataValidation>
    <dataValidation sqref="B68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方便分享,☑ 方便分享"</formula1>
    </dataValidation>
    <dataValidation sqref="C68" showDropDown="0" showInputMessage="1" showErrorMessage="1" allowBlank="0" errorTitle="请选择标签状态" error="请从下拉列表选择未选中或已选中状态。" promptTitle="切换勾选" prompt="选择 □ 取消，选择 ☑ 勾选。" type="list">
      <formula1>"□ 可扩展升级,☑ 可扩展升级"</formula1>
    </dataValidation>
  </dataValidations>
  <pageMargins left="0.25" right="0.25" top="0.35" bottom="0.35" header="0.3" footer="0.3"/>
  <pageSetup orientation="landscape" paperSize="8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2026-08-23T22:26:03Z</dcterms:created>
  <dcterms:modified xmlns:dcterms="http://purl.org/dc/terms/" xmlns:xsi="http://www.w3.org/2001/XMLSchema-instance" xsi:type="dcterms:W3CDTF">2026-08-23T22:26:03Z</dcterms:modified>
</cp:coreProperties>
</file>