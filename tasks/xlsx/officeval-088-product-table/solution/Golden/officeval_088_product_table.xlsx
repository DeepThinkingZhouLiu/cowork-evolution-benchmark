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5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op3 Analysis" sheetId="2" state="visible" r:id="rId2"/>
  </sheets>
  <definedNames>
    <definedName name="_xlnm._FilterDatabase" localSheetId="0" hidden="1">'Products'!$A$1:$F$6</definedName>
    <definedName name="_xlnm.Print_Titles" localSheetId="0">'Products'!$1:$1</definedName>
    <definedName name="_xlnm.Print_Area" localSheetId="0">'Products'!$A$1:$F$6</definedName>
    <definedName name="_xlnm._FilterDatabase" localSheetId="1" hidden="1">'Top3 Analysis'!$A$1:$E$4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&quot;元&quot;"/>
  </numFmts>
  <fonts count="25">
    <font>
      <name val="Noto Sans CJK SC"/>
      <charset val="134"/>
      <sz val="10"/>
    </font>
    <font>
      <name val="Arial"/>
      <charset val="134"/>
      <sz val="10"/>
    </font>
    <font>
      <name val="DejaVu Sans"/>
      <charset val="0"/>
      <color rgb="FF0000FF"/>
      <sz val="11"/>
      <u val="single"/>
      <scheme val="minor"/>
    </font>
    <font>
      <name val="DejaVu Sans"/>
      <charset val="0"/>
      <color rgb="FF800080"/>
      <sz val="11"/>
      <u val="single"/>
      <scheme val="minor"/>
    </font>
    <font>
      <name val="DejaVu Sans"/>
      <charset val="134"/>
      <color theme="1"/>
      <sz val="11"/>
      <scheme val="minor"/>
    </font>
    <font>
      <name val="DejaVu Sans"/>
      <charset val="0"/>
      <color rgb="FFFF0000"/>
      <sz val="11"/>
      <scheme val="minor"/>
    </font>
    <font>
      <name val="DejaVu Sans"/>
      <charset val="134"/>
      <b val="1"/>
      <color theme="3"/>
      <sz val="18"/>
      <scheme val="minor"/>
    </font>
    <font>
      <name val="DejaVu Sans"/>
      <charset val="0"/>
      <i val="1"/>
      <color rgb="FF7F7F7F"/>
      <sz val="11"/>
      <scheme val="minor"/>
    </font>
    <font>
      <name val="DejaVu Sans"/>
      <charset val="134"/>
      <b val="1"/>
      <color theme="3"/>
      <sz val="15"/>
      <scheme val="minor"/>
    </font>
    <font>
      <name val="DejaVu Sans"/>
      <charset val="134"/>
      <b val="1"/>
      <color theme="3"/>
      <sz val="13"/>
      <scheme val="minor"/>
    </font>
    <font>
      <name val="DejaVu Sans"/>
      <charset val="134"/>
      <b val="1"/>
      <color theme="3"/>
      <sz val="11"/>
      <scheme val="minor"/>
    </font>
    <font>
      <name val="DejaVu Sans"/>
      <charset val="0"/>
      <color rgb="FF3F3F76"/>
      <sz val="11"/>
      <scheme val="minor"/>
    </font>
    <font>
      <name val="DejaVu Sans"/>
      <charset val="0"/>
      <b val="1"/>
      <color rgb="FF3F3F3F"/>
      <sz val="11"/>
      <scheme val="minor"/>
    </font>
    <font>
      <name val="DejaVu Sans"/>
      <charset val="0"/>
      <b val="1"/>
      <color rgb="FFFA7D00"/>
      <sz val="11"/>
      <scheme val="minor"/>
    </font>
    <font>
      <name val="DejaVu Sans"/>
      <charset val="0"/>
      <b val="1"/>
      <color rgb="FFFFFFFF"/>
      <sz val="11"/>
      <scheme val="minor"/>
    </font>
    <font>
      <name val="DejaVu Sans"/>
      <charset val="0"/>
      <color rgb="FFFA7D00"/>
      <sz val="11"/>
      <scheme val="minor"/>
    </font>
    <font>
      <name val="DejaVu Sans"/>
      <charset val="0"/>
      <b val="1"/>
      <color theme="1"/>
      <sz val="11"/>
      <scheme val="minor"/>
    </font>
    <font>
      <name val="DejaVu Sans"/>
      <charset val="0"/>
      <color rgb="FF006100"/>
      <sz val="11"/>
      <scheme val="minor"/>
    </font>
    <font>
      <name val="DejaVu Sans"/>
      <charset val="0"/>
      <color rgb="FF9C0006"/>
      <sz val="11"/>
      <scheme val="minor"/>
    </font>
    <font>
      <name val="DejaVu Sans"/>
      <charset val="0"/>
      <color rgb="FF9C6500"/>
      <sz val="11"/>
      <scheme val="minor"/>
    </font>
    <font>
      <name val="DejaVu Sans"/>
      <charset val="0"/>
      <color theme="0"/>
      <sz val="11"/>
      <scheme val="minor"/>
    </font>
    <font>
      <name val="DejaVu Sans"/>
      <charset val="0"/>
      <color theme="1"/>
      <sz val="11"/>
      <scheme val="minor"/>
    </font>
    <font>
      <name val="Microsoft YaHei"/>
      <b val="1"/>
      <sz val="11"/>
    </font>
    <font>
      <name val="Microsoft YaHei"/>
      <sz val="10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47B2A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/>
    <xf numFmtId="43" fontId="1" fillId="0" borderId="0"/>
    <xf numFmtId="44" fontId="1" fillId="0" borderId="0"/>
    <xf numFmtId="9" fontId="1" fillId="0" borderId="0"/>
    <xf numFmtId="41" fontId="1" fillId="0" borderId="0"/>
    <xf numFmtId="42" fontId="1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22" fillId="34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left" vertical="center" wrapText="1"/>
    </xf>
    <xf numFmtId="164" fontId="23" fillId="0" borderId="10" applyAlignment="1" pivotButton="0" quotePrefix="0" xfId="0">
      <alignment horizontal="center" vertical="center" wrapText="1"/>
    </xf>
    <xf numFmtId="0" fontId="24" fillId="35" borderId="10" applyAlignment="1" pivotButton="0" quotePrefix="0" xfId="0">
      <alignment horizontal="center"/>
    </xf>
    <xf numFmtId="0" fontId="0" fillId="0" borderId="10" applyAlignment="1" pivotButton="0" quotePrefix="0" xfId="0">
      <alignment vertical="center" wrapText="1"/>
    </xf>
    <xf numFmtId="164" fontId="0" fillId="0" borderId="1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357312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266825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520190" cy="1809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212532" cy="1809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176337" cy="1809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tabSelected="1" workbookViewId="0">
      <pane ySplit="1" topLeftCell="A2" activePane="bottomLeft" state="frozen"/>
      <selection pane="bottomLeft" activeCell="I20" sqref="I20"/>
    </sheetView>
  </sheetViews>
  <sheetFormatPr baseColWidth="8" defaultColWidth="11.5333333333333" defaultRowHeight="12.75" outlineLevelRow="5"/>
  <cols>
    <col width="24" customWidth="1" min="1" max="1"/>
    <col width="42" customWidth="1" min="2" max="2"/>
    <col width="36" customWidth="1" min="3" max="3"/>
    <col width="13" customWidth="1" min="4" max="4"/>
    <col width="16" customWidth="1" min="5" max="5"/>
    <col width="34" customWidth="1" min="6" max="6"/>
  </cols>
  <sheetData>
    <row r="1" ht="26" customFormat="1" customHeight="1" s="1">
      <c r="A1" s="3" t="inlineStr">
        <is>
          <t>产品名称</t>
        </is>
      </c>
      <c r="B1" s="3" t="inlineStr">
        <is>
          <t>核心参数</t>
        </is>
      </c>
      <c r="C1" s="3" t="inlineStr">
        <is>
          <t>适用场景</t>
        </is>
      </c>
      <c r="D1" s="3" t="inlineStr">
        <is>
          <t>指导价格</t>
        </is>
      </c>
      <c r="E1" s="3" t="inlineStr">
        <is>
          <t>展示图片</t>
        </is>
      </c>
      <c r="F1" s="3" t="inlineStr">
        <is>
          <t>来源文档</t>
        </is>
      </c>
    </row>
    <row r="2" ht="190" customHeight="1">
      <c r="A2" s="4" t="inlineStr">
        <is>
          <t>云溪5.0 D3滚筒洗衣机</t>
        </is>
      </c>
      <c r="B2" s="5" t="inlineStr">
        <is>
          <t>型号：云溪5.0 D3；洗涤容量：12KG；宽度：595mm；类型：滚筒洗衣机；能效等级：一级；深度：593mm,537mm；高度：850mm</t>
        </is>
      </c>
      <c r="C2" s="5" t="inlineStr">
        <is>
          <t>本产品适配多种场景，核心适用于多人口家庭，可轻松应对日常衣物、大件家纺的洗护需求；也可用于小型民宿、公寓出租房等场景，兼顾实用性与便捷性</t>
        </is>
      </c>
      <c r="D2" s="6" t="n">
        <v>4500</v>
      </c>
      <c r="E2" s="4" t="n"/>
      <c r="F2" s="5" t="inlineStr">
        <is>
          <t>云溪5.0 D3滚筒洗衣机产品说明文档.docx</t>
        </is>
      </c>
    </row>
    <row r="3" ht="190" customHeight="1">
      <c r="A3" s="4" t="inlineStr">
        <is>
          <t>统帅三桶懒人洗衣机</t>
        </is>
      </c>
      <c r="B3" s="5" t="inlineStr">
        <is>
          <t>型号：Leader L10510B12（标尺版）；洗涤容量：大筒10.5KG+双小筒各1KG；宽度：600mm；类型：滚筒洗衣机；能效等级：一级；深度：570mm</t>
        </is>
      </c>
      <c r="C3" s="5" t="inlineStr">
        <is>
          <t>本产品适配多种场景，核心适用于多人口家庭，可轻松应对外衣、内衣、宝宝衣物的分类洗护需求，彻底解决“谁的衣服先洗”的家庭困扰；也可用于小型民宿、公寓出租房等场景，兼顾实用性与便捷性，满足不同人群的精致洗护需求</t>
        </is>
      </c>
      <c r="D3" s="6" t="n">
        <v>3999</v>
      </c>
      <c r="E3" s="4" t="n"/>
      <c r="F3" s="5" t="inlineStr">
        <is>
          <t>统帅三桶懒人洗衣机产品说明文档.docx</t>
        </is>
      </c>
    </row>
    <row r="4" ht="190" customHeight="1">
      <c r="A4" s="4" t="inlineStr">
        <is>
          <t>小天鹅12KG滚筒洗衣机</t>
        </is>
      </c>
      <c r="B4" s="5" t="inlineStr">
        <is>
          <t>型号：TG12VE40PRO；洗涤容量：12KG；宽度：595mm；类型：滚筒洗衣机；能效等级：一级；深度：560mm,585mm</t>
        </is>
      </c>
      <c r="C4" s="5" t="inlineStr">
        <is>
          <t>本产品适配多种场景，核心适用于多人口家庭，可轻松应对日常衣物、大件家纺的洗护需求；可用于小型民宿、公寓出租房等场景，兼顾实用性与便捷性，同时适配母婴家庭，高温除菌功能可满足宝宝衣物洁净需求</t>
        </is>
      </c>
      <c r="D4" s="6" t="n">
        <v>3039</v>
      </c>
      <c r="E4" s="4" t="n"/>
      <c r="F4" s="5" t="inlineStr">
        <is>
          <t>小天鹅12KG滚筒洗衣机产品说明文档.docx</t>
        </is>
      </c>
    </row>
    <row r="5" ht="190" customHeight="1">
      <c r="A5" s="4" t="inlineStr">
        <is>
          <t>米家8KG滚筒洗衣机</t>
        </is>
      </c>
      <c r="B5" s="5" t="inlineStr">
        <is>
          <t>型号：米家MG80V11D（滚筒款）；洗涤容量：8KG；宽度：598mm；类型：滚筒洗衣机；能效等级：一级；深度：495mm</t>
        </is>
      </c>
      <c r="C5" s="5" t="inlineStr">
        <is>
          <t>本产品适配多种场景，核心适用于小人口家庭，可轻松应对日常衣物、薄家纺的洗护需求，兼顾实用性与经济性；也可用于小型民宿、员工宿舍等场景，兼顾实用性与高性价比，满足多人群基础洗护需求</t>
        </is>
      </c>
      <c r="D5" s="6" t="n">
        <v>999</v>
      </c>
      <c r="E5" s="4" t="n"/>
      <c r="F5" s="5" t="inlineStr">
        <is>
          <t>米家8KG滚筒洗衣机产品说明文档.docx</t>
        </is>
      </c>
    </row>
    <row r="6" ht="190" customHeight="1">
      <c r="A6" s="4" t="inlineStr">
        <is>
          <t>美的8KG波轮洗衣机</t>
        </is>
      </c>
      <c r="B6" s="5" t="inlineStr">
        <is>
          <t>型号：美的MB80V36DT（波轮款）；洗涤容量：8KG；宽度：515mm；类型：波轮洗衣机；能效等级：一级；深度：525mm</t>
        </is>
      </c>
      <c r="C6" s="5" t="inlineStr">
        <is>
          <t>本产品适配多种场景，核心适用于小人口家庭，可轻松应对日常衣物、薄家纺的洗护需求，兼顾实用性与经济性；也可用于小型民宿、员工宿舍等场景，兼顾实用性与高性价比，满足多人群基础洗护需求</t>
        </is>
      </c>
      <c r="D6" s="6" t="n">
        <v>846</v>
      </c>
      <c r="E6" s="4" t="n"/>
      <c r="F6" s="5" t="inlineStr">
        <is>
          <t>美的8KG波轮洗衣机产品说明文档.docx</t>
        </is>
      </c>
    </row>
  </sheetData>
  <autoFilter ref="A1:F6"/>
  <pageMargins left="0.7875" right="0.7875" top="1.025" bottom="1.025" header="0.7875" footer="0.7875"/>
  <pageSetup orientation="landscape" paperSize="9" fitToHeight="0" fitToWidth="1" useFirstPageNumber="1" horizontalDpi="300" verticalDpi="300"/>
  <headerFooter>
    <oddHeader>&amp;C&amp;"Arial,标准"&amp;A</oddHeader>
    <oddFooter>&amp;C&amp;"Arial,标准"页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13" customWidth="1" min="4" max="4"/>
    <col width="42" customWidth="1" min="5" max="5"/>
  </cols>
  <sheetData>
    <row r="1">
      <c r="A1" s="7" t="inlineStr">
        <is>
          <t>排名</t>
        </is>
      </c>
      <c r="B1" s="7" t="inlineStr">
        <is>
          <t>产品名称</t>
        </is>
      </c>
      <c r="C1" s="7" t="inlineStr">
        <is>
          <t>型号</t>
        </is>
      </c>
      <c r="D1" s="7" t="inlineStr">
        <is>
          <t>指导价格</t>
        </is>
      </c>
      <c r="E1" s="7" t="inlineStr">
        <is>
          <t>来源文档</t>
        </is>
      </c>
    </row>
    <row r="2">
      <c r="A2" s="8" t="n">
        <v>1</v>
      </c>
      <c r="B2" s="8">
        <f>Products!A2</f>
        <v/>
      </c>
      <c r="C2" s="8">
        <f>MID(Products!B2,4,FIND("；",Products!B2)-4)</f>
        <v/>
      </c>
      <c r="D2" s="9">
        <f>Products!D2</f>
        <v/>
      </c>
      <c r="E2" s="8">
        <f>Products!F2</f>
        <v/>
      </c>
    </row>
    <row r="3">
      <c r="A3" s="8" t="n">
        <v>2</v>
      </c>
      <c r="B3" s="8">
        <f>Products!A3</f>
        <v/>
      </c>
      <c r="C3" s="8">
        <f>MID(Products!B3,4,FIND("；",Products!B3)-4)</f>
        <v/>
      </c>
      <c r="D3" s="9">
        <f>Products!D3</f>
        <v/>
      </c>
      <c r="E3" s="8">
        <f>Products!F3</f>
        <v/>
      </c>
    </row>
    <row r="4">
      <c r="A4" s="8" t="n">
        <v>3</v>
      </c>
      <c r="B4" s="8">
        <f>Products!A4</f>
        <v/>
      </c>
      <c r="C4" s="8">
        <f>MID(Products!B4,4,FIND("；",Products!B4)-4)</f>
        <v/>
      </c>
      <c r="D4" s="9">
        <f>Products!D4</f>
        <v/>
      </c>
      <c r="E4" s="8">
        <f>Products!F4</f>
        <v/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2026-09-03T09:01:08Z</dcterms:created>
  <dcterms:modified xmlns:dcterms="http://purl.org/dc/terms/" xmlns:xsi="http://www.w3.org/2001/XMLSchema-instance" xsi:type="dcterms:W3CDTF">2026-09-03T09:01:08Z</dcterms:modified>
</cp:coreProperties>
</file>