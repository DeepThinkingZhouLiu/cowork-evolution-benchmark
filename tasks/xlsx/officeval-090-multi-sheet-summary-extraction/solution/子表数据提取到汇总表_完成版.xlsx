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52.xml.rels" ContentType="application/vnd.openxmlformats-package.relationships+xml"/>
  <Override PartName="/xl/worksheets/_rels/sheet61.xml.rels" ContentType="application/vnd.openxmlformats-package.relationships+xml"/>
  <Override PartName="/xl/worksheets/_rels/sheet57.xml.rels" ContentType="application/vnd.openxmlformats-package.relationships+xml"/>
  <Override PartName="/xl/worksheets/_rels/sheet35.xml.rels" ContentType="application/vnd.openxmlformats-package.relationships+xml"/>
  <Override PartName="/xl/worksheets/_rels/sheet42.xml.rels" ContentType="application/vnd.openxmlformats-package.relationships+xml"/>
  <Override PartName="/xl/worksheets/_rels/sheet51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60.xml.rels" ContentType="application/vnd.openxmlformats-package.relationships+xml"/>
  <Override PartName="/xl/worksheets/_rels/sheet56.xml.rels" ContentType="application/vnd.openxmlformats-package.relationships+xml"/>
  <Override PartName="/xl/worksheets/_rels/sheet41.xml.rels" ContentType="application/vnd.openxmlformats-package.relationships+xml"/>
  <Override PartName="/xl/worksheets/_rels/sheet50.xml.rels" ContentType="application/vnd.openxmlformats-package.relationships+xml"/>
  <Override PartName="/xl/worksheets/_rels/sheet34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55.xml.rels" ContentType="application/vnd.openxmlformats-package.relationships+xml"/>
  <Override PartName="/xl/worksheets/_rels/sheet48.xml.rels" ContentType="application/vnd.openxmlformats-package.relationships+xml"/>
  <Override PartName="/xl/worksheets/_rels/sheet39.xml.rels" ContentType="application/vnd.openxmlformats-package.relationships+xml"/>
  <Override PartName="/xl/worksheets/_rels/sheet47.xml.rels" ContentType="application/vnd.openxmlformats-package.relationships+xml"/>
  <Override PartName="/xl/worksheets/_rels/sheet54.xml.rels" ContentType="application/vnd.openxmlformats-package.relationships+xml"/>
  <Override PartName="/xl/worksheets/_rels/sheet5.xml.rels" ContentType="application/vnd.openxmlformats-package.relationships+xml"/>
  <Override PartName="/xl/worksheets/_rels/sheet59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25.xml.rels" ContentType="application/vnd.openxmlformats-package.relationships+xml"/>
  <Override PartName="/xl/worksheets/_rels/sheet20.xml.rels" ContentType="application/vnd.openxmlformats-package.relationships+xml"/>
  <Override PartName="/xl/worksheets/_rels/sheet16.xml.rels" ContentType="application/vnd.openxmlformats-package.relationships+xml"/>
  <Override PartName="/xl/worksheets/_rels/sheet32.xml.rels" ContentType="application/vnd.openxmlformats-package.relationships+xml"/>
  <Override PartName="/xl/worksheets/_rels/sheet11.xml.rels" ContentType="application/vnd.openxmlformats-package.relationships+xml"/>
  <Override PartName="/xl/worksheets/_rels/sheet26.xml.rels" ContentType="application/vnd.openxmlformats-package.relationships+xml"/>
  <Override PartName="/xl/worksheets/_rels/sheet24.xml.rels" ContentType="application/vnd.openxmlformats-package.relationships+xml"/>
  <Override PartName="/xl/worksheets/_rels/sheet15.xml.rels" ContentType="application/vnd.openxmlformats-package.relationships+xml"/>
  <Override PartName="/xl/worksheets/_rels/sheet31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3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33.xml.rels" ContentType="application/vnd.openxmlformats-package.relationships+xml"/>
  <Override PartName="/xl/worksheets/_rels/sheet29.xml.rels" ContentType="application/vnd.openxmlformats-package.relationships+xml"/>
  <Override PartName="/xl/worksheets/_rels/sheet28.xml.rels" ContentType="application/vnd.openxmlformats-package.relationships+xml"/>
  <Override PartName="/xl/worksheets/_rels/sheet18.xml.rels" ContentType="application/vnd.openxmlformats-package.relationships+xml"/>
  <Override PartName="/xl/worksheets/_rels/sheet22.xml.rels" ContentType="application/vnd.openxmlformats-package.relationships+xml"/>
  <Override PartName="/xl/worksheets/_rels/sheet37.xml.rels" ContentType="application/vnd.openxmlformats-package.relationships+xml"/>
  <Override PartName="/xl/worksheets/_rels/sheet44.xml.rels" ContentType="application/vnd.openxmlformats-package.relationships+xml"/>
  <Override PartName="/xl/worksheets/_rels/sheet27.xml.rels" ContentType="application/vnd.openxmlformats-package.relationships+xml"/>
  <Override PartName="/xl/worksheets/_rels/sheet17.xml.rels" ContentType="application/vnd.openxmlformats-package.relationships+xml"/>
  <Override PartName="/xl/worksheets/_rels/sheet21.xml.rels" ContentType="application/vnd.openxmlformats-package.relationships+xml"/>
  <Override PartName="/xl/worksheets/_rels/sheet36.xml.rels" ContentType="application/vnd.openxmlformats-package.relationships+xml"/>
  <Override PartName="/xl/worksheets/_rels/sheet43.xml.rels" ContentType="application/vnd.openxmlformats-package.relationships+xml"/>
  <Override PartName="/xl/worksheets/_rels/sheet4.xml.rels" ContentType="application/vnd.openxmlformats-package.relationships+xml"/>
  <Override PartName="/xl/worksheets/_rels/sheet46.xml.rels" ContentType="application/vnd.openxmlformats-package.relationships+xml"/>
  <Override PartName="/xl/worksheets/_rels/sheet5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3.xml" ContentType="application/vnd.openxmlformats-officedocument.spreadsheetml.worksheet+xml"/>
  <Override PartName="/xl/worksheets/sheet5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4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04.xml" ContentType="application/vnd.openxmlformats-officedocument.spreadsheetml.table+xml"/>
  <Override PartName="/xl/tables/table172.xml" ContentType="application/vnd.openxmlformats-officedocument.spreadsheetml.table+xml"/>
  <Override PartName="/xl/tables/table103.xml" ContentType="application/vnd.openxmlformats-officedocument.spreadsheetml.table+xml"/>
  <Override PartName="/xl/tables/table171.xml" ContentType="application/vnd.openxmlformats-officedocument.spreadsheetml.table+xml"/>
  <Override PartName="/xl/tables/table99.xml" ContentType="application/vnd.openxmlformats-officedocument.spreadsheetml.table+xml"/>
  <Override PartName="/xl/tables/table98.xml" ContentType="application/vnd.openxmlformats-officedocument.spreadsheetml.table+xml"/>
  <Override PartName="/xl/tables/table97.xml" ContentType="application/vnd.openxmlformats-officedocument.spreadsheetml.table+xml"/>
  <Override PartName="/xl/tables/table29.xml" ContentType="application/vnd.openxmlformats-officedocument.spreadsheetml.table+xml"/>
  <Override PartName="/xl/tables/table96.xml" ContentType="application/vnd.openxmlformats-officedocument.spreadsheetml.table+xml"/>
  <Override PartName="/xl/tables/table28.xml" ContentType="application/vnd.openxmlformats-officedocument.spreadsheetml.table+xml"/>
  <Override PartName="/xl/tables/table89.xml" ContentType="application/vnd.openxmlformats-officedocument.spreadsheetml.table+xml"/>
  <Override PartName="/xl/tables/table88.xml" ContentType="application/vnd.openxmlformats-officedocument.spreadsheetml.table+xml"/>
  <Override PartName="/xl/tables/table87.xml" ContentType="application/vnd.openxmlformats-officedocument.spreadsheetml.table+xml"/>
  <Override PartName="/xl/tables/table19.xml" ContentType="application/vnd.openxmlformats-officedocument.spreadsheetml.table+xml"/>
  <Override PartName="/xl/tables/table86.xml" ContentType="application/vnd.openxmlformats-officedocument.spreadsheetml.table+xml"/>
  <Override PartName="/xl/tables/table18.xml" ContentType="application/vnd.openxmlformats-officedocument.spreadsheetml.table+xml"/>
  <Override PartName="/xl/tables/table85.xml" ContentType="application/vnd.openxmlformats-officedocument.spreadsheetml.table+xml"/>
  <Override PartName="/xl/tables/table17.xml" ContentType="application/vnd.openxmlformats-officedocument.spreadsheetml.table+xml"/>
  <Override PartName="/xl/tables/table79.xml" ContentType="application/vnd.openxmlformats-officedocument.spreadsheetml.table+xml"/>
  <Override PartName="/xl/tables/table78.xml" ContentType="application/vnd.openxmlformats-officedocument.spreadsheetml.table+xml"/>
  <Override PartName="/xl/tables/table110.xml" ContentType="application/vnd.openxmlformats-officedocument.spreadsheetml.table+xml"/>
  <Override PartName="/xl/tables/table77.xml" ContentType="application/vnd.openxmlformats-officedocument.spreadsheetml.table+xml"/>
  <Override PartName="/xl/tables/table76.xml" ContentType="application/vnd.openxmlformats-officedocument.spreadsheetml.table+xml"/>
  <Override PartName="/xl/tables/table75.xml" ContentType="application/vnd.openxmlformats-officedocument.spreadsheetml.table+xml"/>
  <Override PartName="/xl/tables/table74.xml" ContentType="application/vnd.openxmlformats-officedocument.spreadsheetml.table+xml"/>
  <Override PartName="/xl/tables/table73.xml" ContentType="application/vnd.openxmlformats-officedocument.spreadsheetml.table+xml"/>
  <Override PartName="/xl/tables/table72.xml" ContentType="application/vnd.openxmlformats-officedocument.spreadsheetml.table+xml"/>
  <Override PartName="/xl/tables/table71.xml" ContentType="application/vnd.openxmlformats-officedocument.spreadsheetml.table+xml"/>
  <Override PartName="/xl/tables/table70.xml" ContentType="application/vnd.openxmlformats-officedocument.spreadsheetml.table+xml"/>
  <Override PartName="/xl/tables/table102.xml" ContentType="application/vnd.openxmlformats-officedocument.spreadsheetml.table+xml"/>
  <Override PartName="/xl/tables/table170.xml" ContentType="application/vnd.openxmlformats-officedocument.spreadsheetml.table+xml"/>
  <Override PartName="/xl/tables/table69.xml" ContentType="application/vnd.openxmlformats-officedocument.spreadsheetml.table+xml"/>
  <Override PartName="/xl/tables/table4.xml" ContentType="application/vnd.openxmlformats-officedocument.spreadsheetml.table+xml"/>
  <Override PartName="/xl/tables/table101.xml" ContentType="application/vnd.openxmlformats-officedocument.spreadsheetml.table+xml"/>
  <Override PartName="/xl/tables/table68.xml" ContentType="application/vnd.openxmlformats-officedocument.spreadsheetml.table+xml"/>
  <Override PartName="/xl/tables/table3.xml" ContentType="application/vnd.openxmlformats-officedocument.spreadsheetml.table+xml"/>
  <Override PartName="/xl/tables/table100.xml" ContentType="application/vnd.openxmlformats-officedocument.spreadsheetml.table+xml"/>
  <Override PartName="/xl/tables/table67.xml" ContentType="application/vnd.openxmlformats-officedocument.spreadsheetml.table+xml"/>
  <Override PartName="/xl/tables/table2.xml" ContentType="application/vnd.openxmlformats-officedocument.spreadsheetml.table+xml"/>
  <Override PartName="/xl/tables/table66.xml" ContentType="application/vnd.openxmlformats-officedocument.spreadsheetml.table+xml"/>
  <Override PartName="/xl/tables/table1.xml" ContentType="application/vnd.openxmlformats-officedocument.spreadsheetml.table+xml"/>
  <Override PartName="/xl/tables/table65.xml" ContentType="application/vnd.openxmlformats-officedocument.spreadsheetml.table+xml"/>
  <Override PartName="/xl/tables/table64.xml" ContentType="application/vnd.openxmlformats-officedocument.spreadsheetml.table+xml"/>
  <Override PartName="/xl/tables/table63.xml" ContentType="application/vnd.openxmlformats-officedocument.spreadsheetml.table+xml"/>
  <Override PartName="/xl/tables/table60.xml" ContentType="application/vnd.openxmlformats-officedocument.spreadsheetml.table+xml"/>
  <Override PartName="/xl/tables/table59.xml" ContentType="application/vnd.openxmlformats-officedocument.spreadsheetml.table+xml"/>
  <Override PartName="/xl/tables/table58.xml" ContentType="application/vnd.openxmlformats-officedocument.spreadsheetml.table+xml"/>
  <Override PartName="/xl/tables/table57.xml" ContentType="application/vnd.openxmlformats-officedocument.spreadsheetml.table+xml"/>
  <Override PartName="/xl/tables/table56.xml" ContentType="application/vnd.openxmlformats-officedocument.spreadsheetml.table+xml"/>
  <Override PartName="/xl/tables/table55.xml" ContentType="application/vnd.openxmlformats-officedocument.spreadsheetml.table+xml"/>
  <Override PartName="/xl/tables/table54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8.xml" ContentType="application/vnd.openxmlformats-officedocument.spreadsheetml.table+xml"/>
  <Override PartName="/xl/tables/table167.xml" ContentType="application/vnd.openxmlformats-officedocument.spreadsheetml.table+xml"/>
  <Override PartName="/xl/tables/table130.xml" ContentType="application/vnd.openxmlformats-officedocument.spreadsheetml.table+xml"/>
  <Override PartName="/xl/tables/table168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55.xml" ContentType="application/vnd.openxmlformats-officedocument.spreadsheetml.table+xml"/>
  <Override PartName="/xl/tables/table11.xml" ContentType="application/vnd.openxmlformats-officedocument.spreadsheetml.table+xml"/>
  <Override PartName="/xl/tables/table156.xml" ContentType="application/vnd.openxmlformats-officedocument.spreadsheetml.table+xml"/>
  <Override PartName="/xl/tables/table120.xml" ContentType="application/vnd.openxmlformats-officedocument.spreadsheetml.table+xml"/>
  <Override PartName="/xl/tables/table157.xml" ContentType="application/vnd.openxmlformats-officedocument.spreadsheetml.table+xml"/>
  <Override PartName="/xl/tables/table32.xml" ContentType="application/vnd.openxmlformats-officedocument.spreadsheetml.table+xml"/>
  <Override PartName="/xl/tables/table119.xml" ContentType="application/vnd.openxmlformats-officedocument.spreadsheetml.table+xml"/>
  <Override PartName="/xl/tables/table161.xml" ContentType="application/vnd.openxmlformats-officedocument.spreadsheetml.table+xml"/>
  <Override PartName="/xl/tables/table33.xml" ContentType="application/vnd.openxmlformats-officedocument.spreadsheetml.table+xml"/>
  <Override PartName="/xl/tables/table162.xml" ContentType="application/vnd.openxmlformats-officedocument.spreadsheetml.table+xml"/>
  <Override PartName="/xl/tables/table151.xml" ContentType="application/vnd.openxmlformats-officedocument.spreadsheetml.table+xml"/>
  <Override PartName="/xl/tables/table34.xml" ContentType="application/vnd.openxmlformats-officedocument.spreadsheetml.table+xml"/>
  <Override PartName="/xl/tables/table178.xml" ContentType="application/vnd.openxmlformats-officedocument.spreadsheetml.table+xml"/>
  <Override PartName="/xl/tables/table163.xml" ContentType="application/vnd.openxmlformats-officedocument.spreadsheetml.table+xml"/>
  <Override PartName="/xl/tables/table152.xml" ContentType="application/vnd.openxmlformats-officedocument.spreadsheetml.table+xml"/>
  <Override PartName="/xl/tables/table35.xml" ContentType="application/vnd.openxmlformats-officedocument.spreadsheetml.table+xml"/>
  <Override PartName="/xl/tables/table164.xml" ContentType="application/vnd.openxmlformats-officedocument.spreadsheetml.table+xml"/>
  <Override PartName="/xl/tables/table153.xml" ContentType="application/vnd.openxmlformats-officedocument.spreadsheetml.table+xml"/>
  <Override PartName="/xl/tables/table36.xml" ContentType="application/vnd.openxmlformats-officedocument.spreadsheetml.table+xml"/>
  <Override PartName="/xl/tables/table165.xml" ContentType="application/vnd.openxmlformats-officedocument.spreadsheetml.table+xml"/>
  <Override PartName="/xl/tables/table21.xml" ContentType="application/vnd.openxmlformats-officedocument.spreadsheetml.table+xml"/>
  <Override PartName="/xl/tables/table154.xml" ContentType="application/vnd.openxmlformats-officedocument.spreadsheetml.table+xml"/>
  <Override PartName="/xl/tables/table37.xml" ContentType="application/vnd.openxmlformats-officedocument.spreadsheetml.table+xml"/>
  <Override PartName="/xl/tables/table166.xml" ContentType="application/vnd.openxmlformats-officedocument.spreadsheetml.table+xml"/>
  <Override PartName="/xl/tables/table150.xml" ContentType="application/vnd.openxmlformats-officedocument.spreadsheetml.table+xml"/>
  <Override PartName="/xl/tables/table111.xml" ContentType="application/vnd.openxmlformats-officedocument.spreadsheetml.table+xml"/>
  <Override PartName="/xl/tables/table148.xml" ContentType="application/vnd.openxmlformats-officedocument.spreadsheetml.table+xml"/>
  <Override PartName="/xl/tables/table147.xml" ContentType="application/vnd.openxmlformats-officedocument.spreadsheetml.table+xml"/>
  <Override PartName="/xl/tables/table146.xml" ContentType="application/vnd.openxmlformats-officedocument.spreadsheetml.table+xml"/>
  <Override PartName="/xl/tables/table145.xml" ContentType="application/vnd.openxmlformats-officedocument.spreadsheetml.table+xml"/>
  <Override PartName="/xl/tables/table144.xml" ContentType="application/vnd.openxmlformats-officedocument.spreadsheetml.table+xml"/>
  <Override PartName="/xl/tables/table143.xml" ContentType="application/vnd.openxmlformats-officedocument.spreadsheetml.table+xml"/>
  <Override PartName="/xl/tables/table142.xml" ContentType="application/vnd.openxmlformats-officedocument.spreadsheetml.table+xml"/>
  <Override PartName="/xl/tables/table9.xml" ContentType="application/vnd.openxmlformats-officedocument.spreadsheetml.table+xml"/>
  <Override PartName="/xl/tables/table23.xml" ContentType="application/vnd.openxmlformats-officedocument.spreadsheetml.table+xml"/>
  <Override PartName="/xl/tables/table91.xml" ContentType="application/vnd.openxmlformats-officedocument.spreadsheetml.table+xml"/>
  <Override PartName="/xl/tables/table141.xml" ContentType="application/vnd.openxmlformats-officedocument.spreadsheetml.table+xml"/>
  <Override PartName="/xl/tables/table8.xml" ContentType="application/vnd.openxmlformats-officedocument.spreadsheetml.table+xml"/>
  <Override PartName="/xl/tables/table140.xml" ContentType="application/vnd.openxmlformats-officedocument.spreadsheetml.table+xml"/>
  <Override PartName="/xl/tables/table7.xml" ContentType="application/vnd.openxmlformats-officedocument.spreadsheetml.table+xml"/>
  <Override PartName="/xl/tables/table138.xml" ContentType="application/vnd.openxmlformats-officedocument.spreadsheetml.table+xml"/>
  <Override PartName="/xl/tables/table137.xml" ContentType="application/vnd.openxmlformats-officedocument.spreadsheetml.table+xml"/>
  <Override PartName="/xl/tables/table136.xml" ContentType="application/vnd.openxmlformats-officedocument.spreadsheetml.table+xml"/>
  <Override PartName="/xl/tables/table135.xml" ContentType="application/vnd.openxmlformats-officedocument.spreadsheetml.table+xml"/>
  <Override PartName="/xl/tables/table134.xml" ContentType="application/vnd.openxmlformats-officedocument.spreadsheetml.table+xml"/>
  <Override PartName="/xl/tables/table133.xml" ContentType="application/vnd.openxmlformats-officedocument.spreadsheetml.table+xml"/>
  <Override PartName="/xl/tables/table22.xml" ContentType="application/vnd.openxmlformats-officedocument.spreadsheetml.table+xml"/>
  <Override PartName="/xl/tables/table90.xml" ContentType="application/vnd.openxmlformats-officedocument.spreadsheetml.table+xml"/>
  <Override PartName="/xl/tables/table20.xml" ContentType="application/vnd.openxmlformats-officedocument.spreadsheetml.table+xml"/>
  <Override PartName="/xl/tables/table139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31.xml" ContentType="application/vnd.openxmlformats-officedocument.spreadsheetml.table+xml"/>
  <Override PartName="/xl/tables/table160.xml" ContentType="application/vnd.openxmlformats-officedocument.spreadsheetml.table+xml"/>
  <Override PartName="/xl/tables/table127.xml" ContentType="application/vnd.openxmlformats-officedocument.spreadsheetml.table+xml"/>
  <Override PartName="/xl/tables/table13.xml" ContentType="application/vnd.openxmlformats-officedocument.spreadsheetml.table+xml"/>
  <Override PartName="/xl/tables/table81.xml" ContentType="application/vnd.openxmlformats-officedocument.spreadsheetml.table+xml"/>
  <Override PartName="/xl/tables/table175.xml" ContentType="application/vnd.openxmlformats-officedocument.spreadsheetml.table+xml"/>
  <Override PartName="/xl/tables/table107.xml" ContentType="application/vnd.openxmlformats-officedocument.spreadsheetml.table+xml"/>
  <Override PartName="/xl/tables/table83.xml" ContentType="application/vnd.openxmlformats-officedocument.spreadsheetml.table+xml"/>
  <Override PartName="/xl/tables/table15.xml" ContentType="application/vnd.openxmlformats-officedocument.spreadsheetml.table+xml"/>
  <Override PartName="/xl/tables/table12.xml" ContentType="application/vnd.openxmlformats-officedocument.spreadsheetml.table+xml"/>
  <Override PartName="/xl/tables/table80.xml" ContentType="application/vnd.openxmlformats-officedocument.spreadsheetml.table+xml"/>
  <Override PartName="/xl/tables/table40.xml" ContentType="application/vnd.openxmlformats-officedocument.spreadsheetml.table+xml"/>
  <Override PartName="/xl/tables/table159.xml" ContentType="application/vnd.openxmlformats-officedocument.spreadsheetml.table+xml"/>
  <Override PartName="/xl/tables/table26.xml" ContentType="application/vnd.openxmlformats-officedocument.spreadsheetml.table+xml"/>
  <Override PartName="/xl/tables/table94.xml" ContentType="application/vnd.openxmlformats-officedocument.spreadsheetml.table+xml"/>
  <Override PartName="/xl/tables/table82.xml" ContentType="application/vnd.openxmlformats-officedocument.spreadsheetml.table+xml"/>
  <Override PartName="/xl/tables/table14.xml" ContentType="application/vnd.openxmlformats-officedocument.spreadsheetml.table+xml"/>
  <Override PartName="/xl/tables/table158.xml" ContentType="application/vnd.openxmlformats-officedocument.spreadsheetml.table+xml"/>
  <Override PartName="/xl/tables/table25.xml" ContentType="application/vnd.openxmlformats-officedocument.spreadsheetml.table+xml"/>
  <Override PartName="/xl/tables/table93.xml" ContentType="application/vnd.openxmlformats-officedocument.spreadsheetml.table+xml"/>
  <Override PartName="/xl/tables/table62.xml" ContentType="application/vnd.openxmlformats-officedocument.spreadsheetml.table+xml"/>
  <Override PartName="/xl/tables/table106.xml" ContentType="application/vnd.openxmlformats-officedocument.spreadsheetml.table+xml"/>
  <Override PartName="/xl/tables/table174.xml" ContentType="application/vnd.openxmlformats-officedocument.spreadsheetml.table+xml"/>
  <Override PartName="/xl/tables/table177.xml" ContentType="application/vnd.openxmlformats-officedocument.spreadsheetml.table+xml"/>
  <Override PartName="/xl/tables/table109.xml" ContentType="application/vnd.openxmlformats-officedocument.spreadsheetml.table+xml"/>
  <Override PartName="/xl/tables/table30.xml" ContentType="application/vnd.openxmlformats-officedocument.spreadsheetml.table+xml"/>
  <Override PartName="/xl/tables/table149.xml" ContentType="application/vnd.openxmlformats-officedocument.spreadsheetml.table+xml"/>
  <Override PartName="/xl/tables/table16.xml" ContentType="application/vnd.openxmlformats-officedocument.spreadsheetml.table+xml"/>
  <Override PartName="/xl/tables/table84.xml" ContentType="application/vnd.openxmlformats-officedocument.spreadsheetml.table+xml"/>
  <Override PartName="/xl/tables/table61.xml" ContentType="application/vnd.openxmlformats-officedocument.spreadsheetml.table+xml"/>
  <Override PartName="/xl/tables/table105.xml" ContentType="application/vnd.openxmlformats-officedocument.spreadsheetml.table+xml"/>
  <Override PartName="/xl/tables/table173.xml" ContentType="application/vnd.openxmlformats-officedocument.spreadsheetml.table+xml"/>
  <Override PartName="/xl/tables/table176.xml" ContentType="application/vnd.openxmlformats-officedocument.spreadsheetml.table+xml"/>
  <Override PartName="/xl/tables/table108.xml" ContentType="application/vnd.openxmlformats-officedocument.spreadsheetml.table+xml"/>
  <Override PartName="/xl/tables/table126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95.xml" ContentType="application/vnd.openxmlformats-officedocument.spreadsheetml.table+xml"/>
  <Override PartName="/xl/tables/table27.xml" ContentType="application/vnd.openxmlformats-officedocument.spreadsheetml.table+xml"/>
  <Override PartName="/xl/tables/table24.xml" ContentType="application/vnd.openxmlformats-officedocument.spreadsheetml.table+xml"/>
  <Override PartName="/xl/tables/table92.xml" ContentType="application/vnd.openxmlformats-officedocument.spreadsheetml.table+xml"/>
  <Override PartName="/xl/tables/table10.xml" ContentType="application/vnd.openxmlformats-officedocument.spreadsheetml.table+xml"/>
  <Override PartName="/xl/tables/table129.xml" ContentType="application/vnd.openxmlformats-officedocument.spreadsheetml.table+xml"/>
  <Override PartName="/xl/tables/table169.xml" ContentType="application/vnd.openxmlformats-officedocument.spreadsheetml.table+xml"/>
  <Override PartName="/xl/tables/table5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29"/>
  </bookViews>
  <sheets>
    <sheet name="汇总" sheetId="1" state="visible" r:id="rId2"/>
    <sheet name="Sheet1" sheetId="2" state="visible" r:id="rId3"/>
    <sheet name="Sheet2" sheetId="3" state="visible" r:id="rId4"/>
    <sheet name="Sheet3" sheetId="4" state="visible" r:id="rId5"/>
    <sheet name="Sheet4" sheetId="5" state="visible" r:id="rId6"/>
    <sheet name="Sheet5" sheetId="6" state="visible" r:id="rId7"/>
    <sheet name="Sheet6" sheetId="7" state="visible" r:id="rId8"/>
    <sheet name="Sheet7" sheetId="8" state="visible" r:id="rId9"/>
    <sheet name="Sheet8" sheetId="9" state="visible" r:id="rId10"/>
    <sheet name="Sheet9" sheetId="10" state="visible" r:id="rId11"/>
    <sheet name="Sheet10" sheetId="11" state="visible" r:id="rId12"/>
    <sheet name="Sheet12" sheetId="12" state="visible" r:id="rId13"/>
    <sheet name="Sheet13" sheetId="13" state="visible" r:id="rId14"/>
    <sheet name="Sheet14" sheetId="14" state="visible" r:id="rId15"/>
    <sheet name="Sheet15" sheetId="15" state="visible" r:id="rId16"/>
    <sheet name="Sheet16" sheetId="16" state="visible" r:id="rId17"/>
    <sheet name="Sheet17" sheetId="17" state="visible" r:id="rId18"/>
    <sheet name="Sheet18" sheetId="18" state="visible" r:id="rId19"/>
    <sheet name="Sheet19" sheetId="19" state="visible" r:id="rId20"/>
    <sheet name="Sheet20" sheetId="20" state="visible" r:id="rId21"/>
    <sheet name="Sheet21" sheetId="21" state="visible" r:id="rId22"/>
    <sheet name="Sheet22" sheetId="22" state="visible" r:id="rId23"/>
    <sheet name="Sheet23" sheetId="23" state="visible" r:id="rId24"/>
    <sheet name="Sheet24" sheetId="24" state="visible" r:id="rId25"/>
    <sheet name="Sheet25" sheetId="25" state="visible" r:id="rId26"/>
    <sheet name="Sheet26" sheetId="26" state="visible" r:id="rId27"/>
    <sheet name="Sheet27" sheetId="27" state="visible" r:id="rId28"/>
    <sheet name="Sheet28" sheetId="28" state="visible" r:id="rId29"/>
    <sheet name="Sheet29" sheetId="29" state="visible" r:id="rId30"/>
    <sheet name="Sheet30" sheetId="30" state="visible" r:id="rId31"/>
    <sheet name="Sheet31" sheetId="31" state="visible" r:id="rId32"/>
    <sheet name="Sheet32" sheetId="32" state="visible" r:id="rId33"/>
    <sheet name="Sheet33" sheetId="33" state="visible" r:id="rId34"/>
    <sheet name="Sheet34" sheetId="34" state="visible" r:id="rId35"/>
    <sheet name="Sheet35" sheetId="35" state="visible" r:id="rId36"/>
    <sheet name="Sheet36" sheetId="36" state="visible" r:id="rId37"/>
    <sheet name="Sheet37" sheetId="37" state="visible" r:id="rId38"/>
    <sheet name="Sheet38" sheetId="38" state="visible" r:id="rId39"/>
    <sheet name="Sheet39" sheetId="39" state="visible" r:id="rId40"/>
    <sheet name="Sheet40" sheetId="40" state="visible" r:id="rId41"/>
    <sheet name="Sheet41" sheetId="41" state="visible" r:id="rId42"/>
    <sheet name="Sheet42" sheetId="42" state="visible" r:id="rId43"/>
    <sheet name="Sheet43" sheetId="43" state="visible" r:id="rId44"/>
    <sheet name="Sheet44" sheetId="44" state="visible" r:id="rId45"/>
    <sheet name="Sheet45" sheetId="45" state="visible" r:id="rId46"/>
    <sheet name="Sheet46" sheetId="46" state="visible" r:id="rId47"/>
    <sheet name="Sheet47" sheetId="47" state="visible" r:id="rId48"/>
    <sheet name="Sheet48" sheetId="48" state="visible" r:id="rId49"/>
    <sheet name="Sheet49" sheetId="49" state="visible" r:id="rId50"/>
    <sheet name="Sheet50" sheetId="50" state="visible" r:id="rId51"/>
    <sheet name="Sheet51" sheetId="51" state="visible" r:id="rId52"/>
    <sheet name="Sheet52" sheetId="52" state="visible" r:id="rId53"/>
    <sheet name="Sheet53" sheetId="53" state="visible" r:id="rId54"/>
    <sheet name="Sheet54" sheetId="54" state="visible" r:id="rId55"/>
    <sheet name="Sheet55" sheetId="55" state="visible" r:id="rId56"/>
    <sheet name="Sheet56" sheetId="56" state="visible" r:id="rId57"/>
    <sheet name="Sheet57" sheetId="57" state="visible" r:id="rId58"/>
    <sheet name="Sheet58" sheetId="58" state="visible" r:id="rId59"/>
    <sheet name="Sheet59" sheetId="59" state="visible" r:id="rId60"/>
    <sheet name="Sheet60" sheetId="60" state="visible" r:id="rId61"/>
    <sheet name="Sheet61" sheetId="61" state="visible" r:id="rId6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<sst xmlns="http://schemas.openxmlformats.org/spreadsheetml/2006/main" count="5286" uniqueCount="532">
  <si>
    <t xml:space="preserve">构件材料数据汇总</t>
  </si>
  <si>
    <t xml:space="preserve">序号</t>
  </si>
  <si>
    <t xml:space="preserve">构件分区</t>
  </si>
  <si>
    <t xml:space="preserve">子表</t>
  </si>
  <si>
    <t xml:space="preserve">新构件编号</t>
  </si>
  <si>
    <r>
      <rPr>
        <b val="true"/>
        <sz val="10"/>
        <color rgb="FFFFFFFF"/>
        <rFont val="Noto Sans CJK SC"/>
        <family val="2"/>
      </rPr>
      <t xml:space="preserve">楼层</t>
    </r>
    <r>
      <rPr>
        <b val="true"/>
        <sz val="10"/>
        <color rgb="FFFFFFFF"/>
        <rFont val="微软雅黑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部位</t>
    </r>
  </si>
  <si>
    <r>
      <rPr>
        <b val="true"/>
        <sz val="10"/>
        <color rgb="FFFFFFFF"/>
        <rFont val="Noto Sans CJK SC"/>
        <family val="2"/>
      </rPr>
      <t xml:space="preserve">砼体积</t>
    </r>
    <r>
      <rPr>
        <b val="true"/>
        <sz val="10"/>
        <color rgb="FFFFFFFF"/>
        <rFont val="微软雅黑"/>
        <family val="0"/>
        <charset val="134"/>
      </rPr>
      <t xml:space="preserve">(m³)</t>
    </r>
  </si>
  <si>
    <r>
      <rPr>
        <b val="true"/>
        <sz val="10"/>
        <color rgb="FFFFFFFF"/>
        <rFont val="Noto Sans CJK SC"/>
        <family val="2"/>
      </rPr>
      <t xml:space="preserve">总重量合计</t>
    </r>
    <r>
      <rPr>
        <b val="true"/>
        <sz val="10"/>
        <color rgb="FFFFFFFF"/>
        <rFont val="微软雅黑"/>
        <family val="0"/>
        <charset val="134"/>
      </rPr>
      <t xml:space="preserve">(kg)</t>
    </r>
  </si>
  <si>
    <r>
      <rPr>
        <b val="true"/>
        <sz val="10"/>
        <color rgb="FFFFFFFF"/>
        <rFont val="Noto Sans CJK SC"/>
        <family val="2"/>
      </rPr>
      <t xml:space="preserve">含量</t>
    </r>
    <r>
      <rPr>
        <b val="true"/>
        <sz val="10"/>
        <color rgb="FFFFFFFF"/>
        <rFont val="微软雅黑"/>
        <family val="0"/>
        <charset val="134"/>
      </rPr>
      <t xml:space="preserve">(kg/m³)</t>
    </r>
  </si>
  <si>
    <t xml:space="preserve">备注</t>
  </si>
  <si>
    <r>
      <rPr>
        <sz val="10"/>
        <color rgb="FF1F2937"/>
        <rFont val="微软雅黑"/>
        <family val="0"/>
        <charset val="134"/>
      </rPr>
      <t xml:space="preserve">A</t>
    </r>
    <r>
      <rPr>
        <sz val="10"/>
        <color rgb="FF1F2937"/>
        <rFont val="Noto Sans CJK SC"/>
        <family val="2"/>
      </rPr>
      <t xml:space="preserve">区标准段</t>
    </r>
  </si>
  <si>
    <t xml:space="preserve">Sheet1</t>
  </si>
  <si>
    <t xml:space="preserve">PC-GZ-001</t>
  </si>
  <si>
    <t xml:space="preserve">二层板底</t>
  </si>
  <si>
    <r>
      <rPr>
        <sz val="10"/>
        <color rgb="FF1F2937"/>
        <rFont val="微软雅黑"/>
        <family val="0"/>
        <charset val="134"/>
      </rPr>
      <t xml:space="preserve">B</t>
    </r>
    <r>
      <rPr>
        <sz val="10"/>
        <color rgb="FF1F2937"/>
        <rFont val="Noto Sans CJK SC"/>
        <family val="2"/>
      </rPr>
      <t xml:space="preserve">区转换段</t>
    </r>
  </si>
  <si>
    <t xml:space="preserve">Sheet2</t>
  </si>
  <si>
    <t xml:space="preserve">PC-GZ-002</t>
  </si>
  <si>
    <t xml:space="preserve">三层板面</t>
  </si>
  <si>
    <r>
      <rPr>
        <sz val="10"/>
        <color rgb="FF1F2937"/>
        <rFont val="微软雅黑"/>
        <family val="0"/>
        <charset val="134"/>
      </rPr>
      <t xml:space="preserve">C</t>
    </r>
    <r>
      <rPr>
        <sz val="10"/>
        <color rgb="FF1F2937"/>
        <rFont val="Noto Sans CJK SC"/>
        <family val="2"/>
      </rPr>
      <t xml:space="preserve">区机电段</t>
    </r>
  </si>
  <si>
    <t xml:space="preserve">Sheet3</t>
  </si>
  <si>
    <t xml:space="preserve">PC-GZ-003</t>
  </si>
  <si>
    <t xml:space="preserve">楼梯间旁</t>
  </si>
  <si>
    <r>
      <rPr>
        <sz val="10"/>
        <color rgb="FF1F2937"/>
        <rFont val="微软雅黑"/>
        <family val="0"/>
        <charset val="134"/>
      </rPr>
      <t xml:space="preserve">D</t>
    </r>
    <r>
      <rPr>
        <sz val="10"/>
        <color rgb="FF1F2937"/>
        <rFont val="Noto Sans CJK SC"/>
        <family val="2"/>
      </rPr>
      <t xml:space="preserve">区装配段</t>
    </r>
  </si>
  <si>
    <t xml:space="preserve">Sheet4</t>
  </si>
  <si>
    <t xml:space="preserve">PC-GZ-004</t>
  </si>
  <si>
    <t xml:space="preserve">走廊区</t>
  </si>
  <si>
    <r>
      <rPr>
        <sz val="10"/>
        <color rgb="FF1F2937"/>
        <rFont val="微软雅黑"/>
        <family val="0"/>
        <charset val="134"/>
      </rPr>
      <t xml:space="preserve">E</t>
    </r>
    <r>
      <rPr>
        <sz val="10"/>
        <color rgb="FF1F2937"/>
        <rFont val="Noto Sans CJK SC"/>
        <family val="2"/>
      </rPr>
      <t xml:space="preserve">区加强段</t>
    </r>
  </si>
  <si>
    <t xml:space="preserve">Sheet5</t>
  </si>
  <si>
    <t xml:space="preserve">PC-GZ-005</t>
  </si>
  <si>
    <t xml:space="preserve">核心筒边</t>
  </si>
  <si>
    <t xml:space="preserve">Sheet6</t>
  </si>
  <si>
    <t xml:space="preserve">PC-GZ-006</t>
  </si>
  <si>
    <t xml:space="preserve">设备平台</t>
  </si>
  <si>
    <t xml:space="preserve">Sheet7</t>
  </si>
  <si>
    <t xml:space="preserve">PC-GZ-007</t>
  </si>
  <si>
    <t xml:space="preserve">Sheet8</t>
  </si>
  <si>
    <t xml:space="preserve">PC-GZ-008</t>
  </si>
  <si>
    <t xml:space="preserve">Sheet9</t>
  </si>
  <si>
    <t xml:space="preserve">PC-GZ-009</t>
  </si>
  <si>
    <t xml:space="preserve">Sheet10</t>
  </si>
  <si>
    <t xml:space="preserve">PC-GZ-010</t>
  </si>
  <si>
    <t xml:space="preserve">Sheet12</t>
  </si>
  <si>
    <t xml:space="preserve">PC-GZ-011</t>
  </si>
  <si>
    <t xml:space="preserve">Sheet13</t>
  </si>
  <si>
    <t xml:space="preserve">PC-GZ-012</t>
  </si>
  <si>
    <t xml:space="preserve">Sheet14</t>
  </si>
  <si>
    <t xml:space="preserve">PC-GZ-013</t>
  </si>
  <si>
    <t xml:space="preserve">Sheet15</t>
  </si>
  <si>
    <t xml:space="preserve">PC-GZ-014</t>
  </si>
  <si>
    <t xml:space="preserve">Sheet16</t>
  </si>
  <si>
    <t xml:space="preserve">PC-GZ-015</t>
  </si>
  <si>
    <t xml:space="preserve">Sheet17</t>
  </si>
  <si>
    <t xml:space="preserve">PC-GZ-016</t>
  </si>
  <si>
    <t xml:space="preserve">Sheet18</t>
  </si>
  <si>
    <t xml:space="preserve">PC-GZ-017</t>
  </si>
  <si>
    <t xml:space="preserve">Sheet19</t>
  </si>
  <si>
    <t xml:space="preserve">PC-GZ-018</t>
  </si>
  <si>
    <t xml:space="preserve">Sheet20</t>
  </si>
  <si>
    <t xml:space="preserve">PC-GZ-019</t>
  </si>
  <si>
    <t xml:space="preserve">Sheet21</t>
  </si>
  <si>
    <t xml:space="preserve">PC-GZ-020</t>
  </si>
  <si>
    <t xml:space="preserve">Sheet22</t>
  </si>
  <si>
    <t xml:space="preserve">PC-GZ-021</t>
  </si>
  <si>
    <t xml:space="preserve">Sheet23</t>
  </si>
  <si>
    <t xml:space="preserve">PC-GZ-022</t>
  </si>
  <si>
    <t xml:space="preserve">Sheet24</t>
  </si>
  <si>
    <t xml:space="preserve">PC-GZ-023</t>
  </si>
  <si>
    <t xml:space="preserve">Sheet25</t>
  </si>
  <si>
    <t xml:space="preserve">PC-GZ-024</t>
  </si>
  <si>
    <t xml:space="preserve">Sheet26</t>
  </si>
  <si>
    <t xml:space="preserve">PC-GZ-025</t>
  </si>
  <si>
    <t xml:space="preserve">Sheet27</t>
  </si>
  <si>
    <t xml:space="preserve">PC-GZ-026</t>
  </si>
  <si>
    <t xml:space="preserve">Sheet28</t>
  </si>
  <si>
    <t xml:space="preserve">PC-GZ-027</t>
  </si>
  <si>
    <t xml:space="preserve">Sheet29</t>
  </si>
  <si>
    <t xml:space="preserve">PC-GZ-028</t>
  </si>
  <si>
    <t xml:space="preserve">Sheet30</t>
  </si>
  <si>
    <t xml:space="preserve">PC-GZ-029</t>
  </si>
  <si>
    <t xml:space="preserve">Sheet31</t>
  </si>
  <si>
    <t xml:space="preserve">PC-GZ-030</t>
  </si>
  <si>
    <t xml:space="preserve">Sheet32</t>
  </si>
  <si>
    <t xml:space="preserve">PC-GZ-031</t>
  </si>
  <si>
    <t xml:space="preserve">Sheet33</t>
  </si>
  <si>
    <t xml:space="preserve">PC-GZ-032</t>
  </si>
  <si>
    <t xml:space="preserve">Sheet34</t>
  </si>
  <si>
    <t xml:space="preserve">PC-GZ-033</t>
  </si>
  <si>
    <t xml:space="preserve">Sheet35</t>
  </si>
  <si>
    <t xml:space="preserve">PC-GZ-034</t>
  </si>
  <si>
    <t xml:space="preserve">Sheet36</t>
  </si>
  <si>
    <t xml:space="preserve">PC-GZ-035</t>
  </si>
  <si>
    <t xml:space="preserve">Sheet37</t>
  </si>
  <si>
    <t xml:space="preserve">PC-GZ-036</t>
  </si>
  <si>
    <t xml:space="preserve">Sheet38</t>
  </si>
  <si>
    <t xml:space="preserve">PC-GZ-037</t>
  </si>
  <si>
    <t xml:space="preserve">Sheet39</t>
  </si>
  <si>
    <t xml:space="preserve">PC-GZ-038</t>
  </si>
  <si>
    <t xml:space="preserve">Sheet40</t>
  </si>
  <si>
    <t xml:space="preserve">PC-GZ-039</t>
  </si>
  <si>
    <t xml:space="preserve">Sheet41</t>
  </si>
  <si>
    <t xml:space="preserve">PC-GZ-040</t>
  </si>
  <si>
    <t xml:space="preserve">Sheet42</t>
  </si>
  <si>
    <t xml:space="preserve">PC-GZ-041</t>
  </si>
  <si>
    <t xml:space="preserve">Sheet43</t>
  </si>
  <si>
    <t xml:space="preserve">PC-GZ-042</t>
  </si>
  <si>
    <t xml:space="preserve">Sheet44</t>
  </si>
  <si>
    <t xml:space="preserve">PC-GZ-043</t>
  </si>
  <si>
    <t xml:space="preserve">Sheet45</t>
  </si>
  <si>
    <t xml:space="preserve">PC-GZ-044</t>
  </si>
  <si>
    <t xml:space="preserve">Sheet46</t>
  </si>
  <si>
    <t xml:space="preserve">PC-GZ-045</t>
  </si>
  <si>
    <t xml:space="preserve">Sheet47</t>
  </si>
  <si>
    <t xml:space="preserve">PC-GZ-046</t>
  </si>
  <si>
    <t xml:space="preserve">Sheet48</t>
  </si>
  <si>
    <t xml:space="preserve">PC-GZ-047</t>
  </si>
  <si>
    <t xml:space="preserve">Sheet49</t>
  </si>
  <si>
    <t xml:space="preserve">PC-GZ-048</t>
  </si>
  <si>
    <t xml:space="preserve">Sheet50</t>
  </si>
  <si>
    <t xml:space="preserve">PC-GZ-049</t>
  </si>
  <si>
    <t xml:space="preserve">Sheet51</t>
  </si>
  <si>
    <t xml:space="preserve">PC-GZ-050</t>
  </si>
  <si>
    <t xml:space="preserve">Sheet52</t>
  </si>
  <si>
    <t xml:space="preserve">PC-GZ-051</t>
  </si>
  <si>
    <t xml:space="preserve">Sheet53</t>
  </si>
  <si>
    <t xml:space="preserve">PC-GZ-052</t>
  </si>
  <si>
    <t xml:space="preserve">Sheet54</t>
  </si>
  <si>
    <t xml:space="preserve">PC-GZ-053</t>
  </si>
  <si>
    <t xml:space="preserve">Sheet55</t>
  </si>
  <si>
    <t xml:space="preserve">PC-GZ-054</t>
  </si>
  <si>
    <t xml:space="preserve">Sheet56</t>
  </si>
  <si>
    <t xml:space="preserve">PC-GZ-055</t>
  </si>
  <si>
    <t xml:space="preserve">Sheet57</t>
  </si>
  <si>
    <t xml:space="preserve">PC-GZ-056</t>
  </si>
  <si>
    <t xml:space="preserve">Sheet58</t>
  </si>
  <si>
    <t xml:space="preserve">PC-GZ-057</t>
  </si>
  <si>
    <t xml:space="preserve">Sheet59</t>
  </si>
  <si>
    <t xml:space="preserve">PC-GZ-058</t>
  </si>
  <si>
    <t xml:space="preserve">Sheet60</t>
  </si>
  <si>
    <t xml:space="preserve">PC-GZ-059</t>
  </si>
  <si>
    <t xml:space="preserve">Sheet61</t>
  </si>
  <si>
    <t xml:space="preserve">PC-GZ-060</t>
  </si>
  <si>
    <r>
      <rPr>
        <b val="true"/>
        <sz val="16"/>
        <color rgb="FFFFFFFF"/>
        <rFont val="Microsoft YaHei"/>
        <family val="0"/>
        <charset val="134"/>
      </rPr>
      <t xml:space="preserve">Sheet1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</si>
  <si>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构件编号</t>
  </si>
  <si>
    <t xml:space="preserve">施工区段</t>
  </si>
  <si>
    <r>
      <rPr>
        <sz val="10"/>
        <color rgb="FF1F2933"/>
        <rFont val="Microsoft YaHei"/>
        <family val="0"/>
        <charset val="134"/>
      </rPr>
      <t xml:space="preserve">A</t>
    </r>
    <r>
      <rPr>
        <sz val="10"/>
        <color rgb="FF1F2933"/>
        <rFont val="Noto Sans CJK SC"/>
        <family val="2"/>
      </rPr>
      <t xml:space="preserve">区标准段</t>
    </r>
  </si>
  <si>
    <t xml:space="preserve">部位</t>
  </si>
  <si>
    <t xml:space="preserve">总重量合计</t>
  </si>
  <si>
    <t xml:space="preserve">一、配筋明细</t>
  </si>
  <si>
    <t xml:space="preserve">分项类别</t>
  </si>
  <si>
    <t xml:space="preserve">构造位置</t>
  </si>
  <si>
    <r>
      <rPr>
        <b val="true"/>
        <sz val="10"/>
        <color rgb="FFFFFFFF"/>
        <rFont val="Noto Sans CJK SC"/>
        <family val="2"/>
      </rPr>
      <t xml:space="preserve">规格</t>
    </r>
    <r>
      <rPr>
        <b val="true"/>
        <sz val="10"/>
        <color rgb="FFFFFFFF"/>
        <rFont val="Microsoft YaHei"/>
        <family val="0"/>
        <charset val="134"/>
      </rPr>
      <t xml:space="preserve">/</t>
    </r>
    <r>
      <rPr>
        <b val="true"/>
        <sz val="10"/>
        <color rgb="FFFFFFFF"/>
        <rFont val="Noto Sans CJK SC"/>
        <family val="2"/>
      </rPr>
      <t xml:space="preserve">型号</t>
    </r>
  </si>
  <si>
    <t xml:space="preserve">数量</t>
  </si>
  <si>
    <r>
      <rPr>
        <b val="true"/>
        <sz val="10"/>
        <color rgb="FFFFFFFF"/>
        <rFont val="Noto Sans CJK SC"/>
        <family val="2"/>
      </rPr>
      <t xml:space="preserve">单件长度</t>
    </r>
    <r>
      <rPr>
        <b val="true"/>
        <sz val="10"/>
        <color rgb="FFFFFFFF"/>
        <rFont val="Microsoft YaHei"/>
        <family val="0"/>
        <charset val="134"/>
      </rPr>
      <t xml:space="preserve">(mm)</t>
    </r>
  </si>
  <si>
    <t xml:space="preserve">调整系数</t>
  </si>
  <si>
    <t xml:space="preserve">说明</t>
  </si>
  <si>
    <r>
      <rPr>
        <b val="true"/>
        <sz val="10"/>
        <color rgb="FFFFFFFF"/>
        <rFont val="Noto Sans CJK SC"/>
        <family val="2"/>
      </rPr>
      <t xml:space="preserve">重量</t>
    </r>
    <r>
      <rPr>
        <b val="true"/>
        <sz val="10"/>
        <color rgb="FFFFFFFF"/>
        <rFont val="Microsoft YaHei"/>
        <family val="0"/>
        <charset val="134"/>
      </rPr>
      <t xml:space="preserve">(kg)</t>
    </r>
  </si>
  <si>
    <t xml:space="preserve">主向承载筋</t>
  </si>
  <si>
    <t xml:space="preserve">边跨受力区</t>
  </si>
  <si>
    <t xml:space="preserve">HRB400 φ10</t>
  </si>
  <si>
    <t xml:space="preserve">保护层控制</t>
  </si>
  <si>
    <t xml:space="preserve">横向分布筋</t>
  </si>
  <si>
    <t xml:space="preserve">板面分布区</t>
  </si>
  <si>
    <t xml:space="preserve">HRB400 φ8</t>
  </si>
  <si>
    <t xml:space="preserve">间距复核</t>
  </si>
  <si>
    <t xml:space="preserve">构造连接筋</t>
  </si>
  <si>
    <t xml:space="preserve">拼缝连接区</t>
  </si>
  <si>
    <t xml:space="preserve">CRB600H φ7</t>
  </si>
  <si>
    <t xml:space="preserve">搭接调整</t>
  </si>
  <si>
    <t xml:space="preserve">吊装加强筋</t>
  </si>
  <si>
    <t xml:space="preserve">吊点加强区</t>
  </si>
  <si>
    <t xml:space="preserve">吊装复验</t>
  </si>
  <si>
    <t xml:space="preserve">二、附件配置清单（替换后）</t>
  </si>
  <si>
    <t xml:space="preserve">附件编号</t>
  </si>
  <si>
    <t xml:space="preserve">附件名称</t>
  </si>
  <si>
    <t xml:space="preserve">型号规格</t>
  </si>
  <si>
    <t xml:space="preserve">材质</t>
  </si>
  <si>
    <t xml:space="preserve">用途说明</t>
  </si>
  <si>
    <t xml:space="preserve">检验状态</t>
  </si>
  <si>
    <t xml:space="preserve">责任人</t>
  </si>
  <si>
    <t xml:space="preserve">A01-01</t>
  </si>
  <si>
    <t xml:space="preserve">定位垫块</t>
  </si>
  <si>
    <t xml:space="preserve">PVC-25</t>
  </si>
  <si>
    <t xml:space="preserve">PVC</t>
  </si>
  <si>
    <t xml:space="preserve">控制保护层</t>
  </si>
  <si>
    <t xml:space="preserve">资料齐全</t>
  </si>
  <si>
    <t xml:space="preserve">施工组</t>
  </si>
  <si>
    <t xml:space="preserve">B02-01</t>
  </si>
  <si>
    <t xml:space="preserve">预埋套管</t>
  </si>
  <si>
    <t xml:space="preserve">DN20-L120</t>
  </si>
  <si>
    <t xml:space="preserve">镀锌钢</t>
  </si>
  <si>
    <t xml:space="preserve">现场穿线预留</t>
  </si>
  <si>
    <t xml:space="preserve">复核通过</t>
  </si>
  <si>
    <t xml:space="preserve">材料组</t>
  </si>
  <si>
    <t xml:space="preserve">C03-01</t>
  </si>
  <si>
    <t xml:space="preserve">识别铭牌</t>
  </si>
  <si>
    <t xml:space="preserve">QP-40×60</t>
  </si>
  <si>
    <t xml:space="preserve">铝合金</t>
  </si>
  <si>
    <t xml:space="preserve">构件扫码登记</t>
  </si>
  <si>
    <t xml:space="preserve">待进场复核</t>
  </si>
  <si>
    <t xml:space="preserve">质检组</t>
  </si>
  <si>
    <t xml:space="preserve">三、构件与砼体积数据</t>
  </si>
  <si>
    <t xml:space="preserve">构件类型</t>
  </si>
  <si>
    <t xml:space="preserve">砼强度等级</t>
  </si>
  <si>
    <t xml:space="preserve">构件尺寸（替换）</t>
  </si>
  <si>
    <r>
      <rPr>
        <b val="true"/>
        <sz val="10"/>
        <color rgb="FFFFFFFF"/>
        <rFont val="Noto Sans CJK SC"/>
        <family val="2"/>
      </rPr>
      <t xml:space="preserve">砼重量</t>
    </r>
    <r>
      <rPr>
        <b val="true"/>
        <sz val="10"/>
        <color rgb="FFFFFFFF"/>
        <rFont val="Microsoft YaHei"/>
        <family val="0"/>
        <charset val="134"/>
      </rPr>
      <t xml:space="preserve">(t)</t>
    </r>
  </si>
  <si>
    <t xml:space="preserve">构件数量</t>
  </si>
  <si>
    <t xml:space="preserve">养护方式</t>
  </si>
  <si>
    <t xml:space="preserve">检验结论</t>
  </si>
  <si>
    <r>
      <rPr>
        <b val="true"/>
        <sz val="10"/>
        <color rgb="FFFFFFFF"/>
        <rFont val="Noto Sans CJK SC"/>
        <family val="2"/>
      </rPr>
      <t xml:space="preserve">砼体积</t>
    </r>
    <r>
      <rPr>
        <b val="true"/>
        <sz val="10"/>
        <color rgb="FFFFFFFF"/>
        <rFont val="Microsoft YaHei"/>
        <family val="0"/>
        <charset val="134"/>
      </rPr>
      <t xml:space="preserve">(m³)2</t>
    </r>
  </si>
  <si>
    <t xml:space="preserve">装配式板件</t>
  </si>
  <si>
    <t xml:space="preserve">C35</t>
  </si>
  <si>
    <t xml:space="preserve">1037×600×60</t>
  </si>
  <si>
    <t xml:space="preserve">标准蒸养</t>
  </si>
  <si>
    <t xml:space="preserve">通过</t>
  </si>
  <si>
    <r>
      <rPr>
        <b val="true"/>
        <sz val="16"/>
        <color rgb="FFFFFFFF"/>
        <rFont val="Microsoft YaHei"/>
        <family val="0"/>
        <charset val="134"/>
      </rPr>
      <t xml:space="preserve">Sheet2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</si>
  <si>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sz val="10"/>
        <color rgb="FF1F2933"/>
        <rFont val="Microsoft YaHei"/>
        <family val="0"/>
        <charset val="134"/>
      </rPr>
      <t xml:space="preserve">B</t>
    </r>
    <r>
      <rPr>
        <sz val="10"/>
        <color rgb="FF1F2933"/>
        <rFont val="Noto Sans CJK SC"/>
        <family val="2"/>
      </rPr>
      <t xml:space="preserve">区转换段</t>
    </r>
  </si>
  <si>
    <t xml:space="preserve">版本</t>
  </si>
  <si>
    <r>
      <rPr>
        <sz val="10"/>
        <color rgb="FF1F2933"/>
        <rFont val="Noto Sans CJK SC"/>
        <family val="2"/>
      </rPr>
      <t xml:space="preserve">改版</t>
    </r>
    <r>
      <rPr>
        <sz val="10"/>
        <color rgb="FF1F2933"/>
        <rFont val="Microsoft YaHei"/>
        <family val="0"/>
        <charset val="134"/>
      </rPr>
      <t xml:space="preserve">A</t>
    </r>
  </si>
  <si>
    <t xml:space="preserve">二、附件配置清单</t>
  </si>
  <si>
    <t xml:space="preserve">A01-02</t>
  </si>
  <si>
    <t xml:space="preserve">B02-02</t>
  </si>
  <si>
    <t xml:space="preserve">3</t>
  </si>
  <si>
    <r>
      <rPr>
        <sz val="10"/>
        <color rgb="FF1F2933"/>
        <rFont val="Noto Sans CJK SC"/>
        <family val="2"/>
      </rPr>
      <t xml:space="preserve">列</t>
    </r>
    <r>
      <rPr>
        <sz val="10"/>
        <color rgb="FF1F2933"/>
        <rFont val="Microsoft YaHei"/>
        <family val="0"/>
        <charset val="134"/>
      </rPr>
      <t xml:space="preserve">1</t>
    </r>
  </si>
  <si>
    <t xml:space="preserve">C03-02</t>
  </si>
  <si>
    <r>
      <rPr>
        <b val="true"/>
        <sz val="10"/>
        <color rgb="FFFFFFFF"/>
        <rFont val="Noto Sans CJK SC"/>
        <family val="2"/>
      </rPr>
      <t xml:space="preserve">砼体积</t>
    </r>
    <r>
      <rPr>
        <b val="true"/>
        <sz val="10"/>
        <color rgb="FFFFFFFF"/>
        <rFont val="Microsoft YaHei"/>
        <family val="0"/>
        <charset val="134"/>
      </rPr>
      <t xml:space="preserve">(m³)</t>
    </r>
  </si>
  <si>
    <t xml:space="preserve">1174×600×60</t>
  </si>
  <si>
    <r>
      <rPr>
        <b val="true"/>
        <sz val="16"/>
        <color rgb="FFFFFFFF"/>
        <rFont val="Microsoft YaHei"/>
        <family val="0"/>
        <charset val="134"/>
      </rPr>
      <t xml:space="preserve">Sheet3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</si>
  <si>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sz val="10"/>
        <color rgb="FF1F2933"/>
        <rFont val="Microsoft YaHei"/>
        <family val="0"/>
        <charset val="134"/>
      </rPr>
      <t xml:space="preserve">C</t>
    </r>
    <r>
      <rPr>
        <sz val="10"/>
        <color rgb="FF1F2933"/>
        <rFont val="Noto Sans CJK SC"/>
        <family val="2"/>
      </rPr>
      <t xml:space="preserve">区机电段</t>
    </r>
  </si>
  <si>
    <t xml:space="preserve">A01-03</t>
  </si>
  <si>
    <t xml:space="preserve">B02-03</t>
  </si>
  <si>
    <t xml:space="preserve">4</t>
  </si>
  <si>
    <t xml:space="preserve">C03-03</t>
  </si>
  <si>
    <t xml:space="preserve">1311×600×70</t>
  </si>
  <si>
    <r>
      <rPr>
        <b val="true"/>
        <sz val="16"/>
        <color rgb="FFFFFFFF"/>
        <rFont val="Microsoft YaHei"/>
        <family val="0"/>
        <charset val="134"/>
      </rPr>
      <t xml:space="preserve">Sheet4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</si>
  <si>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sz val="10"/>
        <color rgb="FF1F2933"/>
        <rFont val="Microsoft YaHei"/>
        <family val="0"/>
        <charset val="134"/>
      </rPr>
      <t xml:space="preserve">D</t>
    </r>
    <r>
      <rPr>
        <sz val="10"/>
        <color rgb="FF1F2933"/>
        <rFont val="Noto Sans CJK SC"/>
        <family val="2"/>
      </rPr>
      <t xml:space="preserve">区装配段</t>
    </r>
  </si>
  <si>
    <t xml:space="preserve">A01-04</t>
  </si>
  <si>
    <t xml:space="preserve">B02-04</t>
  </si>
  <si>
    <t xml:space="preserve">2</t>
  </si>
  <si>
    <t xml:space="preserve">C03-04</t>
  </si>
  <si>
    <t xml:space="preserve">1448×600×60</t>
  </si>
  <si>
    <r>
      <rPr>
        <b val="true"/>
        <sz val="16"/>
        <color rgb="FFFFFFFF"/>
        <rFont val="Microsoft YaHei"/>
        <family val="0"/>
        <charset val="134"/>
      </rPr>
      <t xml:space="preserve">Sheet5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</si>
  <si>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b val="true"/>
        <sz val="11"/>
        <color rgb="FF1F2933"/>
        <rFont val="Microsoft YaHei"/>
        <family val="0"/>
        <charset val="134"/>
      </rPr>
      <t xml:space="preserve">E</t>
    </r>
    <r>
      <rPr>
        <b val="true"/>
        <sz val="11"/>
        <color rgb="FF1F2933"/>
        <rFont val="Noto Sans CJK SC"/>
        <family val="2"/>
      </rPr>
      <t xml:space="preserve">区加强段</t>
    </r>
  </si>
  <si>
    <r>
      <rPr>
        <b val="true"/>
        <sz val="11"/>
        <color rgb="FF1F2933"/>
        <rFont val="Noto Sans CJK SC"/>
        <family val="2"/>
      </rPr>
      <t xml:space="preserve">改版</t>
    </r>
    <r>
      <rPr>
        <b val="true"/>
        <sz val="11"/>
        <color rgb="FF1F2933"/>
        <rFont val="Microsoft YaHei"/>
        <family val="0"/>
        <charset val="134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</si>
  <si>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规格</t>
    </r>
    <r>
      <rPr>
        <b val="true"/>
        <sz val="11"/>
        <color rgb="FFFFFFFF"/>
        <rFont val="Microsoft YaHei"/>
        <family val="0"/>
        <charset val="134"/>
      </rPr>
      <t xml:space="preserve">/</t>
    </r>
    <r>
      <rPr>
        <b val="true"/>
        <sz val="11"/>
        <color rgb="FFFFFFFF"/>
        <rFont val="Noto Sans CJK SC"/>
        <family val="2"/>
      </rPr>
      <t xml:space="preserve">型号</t>
    </r>
  </si>
  <si>
    <r>
      <rPr>
        <b val="true"/>
        <sz val="11"/>
        <color rgb="FFFFFFFF"/>
        <rFont val="Noto Sans CJK SC"/>
        <family val="2"/>
      </rPr>
      <t xml:space="preserve">单件长度</t>
    </r>
    <r>
      <rPr>
        <b val="true"/>
        <sz val="11"/>
        <color rgb="FFFFFFFF"/>
        <rFont val="Microsoft YaHei"/>
        <family val="0"/>
        <charset val="134"/>
      </rPr>
      <t xml:space="preserve">(mm)</t>
    </r>
  </si>
  <si>
    <r>
      <rPr>
        <b val="true"/>
        <sz val="11"/>
        <color rgb="FFFFFFFF"/>
        <rFont val="Noto Sans CJK SC"/>
        <family val="2"/>
      </rPr>
      <t xml:space="preserve">重量</t>
    </r>
    <r>
      <rPr>
        <b val="true"/>
        <sz val="11"/>
        <color rgb="FFFFFFFF"/>
        <rFont val="Microsoft YaHei"/>
        <family val="0"/>
        <charset val="134"/>
      </rPr>
      <t xml:space="preserve">(kg)</t>
    </r>
  </si>
  <si>
    <t xml:space="preserve">A01-05</t>
  </si>
  <si>
    <t xml:space="preserve">B02-05</t>
  </si>
  <si>
    <t xml:space="preserve">C03-05</t>
  </si>
  <si>
    <r>
      <rPr>
        <b val="true"/>
        <sz val="11"/>
        <color rgb="FFFFFFFF"/>
        <rFont val="Noto Sans CJK SC"/>
        <family val="2"/>
      </rPr>
      <t xml:space="preserve">砼重量</t>
    </r>
    <r>
      <rPr>
        <b val="true"/>
        <sz val="11"/>
        <color rgb="FFFFFFFF"/>
        <rFont val="Microsoft YaHei"/>
        <family val="0"/>
        <charset val="134"/>
      </rPr>
      <t xml:space="preserve">(t)</t>
    </r>
  </si>
  <si>
    <r>
      <rPr>
        <b val="true"/>
        <sz val="11"/>
        <color rgb="FFFFFFFF"/>
        <rFont val="Noto Sans CJK SC"/>
        <family val="2"/>
      </rPr>
      <t xml:space="preserve">砼体积</t>
    </r>
    <r>
      <rPr>
        <b val="true"/>
        <sz val="11"/>
        <color rgb="FFFFFFFF"/>
        <rFont val="Microsoft YaHei"/>
        <family val="0"/>
        <charset val="134"/>
      </rPr>
      <t xml:space="preserve">(m³)</t>
    </r>
  </si>
  <si>
    <t xml:space="preserve">1585×600×60</t>
  </si>
  <si>
    <r>
      <rPr>
        <b val="true"/>
        <sz val="16"/>
        <color rgb="FFFFFFFF"/>
        <rFont val="Microsoft YaHei"/>
        <family val="0"/>
        <charset val="134"/>
      </rPr>
      <t xml:space="preserve">Sheet6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</si>
  <si>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A01-06</t>
  </si>
  <si>
    <t xml:space="preserve">B02-06</t>
  </si>
  <si>
    <t xml:space="preserve">C03-06</t>
  </si>
  <si>
    <t xml:space="preserve">1722×600×70</t>
  </si>
  <si>
    <r>
      <rPr>
        <b val="true"/>
        <sz val="16"/>
        <color rgb="FFFFFFFF"/>
        <rFont val="Microsoft YaHei"/>
        <family val="0"/>
        <charset val="134"/>
      </rPr>
      <t xml:space="preserve">Sheet7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</si>
  <si>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A01-07</t>
  </si>
  <si>
    <t xml:space="preserve">B02-07</t>
  </si>
  <si>
    <t xml:space="preserve">C03-07</t>
  </si>
  <si>
    <t xml:space="preserve">1859×600×60</t>
  </si>
  <si>
    <r>
      <rPr>
        <b val="true"/>
        <sz val="16"/>
        <color rgb="FFFFFFFF"/>
        <rFont val="Microsoft YaHei"/>
        <family val="0"/>
        <charset val="134"/>
      </rPr>
      <t xml:space="preserve">Sheet8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</si>
  <si>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A01-08</t>
  </si>
  <si>
    <t xml:space="preserve">B02-08</t>
  </si>
  <si>
    <t xml:space="preserve">C03-08</t>
  </si>
  <si>
    <t xml:space="preserve">1996×600×60</t>
  </si>
  <si>
    <r>
      <rPr>
        <b val="true"/>
        <sz val="16"/>
        <color rgb="FFFFFFFF"/>
        <rFont val="Microsoft YaHei"/>
        <family val="0"/>
        <charset val="134"/>
      </rPr>
      <t xml:space="preserve">Sheet9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</si>
  <si>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A01-09</t>
  </si>
  <si>
    <t xml:space="preserve">B02-09</t>
  </si>
  <si>
    <t xml:space="preserve">C03-09</t>
  </si>
  <si>
    <t xml:space="preserve">2133×600×70</t>
  </si>
  <si>
    <r>
      <rPr>
        <b val="true"/>
        <sz val="16"/>
        <color rgb="FFFFFFFF"/>
        <rFont val="Microsoft YaHei"/>
        <family val="0"/>
        <charset val="134"/>
      </rPr>
      <t xml:space="preserve">Sheet10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</si>
  <si>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sz val="10"/>
        <color rgb="FF1F2933"/>
        <rFont val="Microsoft YaHei"/>
        <family val="0"/>
        <charset val="134"/>
      </rPr>
      <t xml:space="preserve">E</t>
    </r>
    <r>
      <rPr>
        <sz val="10"/>
        <color rgb="FF1F2933"/>
        <rFont val="Noto Sans CJK SC"/>
        <family val="2"/>
      </rPr>
      <t xml:space="preserve">区加强段</t>
    </r>
  </si>
  <si>
    <t xml:space="preserve">A01-10</t>
  </si>
  <si>
    <t xml:space="preserve">B02-10</t>
  </si>
  <si>
    <t xml:space="preserve">C03-10</t>
  </si>
  <si>
    <t xml:space="preserve">2270×600×60</t>
  </si>
  <si>
    <r>
      <rPr>
        <b val="true"/>
        <sz val="16"/>
        <color rgb="FFFFFFFF"/>
        <rFont val="Microsoft YaHei"/>
        <family val="0"/>
        <charset val="134"/>
      </rPr>
      <t xml:space="preserve">Sheet12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</si>
  <si>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A01-11</t>
  </si>
  <si>
    <t xml:space="preserve">B02-11</t>
  </si>
  <si>
    <t xml:space="preserve">C03-11</t>
  </si>
  <si>
    <t xml:space="preserve">2407×600×60</t>
  </si>
  <si>
    <r>
      <rPr>
        <b val="true"/>
        <sz val="16"/>
        <color rgb="FFFFFFFF"/>
        <rFont val="Microsoft YaHei"/>
        <family val="0"/>
        <charset val="134"/>
      </rPr>
      <t xml:space="preserve">Sheet13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</si>
  <si>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A01-12</t>
  </si>
  <si>
    <t xml:space="preserve">B02-12</t>
  </si>
  <si>
    <t xml:space="preserve">C03-12</t>
  </si>
  <si>
    <t xml:space="preserve">2544×600×70</t>
  </si>
  <si>
    <r>
      <rPr>
        <b val="true"/>
        <sz val="16"/>
        <color rgb="FFFFFFFF"/>
        <rFont val="Microsoft YaHei"/>
        <family val="0"/>
        <charset val="134"/>
      </rPr>
      <t xml:space="preserve">Sheet14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</si>
  <si>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A01-13</t>
  </si>
  <si>
    <t xml:space="preserve">B02-13</t>
  </si>
  <si>
    <t xml:space="preserve">C03-13</t>
  </si>
  <si>
    <t xml:space="preserve">2681×600×60</t>
  </si>
  <si>
    <r>
      <rPr>
        <b val="true"/>
        <sz val="16"/>
        <color rgb="FFFFFFFF"/>
        <rFont val="Microsoft YaHei"/>
        <family val="0"/>
        <charset val="134"/>
      </rPr>
      <t xml:space="preserve">Sheet15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</si>
  <si>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A01-14</t>
  </si>
  <si>
    <t xml:space="preserve">B02-14</t>
  </si>
  <si>
    <t xml:space="preserve">C03-14</t>
  </si>
  <si>
    <t xml:space="preserve">2818×600×60</t>
  </si>
  <si>
    <r>
      <rPr>
        <b val="true"/>
        <sz val="16"/>
        <color rgb="FFFFFFFF"/>
        <rFont val="Microsoft YaHei"/>
        <family val="0"/>
        <charset val="134"/>
      </rPr>
      <t xml:space="preserve">Sheet16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</si>
  <si>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A01-15</t>
  </si>
  <si>
    <t xml:space="preserve">B02-15</t>
  </si>
  <si>
    <t xml:space="preserve">C03-15</t>
  </si>
  <si>
    <t xml:space="preserve">2955×600×70</t>
  </si>
  <si>
    <r>
      <rPr>
        <b val="true"/>
        <sz val="16"/>
        <color rgb="FFFFFFFF"/>
        <rFont val="Microsoft YaHei"/>
        <family val="0"/>
        <charset val="134"/>
      </rPr>
      <t xml:space="preserve">Sheet17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</si>
  <si>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A01-16</t>
  </si>
  <si>
    <t xml:space="preserve">B02-16</t>
  </si>
  <si>
    <t xml:space="preserve">C03-16</t>
  </si>
  <si>
    <t xml:space="preserve">3092×600×60</t>
  </si>
  <si>
    <r>
      <rPr>
        <b val="true"/>
        <sz val="16"/>
        <color rgb="FFFFFFFF"/>
        <rFont val="Microsoft YaHei"/>
        <family val="0"/>
        <charset val="134"/>
      </rPr>
      <t xml:space="preserve">Sheet18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</si>
  <si>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A01-17</t>
  </si>
  <si>
    <t xml:space="preserve">B02-17</t>
  </si>
  <si>
    <t xml:space="preserve">C03-17</t>
  </si>
  <si>
    <t xml:space="preserve">3229×600×60</t>
  </si>
  <si>
    <r>
      <rPr>
        <b val="true"/>
        <sz val="16"/>
        <color rgb="FFFFFFFF"/>
        <rFont val="Microsoft YaHei"/>
        <family val="0"/>
        <charset val="134"/>
      </rPr>
      <t xml:space="preserve">Sheet19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</si>
  <si>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A01-18</t>
  </si>
  <si>
    <t xml:space="preserve">B02-18</t>
  </si>
  <si>
    <t xml:space="preserve">C03-18</t>
  </si>
  <si>
    <t xml:space="preserve">3366×600×70</t>
  </si>
  <si>
    <r>
      <rPr>
        <b val="true"/>
        <sz val="16"/>
        <color rgb="FFFFFFFF"/>
        <rFont val="Microsoft YaHei"/>
        <family val="0"/>
        <charset val="134"/>
      </rPr>
      <t xml:space="preserve">Sheet20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</si>
  <si>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A01-19</t>
  </si>
  <si>
    <t xml:space="preserve">B02-19</t>
  </si>
  <si>
    <t xml:space="preserve">C03-19</t>
  </si>
  <si>
    <t xml:space="preserve">3503×600×60</t>
  </si>
  <si>
    <r>
      <rPr>
        <b val="true"/>
        <sz val="16"/>
        <color rgb="FFFFFFFF"/>
        <rFont val="Microsoft YaHei"/>
        <family val="0"/>
        <charset val="134"/>
      </rPr>
      <t xml:space="preserve">Sheet21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</si>
  <si>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A01-20</t>
  </si>
  <si>
    <t xml:space="preserve">B02-20</t>
  </si>
  <si>
    <t xml:space="preserve">C03-20</t>
  </si>
  <si>
    <t xml:space="preserve">3640×600×60</t>
  </si>
  <si>
    <r>
      <rPr>
        <b val="true"/>
        <sz val="16"/>
        <color rgb="FFFFFFFF"/>
        <rFont val="Microsoft YaHei"/>
        <family val="0"/>
        <charset val="134"/>
      </rPr>
      <t xml:space="preserve">Sheet22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</si>
  <si>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A01-21</t>
  </si>
  <si>
    <t xml:space="preserve">B02-21</t>
  </si>
  <si>
    <t xml:space="preserve">C03-21</t>
  </si>
  <si>
    <t xml:space="preserve">3777×600×70</t>
  </si>
  <si>
    <r>
      <rPr>
        <b val="true"/>
        <sz val="16"/>
        <color rgb="FFFFFFFF"/>
        <rFont val="Microsoft YaHei"/>
        <family val="0"/>
        <charset val="134"/>
      </rPr>
      <t xml:space="preserve">Sheet23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</si>
  <si>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A01-22</t>
  </si>
  <si>
    <t xml:space="preserve">B02-22</t>
  </si>
  <si>
    <t xml:space="preserve">C03-22</t>
  </si>
  <si>
    <t xml:space="preserve">3914×600×60</t>
  </si>
  <si>
    <r>
      <rPr>
        <b val="true"/>
        <sz val="16"/>
        <color rgb="FFFFFFFF"/>
        <rFont val="Microsoft YaHei"/>
        <family val="0"/>
        <charset val="134"/>
      </rPr>
      <t xml:space="preserve">Sheet24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</si>
  <si>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A01-23</t>
  </si>
  <si>
    <t xml:space="preserve">B02-23</t>
  </si>
  <si>
    <t xml:space="preserve">C03-23</t>
  </si>
  <si>
    <t xml:space="preserve">4051×600×60</t>
  </si>
  <si>
    <r>
      <rPr>
        <b val="true"/>
        <sz val="16"/>
        <color rgb="FFFFFFFF"/>
        <rFont val="Microsoft YaHei"/>
        <family val="0"/>
        <charset val="134"/>
      </rPr>
      <t xml:space="preserve">Sheet25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</si>
  <si>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A01-24</t>
  </si>
  <si>
    <t xml:space="preserve">B02-24</t>
  </si>
  <si>
    <t xml:space="preserve">C03-24</t>
  </si>
  <si>
    <t xml:space="preserve">4188×600×70</t>
  </si>
  <si>
    <r>
      <rPr>
        <b val="true"/>
        <sz val="16"/>
        <color rgb="FFFFFFFF"/>
        <rFont val="Microsoft YaHei"/>
        <family val="0"/>
        <charset val="134"/>
      </rPr>
      <t xml:space="preserve">Sheet26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</si>
  <si>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A01-25</t>
  </si>
  <si>
    <t xml:space="preserve">B02-25</t>
  </si>
  <si>
    <t xml:space="preserve">C03-25</t>
  </si>
  <si>
    <t xml:space="preserve">4325×600×60</t>
  </si>
  <si>
    <r>
      <rPr>
        <b val="true"/>
        <sz val="16"/>
        <color rgb="FFFFFFFF"/>
        <rFont val="Microsoft YaHei"/>
        <family val="0"/>
        <charset val="134"/>
      </rPr>
      <t xml:space="preserve">Sheet27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</si>
  <si>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A01-26</t>
  </si>
  <si>
    <t xml:space="preserve">B02-26</t>
  </si>
  <si>
    <t xml:space="preserve">C03-26</t>
  </si>
  <si>
    <t xml:space="preserve">4462×600×60</t>
  </si>
  <si>
    <r>
      <rPr>
        <b val="true"/>
        <sz val="16"/>
        <color rgb="FFFFFFFF"/>
        <rFont val="Microsoft YaHei"/>
        <family val="0"/>
        <charset val="134"/>
      </rPr>
      <t xml:space="preserve">Sheet28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</si>
  <si>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A01-27</t>
  </si>
  <si>
    <t xml:space="preserve">B02-27</t>
  </si>
  <si>
    <t xml:space="preserve">C03-27</t>
  </si>
  <si>
    <t xml:space="preserve">999×600×70</t>
  </si>
  <si>
    <r>
      <rPr>
        <b val="true"/>
        <sz val="16"/>
        <color rgb="FFFFFFFF"/>
        <rFont val="Microsoft YaHei"/>
        <family val="0"/>
        <charset val="134"/>
      </rPr>
      <t xml:space="preserve">Sheet29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</si>
  <si>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A01-28</t>
  </si>
  <si>
    <t xml:space="preserve">B02-28</t>
  </si>
  <si>
    <t xml:space="preserve">C03-28</t>
  </si>
  <si>
    <t xml:space="preserve">1136×600×60</t>
  </si>
  <si>
    <r>
      <rPr>
        <b val="true"/>
        <sz val="16"/>
        <color rgb="FFFFFFFF"/>
        <rFont val="Microsoft YaHei"/>
        <family val="0"/>
        <charset val="134"/>
      </rPr>
      <t xml:space="preserve">Sheet30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</si>
  <si>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A01-29</t>
  </si>
  <si>
    <t xml:space="preserve">B02-29</t>
  </si>
  <si>
    <t xml:space="preserve">C03-29</t>
  </si>
  <si>
    <t xml:space="preserve">1273×600×60</t>
  </si>
  <si>
    <r>
      <rPr>
        <b val="true"/>
        <sz val="16"/>
        <color rgb="FFFFFFFF"/>
        <rFont val="Microsoft YaHei"/>
        <family val="0"/>
        <charset val="134"/>
      </rPr>
      <t xml:space="preserve">Sheet31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</si>
  <si>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A01-30</t>
  </si>
  <si>
    <t xml:space="preserve">B02-30</t>
  </si>
  <si>
    <t xml:space="preserve">C03-30</t>
  </si>
  <si>
    <t xml:space="preserve">1410×600×70</t>
  </si>
  <si>
    <r>
      <rPr>
        <b val="true"/>
        <sz val="16"/>
        <color rgb="FFFFFFFF"/>
        <rFont val="Microsoft YaHei"/>
        <family val="0"/>
        <charset val="134"/>
      </rPr>
      <t xml:space="preserve">Sheet32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</si>
  <si>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A01-31</t>
  </si>
  <si>
    <t xml:space="preserve">B02-31</t>
  </si>
  <si>
    <t xml:space="preserve">C03-31</t>
  </si>
  <si>
    <t xml:space="preserve">1547×600×60</t>
  </si>
  <si>
    <r>
      <rPr>
        <b val="true"/>
        <sz val="16"/>
        <color rgb="FFFFFFFF"/>
        <rFont val="Microsoft YaHei"/>
        <family val="0"/>
        <charset val="134"/>
      </rPr>
      <t xml:space="preserve">Sheet33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</si>
  <si>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A01-32</t>
  </si>
  <si>
    <t xml:space="preserve">B02-32</t>
  </si>
  <si>
    <t xml:space="preserve">C03-32</t>
  </si>
  <si>
    <t xml:space="preserve">1684×600×60</t>
  </si>
  <si>
    <r>
      <rPr>
        <b val="true"/>
        <sz val="16"/>
        <color rgb="FFFFFFFF"/>
        <rFont val="Microsoft YaHei"/>
        <family val="0"/>
        <charset val="134"/>
      </rPr>
      <t xml:space="preserve">Sheet34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</si>
  <si>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A01-33</t>
  </si>
  <si>
    <t xml:space="preserve">B02-33</t>
  </si>
  <si>
    <t xml:space="preserve">C03-33</t>
  </si>
  <si>
    <t xml:space="preserve">1821×600×70</t>
  </si>
  <si>
    <r>
      <rPr>
        <b val="true"/>
        <sz val="16"/>
        <color rgb="FFFFFFFF"/>
        <rFont val="Microsoft YaHei"/>
        <family val="0"/>
        <charset val="134"/>
      </rPr>
      <t xml:space="preserve">Sheet35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</si>
  <si>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A01-34</t>
  </si>
  <si>
    <t xml:space="preserve">B02-34</t>
  </si>
  <si>
    <t xml:space="preserve">C03-34</t>
  </si>
  <si>
    <t xml:space="preserve">1958×600×60</t>
  </si>
  <si>
    <r>
      <rPr>
        <b val="true"/>
        <sz val="16"/>
        <color rgb="FFFFFFFF"/>
        <rFont val="Microsoft YaHei"/>
        <family val="0"/>
        <charset val="134"/>
      </rPr>
      <t xml:space="preserve">Sheet36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</si>
  <si>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A01-35</t>
  </si>
  <si>
    <t xml:space="preserve">B02-35</t>
  </si>
  <si>
    <t xml:space="preserve">C03-35</t>
  </si>
  <si>
    <t xml:space="preserve">2095×600×60</t>
  </si>
  <si>
    <r>
      <rPr>
        <b val="true"/>
        <sz val="16"/>
        <color rgb="FFFFFFFF"/>
        <rFont val="Microsoft YaHei"/>
        <family val="0"/>
        <charset val="134"/>
      </rPr>
      <t xml:space="preserve">Sheet37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</si>
  <si>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A01-36</t>
  </si>
  <si>
    <t xml:space="preserve">B02-36</t>
  </si>
  <si>
    <t xml:space="preserve">C03-36</t>
  </si>
  <si>
    <t xml:space="preserve">2232×600×70</t>
  </si>
  <si>
    <r>
      <rPr>
        <b val="true"/>
        <sz val="16"/>
        <color rgb="FFFFFFFF"/>
        <rFont val="Microsoft YaHei"/>
        <family val="0"/>
        <charset val="134"/>
      </rPr>
      <t xml:space="preserve">Sheet38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</si>
  <si>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A01-37</t>
  </si>
  <si>
    <t xml:space="preserve">B02-37</t>
  </si>
  <si>
    <t xml:space="preserve">C03-37</t>
  </si>
  <si>
    <t xml:space="preserve">2369×600×60</t>
  </si>
  <si>
    <r>
      <rPr>
        <b val="true"/>
        <sz val="16"/>
        <color rgb="FFFFFFFF"/>
        <rFont val="Microsoft YaHei"/>
        <family val="0"/>
        <charset val="134"/>
      </rPr>
      <t xml:space="preserve">Sheet39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</si>
  <si>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A01-38</t>
  </si>
  <si>
    <t xml:space="preserve">B02-38</t>
  </si>
  <si>
    <t xml:space="preserve">C03-38</t>
  </si>
  <si>
    <t xml:space="preserve">2506×600×60</t>
  </si>
  <si>
    <r>
      <rPr>
        <b val="true"/>
        <sz val="16"/>
        <color rgb="FFFFFFFF"/>
        <rFont val="Microsoft YaHei"/>
        <family val="0"/>
        <charset val="134"/>
      </rPr>
      <t xml:space="preserve">Sheet40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</si>
  <si>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A01-39</t>
  </si>
  <si>
    <t xml:space="preserve">B02-39</t>
  </si>
  <si>
    <t xml:space="preserve">C03-39</t>
  </si>
  <si>
    <t xml:space="preserve">2643×600×70</t>
  </si>
  <si>
    <r>
      <rPr>
        <b val="true"/>
        <sz val="16"/>
        <color rgb="FFFFFFFF"/>
        <rFont val="Microsoft YaHei"/>
        <family val="0"/>
        <charset val="134"/>
      </rPr>
      <t xml:space="preserve">Sheet41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</si>
  <si>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A01-40</t>
  </si>
  <si>
    <t xml:space="preserve">B02-40</t>
  </si>
  <si>
    <t xml:space="preserve">C03-40</t>
  </si>
  <si>
    <t xml:space="preserve">2780×600×60</t>
  </si>
  <si>
    <r>
      <rPr>
        <b val="true"/>
        <sz val="16"/>
        <color rgb="FFFFFFFF"/>
        <rFont val="Microsoft YaHei"/>
        <family val="0"/>
        <charset val="134"/>
      </rPr>
      <t xml:space="preserve">Sheet42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</si>
  <si>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b val="true"/>
        <sz val="11"/>
        <color rgb="FF1F2933"/>
        <rFont val="Microsoft YaHei"/>
        <family val="0"/>
        <charset val="134"/>
      </rPr>
      <t xml:space="preserve">A</t>
    </r>
    <r>
      <rPr>
        <b val="true"/>
        <sz val="11"/>
        <color rgb="FF1F2933"/>
        <rFont val="Noto Sans CJK SC"/>
        <family val="2"/>
      </rPr>
      <t xml:space="preserve">区标准段</t>
    </r>
  </si>
  <si>
    <t xml:space="preserve">A01-41</t>
  </si>
  <si>
    <t xml:space="preserve">B02-41</t>
  </si>
  <si>
    <t xml:space="preserve">C03-41</t>
  </si>
  <si>
    <t xml:space="preserve">2917×600×60</t>
  </si>
  <si>
    <r>
      <rPr>
        <b val="true"/>
        <sz val="16"/>
        <color rgb="FFFFFFFF"/>
        <rFont val="Microsoft YaHei"/>
        <family val="0"/>
        <charset val="134"/>
      </rPr>
      <t xml:space="preserve">Sheet43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</si>
  <si>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b val="true"/>
        <sz val="11"/>
        <color rgb="FF1F2933"/>
        <rFont val="Microsoft YaHei"/>
        <family val="0"/>
        <charset val="134"/>
      </rPr>
      <t xml:space="preserve">B</t>
    </r>
    <r>
      <rPr>
        <b val="true"/>
        <sz val="11"/>
        <color rgb="FF1F2933"/>
        <rFont val="Noto Sans CJK SC"/>
        <family val="2"/>
      </rPr>
      <t xml:space="preserve">区转换段</t>
    </r>
  </si>
  <si>
    <t xml:space="preserve">A01-42</t>
  </si>
  <si>
    <t xml:space="preserve">B02-42</t>
  </si>
  <si>
    <t xml:space="preserve">C03-42</t>
  </si>
  <si>
    <t xml:space="preserve">3054×600×70</t>
  </si>
  <si>
    <r>
      <rPr>
        <b val="true"/>
        <sz val="16"/>
        <color rgb="FFFFFFFF"/>
        <rFont val="Microsoft YaHei"/>
        <family val="0"/>
        <charset val="134"/>
      </rPr>
      <t xml:space="preserve">Sheet44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</si>
  <si>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b val="true"/>
        <sz val="11"/>
        <color rgb="FF1F2933"/>
        <rFont val="Microsoft YaHei"/>
        <family val="0"/>
        <charset val="134"/>
      </rPr>
      <t xml:space="preserve">C</t>
    </r>
    <r>
      <rPr>
        <b val="true"/>
        <sz val="11"/>
        <color rgb="FF1F2933"/>
        <rFont val="Noto Sans CJK SC"/>
        <family val="2"/>
      </rPr>
      <t xml:space="preserve">区机电段</t>
    </r>
  </si>
  <si>
    <t xml:space="preserve">A01-43</t>
  </si>
  <si>
    <t xml:space="preserve">B02-43</t>
  </si>
  <si>
    <t xml:space="preserve">C03-43</t>
  </si>
  <si>
    <t xml:space="preserve">3191×600×60</t>
  </si>
  <si>
    <r>
      <rPr>
        <b val="true"/>
        <sz val="16"/>
        <color rgb="FFFFFFFF"/>
        <rFont val="Microsoft YaHei"/>
        <family val="0"/>
        <charset val="134"/>
      </rPr>
      <t xml:space="preserve">Sheet45 </t>
    </r>
    <r>
      <rPr>
        <b val="true"/>
        <sz val="16"/>
        <color rgb="FFFFFFFF"/>
        <rFont val="Noto Sans CJK SC"/>
        <family val="2"/>
      </rPr>
      <t xml:space="preserve">构件材料清单</t>
    </r>
  </si>
  <si>
    <r>
      <rPr>
        <b val="true"/>
        <sz val="11"/>
        <color rgb="FF1F2933"/>
        <rFont val="Microsoft YaHei"/>
        <family val="0"/>
        <charset val="134"/>
      </rPr>
      <t xml:space="preserve">D</t>
    </r>
    <r>
      <rPr>
        <b val="true"/>
        <sz val="11"/>
        <color rgb="FF1F2933"/>
        <rFont val="Noto Sans CJK SC"/>
        <family val="2"/>
      </rPr>
      <t xml:space="preserve">区装配段</t>
    </r>
  </si>
  <si>
    <t xml:space="preserve">A01-44</t>
  </si>
  <si>
    <t xml:space="preserve">B02-44</t>
  </si>
  <si>
    <t xml:space="preserve">C03-44</t>
  </si>
  <si>
    <t xml:space="preserve">3328×600×60</t>
  </si>
  <si>
    <r>
      <rPr>
        <b val="true"/>
        <sz val="16"/>
        <color rgb="FFFFFFFF"/>
        <rFont val="Microsoft YaHei"/>
        <family val="0"/>
        <charset val="134"/>
      </rPr>
      <t xml:space="preserve">Sheet46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</si>
  <si>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A01-45</t>
  </si>
  <si>
    <t xml:space="preserve">B02-45</t>
  </si>
  <si>
    <t xml:space="preserve">C03-45</t>
  </si>
  <si>
    <t xml:space="preserve">3465×600×70</t>
  </si>
  <si>
    <r>
      <rPr>
        <b val="true"/>
        <sz val="16"/>
        <color rgb="FFFFFFFF"/>
        <rFont val="Microsoft YaHei"/>
        <family val="0"/>
        <charset val="134"/>
      </rPr>
      <t xml:space="preserve">Sheet47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</si>
  <si>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A01-46</t>
  </si>
  <si>
    <t xml:space="preserve">B02-46</t>
  </si>
  <si>
    <t xml:space="preserve">C03-46</t>
  </si>
  <si>
    <t xml:space="preserve">3602×600×60</t>
  </si>
  <si>
    <r>
      <rPr>
        <b val="true"/>
        <sz val="16"/>
        <color rgb="FFFFFFFF"/>
        <rFont val="Microsoft YaHei"/>
        <family val="0"/>
        <charset val="134"/>
      </rPr>
      <t xml:space="preserve">Sheet48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</si>
  <si>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A01-47</t>
  </si>
  <si>
    <t xml:space="preserve">B02-47</t>
  </si>
  <si>
    <t xml:space="preserve">C03-47</t>
  </si>
  <si>
    <t xml:space="preserve">3739×600×60</t>
  </si>
  <si>
    <r>
      <rPr>
        <b val="true"/>
        <sz val="16"/>
        <color rgb="FFFFFFFF"/>
        <rFont val="Microsoft YaHei"/>
        <family val="0"/>
        <charset val="134"/>
      </rPr>
      <t xml:space="preserve">Sheet49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</si>
  <si>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A01-48</t>
  </si>
  <si>
    <t xml:space="preserve">B02-48</t>
  </si>
  <si>
    <t xml:space="preserve">C03-48</t>
  </si>
  <si>
    <t xml:space="preserve">3876×600×70</t>
  </si>
  <si>
    <r>
      <rPr>
        <b val="true"/>
        <sz val="16"/>
        <color rgb="FFFFFFFF"/>
        <rFont val="Microsoft YaHei"/>
        <family val="0"/>
        <charset val="134"/>
      </rPr>
      <t xml:space="preserve">Sheet50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</si>
  <si>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A01-49</t>
  </si>
  <si>
    <t xml:space="preserve">B02-49</t>
  </si>
  <si>
    <t xml:space="preserve">C03-49</t>
  </si>
  <si>
    <t xml:space="preserve">4013×600×60</t>
  </si>
  <si>
    <r>
      <rPr>
        <b val="true"/>
        <sz val="16"/>
        <color rgb="FFFFFFFF"/>
        <rFont val="Microsoft YaHei"/>
        <family val="0"/>
        <charset val="134"/>
      </rPr>
      <t xml:space="preserve">Sheet51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</si>
  <si>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A01-50</t>
  </si>
  <si>
    <t xml:space="preserve">B02-50</t>
  </si>
  <si>
    <t xml:space="preserve">C03-50</t>
  </si>
  <si>
    <t xml:space="preserve">4150×600×60</t>
  </si>
  <si>
    <r>
      <rPr>
        <b val="true"/>
        <sz val="16"/>
        <color rgb="FFFFFFFF"/>
        <rFont val="Microsoft YaHei"/>
        <family val="0"/>
        <charset val="134"/>
      </rPr>
      <t xml:space="preserve">Sheet52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</si>
  <si>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A01-51</t>
  </si>
  <si>
    <t xml:space="preserve">B02-51</t>
  </si>
  <si>
    <t xml:space="preserve">C03-51</t>
  </si>
  <si>
    <t xml:space="preserve">4287×600×70</t>
  </si>
  <si>
    <r>
      <rPr>
        <b val="true"/>
        <sz val="16"/>
        <color rgb="FFFFFFFF"/>
        <rFont val="Microsoft YaHei"/>
        <family val="0"/>
        <charset val="134"/>
      </rPr>
      <t xml:space="preserve">Sheet53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</si>
  <si>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A01-52</t>
  </si>
  <si>
    <t xml:space="preserve">B02-52</t>
  </si>
  <si>
    <t xml:space="preserve">C03-52</t>
  </si>
  <si>
    <t xml:space="preserve">4424×600×60</t>
  </si>
  <si>
    <r>
      <rPr>
        <b val="true"/>
        <sz val="16"/>
        <color rgb="FFFFFFFF"/>
        <rFont val="Microsoft YaHei"/>
        <family val="0"/>
        <charset val="134"/>
      </rPr>
      <t xml:space="preserve">Sheet54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</si>
  <si>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A01-53</t>
  </si>
  <si>
    <t xml:space="preserve">B02-53</t>
  </si>
  <si>
    <t xml:space="preserve">C03-53</t>
  </si>
  <si>
    <t xml:space="preserve">961×600×60</t>
  </si>
  <si>
    <r>
      <rPr>
        <b val="true"/>
        <sz val="16"/>
        <color rgb="FFFFFFFF"/>
        <rFont val="Microsoft YaHei"/>
        <family val="0"/>
        <charset val="134"/>
      </rPr>
      <t xml:space="preserve">Sheet55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</si>
  <si>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A01-54</t>
  </si>
  <si>
    <t xml:space="preserve">B02-54</t>
  </si>
  <si>
    <t xml:space="preserve">C03-54</t>
  </si>
  <si>
    <t xml:space="preserve">1098×600×70</t>
  </si>
  <si>
    <r>
      <rPr>
        <b val="true"/>
        <sz val="16"/>
        <color rgb="FFFFFFFF"/>
        <rFont val="Microsoft YaHei"/>
        <family val="0"/>
        <charset val="134"/>
      </rPr>
      <t xml:space="preserve">Sheet56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</si>
  <si>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A01-55</t>
  </si>
  <si>
    <t xml:space="preserve">B02-55</t>
  </si>
  <si>
    <t xml:space="preserve">C03-55</t>
  </si>
  <si>
    <t xml:space="preserve">1235×600×60</t>
  </si>
  <si>
    <r>
      <rPr>
        <b val="true"/>
        <sz val="16"/>
        <color rgb="FFFFFFFF"/>
        <rFont val="Microsoft YaHei"/>
        <family val="0"/>
        <charset val="134"/>
      </rPr>
      <t xml:space="preserve">Sheet57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</si>
  <si>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A01-56</t>
  </si>
  <si>
    <t xml:space="preserve">B02-56</t>
  </si>
  <si>
    <t xml:space="preserve">C03-56</t>
  </si>
  <si>
    <t xml:space="preserve">1372×600×60</t>
  </si>
  <si>
    <r>
      <rPr>
        <b val="true"/>
        <sz val="16"/>
        <color rgb="FFFFFFFF"/>
        <rFont val="Microsoft YaHei"/>
        <family val="0"/>
        <charset val="134"/>
      </rPr>
      <t xml:space="preserve">Sheet58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</si>
  <si>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A01-57</t>
  </si>
  <si>
    <t xml:space="preserve">B02-57</t>
  </si>
  <si>
    <t xml:space="preserve">C03-57</t>
  </si>
  <si>
    <t xml:space="preserve">1509×600×70</t>
  </si>
  <si>
    <r>
      <rPr>
        <b val="true"/>
        <sz val="16"/>
        <color rgb="FFFFFFFF"/>
        <rFont val="Microsoft YaHei"/>
        <family val="0"/>
        <charset val="134"/>
      </rPr>
      <t xml:space="preserve">Sheet59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</si>
  <si>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A01-58</t>
  </si>
  <si>
    <t xml:space="preserve">B02-58</t>
  </si>
  <si>
    <t xml:space="preserve">C03-58</t>
  </si>
  <si>
    <t xml:space="preserve">1646×600×60</t>
  </si>
  <si>
    <r>
      <rPr>
        <b val="true"/>
        <sz val="16"/>
        <color rgb="FFFFFFFF"/>
        <rFont val="Microsoft YaHei"/>
        <family val="0"/>
        <charset val="134"/>
      </rPr>
      <t xml:space="preserve">Sheet60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</si>
  <si>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A01-59</t>
  </si>
  <si>
    <t xml:space="preserve">B02-59</t>
  </si>
  <si>
    <t xml:space="preserve">C03-59</t>
  </si>
  <si>
    <t xml:space="preserve">1783×600×60</t>
  </si>
  <si>
    <r>
      <rPr>
        <b val="true"/>
        <sz val="16"/>
        <color rgb="FFFFFFFF"/>
        <rFont val="Microsoft YaHei"/>
        <family val="0"/>
        <charset val="134"/>
      </rPr>
      <t xml:space="preserve">Sheet61 </t>
    </r>
    <r>
      <rPr>
        <b val="true"/>
        <sz val="16"/>
        <color rgb="FFFFFFFF"/>
        <rFont val="Noto Sans CJK SC"/>
        <family val="2"/>
      </rPr>
      <t xml:space="preserve">构件材料清单</t>
    </r>
  </si>
  <si>
    <t xml:space="preserve">A01-60</t>
  </si>
  <si>
    <t xml:space="preserve">B02-60</t>
  </si>
  <si>
    <t xml:space="preserve">C03-60</t>
  </si>
  <si>
    <t xml:space="preserve">1920×600×70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</si>
</sst>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0"/>
    <numFmt numFmtId="168" formatCode="#,##0_ "/>
    <numFmt numFmtId="169" formatCode="#,##0.00_ "/>
  </numFmts>
  <fonts count="22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微软雅黑"/>
      <family val="0"/>
      <charset val="134"/>
    </font>
    <font>
      <sz val="10"/>
      <color rgb="FF1F2937"/>
      <name val="微软雅黑"/>
      <family val="0"/>
      <charset val="134"/>
    </font>
    <font>
      <sz val="10"/>
      <color rgb="FF1F2937"/>
      <name val="Noto Sans CJK SC"/>
      <family val="2"/>
    </font>
    <font>
      <b val="true"/>
      <sz val="16"/>
      <color rgb="FFFFFFFF"/>
      <name val="Microsoft YaHei"/>
      <family val="0"/>
      <charset val="134"/>
    </font>
    <font>
      <b val="true"/>
      <sz val="16"/>
      <color rgb="FFFFFFFF"/>
      <name val="Noto Sans CJK SC"/>
      <family val="2"/>
    </font>
    <font>
      <sz val="10"/>
      <color rgb="FF1F2933"/>
      <name val="Microsoft YaHei"/>
      <family val="0"/>
      <charset val="134"/>
    </font>
    <font>
      <sz val="10"/>
      <color rgb="FF1F2933"/>
      <name val="Noto Sans CJK SC"/>
      <family val="2"/>
    </font>
    <font>
      <b val="true"/>
      <sz val="10"/>
      <color rgb="FF111827"/>
      <name val="Noto Sans CJK SC"/>
      <family val="2"/>
    </font>
    <font>
      <b val="true"/>
      <sz val="10"/>
      <color rgb="FF213147"/>
      <name val="Microsoft YaHei"/>
      <family val="0"/>
      <charset val="134"/>
    </font>
    <font>
      <b val="true"/>
      <sz val="11"/>
      <color rgb="FFFFFFFF"/>
      <name val="Noto Sans CJK SC"/>
      <family val="2"/>
    </font>
    <font>
      <b val="true"/>
      <sz val="10"/>
      <color rgb="FFFFFFFF"/>
      <name val="Microsoft YaHei"/>
      <family val="0"/>
      <charset val="134"/>
    </font>
    <font>
      <b val="true"/>
      <sz val="10"/>
      <color rgb="FF111827"/>
      <name val="Microsoft YaHei"/>
      <family val="0"/>
      <charset val="134"/>
    </font>
    <font>
      <b val="true"/>
      <sz val="10"/>
      <color rgb="FF213147"/>
      <name val="Noto Sans CJK SC"/>
      <family val="2"/>
    </font>
    <font>
      <b val="true"/>
      <sz val="11"/>
      <color rgb="FF1F2933"/>
      <name val="Microsoft YaHei"/>
      <family val="0"/>
      <charset val="134"/>
    </font>
    <font>
      <b val="true"/>
      <sz val="11"/>
      <color rgb="FF1F2933"/>
      <name val="Noto Sans CJK SC"/>
      <family val="2"/>
    </font>
    <font>
      <b val="true"/>
      <sz val="11"/>
      <color rgb="FFFFFFFF"/>
      <name val="Microsoft YaHei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rgb="FF203864"/>
        <bgColor rgb="FF1F3C68"/>
      </patternFill>
    </fill>
    <fill>
      <patternFill patternType="solid">
        <fgColor rgb="FF00A6A6"/>
        <bgColor rgb="FF009A96"/>
      </patternFill>
    </fill>
    <fill>
      <patternFill patternType="solid">
        <fgColor rgb="FF1F4E78"/>
        <bgColor rgb="FF1F3C68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2F5F9"/>
      </patternFill>
    </fill>
    <fill>
      <patternFill patternType="solid">
        <fgColor rgb="FF1F3C68"/>
        <bgColor rgb="FF203864"/>
      </patternFill>
    </fill>
    <fill>
      <patternFill patternType="solid">
        <fgColor rgb="FF007C83"/>
        <bgColor rgb="FF00777C"/>
      </patternFill>
    </fill>
    <fill>
      <patternFill patternType="solid">
        <fgColor rgb="FFF2F5F9"/>
        <bgColor rgb="FFF1F4F8"/>
      </patternFill>
    </fill>
    <fill>
      <patternFill patternType="solid">
        <fgColor rgb="FFDBEEF7"/>
        <bgColor rgb="FFD9E2EC"/>
      </patternFill>
    </fill>
    <fill>
      <patternFill patternType="solid">
        <fgColor rgb="FF00777C"/>
        <bgColor rgb="FF007C83"/>
      </patternFill>
    </fill>
    <fill>
      <patternFill patternType="solid">
        <fgColor rgb="FF009A96"/>
        <bgColor rgb="FF00A6A6"/>
      </patternFill>
    </fill>
    <fill>
      <patternFill patternType="solid">
        <fgColor rgb="FFF1F4F8"/>
        <bgColor rgb="FFF2F5F9"/>
      </patternFill>
    </fill>
    <fill>
      <patternFill patternType="solid">
        <fgColor rgb="FFDDEDCB"/>
        <bgColor rgb="FFD9E2E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00777C"/>
      </left>
      <right style="thin">
        <color rgb="FF00777C"/>
      </right>
      <top style="thin">
        <color rgb="FF00777C"/>
      </top>
      <bottom style="thin">
        <color rgb="FF00777C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/>
      <diagonal/>
    </border>
    <border diagonalUp="false" diagonalDown="false">
      <left style="thin">
        <color rgb="FF00777C"/>
      </left>
      <right style="thin">
        <color rgb="FF00777C"/>
      </right>
      <top/>
      <bottom style="thin">
        <color rgb="FF00777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9A96"/>
        </patternFill>
      </fill>
    </dxf>
    <dxf>
      <fill>
        <patternFill patternType="solid">
          <fgColor rgb="FFF1F4F8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F2933"/>
        </patternFill>
      </fill>
    </dxf>
    <dxf>
      <fill>
        <patternFill patternType="solid">
          <fgColor rgb="FF111827"/>
        </patternFill>
      </fill>
    </dxf>
    <dxf>
      <fill>
        <patternFill patternType="solid">
          <fgColor rgb="FF00777C"/>
        </patternFill>
      </fill>
    </dxf>
    <dxf>
      <fill>
        <patternFill patternType="solid">
          <fgColor rgb="FFDBEEF7"/>
        </patternFill>
      </fill>
    </dxf>
    <dxf>
      <fill>
        <patternFill patternType="solid">
          <fgColor rgb="FF21314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11827"/>
      <rgbColor rgb="FF808000"/>
      <rgbColor rgb="FF800080"/>
      <rgbColor rgb="FF007C83"/>
      <rgbColor rgb="FFD9E2EC"/>
      <rgbColor rgb="FF808080"/>
      <rgbColor rgb="FF9999FF"/>
      <rgbColor rgb="FF993366"/>
      <rgbColor rgb="FFF5F7FA"/>
      <rgbColor rgb="FFDBEEF7"/>
      <rgbColor rgb="FF660066"/>
      <rgbColor rgb="FFFF8080"/>
      <rgbColor rgb="FF1F4E78"/>
      <rgbColor rgb="FFCBD5E1"/>
      <rgbColor rgb="FF000080"/>
      <rgbColor rgb="FFFF00FF"/>
      <rgbColor rgb="FFFFFF00"/>
      <rgbColor rgb="FF00FFFF"/>
      <rgbColor rgb="FF800080"/>
      <rgbColor rgb="FF800000"/>
      <rgbColor rgb="FF00777C"/>
      <rgbColor rgb="FF0000FF"/>
      <rgbColor rgb="FF00A6A6"/>
      <rgbColor rgb="FFF1F4F8"/>
      <rgbColor rgb="FFDDEDCB"/>
      <rgbColor rgb="FFF2F5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009A96"/>
      <rgbColor rgb="FF1F2937"/>
      <rgbColor rgb="FF1F2933"/>
      <rgbColor rgb="FF993300"/>
      <rgbColor rgb="FF993366"/>
      <rgbColor rgb="FF1F3C68"/>
      <rgbColor rgb="FF2131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Sheet10_Acc" displayName="T_Sheet10_Acc" ref="A15:I18" headerRowCount="1" totalsRowCount="0" totalsRowShown="0">
  <autoFilter ref="A15:I18"/>
  <tableColumns count="9">
    <tableColumn id="1" name="B02-10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2.xml><?xml version="1.0" encoding="utf-8"?>
<table xmlns="http://schemas.openxmlformats.org/spreadsheetml/2006/main" id="2" name="T_Sheet10_Con" displayName="T_Sheet10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3.xml><?xml version="1.0" encoding="utf-8"?>
<table xmlns="http://schemas.openxmlformats.org/spreadsheetml/2006/main" id="3" name="T_Sheet10_Rebar" displayName="T_Sheet10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4.xml><?xml version="1.0" encoding="utf-8"?>
<table xmlns="http://schemas.openxmlformats.org/spreadsheetml/2006/main" id="4" name="T_Sheet12_Acc" displayName="T_Sheet12_Acc" ref="A15:I18" headerRowCount="1" totalsRowCount="0" totalsRowShown="0">
  <autoFilter ref="A15:I18"/>
  <tableColumns count="9">
    <tableColumn id="1" name="B02-11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5.xml><?xml version="1.0" encoding="utf-8"?>
<table xmlns="http://schemas.openxmlformats.org/spreadsheetml/2006/main" id="5" name="T_Sheet12_Con" displayName="T_Sheet12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6.xml><?xml version="1.0" encoding="utf-8"?>
<table xmlns="http://schemas.openxmlformats.org/spreadsheetml/2006/main" id="6" name="T_Sheet12_Rebar" displayName="T_Sheet12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7.xml><?xml version="1.0" encoding="utf-8"?>
<table xmlns="http://schemas.openxmlformats.org/spreadsheetml/2006/main" id="7" name="T_Sheet13_Acc" displayName="T_Sheet13_Acc" ref="A15:I18" headerRowCount="1" totalsRowCount="0" totalsRowShown="0">
  <autoFilter ref="A15:I18"/>
  <tableColumns count="9">
    <tableColumn id="1" name="B02-12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8.xml><?xml version="1.0" encoding="utf-8"?>
<table xmlns="http://schemas.openxmlformats.org/spreadsheetml/2006/main" id="8" name="T_Sheet13_Con" displayName="T_Sheet13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9.xml><?xml version="1.0" encoding="utf-8"?>
<table xmlns="http://schemas.openxmlformats.org/spreadsheetml/2006/main" id="9" name="T_Sheet13_Rebar" displayName="T_Sheet13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0.xml><?xml version="1.0" encoding="utf-8"?>
<table xmlns="http://schemas.openxmlformats.org/spreadsheetml/2006/main" id="10" name="T_Sheet14_Acc" displayName="T_Sheet14_Acc" ref="A15:I18" headerRowCount="1" totalsRowCount="0" totalsRowShown="0">
  <autoFilter ref="A15:I18"/>
  <tableColumns count="9">
    <tableColumn id="1" name="B02-13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11.xml><?xml version="1.0" encoding="utf-8"?>
<table xmlns="http://schemas.openxmlformats.org/spreadsheetml/2006/main" id="11" name="T_Sheet14_Con" displayName="T_Sheet14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2.xml><?xml version="1.0" encoding="utf-8"?>
<table xmlns="http://schemas.openxmlformats.org/spreadsheetml/2006/main" id="12" name="T_Sheet14_Rebar" displayName="T_Sheet14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3.xml><?xml version="1.0" encoding="utf-8"?>
<table xmlns="http://schemas.openxmlformats.org/spreadsheetml/2006/main" id="13" name="T_Sheet15_Acc" displayName="T_Sheet15_Acc" ref="A15:I18" headerRowCount="1" totalsRowCount="0" totalsRowShown="0">
  <autoFilter ref="A15:I18"/>
  <tableColumns count="9">
    <tableColumn id="1" name="B02-14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14.xml><?xml version="1.0" encoding="utf-8"?>
<table xmlns="http://schemas.openxmlformats.org/spreadsheetml/2006/main" id="14" name="T_Sheet15_Con" displayName="T_Sheet15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5.xml><?xml version="1.0" encoding="utf-8"?>
<table xmlns="http://schemas.openxmlformats.org/spreadsheetml/2006/main" id="15" name="T_Sheet15_Rebar" displayName="T_Sheet15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6.xml><?xml version="1.0" encoding="utf-8"?>
<table xmlns="http://schemas.openxmlformats.org/spreadsheetml/2006/main" id="16" name="T_Sheet16_Acc" displayName="T_Sheet16_Acc" ref="A15:I18" headerRowCount="1" totalsRowCount="0" totalsRowShown="0">
  <autoFilter ref="A15:I18"/>
  <tableColumns count="9">
    <tableColumn id="1" name="B02-15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17.xml><?xml version="1.0" encoding="utf-8"?>
<table xmlns="http://schemas.openxmlformats.org/spreadsheetml/2006/main" id="17" name="T_Sheet16_Con" displayName="T_Sheet16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8.xml><?xml version="1.0" encoding="utf-8"?>
<table xmlns="http://schemas.openxmlformats.org/spreadsheetml/2006/main" id="18" name="T_Sheet16_Rebar" displayName="T_Sheet16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9.xml><?xml version="1.0" encoding="utf-8"?>
<table xmlns="http://schemas.openxmlformats.org/spreadsheetml/2006/main" id="19" name="T_Sheet17_Acc" displayName="T_Sheet17_Acc" ref="A15:I18" headerRowCount="1" totalsRowCount="0" totalsRowShown="0">
  <autoFilter ref="A15:I18"/>
  <tableColumns count="9">
    <tableColumn id="1" name="B02-16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20.xml><?xml version="1.0" encoding="utf-8"?>
<table xmlns="http://schemas.openxmlformats.org/spreadsheetml/2006/main" id="20" name="T_Sheet17_Con" displayName="T_Sheet17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21.xml><?xml version="1.0" encoding="utf-8"?>
<table xmlns="http://schemas.openxmlformats.org/spreadsheetml/2006/main" id="21" name="T_Sheet17_Rebar" displayName="T_Sheet17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22.xml><?xml version="1.0" encoding="utf-8"?>
<table xmlns="http://schemas.openxmlformats.org/spreadsheetml/2006/main" id="22" name="T_Sheet18_Acc" displayName="T_Sheet18_Acc" ref="A15:I18" headerRowCount="1" totalsRowCount="0" totalsRowShown="0">
  <autoFilter ref="A15:I18"/>
  <tableColumns count="9">
    <tableColumn id="1" name="B02-17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23.xml><?xml version="1.0" encoding="utf-8"?>
<table xmlns="http://schemas.openxmlformats.org/spreadsheetml/2006/main" id="23" name="T_Sheet18_Con" displayName="T_Sheet18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24.xml><?xml version="1.0" encoding="utf-8"?>
<table xmlns="http://schemas.openxmlformats.org/spreadsheetml/2006/main" id="24" name="T_Sheet18_Rebar" displayName="T_Sheet18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25.xml><?xml version="1.0" encoding="utf-8"?>
<table xmlns="http://schemas.openxmlformats.org/spreadsheetml/2006/main" id="25" name="T_Sheet19_Acc" displayName="T_Sheet19_Acc" ref="A15:I18" headerRowCount="1" totalsRowCount="0" totalsRowShown="0">
  <autoFilter ref="A15:I18"/>
  <tableColumns count="9">
    <tableColumn id="1" name="B02-18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26.xml><?xml version="1.0" encoding="utf-8"?>
<table xmlns="http://schemas.openxmlformats.org/spreadsheetml/2006/main" id="26" name="T_Sheet19_Con" displayName="T_Sheet19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27.xml><?xml version="1.0" encoding="utf-8"?>
<table xmlns="http://schemas.openxmlformats.org/spreadsheetml/2006/main" id="27" name="T_Sheet19_Rebar" displayName="T_Sheet19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28.xml><?xml version="1.0" encoding="utf-8"?>
<table xmlns="http://schemas.openxmlformats.org/spreadsheetml/2006/main" id="28" name="T_Sheet1_Acc" displayName="T_Sheet1_Acc" ref="A12:I15" headerRowCount="1" totalsRowCount="0" totalsRowShown="0">
  <autoFilter ref="A12:I15"/>
  <tableColumns count="9">
    <tableColumn id="1" name="附件编号"/>
    <tableColumn id="2" name="附件名称"/>
    <tableColumn id="3" name="型号规格"/>
    <tableColumn id="4" name="材质"/>
    <tableColumn id="5" name="数量"/>
    <tableColumn id="6" name="用途说明"/>
    <tableColumn id="7" name="检验状态"/>
    <tableColumn id="8" name="责任人"/>
    <tableColumn id="9" name="备注"/>
  </tableColumns>
</table>
</file>

<file path=xl/tables/table29.xml><?xml version="1.0" encoding="utf-8"?>
<table xmlns="http://schemas.openxmlformats.org/spreadsheetml/2006/main" id="29" name="T_Sheet1_Con" displayName="T_Sheet1_Con" ref="A18:I19" headerRowCount="1" totalsRowCount="0" totalsRowShown="0">
  <autoFilter ref="A18:I19"/>
  <tableColumns count="9">
    <tableColumn id="1" name="构件类型"/>
    <tableColumn id="2" name="砼强度等级"/>
    <tableColumn id="3" name="构件尺寸（替换）"/>
    <tableColumn id="4" name="砼重量(t)"/>
    <tableColumn id="5" name="构件数量"/>
    <tableColumn id="6" name="养护方式"/>
    <tableColumn id="7" name="检验结论"/>
    <tableColumn id="8" name="砼体积(m³)2"/>
    <tableColumn id="9" name="备注"/>
  </tableColumns>
</table>
</file>

<file path=xl/tables/table30.xml><?xml version="1.0" encoding="utf-8"?>
<table xmlns="http://schemas.openxmlformats.org/spreadsheetml/2006/main" id="30" name="T_Sheet1_Rebar" displayName="T_Sheet1_Rebar" ref="A5:I9" headerRowCount="1" totalsRowCount="0" totalsRowShown="0">
  <autoFilter ref="A5:I9"/>
  <tableColumns count="9">
    <tableColumn id="1" name="序号"/>
    <tableColumn id="2" name="分项类别"/>
    <tableColumn id="3" name="构造位置"/>
    <tableColumn id="4" name="规格/型号"/>
    <tableColumn id="5" name="数量"/>
    <tableColumn id="6" name="单件长度(mm)"/>
    <tableColumn id="7" name="调整系数"/>
    <tableColumn id="8" name="说明"/>
    <tableColumn id="9" name="重量(kg)"/>
  </tableColumns>
</table>
</file>

<file path=xl/tables/table31.xml><?xml version="1.0" encoding="utf-8"?>
<table xmlns="http://schemas.openxmlformats.org/spreadsheetml/2006/main" id="31" name="T_Sheet20_Acc" displayName="T_Sheet20_Acc" ref="A15:I18" headerRowCount="1" totalsRowCount="0" totalsRowShown="0">
  <autoFilter ref="A15:I18"/>
  <tableColumns count="9">
    <tableColumn id="1" name="B02-19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32.xml><?xml version="1.0" encoding="utf-8"?>
<table xmlns="http://schemas.openxmlformats.org/spreadsheetml/2006/main" id="32" name="T_Sheet20_Con" displayName="T_Sheet20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33.xml><?xml version="1.0" encoding="utf-8"?>
<table xmlns="http://schemas.openxmlformats.org/spreadsheetml/2006/main" id="33" name="T_Sheet20_Rebar" displayName="T_Sheet20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34.xml><?xml version="1.0" encoding="utf-8"?>
<table xmlns="http://schemas.openxmlformats.org/spreadsheetml/2006/main" id="34" name="T_Sheet21_Acc" displayName="T_Sheet21_Acc" ref="A15:I18" headerRowCount="1" totalsRowCount="0" totalsRowShown="0">
  <autoFilter ref="A15:I18"/>
  <tableColumns count="9">
    <tableColumn id="1" name="B02-20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35.xml><?xml version="1.0" encoding="utf-8"?>
<table xmlns="http://schemas.openxmlformats.org/spreadsheetml/2006/main" id="35" name="T_Sheet21_Con" displayName="T_Sheet21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36.xml><?xml version="1.0" encoding="utf-8"?>
<table xmlns="http://schemas.openxmlformats.org/spreadsheetml/2006/main" id="36" name="T_Sheet21_Rebar" displayName="T_Sheet21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37.xml><?xml version="1.0" encoding="utf-8"?>
<table xmlns="http://schemas.openxmlformats.org/spreadsheetml/2006/main" id="37" name="T_Sheet22_Acc" displayName="T_Sheet22_Acc" ref="A15:I18" headerRowCount="1" totalsRowCount="0" totalsRowShown="0">
  <autoFilter ref="A15:I18"/>
  <tableColumns count="9">
    <tableColumn id="1" name="B02-21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38.xml><?xml version="1.0" encoding="utf-8"?>
<table xmlns="http://schemas.openxmlformats.org/spreadsheetml/2006/main" id="38" name="T_Sheet22_Con" displayName="T_Sheet22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39.xml><?xml version="1.0" encoding="utf-8"?>
<table xmlns="http://schemas.openxmlformats.org/spreadsheetml/2006/main" id="39" name="T_Sheet22_Rebar" displayName="T_Sheet22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40.xml><?xml version="1.0" encoding="utf-8"?>
<table xmlns="http://schemas.openxmlformats.org/spreadsheetml/2006/main" id="40" name="T_Sheet23_Acc" displayName="T_Sheet23_Acc" ref="A15:I18" headerRowCount="1" totalsRowCount="0" totalsRowShown="0">
  <autoFilter ref="A15:I18"/>
  <tableColumns count="9">
    <tableColumn id="1" name="B02-22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41.xml><?xml version="1.0" encoding="utf-8"?>
<table xmlns="http://schemas.openxmlformats.org/spreadsheetml/2006/main" id="41" name="T_Sheet23_Con" displayName="T_Sheet23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42.xml><?xml version="1.0" encoding="utf-8"?>
<table xmlns="http://schemas.openxmlformats.org/spreadsheetml/2006/main" id="42" name="T_Sheet23_Rebar" displayName="T_Sheet23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43.xml><?xml version="1.0" encoding="utf-8"?>
<table xmlns="http://schemas.openxmlformats.org/spreadsheetml/2006/main" id="43" name="T_Sheet24_Acc" displayName="T_Sheet24_Acc" ref="A15:I18" headerRowCount="1" totalsRowCount="0" totalsRowShown="0">
  <autoFilter ref="A15:I18"/>
  <tableColumns count="9">
    <tableColumn id="1" name="B02-23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44.xml><?xml version="1.0" encoding="utf-8"?>
<table xmlns="http://schemas.openxmlformats.org/spreadsheetml/2006/main" id="44" name="T_Sheet24_Con" displayName="T_Sheet24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45.xml><?xml version="1.0" encoding="utf-8"?>
<table xmlns="http://schemas.openxmlformats.org/spreadsheetml/2006/main" id="45" name="T_Sheet24_Rebar" displayName="T_Sheet24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46.xml><?xml version="1.0" encoding="utf-8"?>
<table xmlns="http://schemas.openxmlformats.org/spreadsheetml/2006/main" id="46" name="T_Sheet25_Acc" displayName="T_Sheet25_Acc" ref="A15:I18" headerRowCount="1" totalsRowCount="0" totalsRowShown="0">
  <autoFilter ref="A15:I18"/>
  <tableColumns count="9">
    <tableColumn id="1" name="B02-24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47.xml><?xml version="1.0" encoding="utf-8"?>
<table xmlns="http://schemas.openxmlformats.org/spreadsheetml/2006/main" id="47" name="T_Sheet25_Con" displayName="T_Sheet25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48.xml><?xml version="1.0" encoding="utf-8"?>
<table xmlns="http://schemas.openxmlformats.org/spreadsheetml/2006/main" id="48" name="T_Sheet25_Rebar" displayName="T_Sheet25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49.xml><?xml version="1.0" encoding="utf-8"?>
<table xmlns="http://schemas.openxmlformats.org/spreadsheetml/2006/main" id="49" name="T_Sheet26_Acc" displayName="T_Sheet26_Acc" ref="A15:I18" headerRowCount="1" totalsRowCount="0" totalsRowShown="0">
  <autoFilter ref="A15:I18"/>
  <tableColumns count="9">
    <tableColumn id="1" name="B02-25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50.xml><?xml version="1.0" encoding="utf-8"?>
<table xmlns="http://schemas.openxmlformats.org/spreadsheetml/2006/main" id="50" name="T_Sheet26_Con" displayName="T_Sheet26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51.xml><?xml version="1.0" encoding="utf-8"?>
<table xmlns="http://schemas.openxmlformats.org/spreadsheetml/2006/main" id="51" name="T_Sheet26_Rebar" displayName="T_Sheet26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52.xml><?xml version="1.0" encoding="utf-8"?>
<table xmlns="http://schemas.openxmlformats.org/spreadsheetml/2006/main" id="52" name="T_Sheet27_Acc" displayName="T_Sheet27_Acc" ref="A15:I18" headerRowCount="1" totalsRowCount="0" totalsRowShown="0">
  <autoFilter ref="A15:I18"/>
  <tableColumns count="9">
    <tableColumn id="1" name="B02-26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53.xml><?xml version="1.0" encoding="utf-8"?>
<table xmlns="http://schemas.openxmlformats.org/spreadsheetml/2006/main" id="53" name="T_Sheet27_Con" displayName="T_Sheet27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54.xml><?xml version="1.0" encoding="utf-8"?>
<table xmlns="http://schemas.openxmlformats.org/spreadsheetml/2006/main" id="54" name="T_Sheet27_Rebar" displayName="T_Sheet27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55.xml><?xml version="1.0" encoding="utf-8"?>
<table xmlns="http://schemas.openxmlformats.org/spreadsheetml/2006/main" id="55" name="T_Sheet28_Acc" displayName="T_Sheet28_Acc" ref="A15:I18" headerRowCount="1" totalsRowCount="0" totalsRowShown="0">
  <autoFilter ref="A15:I18"/>
  <tableColumns count="9">
    <tableColumn id="1" name="B02-27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56.xml><?xml version="1.0" encoding="utf-8"?>
<table xmlns="http://schemas.openxmlformats.org/spreadsheetml/2006/main" id="56" name="T_Sheet28_Con" displayName="T_Sheet28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57.xml><?xml version="1.0" encoding="utf-8"?>
<table xmlns="http://schemas.openxmlformats.org/spreadsheetml/2006/main" id="57" name="T_Sheet28_Rebar" displayName="T_Sheet28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58.xml><?xml version="1.0" encoding="utf-8"?>
<table xmlns="http://schemas.openxmlformats.org/spreadsheetml/2006/main" id="58" name="T_Sheet29_Acc" displayName="T_Sheet29_Acc" ref="A15:I18" headerRowCount="1" totalsRowCount="0" totalsRowShown="0">
  <autoFilter ref="A15:I18"/>
  <tableColumns count="9">
    <tableColumn id="1" name="B02-28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59.xml><?xml version="1.0" encoding="utf-8"?>
<table xmlns="http://schemas.openxmlformats.org/spreadsheetml/2006/main" id="59" name="T_Sheet29_Con" displayName="T_Sheet29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60.xml><?xml version="1.0" encoding="utf-8"?>
<table xmlns="http://schemas.openxmlformats.org/spreadsheetml/2006/main" id="60" name="T_Sheet29_Rebar" displayName="T_Sheet29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61.xml><?xml version="1.0" encoding="utf-8"?>
<table xmlns="http://schemas.openxmlformats.org/spreadsheetml/2006/main" id="61" name="T_Sheet2_Acc" displayName="T_Sheet2_Acc" ref="A15:I18" headerRowCount="1" totalsRowCount="0" totalsRowShown="0">
  <autoFilter ref="A15:I18"/>
  <tableColumns count="9">
    <tableColumn id="1" name="B02-02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62.xml><?xml version="1.0" encoding="utf-8"?>
<table xmlns="http://schemas.openxmlformats.org/spreadsheetml/2006/main" id="62" name="T_Sheet2_Rebar" displayName="T_Sheet2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63.xml><?xml version="1.0" encoding="utf-8"?>
<table xmlns="http://schemas.openxmlformats.org/spreadsheetml/2006/main" id="63" name="T_Sheet30_Acc" displayName="T_Sheet30_Acc" ref="A15:I18" headerRowCount="1" totalsRowCount="0" totalsRowShown="0">
  <autoFilter ref="A15:I18"/>
  <tableColumns count="9">
    <tableColumn id="1" name="B02-29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64.xml><?xml version="1.0" encoding="utf-8"?>
<table xmlns="http://schemas.openxmlformats.org/spreadsheetml/2006/main" id="64" name="T_Sheet30_Con" displayName="T_Sheet30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65.xml><?xml version="1.0" encoding="utf-8"?>
<table xmlns="http://schemas.openxmlformats.org/spreadsheetml/2006/main" id="65" name="T_Sheet30_Rebar" displayName="T_Sheet30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66.xml><?xml version="1.0" encoding="utf-8"?>
<table xmlns="http://schemas.openxmlformats.org/spreadsheetml/2006/main" id="66" name="T_Sheet31_Acc" displayName="T_Sheet31_Acc" ref="A15:I18" headerRowCount="1" totalsRowCount="0" totalsRowShown="0">
  <autoFilter ref="A15:I18"/>
  <tableColumns count="9">
    <tableColumn id="1" name="B02-30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67.xml><?xml version="1.0" encoding="utf-8"?>
<table xmlns="http://schemas.openxmlformats.org/spreadsheetml/2006/main" id="67" name="T_Sheet31_Con" displayName="T_Sheet31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68.xml><?xml version="1.0" encoding="utf-8"?>
<table xmlns="http://schemas.openxmlformats.org/spreadsheetml/2006/main" id="68" name="T_Sheet31_Rebar" displayName="T_Sheet31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69.xml><?xml version="1.0" encoding="utf-8"?>
<table xmlns="http://schemas.openxmlformats.org/spreadsheetml/2006/main" id="69" name="T_Sheet32_Acc" displayName="T_Sheet32_Acc" ref="A15:I18" headerRowCount="1" totalsRowCount="0" totalsRowShown="0">
  <autoFilter ref="A15:I18"/>
  <tableColumns count="9">
    <tableColumn id="1" name="B02-31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70.xml><?xml version="1.0" encoding="utf-8"?>
<table xmlns="http://schemas.openxmlformats.org/spreadsheetml/2006/main" id="70" name="T_Sheet32_Con" displayName="T_Sheet32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71.xml><?xml version="1.0" encoding="utf-8"?>
<table xmlns="http://schemas.openxmlformats.org/spreadsheetml/2006/main" id="71" name="T_Sheet32_Rebar" displayName="T_Sheet32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72.xml><?xml version="1.0" encoding="utf-8"?>
<table xmlns="http://schemas.openxmlformats.org/spreadsheetml/2006/main" id="72" name="T_Sheet33_Acc" displayName="T_Sheet33_Acc" ref="A15:I18" headerRowCount="1" totalsRowCount="0" totalsRowShown="0">
  <autoFilter ref="A15:I18"/>
  <tableColumns count="9">
    <tableColumn id="1" name="B02-32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73.xml><?xml version="1.0" encoding="utf-8"?>
<table xmlns="http://schemas.openxmlformats.org/spreadsheetml/2006/main" id="73" name="T_Sheet33_Con" displayName="T_Sheet33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74.xml><?xml version="1.0" encoding="utf-8"?>
<table xmlns="http://schemas.openxmlformats.org/spreadsheetml/2006/main" id="74" name="T_Sheet33_Rebar" displayName="T_Sheet33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75.xml><?xml version="1.0" encoding="utf-8"?>
<table xmlns="http://schemas.openxmlformats.org/spreadsheetml/2006/main" id="75" name="T_Sheet34_Acc" displayName="T_Sheet34_Acc" ref="A15:I18" headerRowCount="1" totalsRowCount="0" totalsRowShown="0">
  <autoFilter ref="A15:I18"/>
  <tableColumns count="9">
    <tableColumn id="1" name="B02-33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76.xml><?xml version="1.0" encoding="utf-8"?>
<table xmlns="http://schemas.openxmlformats.org/spreadsheetml/2006/main" id="76" name="T_Sheet34_Con" displayName="T_Sheet34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77.xml><?xml version="1.0" encoding="utf-8"?>
<table xmlns="http://schemas.openxmlformats.org/spreadsheetml/2006/main" id="77" name="T_Sheet34_Rebar" displayName="T_Sheet34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78.xml><?xml version="1.0" encoding="utf-8"?>
<table xmlns="http://schemas.openxmlformats.org/spreadsheetml/2006/main" id="78" name="T_Sheet35_Acc" displayName="T_Sheet35_Acc" ref="A15:I18" headerRowCount="1" totalsRowCount="0" totalsRowShown="0">
  <autoFilter ref="A15:I18"/>
  <tableColumns count="9">
    <tableColumn id="1" name="B02-34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79.xml><?xml version="1.0" encoding="utf-8"?>
<table xmlns="http://schemas.openxmlformats.org/spreadsheetml/2006/main" id="79" name="T_Sheet35_Con" displayName="T_Sheet35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80.xml><?xml version="1.0" encoding="utf-8"?>
<table xmlns="http://schemas.openxmlformats.org/spreadsheetml/2006/main" id="80" name="T_Sheet35_Rebar" displayName="T_Sheet35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81.xml><?xml version="1.0" encoding="utf-8"?>
<table xmlns="http://schemas.openxmlformats.org/spreadsheetml/2006/main" id="81" name="T_Sheet36_Acc" displayName="T_Sheet36_Acc" ref="A15:I18" headerRowCount="1" totalsRowCount="0" totalsRowShown="0">
  <autoFilter ref="A15:I18"/>
  <tableColumns count="9">
    <tableColumn id="1" name="B02-35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82.xml><?xml version="1.0" encoding="utf-8"?>
<table xmlns="http://schemas.openxmlformats.org/spreadsheetml/2006/main" id="82" name="T_Sheet36_Con" displayName="T_Sheet36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83.xml><?xml version="1.0" encoding="utf-8"?>
<table xmlns="http://schemas.openxmlformats.org/spreadsheetml/2006/main" id="83" name="T_Sheet36_Rebar" displayName="T_Sheet36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84.xml><?xml version="1.0" encoding="utf-8"?>
<table xmlns="http://schemas.openxmlformats.org/spreadsheetml/2006/main" id="84" name="T_Sheet37_Acc" displayName="T_Sheet37_Acc" ref="A15:I18" headerRowCount="1" totalsRowCount="0" totalsRowShown="0">
  <autoFilter ref="A15:I18"/>
  <tableColumns count="9">
    <tableColumn id="1" name="B02-36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85.xml><?xml version="1.0" encoding="utf-8"?>
<table xmlns="http://schemas.openxmlformats.org/spreadsheetml/2006/main" id="85" name="T_Sheet37_Con" displayName="T_Sheet37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86.xml><?xml version="1.0" encoding="utf-8"?>
<table xmlns="http://schemas.openxmlformats.org/spreadsheetml/2006/main" id="86" name="T_Sheet37_Rebar" displayName="T_Sheet37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87.xml><?xml version="1.0" encoding="utf-8"?>
<table xmlns="http://schemas.openxmlformats.org/spreadsheetml/2006/main" id="87" name="T_Sheet38_Acc" displayName="T_Sheet38_Acc" ref="A15:I18" headerRowCount="1" totalsRowCount="0" totalsRowShown="0">
  <autoFilter ref="A15:I18"/>
  <tableColumns count="9">
    <tableColumn id="1" name="B02-37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88.xml><?xml version="1.0" encoding="utf-8"?>
<table xmlns="http://schemas.openxmlformats.org/spreadsheetml/2006/main" id="88" name="T_Sheet38_Con" displayName="T_Sheet38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89.xml><?xml version="1.0" encoding="utf-8"?>
<table xmlns="http://schemas.openxmlformats.org/spreadsheetml/2006/main" id="89" name="T_Sheet38_Rebar" displayName="T_Sheet38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90.xml><?xml version="1.0" encoding="utf-8"?>
<table xmlns="http://schemas.openxmlformats.org/spreadsheetml/2006/main" id="90" name="T_Sheet39_Acc" displayName="T_Sheet39_Acc" ref="A15:I18" headerRowCount="1" totalsRowCount="0" totalsRowShown="0">
  <autoFilter ref="A15:I18"/>
  <tableColumns count="9">
    <tableColumn id="1" name="B02-38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91.xml><?xml version="1.0" encoding="utf-8"?>
<table xmlns="http://schemas.openxmlformats.org/spreadsheetml/2006/main" id="91" name="T_Sheet39_Con" displayName="T_Sheet39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92.xml><?xml version="1.0" encoding="utf-8"?>
<table xmlns="http://schemas.openxmlformats.org/spreadsheetml/2006/main" id="92" name="T_Sheet39_Rebar" displayName="T_Sheet39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93.xml><?xml version="1.0" encoding="utf-8"?>
<table xmlns="http://schemas.openxmlformats.org/spreadsheetml/2006/main" id="93" name="T_Sheet3_Acc" displayName="T_Sheet3_Acc" ref="A15:I18" headerRowCount="1" totalsRowCount="0" totalsRowShown="0">
  <autoFilter ref="A15:I18"/>
  <tableColumns count="9">
    <tableColumn id="1" name="B02-03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94.xml><?xml version="1.0" encoding="utf-8"?>
<table xmlns="http://schemas.openxmlformats.org/spreadsheetml/2006/main" id="94" name="T_Sheet3_Con" displayName="T_Sheet3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95.xml><?xml version="1.0" encoding="utf-8"?>
<table xmlns="http://schemas.openxmlformats.org/spreadsheetml/2006/main" id="95" name="T_Sheet3_Rebar" displayName="T_Sheet3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96.xml><?xml version="1.0" encoding="utf-8"?>
<table xmlns="http://schemas.openxmlformats.org/spreadsheetml/2006/main" id="96" name="T_Sheet40_Acc" displayName="T_Sheet40_Acc" ref="A14:I17" headerRowCount="1" totalsRowCount="0" totalsRowShown="0">
  <autoFilter ref="A14:I17"/>
  <tableColumns count="9">
    <tableColumn id="1" name="B02-39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97.xml><?xml version="1.0" encoding="utf-8"?>
<table xmlns="http://schemas.openxmlformats.org/spreadsheetml/2006/main" id="97" name="T_Sheet40_Con" displayName="T_Sheet40_Con" ref="A20:I21" headerRowCount="1" totalsRowCount="0" totalsRowShown="0">
  <autoFilter ref="A20:I21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98.xml><?xml version="1.0" encoding="utf-8"?>
<table xmlns="http://schemas.openxmlformats.org/spreadsheetml/2006/main" id="98" name="T_Sheet40_Rebar" displayName="T_Sheet40_Rebar" ref="A7:I11" headerRowCount="1" totalsRowCount="0" totalsRowShown="0">
  <autoFilter ref="A7:I11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99.xml><?xml version="1.0" encoding="utf-8"?>
<table xmlns="http://schemas.openxmlformats.org/spreadsheetml/2006/main" id="99" name="T_Sheet41_Acc" displayName="T_Sheet41_Acc" ref="A15:I18" headerRowCount="1" totalsRowCount="0" totalsRowShown="0">
  <autoFilter ref="A15:I18"/>
  <tableColumns count="9">
    <tableColumn id="1" name="B02-40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100.xml><?xml version="1.0" encoding="utf-8"?>
<table xmlns="http://schemas.openxmlformats.org/spreadsheetml/2006/main" id="100" name="T_Sheet41_Con" displayName="T_Sheet41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01.xml><?xml version="1.0" encoding="utf-8"?>
<table xmlns="http://schemas.openxmlformats.org/spreadsheetml/2006/main" id="101" name="T_Sheet41_Rebar" displayName="T_Sheet41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02.xml><?xml version="1.0" encoding="utf-8"?>
<table xmlns="http://schemas.openxmlformats.org/spreadsheetml/2006/main" id="102" name="T_Sheet42_Acc" displayName="T_Sheet42_Acc" ref="A15:I18" headerRowCount="1" totalsRowCount="0" totalsRowShown="0">
  <autoFilter ref="A15:I18"/>
  <tableColumns count="9">
    <tableColumn id="1" name="A01-41"/>
    <tableColumn id="2" name="定位垫块"/>
    <tableColumn id="3" name="PVC-25"/>
    <tableColumn id="4" name="PVC"/>
    <tableColumn id="5" name="3"/>
    <tableColumn id="6" name="控制保护层"/>
    <tableColumn id="7" name="复核通过"/>
    <tableColumn id="8" name="材料组"/>
    <tableColumn id="9" name="列1"/>
  </tableColumns>
</table>
</file>

<file path=xl/tables/table103.xml><?xml version="1.0" encoding="utf-8"?>
<table xmlns="http://schemas.openxmlformats.org/spreadsheetml/2006/main" id="103" name="T_Sheet42_Con" displayName="T_Sheet42_Con" ref="A21:I22" headerRowCount="1" totalsRowCount="0" totalsRowShown="0">
  <autoFilter ref="A21:I22"/>
  <tableColumns count="9">
    <tableColumn id="1" name="装配式板件"/>
    <tableColumn id="2" name="C35"/>
    <tableColumn id="3" name="2917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04.xml><?xml version="1.0" encoding="utf-8"?>
<table xmlns="http://schemas.openxmlformats.org/spreadsheetml/2006/main" id="104" name="T_Sheet42_Rebar" displayName="T_Sheet42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05.xml><?xml version="1.0" encoding="utf-8"?>
<table xmlns="http://schemas.openxmlformats.org/spreadsheetml/2006/main" id="105" name="T_Sheet43_Acc" displayName="T_Sheet43_Acc" ref="A15:I18" headerRowCount="1" totalsRowCount="0" totalsRowShown="0">
  <autoFilter ref="A15:I18"/>
  <tableColumns count="9">
    <tableColumn id="1" name="A01-42"/>
    <tableColumn id="2" name="定位垫块"/>
    <tableColumn id="3" name="PVC-25"/>
    <tableColumn id="4" name="PVC"/>
    <tableColumn id="5" name="4"/>
    <tableColumn id="6" name="控制保护层"/>
    <tableColumn id="7" name="待进场复核"/>
    <tableColumn id="8" name="质检组"/>
    <tableColumn id="9" name="列1"/>
  </tableColumns>
</table>
</file>

<file path=xl/tables/table106.xml><?xml version="1.0" encoding="utf-8"?>
<table xmlns="http://schemas.openxmlformats.org/spreadsheetml/2006/main" id="106" name="T_Sheet43_Con" displayName="T_Sheet43_Con" ref="A21:I22" headerRowCount="1" totalsRowCount="0" totalsRowShown="0">
  <autoFilter ref="A21:I22"/>
  <tableColumns count="9">
    <tableColumn id="1" name="装配式板件"/>
    <tableColumn id="2" name="C35"/>
    <tableColumn id="3" name="3054×600×7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07.xml><?xml version="1.0" encoding="utf-8"?>
<table xmlns="http://schemas.openxmlformats.org/spreadsheetml/2006/main" id="107" name="T_Sheet43_Rebar" displayName="T_Sheet43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08.xml><?xml version="1.0" encoding="utf-8"?>
<table xmlns="http://schemas.openxmlformats.org/spreadsheetml/2006/main" id="108" name="T_Sheet44_Acc" displayName="T_Sheet44_Acc" ref="A15:I18" headerRowCount="1" totalsRowCount="0" totalsRowShown="0">
  <autoFilter ref="A15:I18"/>
  <tableColumns count="9">
    <tableColumn id="1" name="A01-43"/>
    <tableColumn id="2" name="定位垫块"/>
    <tableColumn id="3" name="PVC-25"/>
    <tableColumn id="4" name="PVC"/>
    <tableColumn id="5" name="2"/>
    <tableColumn id="6" name="控制保护层"/>
    <tableColumn id="7" name="资料齐全"/>
    <tableColumn id="8" name="施工组"/>
    <tableColumn id="9" name="列1"/>
  </tableColumns>
</table>
</file>

<file path=xl/tables/table109.xml><?xml version="1.0" encoding="utf-8"?>
<table xmlns="http://schemas.openxmlformats.org/spreadsheetml/2006/main" id="109" name="T_Sheet44_Con" displayName="T_Sheet44_Con" ref="A21:I22" headerRowCount="1" totalsRowCount="0" totalsRowShown="0">
  <autoFilter ref="A21:I22"/>
  <tableColumns count="9">
    <tableColumn id="1" name="装配式板件"/>
    <tableColumn id="2" name="C35"/>
    <tableColumn id="3" name="3191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10.xml><?xml version="1.0" encoding="utf-8"?>
<table xmlns="http://schemas.openxmlformats.org/spreadsheetml/2006/main" id="110" name="T_Sheet44_Rebar" displayName="T_Sheet44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11.xml><?xml version="1.0" encoding="utf-8"?>
<table xmlns="http://schemas.openxmlformats.org/spreadsheetml/2006/main" id="111" name="T_Sheet45_Acc" displayName="T_Sheet45_Acc" ref="A15:I18" headerRowCount="1" totalsRowCount="0" totalsRowShown="0">
  <autoFilter ref="A15:I18"/>
  <tableColumns count="9">
    <tableColumn id="1" name="A01-44"/>
    <tableColumn id="2" name="定位垫块"/>
    <tableColumn id="3" name="PVC-25"/>
    <tableColumn id="4" name="PVC"/>
    <tableColumn id="5" name="3"/>
    <tableColumn id="6" name="控制保护层"/>
    <tableColumn id="7" name="复核通过"/>
    <tableColumn id="8" name="材料组"/>
    <tableColumn id="9" name="列1"/>
  </tableColumns>
</table>
</file>

<file path=xl/tables/table112.xml><?xml version="1.0" encoding="utf-8"?>
<table xmlns="http://schemas.openxmlformats.org/spreadsheetml/2006/main" id="112" name="T_Sheet45_Con" displayName="T_Sheet45_Con" ref="A21:I22" headerRowCount="1" totalsRowCount="0" totalsRowShown="0">
  <autoFilter ref="A21:I22"/>
  <tableColumns count="9">
    <tableColumn id="1" name="装配式板件"/>
    <tableColumn id="2" name="C35"/>
    <tableColumn id="3" name="3328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13.xml><?xml version="1.0" encoding="utf-8"?>
<table xmlns="http://schemas.openxmlformats.org/spreadsheetml/2006/main" id="113" name="T_Sheet45_Rebar" displayName="T_Sheet45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14.xml><?xml version="1.0" encoding="utf-8"?>
<table xmlns="http://schemas.openxmlformats.org/spreadsheetml/2006/main" id="114" name="T_Sheet46_Acc" displayName="T_Sheet46_Acc" ref="A15:I18" headerRowCount="1" totalsRowCount="0" totalsRowShown="0">
  <autoFilter ref="A15:I18"/>
  <tableColumns count="9">
    <tableColumn id="1" name="A01-45"/>
    <tableColumn id="2" name="定位垫块"/>
    <tableColumn id="3" name="PVC-25"/>
    <tableColumn id="4" name="PVC"/>
    <tableColumn id="5" name="4"/>
    <tableColumn id="6" name="控制保护层"/>
    <tableColumn id="7" name="待进场复核"/>
    <tableColumn id="8" name="质检组"/>
    <tableColumn id="9" name="列1"/>
  </tableColumns>
</table>
</file>

<file path=xl/tables/table115.xml><?xml version="1.0" encoding="utf-8"?>
<table xmlns="http://schemas.openxmlformats.org/spreadsheetml/2006/main" id="115" name="T_Sheet46_Con" displayName="T_Sheet46_Con" ref="A21:I22" headerRowCount="1" totalsRowCount="0" totalsRowShown="0">
  <autoFilter ref="A21:I22"/>
  <tableColumns count="9">
    <tableColumn id="1" name="装配式板件"/>
    <tableColumn id="2" name="C35"/>
    <tableColumn id="3" name="3465×600×7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16.xml><?xml version="1.0" encoding="utf-8"?>
<table xmlns="http://schemas.openxmlformats.org/spreadsheetml/2006/main" id="116" name="T_Sheet46_Rebar" displayName="T_Sheet46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17.xml><?xml version="1.0" encoding="utf-8"?>
<table xmlns="http://schemas.openxmlformats.org/spreadsheetml/2006/main" id="117" name="T_Sheet47_Acc" displayName="T_Sheet47_Acc" ref="A15:I18" headerRowCount="1" totalsRowCount="0" totalsRowShown="0">
  <autoFilter ref="A15:I18"/>
  <tableColumns count="9">
    <tableColumn id="1" name="A01-46"/>
    <tableColumn id="2" name="定位垫块"/>
    <tableColumn id="3" name="PVC-25"/>
    <tableColumn id="4" name="PVC"/>
    <tableColumn id="5" name="2"/>
    <tableColumn id="6" name="控制保护层"/>
    <tableColumn id="7" name="资料齐全"/>
    <tableColumn id="8" name="施工组"/>
    <tableColumn id="9" name="列1"/>
  </tableColumns>
</table>
</file>

<file path=xl/tables/table118.xml><?xml version="1.0" encoding="utf-8"?>
<table xmlns="http://schemas.openxmlformats.org/spreadsheetml/2006/main" id="118" name="T_Sheet47_Con" displayName="T_Sheet47_Con" ref="A21:I22" headerRowCount="1" totalsRowCount="0" totalsRowShown="0">
  <autoFilter ref="A21:I22"/>
  <tableColumns count="9">
    <tableColumn id="1" name="装配式板件"/>
    <tableColumn id="2" name="C35"/>
    <tableColumn id="3" name="3602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19.xml><?xml version="1.0" encoding="utf-8"?>
<table xmlns="http://schemas.openxmlformats.org/spreadsheetml/2006/main" id="119" name="T_Sheet47_Rebar" displayName="T_Sheet47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20.xml><?xml version="1.0" encoding="utf-8"?>
<table xmlns="http://schemas.openxmlformats.org/spreadsheetml/2006/main" id="120" name="T_Sheet48_Acc" displayName="T_Sheet48_Acc" ref="A15:I18" headerRowCount="1" totalsRowCount="0" totalsRowShown="0">
  <autoFilter ref="A15:I18"/>
  <tableColumns count="9">
    <tableColumn id="1" name="A01-47"/>
    <tableColumn id="2" name="定位垫块"/>
    <tableColumn id="3" name="PVC-25"/>
    <tableColumn id="4" name="PVC"/>
    <tableColumn id="5" name="3"/>
    <tableColumn id="6" name="控制保护层"/>
    <tableColumn id="7" name="复核通过"/>
    <tableColumn id="8" name="材料组"/>
    <tableColumn id="9" name="列1"/>
  </tableColumns>
</table>
</file>

<file path=xl/tables/table121.xml><?xml version="1.0" encoding="utf-8"?>
<table xmlns="http://schemas.openxmlformats.org/spreadsheetml/2006/main" id="121" name="T_Sheet48_Con" displayName="T_Sheet48_Con" ref="A21:I22" headerRowCount="1" totalsRowCount="0" totalsRowShown="0">
  <autoFilter ref="A21:I22"/>
  <tableColumns count="9">
    <tableColumn id="1" name="装配式板件"/>
    <tableColumn id="2" name="C35"/>
    <tableColumn id="3" name="3739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22.xml><?xml version="1.0" encoding="utf-8"?>
<table xmlns="http://schemas.openxmlformats.org/spreadsheetml/2006/main" id="122" name="T_Sheet48_Rebar" displayName="T_Sheet48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23.xml><?xml version="1.0" encoding="utf-8"?>
<table xmlns="http://schemas.openxmlformats.org/spreadsheetml/2006/main" id="123" name="T_Sheet49_Acc" displayName="T_Sheet49_Acc" ref="A15:I18" headerRowCount="1" totalsRowCount="0" totalsRowShown="0">
  <autoFilter ref="A15:I18"/>
  <tableColumns count="9">
    <tableColumn id="1" name="A01-48"/>
    <tableColumn id="2" name="定位垫块"/>
    <tableColumn id="3" name="PVC-25"/>
    <tableColumn id="4" name="PVC"/>
    <tableColumn id="5" name="4"/>
    <tableColumn id="6" name="控制保护层"/>
    <tableColumn id="7" name="待进场复核"/>
    <tableColumn id="8" name="质检组"/>
    <tableColumn id="9" name="列1"/>
  </tableColumns>
</table>
</file>

<file path=xl/tables/table124.xml><?xml version="1.0" encoding="utf-8"?>
<table xmlns="http://schemas.openxmlformats.org/spreadsheetml/2006/main" id="124" name="T_Sheet49_Con" displayName="T_Sheet49_Con" ref="A21:I22" headerRowCount="1" totalsRowCount="0" totalsRowShown="0">
  <autoFilter ref="A21:I22"/>
  <tableColumns count="9">
    <tableColumn id="1" name="装配式板件"/>
    <tableColumn id="2" name="C35"/>
    <tableColumn id="3" name="3876×600×7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25.xml><?xml version="1.0" encoding="utf-8"?>
<table xmlns="http://schemas.openxmlformats.org/spreadsheetml/2006/main" id="125" name="T_Sheet49_Rebar" displayName="T_Sheet49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26.xml><?xml version="1.0" encoding="utf-8"?>
<table xmlns="http://schemas.openxmlformats.org/spreadsheetml/2006/main" id="126" name="T_Sheet4_Acc" displayName="T_Sheet4_Acc" ref="A14:I17" headerRowCount="1" totalsRowCount="0" totalsRowShown="0">
  <autoFilter ref="A14:I17"/>
  <tableColumns count="9">
    <tableColumn id="1" name="B02-04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127.xml><?xml version="1.0" encoding="utf-8"?>
<table xmlns="http://schemas.openxmlformats.org/spreadsheetml/2006/main" id="127" name="T_Sheet4_Rebar" displayName="T_Sheet4_Rebar" ref="A7:I11" headerRowCount="1" totalsRowCount="0" totalsRowShown="0">
  <autoFilter ref="A7:I11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28.xml><?xml version="1.0" encoding="utf-8"?>
<table xmlns="http://schemas.openxmlformats.org/spreadsheetml/2006/main" id="128" name="T_Sheet50_Acc" displayName="T_Sheet50_Acc" ref="A15:I18" headerRowCount="1" totalsRowCount="0" totalsRowShown="0">
  <autoFilter ref="A15:I18"/>
  <tableColumns count="9">
    <tableColumn id="1" name="A01-49"/>
    <tableColumn id="2" name="定位垫块"/>
    <tableColumn id="3" name="PVC-25"/>
    <tableColumn id="4" name="PVC"/>
    <tableColumn id="5" name="2"/>
    <tableColumn id="6" name="控制保护层"/>
    <tableColumn id="7" name="资料齐全"/>
    <tableColumn id="8" name="施工组"/>
    <tableColumn id="9" name="列1"/>
  </tableColumns>
</table>
</file>

<file path=xl/tables/table129.xml><?xml version="1.0" encoding="utf-8"?>
<table xmlns="http://schemas.openxmlformats.org/spreadsheetml/2006/main" id="129" name="T_Sheet50_Con" displayName="T_Sheet50_Con" ref="A21:I22" headerRowCount="1" totalsRowCount="0" totalsRowShown="0">
  <autoFilter ref="A21:I22"/>
  <tableColumns count="9">
    <tableColumn id="1" name="装配式板件"/>
    <tableColumn id="2" name="C35"/>
    <tableColumn id="3" name="4013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30.xml><?xml version="1.0" encoding="utf-8"?>
<table xmlns="http://schemas.openxmlformats.org/spreadsheetml/2006/main" id="130" name="T_Sheet50_Rebar" displayName="T_Sheet50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31.xml><?xml version="1.0" encoding="utf-8"?>
<table xmlns="http://schemas.openxmlformats.org/spreadsheetml/2006/main" id="131" name="T_Sheet51_Acc" displayName="T_Sheet51_Acc" ref="A15:I18" headerRowCount="1" totalsRowCount="0" totalsRowShown="0">
  <autoFilter ref="A15:I18"/>
  <tableColumns count="9">
    <tableColumn id="1" name="A01-50"/>
    <tableColumn id="2" name="定位垫块"/>
    <tableColumn id="3" name="PVC-25"/>
    <tableColumn id="4" name="PVC"/>
    <tableColumn id="5" name="3"/>
    <tableColumn id="6" name="控制保护层"/>
    <tableColumn id="7" name="复核通过"/>
    <tableColumn id="8" name="材料组"/>
    <tableColumn id="9" name="列1"/>
  </tableColumns>
</table>
</file>

<file path=xl/tables/table132.xml><?xml version="1.0" encoding="utf-8"?>
<table xmlns="http://schemas.openxmlformats.org/spreadsheetml/2006/main" id="132" name="T_Sheet51_Con" displayName="T_Sheet51_Con" ref="A21:I22" headerRowCount="1" totalsRowCount="0" totalsRowShown="0">
  <autoFilter ref="A21:I22"/>
  <tableColumns count="9">
    <tableColumn id="1" name="装配式板件"/>
    <tableColumn id="2" name="C35"/>
    <tableColumn id="3" name="4150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33.xml><?xml version="1.0" encoding="utf-8"?>
<table xmlns="http://schemas.openxmlformats.org/spreadsheetml/2006/main" id="133" name="T_Sheet51_Rebar" displayName="T_Sheet51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34.xml><?xml version="1.0" encoding="utf-8"?>
<table xmlns="http://schemas.openxmlformats.org/spreadsheetml/2006/main" id="134" name="T_Sheet52_Acc" displayName="T_Sheet52_Acc" ref="A15:I18" headerRowCount="1" totalsRowCount="0" totalsRowShown="0">
  <autoFilter ref="A15:I18"/>
  <tableColumns count="9">
    <tableColumn id="1" name="A01-51"/>
    <tableColumn id="2" name="定位垫块"/>
    <tableColumn id="3" name="PVC-25"/>
    <tableColumn id="4" name="PVC"/>
    <tableColumn id="5" name="4"/>
    <tableColumn id="6" name="控制保护层"/>
    <tableColumn id="7" name="待进场复核"/>
    <tableColumn id="8" name="质检组"/>
    <tableColumn id="9" name="列1"/>
  </tableColumns>
</table>
</file>

<file path=xl/tables/table135.xml><?xml version="1.0" encoding="utf-8"?>
<table xmlns="http://schemas.openxmlformats.org/spreadsheetml/2006/main" id="135" name="T_Sheet52_Con" displayName="T_Sheet52_Con" ref="A21:I22" headerRowCount="1" totalsRowCount="0" totalsRowShown="0">
  <autoFilter ref="A21:I22"/>
  <tableColumns count="9">
    <tableColumn id="1" name="装配式板件"/>
    <tableColumn id="2" name="C35"/>
    <tableColumn id="3" name="4287×600×7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36.xml><?xml version="1.0" encoding="utf-8"?>
<table xmlns="http://schemas.openxmlformats.org/spreadsheetml/2006/main" id="136" name="T_Sheet52_Rebar" displayName="T_Sheet52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37.xml><?xml version="1.0" encoding="utf-8"?>
<table xmlns="http://schemas.openxmlformats.org/spreadsheetml/2006/main" id="137" name="T_Sheet53_Acc" displayName="T_Sheet53_Acc" ref="A15:I18" headerRowCount="1" totalsRowCount="0" totalsRowShown="0">
  <autoFilter ref="A15:I18"/>
  <tableColumns count="9">
    <tableColumn id="1" name="A01-52"/>
    <tableColumn id="2" name="定位垫块"/>
    <tableColumn id="3" name="PVC-25"/>
    <tableColumn id="4" name="PVC"/>
    <tableColumn id="5" name="2"/>
    <tableColumn id="6" name="控制保护层"/>
    <tableColumn id="7" name="资料齐全"/>
    <tableColumn id="8" name="施工组"/>
    <tableColumn id="9" name="列1"/>
  </tableColumns>
</table>
</file>

<file path=xl/tables/table138.xml><?xml version="1.0" encoding="utf-8"?>
<table xmlns="http://schemas.openxmlformats.org/spreadsheetml/2006/main" id="138" name="T_Sheet53_Con" displayName="T_Sheet53_Con" ref="A21:I22" headerRowCount="1" totalsRowCount="0" totalsRowShown="0">
  <autoFilter ref="A21:I22"/>
  <tableColumns count="9">
    <tableColumn id="1" name="装配式板件"/>
    <tableColumn id="2" name="C35"/>
    <tableColumn id="3" name="4424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39.xml><?xml version="1.0" encoding="utf-8"?>
<table xmlns="http://schemas.openxmlformats.org/spreadsheetml/2006/main" id="139" name="T_Sheet53_Rebar" displayName="T_Sheet53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40.xml><?xml version="1.0" encoding="utf-8"?>
<table xmlns="http://schemas.openxmlformats.org/spreadsheetml/2006/main" id="140" name="T_Sheet54_Acc" displayName="T_Sheet54_Acc" ref="A15:I18" headerRowCount="1" totalsRowCount="0" totalsRowShown="0">
  <autoFilter ref="A15:I18"/>
  <tableColumns count="9">
    <tableColumn id="1" name="A01-53"/>
    <tableColumn id="2" name="定位垫块"/>
    <tableColumn id="3" name="PVC-25"/>
    <tableColumn id="4" name="PVC"/>
    <tableColumn id="5" name="3"/>
    <tableColumn id="6" name="控制保护层"/>
    <tableColumn id="7" name="复核通过"/>
    <tableColumn id="8" name="材料组"/>
    <tableColumn id="9" name="列1"/>
  </tableColumns>
</table>
</file>

<file path=xl/tables/table141.xml><?xml version="1.0" encoding="utf-8"?>
<table xmlns="http://schemas.openxmlformats.org/spreadsheetml/2006/main" id="141" name="T_Sheet54_Con" displayName="T_Sheet54_Con" ref="A21:I22" headerRowCount="1" totalsRowCount="0" totalsRowShown="0">
  <autoFilter ref="A21:I22"/>
  <tableColumns count="9">
    <tableColumn id="1" name="装配式板件"/>
    <tableColumn id="2" name="C35"/>
    <tableColumn id="3" name="961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42.xml><?xml version="1.0" encoding="utf-8"?>
<table xmlns="http://schemas.openxmlformats.org/spreadsheetml/2006/main" id="142" name="T_Sheet54_Rebar" displayName="T_Sheet54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43.xml><?xml version="1.0" encoding="utf-8"?>
<table xmlns="http://schemas.openxmlformats.org/spreadsheetml/2006/main" id="143" name="T_Sheet55_Acc" displayName="T_Sheet55_Acc" ref="A15:I18" headerRowCount="1" totalsRowCount="0" totalsRowShown="0">
  <autoFilter ref="A15:I18"/>
  <tableColumns count="9">
    <tableColumn id="1" name="A01-54"/>
    <tableColumn id="2" name="定位垫块"/>
    <tableColumn id="3" name="PVC-25"/>
    <tableColumn id="4" name="PVC"/>
    <tableColumn id="5" name="4"/>
    <tableColumn id="6" name="控制保护层"/>
    <tableColumn id="7" name="待进场复核"/>
    <tableColumn id="8" name="质检组"/>
    <tableColumn id="9" name="列1"/>
  </tableColumns>
</table>
</file>

<file path=xl/tables/table144.xml><?xml version="1.0" encoding="utf-8"?>
<table xmlns="http://schemas.openxmlformats.org/spreadsheetml/2006/main" id="144" name="T_Sheet55_Con" displayName="T_Sheet55_Con" ref="A21:I22" headerRowCount="1" totalsRowCount="0" totalsRowShown="0">
  <autoFilter ref="A21:I22"/>
  <tableColumns count="9">
    <tableColumn id="1" name="装配式板件"/>
    <tableColumn id="2" name="C35"/>
    <tableColumn id="3" name="1098×600×7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45.xml><?xml version="1.0" encoding="utf-8"?>
<table xmlns="http://schemas.openxmlformats.org/spreadsheetml/2006/main" id="145" name="T_Sheet55_Rebar" displayName="T_Sheet55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46.xml><?xml version="1.0" encoding="utf-8"?>
<table xmlns="http://schemas.openxmlformats.org/spreadsheetml/2006/main" id="146" name="T_Sheet56_Acc" displayName="T_Sheet56_Acc" ref="A15:I18" headerRowCount="1" totalsRowCount="0" totalsRowShown="0">
  <autoFilter ref="A15:I18"/>
  <tableColumns count="9">
    <tableColumn id="1" name="A01-55"/>
    <tableColumn id="2" name="定位垫块"/>
    <tableColumn id="3" name="PVC-25"/>
    <tableColumn id="4" name="PVC"/>
    <tableColumn id="5" name="2"/>
    <tableColumn id="6" name="控制保护层"/>
    <tableColumn id="7" name="资料齐全"/>
    <tableColumn id="8" name="施工组"/>
    <tableColumn id="9" name="列1"/>
  </tableColumns>
</table>
</file>

<file path=xl/tables/table147.xml><?xml version="1.0" encoding="utf-8"?>
<table xmlns="http://schemas.openxmlformats.org/spreadsheetml/2006/main" id="147" name="T_Sheet56_Con" displayName="T_Sheet56_Con" ref="A21:I22" headerRowCount="1" totalsRowCount="0" totalsRowShown="0">
  <autoFilter ref="A21:I22"/>
  <tableColumns count="9">
    <tableColumn id="1" name="装配式板件"/>
    <tableColumn id="2" name="C35"/>
    <tableColumn id="3" name="1235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48.xml><?xml version="1.0" encoding="utf-8"?>
<table xmlns="http://schemas.openxmlformats.org/spreadsheetml/2006/main" id="148" name="T_Sheet56_Rebar" displayName="T_Sheet56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49.xml><?xml version="1.0" encoding="utf-8"?>
<table xmlns="http://schemas.openxmlformats.org/spreadsheetml/2006/main" id="149" name="T_Sheet57_Acc" displayName="T_Sheet57_Acc" ref="A15:I18" headerRowCount="1" totalsRowCount="0" totalsRowShown="0">
  <autoFilter ref="A15:I18"/>
  <tableColumns count="9">
    <tableColumn id="1" name="A01-56"/>
    <tableColumn id="2" name="定位垫块"/>
    <tableColumn id="3" name="PVC-25"/>
    <tableColumn id="4" name="PVC"/>
    <tableColumn id="5" name="3"/>
    <tableColumn id="6" name="控制保护层"/>
    <tableColumn id="7" name="复核通过"/>
    <tableColumn id="8" name="材料组"/>
    <tableColumn id="9" name="列1"/>
  </tableColumns>
</table>
</file>

<file path=xl/tables/table150.xml><?xml version="1.0" encoding="utf-8"?>
<table xmlns="http://schemas.openxmlformats.org/spreadsheetml/2006/main" id="150" name="T_Sheet57_Con" displayName="T_Sheet57_Con" ref="A21:I22" headerRowCount="1" totalsRowCount="0" totalsRowShown="0">
  <autoFilter ref="A21:I22"/>
  <tableColumns count="9">
    <tableColumn id="1" name="装配式板件"/>
    <tableColumn id="2" name="C35"/>
    <tableColumn id="3" name="1372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51.xml><?xml version="1.0" encoding="utf-8"?>
<table xmlns="http://schemas.openxmlformats.org/spreadsheetml/2006/main" id="151" name="T_Sheet57_Rebar" displayName="T_Sheet57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52.xml><?xml version="1.0" encoding="utf-8"?>
<table xmlns="http://schemas.openxmlformats.org/spreadsheetml/2006/main" id="152" name="T_Sheet58_Acc" displayName="T_Sheet58_Acc" ref="A15:I18" headerRowCount="1" totalsRowCount="0" totalsRowShown="0">
  <autoFilter ref="A15:I18"/>
  <tableColumns count="9">
    <tableColumn id="1" name="A01-57"/>
    <tableColumn id="2" name="定位垫块"/>
    <tableColumn id="3" name="PVC-25"/>
    <tableColumn id="4" name="PVC"/>
    <tableColumn id="5" name="4"/>
    <tableColumn id="6" name="控制保护层"/>
    <tableColumn id="7" name="待进场复核"/>
    <tableColumn id="8" name="质检组"/>
    <tableColumn id="9" name="列1"/>
  </tableColumns>
</table>
</file>

<file path=xl/tables/table153.xml><?xml version="1.0" encoding="utf-8"?>
<table xmlns="http://schemas.openxmlformats.org/spreadsheetml/2006/main" id="153" name="T_Sheet58_Con" displayName="T_Sheet58_Con" ref="A21:I22" headerRowCount="1" totalsRowCount="0" totalsRowShown="0">
  <autoFilter ref="A21:I22"/>
  <tableColumns count="9">
    <tableColumn id="1" name="装配式板件"/>
    <tableColumn id="2" name="C35"/>
    <tableColumn id="3" name="1509×600×7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54.xml><?xml version="1.0" encoding="utf-8"?>
<table xmlns="http://schemas.openxmlformats.org/spreadsheetml/2006/main" id="154" name="T_Sheet58_Rebar" displayName="T_Sheet58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55.xml><?xml version="1.0" encoding="utf-8"?>
<table xmlns="http://schemas.openxmlformats.org/spreadsheetml/2006/main" id="155" name="T_Sheet59_Acc" displayName="T_Sheet59_Acc" ref="A15:I18" headerRowCount="1" totalsRowCount="0" totalsRowShown="0">
  <autoFilter ref="A15:I18"/>
  <tableColumns count="9">
    <tableColumn id="1" name="A01-58"/>
    <tableColumn id="2" name="定位垫块"/>
    <tableColumn id="3" name="PVC-25"/>
    <tableColumn id="4" name="PVC"/>
    <tableColumn id="5" name="2"/>
    <tableColumn id="6" name="控制保护层"/>
    <tableColumn id="7" name="资料齐全"/>
    <tableColumn id="8" name="施工组"/>
    <tableColumn id="9" name="列1"/>
  </tableColumns>
</table>
</file>

<file path=xl/tables/table156.xml><?xml version="1.0" encoding="utf-8"?>
<table xmlns="http://schemas.openxmlformats.org/spreadsheetml/2006/main" id="156" name="T_Sheet59_Con" displayName="T_Sheet59_Con" ref="A21:I22" headerRowCount="1" totalsRowCount="0" totalsRowShown="0">
  <autoFilter ref="A21:I22"/>
  <tableColumns count="9">
    <tableColumn id="1" name="装配式板件"/>
    <tableColumn id="2" name="C35"/>
    <tableColumn id="3" name="1646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57.xml><?xml version="1.0" encoding="utf-8"?>
<table xmlns="http://schemas.openxmlformats.org/spreadsheetml/2006/main" id="157" name="T_Sheet59_Rebar" displayName="T_Sheet59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58.xml><?xml version="1.0" encoding="utf-8"?>
<table xmlns="http://schemas.openxmlformats.org/spreadsheetml/2006/main" id="158" name="T_Sheet5_Acc" displayName="T_Sheet5_Acc" ref="A16:I19" headerRowCount="1" totalsRowCount="0" totalsRowShown="0">
  <autoFilter ref="A16:I19"/>
  <tableColumns count="9">
    <tableColumn id="1" name="B02-05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159.xml><?xml version="1.0" encoding="utf-8"?>
<table xmlns="http://schemas.openxmlformats.org/spreadsheetml/2006/main" id="159" name="T_Sheet5_Con" displayName="T_Sheet5_Con" ref="A22:I23" headerRowCount="1" totalsRowCount="0" totalsRowShown="0">
  <autoFilter ref="A22:I23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60.xml><?xml version="1.0" encoding="utf-8"?>
<table xmlns="http://schemas.openxmlformats.org/spreadsheetml/2006/main" id="160" name="T_Sheet5_Rebar" displayName="T_Sheet5_Rebar" ref="A7:I13" headerRowCount="1" totalsRowCount="0" totalsRowShown="0">
  <autoFilter ref="A7:I13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61.xml><?xml version="1.0" encoding="utf-8"?>
<table xmlns="http://schemas.openxmlformats.org/spreadsheetml/2006/main" id="161" name="T_Sheet60_Acc" displayName="T_Sheet60_Acc" ref="A15:I18" headerRowCount="1" totalsRowCount="0" totalsRowShown="0">
  <autoFilter ref="A15:I18"/>
  <tableColumns count="9">
    <tableColumn id="1" name="A01-59"/>
    <tableColumn id="2" name="定位垫块"/>
    <tableColumn id="3" name="PVC-25"/>
    <tableColumn id="4" name="PVC"/>
    <tableColumn id="5" name="3"/>
    <tableColumn id="6" name="控制保护层"/>
    <tableColumn id="7" name="复核通过"/>
    <tableColumn id="8" name="材料组"/>
    <tableColumn id="9" name="列1"/>
  </tableColumns>
</table>
</file>

<file path=xl/tables/table162.xml><?xml version="1.0" encoding="utf-8"?>
<table xmlns="http://schemas.openxmlformats.org/spreadsheetml/2006/main" id="162" name="T_Sheet60_Con" displayName="T_Sheet60_Con" ref="A21:I22" headerRowCount="1" totalsRowCount="0" totalsRowShown="0">
  <autoFilter ref="A21:I22"/>
  <tableColumns count="9">
    <tableColumn id="1" name="装配式板件"/>
    <tableColumn id="2" name="C35"/>
    <tableColumn id="3" name="1783×600×6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63.xml><?xml version="1.0" encoding="utf-8"?>
<table xmlns="http://schemas.openxmlformats.org/spreadsheetml/2006/main" id="163" name="T_Sheet60_Rebar" displayName="T_Sheet60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64.xml><?xml version="1.0" encoding="utf-8"?>
<table xmlns="http://schemas.openxmlformats.org/spreadsheetml/2006/main" id="164" name="T_Sheet61_Acc" displayName="T_Sheet61_Acc" ref="A15:I18" headerRowCount="1" totalsRowCount="0" totalsRowShown="0">
  <autoFilter ref="A15:I18"/>
  <tableColumns count="9">
    <tableColumn id="1" name="A01-60"/>
    <tableColumn id="2" name="定位垫块"/>
    <tableColumn id="3" name="PVC-25"/>
    <tableColumn id="4" name="PVC"/>
    <tableColumn id="5" name="4"/>
    <tableColumn id="6" name="控制保护层"/>
    <tableColumn id="7" name="待进场复核"/>
    <tableColumn id="8" name="质检组"/>
    <tableColumn id="9" name="列1"/>
  </tableColumns>
</table>
</file>

<file path=xl/tables/table165.xml><?xml version="1.0" encoding="utf-8"?>
<table xmlns="http://schemas.openxmlformats.org/spreadsheetml/2006/main" id="165" name="T_Sheet61_Con" displayName="T_Sheet61_Con" ref="A21:I22" headerRowCount="1" totalsRowCount="0" totalsRowShown="0">
  <autoFilter ref="A21:I22"/>
  <tableColumns count="9">
    <tableColumn id="1" name="装配式板件"/>
    <tableColumn id="2" name="C35"/>
    <tableColumn id="3" name="1920×600×70"/>
    <tableColumn id="4" name="砼体积(m³)"/>
    <tableColumn id="5" name="砼重量(t)"/>
    <tableColumn id="6" name="构件数量"/>
    <tableColumn id="7" name="标准蒸养"/>
    <tableColumn id="8" name="通过"/>
    <tableColumn id="9" name="备注"/>
  </tableColumns>
</table>
</file>

<file path=xl/tables/table166.xml><?xml version="1.0" encoding="utf-8"?>
<table xmlns="http://schemas.openxmlformats.org/spreadsheetml/2006/main" id="166" name="T_Sheet61_Rebar" displayName="T_Sheet61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67.xml><?xml version="1.0" encoding="utf-8"?>
<table xmlns="http://schemas.openxmlformats.org/spreadsheetml/2006/main" id="167" name="T_Sheet6_Acc" displayName="T_Sheet6_Acc" ref="A15:I18" headerRowCount="1" totalsRowCount="0" totalsRowShown="0">
  <autoFilter ref="A15:I18"/>
  <tableColumns count="9">
    <tableColumn id="1" name="B02-06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168.xml><?xml version="1.0" encoding="utf-8"?>
<table xmlns="http://schemas.openxmlformats.org/spreadsheetml/2006/main" id="168" name="T_Sheet6_Con" displayName="T_Sheet6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69.xml><?xml version="1.0" encoding="utf-8"?>
<table xmlns="http://schemas.openxmlformats.org/spreadsheetml/2006/main" id="169" name="T_Sheet6_Rebar" displayName="T_Sheet6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70.xml><?xml version="1.0" encoding="utf-8"?>
<table xmlns="http://schemas.openxmlformats.org/spreadsheetml/2006/main" id="170" name="T_Sheet7_Acc" displayName="T_Sheet7_Acc" ref="A15:I18" headerRowCount="1" totalsRowCount="0" totalsRowShown="0">
  <autoFilter ref="A15:I18"/>
  <tableColumns count="9">
    <tableColumn id="1" name="B02-07"/>
    <tableColumn id="2" name="预埋套管"/>
    <tableColumn id="3" name="DN20-L120"/>
    <tableColumn id="4" name="镀锌钢"/>
    <tableColumn id="5" name="2"/>
    <tableColumn id="6" name="现场穿线预留"/>
    <tableColumn id="7" name="复核通过"/>
    <tableColumn id="8" name="材料组"/>
    <tableColumn id="9" name="列1"/>
  </tableColumns>
</table>
</file>

<file path=xl/tables/table171.xml><?xml version="1.0" encoding="utf-8"?>
<table xmlns="http://schemas.openxmlformats.org/spreadsheetml/2006/main" id="171" name="T_Sheet7_Con" displayName="T_Sheet7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72.xml><?xml version="1.0" encoding="utf-8"?>
<table xmlns="http://schemas.openxmlformats.org/spreadsheetml/2006/main" id="172" name="T_Sheet7_Rebar" displayName="T_Sheet7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73.xml><?xml version="1.0" encoding="utf-8"?>
<table xmlns="http://schemas.openxmlformats.org/spreadsheetml/2006/main" id="173" name="T_Sheet8_Acc" displayName="T_Sheet8_Acc" ref="A15:I18" headerRowCount="1" totalsRowCount="0" totalsRowShown="0">
  <autoFilter ref="A15:I18"/>
  <tableColumns count="9">
    <tableColumn id="1" name="B02-08"/>
    <tableColumn id="2" name="预埋套管"/>
    <tableColumn id="3" name="DN20-L120"/>
    <tableColumn id="4" name="镀锌钢"/>
    <tableColumn id="5" name="3"/>
    <tableColumn id="6" name="现场穿线预留"/>
    <tableColumn id="7" name="待进场复核"/>
    <tableColumn id="8" name="质检组"/>
    <tableColumn id="9" name="列1"/>
  </tableColumns>
</table>
</file>

<file path=xl/tables/table174.xml><?xml version="1.0" encoding="utf-8"?>
<table xmlns="http://schemas.openxmlformats.org/spreadsheetml/2006/main" id="174" name="T_Sheet8_Con" displayName="T_Sheet8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75.xml><?xml version="1.0" encoding="utf-8"?>
<table xmlns="http://schemas.openxmlformats.org/spreadsheetml/2006/main" id="175" name="T_Sheet8_Rebar" displayName="T_Sheet8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tables/table176.xml><?xml version="1.0" encoding="utf-8"?>
<table xmlns="http://schemas.openxmlformats.org/spreadsheetml/2006/main" id="176" name="T_Sheet9_Acc" displayName="T_Sheet9_Acc" ref="A15:I18" headerRowCount="1" totalsRowCount="0" totalsRowShown="0">
  <autoFilter ref="A15:I18"/>
  <tableColumns count="9">
    <tableColumn id="1" name="B02-09"/>
    <tableColumn id="2" name="预埋套管"/>
    <tableColumn id="3" name="DN20-L120"/>
    <tableColumn id="4" name="镀锌钢"/>
    <tableColumn id="5" name="4"/>
    <tableColumn id="6" name="现场穿线预留"/>
    <tableColumn id="7" name="资料齐全"/>
    <tableColumn id="8" name="施工组"/>
    <tableColumn id="9" name="列1"/>
  </tableColumns>
</table>
</file>

<file path=xl/tables/table177.xml><?xml version="1.0" encoding="utf-8"?>
<table xmlns="http://schemas.openxmlformats.org/spreadsheetml/2006/main" id="177" name="T_Sheet9_Con" displayName="T_Sheet9_Con" ref="A21:I22" headerRowCount="1" totalsRowCount="0" totalsRowShown="0">
  <autoFilter ref="A21:I22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</table>
</file>

<file path=xl/tables/table178.xml><?xml version="1.0" encoding="utf-8"?>
<table xmlns="http://schemas.openxmlformats.org/spreadsheetml/2006/main" id="178" name="T_Sheet9_Rebar" displayName="T_Sheet9_Rebar" ref="A7:I12" headerRowCount="1" totalsRowCount="0" totalsRowShown="0">
  <autoFilter ref="A7:I12"/>
  <tableColumns count="9">
    <tableColumn id="1" name="序号"/>
    <tableColumn id="2" name="横向分布筋"/>
    <tableColumn id="3" name="板面分布区"/>
    <tableColumn id="4" name="HRB400 φ8"/>
    <tableColumn id="5" name="数量"/>
    <tableColumn id="6" name="单件长度(mm)"/>
    <tableColumn id="7" name="调整系数"/>
    <tableColumn id="8" name="间距复核"/>
    <tableColumn id="9" name="重量(kg)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8.xml"/><Relationship Id="rId2" Type="http://schemas.openxmlformats.org/officeDocument/2006/relationships/table" Target="../tables/table29.xml"/><Relationship Id="rId3" Type="http://schemas.openxmlformats.org/officeDocument/2006/relationships/table" Target="../tables/table30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1.xml"/><Relationship Id="rId2" Type="http://schemas.openxmlformats.org/officeDocument/2006/relationships/table" Target="../tables/table6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3.xml"/><Relationship Id="rId2" Type="http://schemas.openxmlformats.org/officeDocument/2006/relationships/table" Target="../tables/table94.xml"/><Relationship Id="rId3" Type="http://schemas.openxmlformats.org/officeDocument/2006/relationships/table" Target="../tables/table9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26.xml"/><Relationship Id="rId2" Type="http://schemas.openxmlformats.org/officeDocument/2006/relationships/table" Target="../tables/table12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58.xml"/><Relationship Id="rId2" Type="http://schemas.openxmlformats.org/officeDocument/2006/relationships/table" Target="../tables/table159.xml"/><Relationship Id="rId3" Type="http://schemas.openxmlformats.org/officeDocument/2006/relationships/table" Target="../tables/table16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67.xml"/><Relationship Id="rId2" Type="http://schemas.openxmlformats.org/officeDocument/2006/relationships/table" Target="../tables/table168.xml"/><Relationship Id="rId3" Type="http://schemas.openxmlformats.org/officeDocument/2006/relationships/table" Target="../tables/table16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70.xml"/><Relationship Id="rId2" Type="http://schemas.openxmlformats.org/officeDocument/2006/relationships/table" Target="../tables/table171.xml"/><Relationship Id="rId3" Type="http://schemas.openxmlformats.org/officeDocument/2006/relationships/table" Target="../tables/table17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73.xml"/><Relationship Id="rId2" Type="http://schemas.openxmlformats.org/officeDocument/2006/relationships/table" Target="../tables/table174.xml"/><Relationship Id="rId3" Type="http://schemas.openxmlformats.org/officeDocument/2006/relationships/table" Target="../tables/table17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76.xml"/><Relationship Id="rId2" Type="http://schemas.openxmlformats.org/officeDocument/2006/relationships/table" Target="../tables/table177.xml"/><Relationship Id="rId3" Type="http://schemas.openxmlformats.org/officeDocument/2006/relationships/table" Target="../tables/table17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Relationship Id="rId3" Type="http://schemas.openxmlformats.org/officeDocument/2006/relationships/table" Target="../tables/table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3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6.xml"/><Relationship Id="rId2" Type="http://schemas.openxmlformats.org/officeDocument/2006/relationships/table" Target="../tables/table17.xml"/><Relationship Id="rId3" Type="http://schemas.openxmlformats.org/officeDocument/2006/relationships/table" Target="../tables/table1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9.xml"/><Relationship Id="rId2" Type="http://schemas.openxmlformats.org/officeDocument/2006/relationships/table" Target="../tables/table20.xml"/><Relationship Id="rId3" Type="http://schemas.openxmlformats.org/officeDocument/2006/relationships/table" Target="../tables/table2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22.xml"/><Relationship Id="rId2" Type="http://schemas.openxmlformats.org/officeDocument/2006/relationships/table" Target="../tables/table23.xml"/><Relationship Id="rId3" Type="http://schemas.openxmlformats.org/officeDocument/2006/relationships/table" Target="../tables/table2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5.xml"/><Relationship Id="rId2" Type="http://schemas.openxmlformats.org/officeDocument/2006/relationships/table" Target="../tables/table26.xml"/><Relationship Id="rId3" Type="http://schemas.openxmlformats.org/officeDocument/2006/relationships/table" Target="../tables/table2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31.xml"/><Relationship Id="rId2" Type="http://schemas.openxmlformats.org/officeDocument/2006/relationships/table" Target="../tables/table32.xml"/><Relationship Id="rId3" Type="http://schemas.openxmlformats.org/officeDocument/2006/relationships/table" Target="../tables/table33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34.xml"/><Relationship Id="rId2" Type="http://schemas.openxmlformats.org/officeDocument/2006/relationships/table" Target="../tables/table35.xml"/><Relationship Id="rId3" Type="http://schemas.openxmlformats.org/officeDocument/2006/relationships/table" Target="../tables/table3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37.xml"/><Relationship Id="rId2" Type="http://schemas.openxmlformats.org/officeDocument/2006/relationships/table" Target="../tables/table38.xml"/><Relationship Id="rId3" Type="http://schemas.openxmlformats.org/officeDocument/2006/relationships/table" Target="../tables/table3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40.xml"/><Relationship Id="rId2" Type="http://schemas.openxmlformats.org/officeDocument/2006/relationships/table" Target="../tables/table41.xml"/><Relationship Id="rId3" Type="http://schemas.openxmlformats.org/officeDocument/2006/relationships/table" Target="../tables/table4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43.xml"/><Relationship Id="rId2" Type="http://schemas.openxmlformats.org/officeDocument/2006/relationships/table" Target="../tables/table44.xml"/><Relationship Id="rId3" Type="http://schemas.openxmlformats.org/officeDocument/2006/relationships/table" Target="../tables/table4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46.xml"/><Relationship Id="rId2" Type="http://schemas.openxmlformats.org/officeDocument/2006/relationships/table" Target="../tables/table47.xml"/><Relationship Id="rId3" Type="http://schemas.openxmlformats.org/officeDocument/2006/relationships/table" Target="../tables/table48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49.xml"/><Relationship Id="rId2" Type="http://schemas.openxmlformats.org/officeDocument/2006/relationships/table" Target="../tables/table50.xml"/><Relationship Id="rId3" Type="http://schemas.openxmlformats.org/officeDocument/2006/relationships/table" Target="../tables/table5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52.xml"/><Relationship Id="rId2" Type="http://schemas.openxmlformats.org/officeDocument/2006/relationships/table" Target="../tables/table53.xml"/><Relationship Id="rId3" Type="http://schemas.openxmlformats.org/officeDocument/2006/relationships/table" Target="../tables/table5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55.xml"/><Relationship Id="rId2" Type="http://schemas.openxmlformats.org/officeDocument/2006/relationships/table" Target="../tables/table56.xml"/><Relationship Id="rId3" Type="http://schemas.openxmlformats.org/officeDocument/2006/relationships/table" Target="../tables/table57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58.xml"/><Relationship Id="rId2" Type="http://schemas.openxmlformats.org/officeDocument/2006/relationships/table" Target="../tables/table59.xml"/><Relationship Id="rId3" Type="http://schemas.openxmlformats.org/officeDocument/2006/relationships/table" Target="../tables/table60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table" Target="../tables/table63.xml"/><Relationship Id="rId2" Type="http://schemas.openxmlformats.org/officeDocument/2006/relationships/table" Target="../tables/table64.xml"/><Relationship Id="rId3" Type="http://schemas.openxmlformats.org/officeDocument/2006/relationships/table" Target="../tables/table6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table" Target="../tables/table66.xml"/><Relationship Id="rId2" Type="http://schemas.openxmlformats.org/officeDocument/2006/relationships/table" Target="../tables/table67.xml"/><Relationship Id="rId3" Type="http://schemas.openxmlformats.org/officeDocument/2006/relationships/table" Target="../tables/table68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table" Target="../tables/table69.xml"/><Relationship Id="rId2" Type="http://schemas.openxmlformats.org/officeDocument/2006/relationships/table" Target="../tables/table70.xml"/><Relationship Id="rId3" Type="http://schemas.openxmlformats.org/officeDocument/2006/relationships/table" Target="../tables/table71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table" Target="../tables/table72.xml"/><Relationship Id="rId2" Type="http://schemas.openxmlformats.org/officeDocument/2006/relationships/table" Target="../tables/table73.xml"/><Relationship Id="rId3" Type="http://schemas.openxmlformats.org/officeDocument/2006/relationships/table" Target="../tables/table74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table" Target="../tables/table75.xml"/><Relationship Id="rId2" Type="http://schemas.openxmlformats.org/officeDocument/2006/relationships/table" Target="../tables/table76.xml"/><Relationship Id="rId3" Type="http://schemas.openxmlformats.org/officeDocument/2006/relationships/table" Target="../tables/table77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table" Target="../tables/table78.xml"/><Relationship Id="rId2" Type="http://schemas.openxmlformats.org/officeDocument/2006/relationships/table" Target="../tables/table79.xml"/><Relationship Id="rId3" Type="http://schemas.openxmlformats.org/officeDocument/2006/relationships/table" Target="../tables/table8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table" Target="../tables/table81.xml"/><Relationship Id="rId2" Type="http://schemas.openxmlformats.org/officeDocument/2006/relationships/table" Target="../tables/table82.xml"/><Relationship Id="rId3" Type="http://schemas.openxmlformats.org/officeDocument/2006/relationships/table" Target="../tables/table8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table" Target="../tables/table84.xml"/><Relationship Id="rId2" Type="http://schemas.openxmlformats.org/officeDocument/2006/relationships/table" Target="../tables/table85.xml"/><Relationship Id="rId3" Type="http://schemas.openxmlformats.org/officeDocument/2006/relationships/table" Target="../tables/table86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table" Target="../tables/table87.xml"/><Relationship Id="rId2" Type="http://schemas.openxmlformats.org/officeDocument/2006/relationships/table" Target="../tables/table88.xml"/><Relationship Id="rId3" Type="http://schemas.openxmlformats.org/officeDocument/2006/relationships/table" Target="../tables/table89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table" Target="../tables/table90.xml"/><Relationship Id="rId2" Type="http://schemas.openxmlformats.org/officeDocument/2006/relationships/table" Target="../tables/table91.xml"/><Relationship Id="rId3" Type="http://schemas.openxmlformats.org/officeDocument/2006/relationships/table" Target="../tables/table92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table" Target="../tables/table96.xml"/><Relationship Id="rId2" Type="http://schemas.openxmlformats.org/officeDocument/2006/relationships/table" Target="../tables/table97.xml"/><Relationship Id="rId3" Type="http://schemas.openxmlformats.org/officeDocument/2006/relationships/table" Target="../tables/table98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table" Target="../tables/table99.xml"/><Relationship Id="rId2" Type="http://schemas.openxmlformats.org/officeDocument/2006/relationships/table" Target="../tables/table100.xml"/><Relationship Id="rId3" Type="http://schemas.openxmlformats.org/officeDocument/2006/relationships/table" Target="../tables/table10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table" Target="../tables/table102.xml"/><Relationship Id="rId2" Type="http://schemas.openxmlformats.org/officeDocument/2006/relationships/table" Target="../tables/table103.xml"/><Relationship Id="rId3" Type="http://schemas.openxmlformats.org/officeDocument/2006/relationships/table" Target="../tables/table104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table" Target="../tables/table105.xml"/><Relationship Id="rId2" Type="http://schemas.openxmlformats.org/officeDocument/2006/relationships/table" Target="../tables/table106.xml"/><Relationship Id="rId3" Type="http://schemas.openxmlformats.org/officeDocument/2006/relationships/table" Target="../tables/table107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table" Target="../tables/table108.xml"/><Relationship Id="rId2" Type="http://schemas.openxmlformats.org/officeDocument/2006/relationships/table" Target="../tables/table109.xml"/><Relationship Id="rId3" Type="http://schemas.openxmlformats.org/officeDocument/2006/relationships/table" Target="../tables/table110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table" Target="../tables/table111.xml"/><Relationship Id="rId2" Type="http://schemas.openxmlformats.org/officeDocument/2006/relationships/table" Target="../tables/table112.xml"/><Relationship Id="rId3" Type="http://schemas.openxmlformats.org/officeDocument/2006/relationships/table" Target="../tables/table113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table" Target="../tables/table114.xml"/><Relationship Id="rId2" Type="http://schemas.openxmlformats.org/officeDocument/2006/relationships/table" Target="../tables/table115.xml"/><Relationship Id="rId3" Type="http://schemas.openxmlformats.org/officeDocument/2006/relationships/table" Target="../tables/table116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table" Target="../tables/table117.xml"/><Relationship Id="rId2" Type="http://schemas.openxmlformats.org/officeDocument/2006/relationships/table" Target="../tables/table118.xml"/><Relationship Id="rId3" Type="http://schemas.openxmlformats.org/officeDocument/2006/relationships/table" Target="../tables/table119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table" Target="../tables/table120.xml"/><Relationship Id="rId2" Type="http://schemas.openxmlformats.org/officeDocument/2006/relationships/table" Target="../tables/table121.xml"/><Relationship Id="rId3" Type="http://schemas.openxmlformats.org/officeDocument/2006/relationships/table" Target="../tables/table122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table" Target="../tables/table123.xml"/><Relationship Id="rId2" Type="http://schemas.openxmlformats.org/officeDocument/2006/relationships/table" Target="../tables/table124.xml"/><Relationship Id="rId3" Type="http://schemas.openxmlformats.org/officeDocument/2006/relationships/table" Target="../tables/table125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table" Target="../tables/table128.xml"/><Relationship Id="rId2" Type="http://schemas.openxmlformats.org/officeDocument/2006/relationships/table" Target="../tables/table129.xml"/><Relationship Id="rId3" Type="http://schemas.openxmlformats.org/officeDocument/2006/relationships/table" Target="../tables/table130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table" Target="../tables/table131.xml"/><Relationship Id="rId2" Type="http://schemas.openxmlformats.org/officeDocument/2006/relationships/table" Target="../tables/table132.xml"/><Relationship Id="rId3" Type="http://schemas.openxmlformats.org/officeDocument/2006/relationships/table" Target="../tables/table133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table" Target="../tables/table134.xml"/><Relationship Id="rId2" Type="http://schemas.openxmlformats.org/officeDocument/2006/relationships/table" Target="../tables/table135.xml"/><Relationship Id="rId3" Type="http://schemas.openxmlformats.org/officeDocument/2006/relationships/table" Target="../tables/table136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table" Target="../tables/table137.xml"/><Relationship Id="rId2" Type="http://schemas.openxmlformats.org/officeDocument/2006/relationships/table" Target="../tables/table138.xml"/><Relationship Id="rId3" Type="http://schemas.openxmlformats.org/officeDocument/2006/relationships/table" Target="../tables/table139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table" Target="../tables/table140.xml"/><Relationship Id="rId2" Type="http://schemas.openxmlformats.org/officeDocument/2006/relationships/table" Target="../tables/table141.xml"/><Relationship Id="rId3" Type="http://schemas.openxmlformats.org/officeDocument/2006/relationships/table" Target="../tables/table142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table" Target="../tables/table143.xml"/><Relationship Id="rId2" Type="http://schemas.openxmlformats.org/officeDocument/2006/relationships/table" Target="../tables/table144.xml"/><Relationship Id="rId3" Type="http://schemas.openxmlformats.org/officeDocument/2006/relationships/table" Target="../tables/table145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table" Target="../tables/table146.xml"/><Relationship Id="rId2" Type="http://schemas.openxmlformats.org/officeDocument/2006/relationships/table" Target="../tables/table147.xml"/><Relationship Id="rId3" Type="http://schemas.openxmlformats.org/officeDocument/2006/relationships/table" Target="../tables/table148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table" Target="../tables/table149.xml"/><Relationship Id="rId2" Type="http://schemas.openxmlformats.org/officeDocument/2006/relationships/table" Target="../tables/table150.xml"/><Relationship Id="rId3" Type="http://schemas.openxmlformats.org/officeDocument/2006/relationships/table" Target="../tables/table15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table" Target="../tables/table152.xml"/><Relationship Id="rId2" Type="http://schemas.openxmlformats.org/officeDocument/2006/relationships/table" Target="../tables/table153.xml"/><Relationship Id="rId3" Type="http://schemas.openxmlformats.org/officeDocument/2006/relationships/table" Target="../tables/table154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table" Target="../tables/table155.xml"/><Relationship Id="rId2" Type="http://schemas.openxmlformats.org/officeDocument/2006/relationships/table" Target="../tables/table156.xml"/><Relationship Id="rId3" Type="http://schemas.openxmlformats.org/officeDocument/2006/relationships/table" Target="../tables/table157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table" Target="../tables/table161.xml"/><Relationship Id="rId2" Type="http://schemas.openxmlformats.org/officeDocument/2006/relationships/table" Target="../tables/table162.xml"/><Relationship Id="rId3" Type="http://schemas.openxmlformats.org/officeDocument/2006/relationships/table" Target="../tables/table163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table" Target="../tables/table164.xml"/><Relationship Id="rId2" Type="http://schemas.openxmlformats.org/officeDocument/2006/relationships/table" Target="../tables/table165.xml"/><Relationship Id="rId3" Type="http://schemas.openxmlformats.org/officeDocument/2006/relationships/table" Target="../tables/table16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8.21"/>
    <col collapsed="false" customWidth="true" hidden="false" outlineLevel="0" max="3" min="3" style="0" width="5.91"/>
    <col collapsed="false" customWidth="true" hidden="false" outlineLevel="0" max="4" min="4" style="0" width="8.88"/>
    <col collapsed="false" customWidth="true" hidden="false" outlineLevel="0" max="5" min="5" style="0" width="7.94"/>
    <col collapsed="false" customWidth="true" hidden="false" outlineLevel="0" max="6" min="6" style="0" width="8.49"/>
    <col collapsed="false" customWidth="true" hidden="false" outlineLevel="0" max="7" min="7" style="0" width="11.71"/>
    <col collapsed="false" customWidth="true" hidden="false" outlineLevel="0" max="8" min="8" style="0" width="9.29"/>
    <col collapsed="false" customWidth="true" hidden="false" outlineLevel="0" max="9" min="9" style="0" width="3.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4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</row>
    <row r="3" customFormat="false" ht="33" hidden="false" customHeight="true" outlineLevel="0" collapsed="false">
      <c r="A3" s="4" t="n">
        <v>1</v>
      </c>
      <c r="B3" s="4" t="s">
        <v>10</v>
      </c>
      <c r="C3" s="4" t="s">
        <v>11</v>
      </c>
      <c r="D3" s="4" t="s">
        <v>12</v>
      </c>
      <c r="E3" s="5" t="s">
        <v>13</v>
      </c>
      <c r="F3" s="6" t="n">
        <v>0.049</v>
      </c>
      <c r="G3" s="6" t="n">
        <v>19.006</v>
      </c>
      <c r="H3" s="7" t="n">
        <f aca="false">IFERROR(G3/F3,"")</f>
        <v>387.877551020408</v>
      </c>
      <c r="I3" s="4"/>
    </row>
    <row r="4" customFormat="false" ht="33" hidden="false" customHeight="true" outlineLevel="0" collapsed="false">
      <c r="A4" s="8" t="n">
        <v>2</v>
      </c>
      <c r="B4" s="8" t="s">
        <v>14</v>
      </c>
      <c r="C4" s="8" t="s">
        <v>15</v>
      </c>
      <c r="D4" s="8" t="s">
        <v>16</v>
      </c>
      <c r="E4" s="9" t="s">
        <v>17</v>
      </c>
      <c r="F4" s="10" t="n">
        <v>0.049</v>
      </c>
      <c r="G4" s="10" t="n">
        <v>17.422</v>
      </c>
      <c r="H4" s="11" t="n">
        <f aca="false">IFERROR(G4/F4,"")</f>
        <v>355.551020408163</v>
      </c>
      <c r="I4" s="8"/>
    </row>
    <row r="5" customFormat="false" ht="42" hidden="false" customHeight="true" outlineLevel="0" collapsed="false">
      <c r="A5" s="4" t="n">
        <v>3</v>
      </c>
      <c r="B5" s="4" t="s">
        <v>18</v>
      </c>
      <c r="C5" s="4" t="s">
        <v>19</v>
      </c>
      <c r="D5" s="4" t="s">
        <v>20</v>
      </c>
      <c r="E5" s="5" t="s">
        <v>21</v>
      </c>
      <c r="F5" s="6" t="n">
        <f aca="false">Sheet3!D20</f>
        <v>0.053</v>
      </c>
      <c r="G5" s="6" t="n">
        <f aca="false">Sheet3!I10</f>
        <v>20.316</v>
      </c>
      <c r="H5" s="7" t="n">
        <f aca="false">IFERROR(G5/F5,"")</f>
        <v>383.320754716981</v>
      </c>
      <c r="I5" s="4"/>
    </row>
    <row r="6" customFormat="false" ht="33" hidden="false" customHeight="true" outlineLevel="0" collapsed="false">
      <c r="A6" s="8" t="n">
        <v>4</v>
      </c>
      <c r="B6" s="8" t="s">
        <v>22</v>
      </c>
      <c r="C6" s="8" t="s">
        <v>23</v>
      </c>
      <c r="D6" s="8" t="s">
        <v>24</v>
      </c>
      <c r="E6" s="9" t="s">
        <v>25</v>
      </c>
      <c r="F6" s="10" t="n">
        <v>0.053</v>
      </c>
      <c r="G6" s="10" t="n">
        <v>18.801</v>
      </c>
      <c r="H6" s="11" t="n">
        <f aca="false">IFERROR(G6/F6,"")</f>
        <v>354.735849056604</v>
      </c>
      <c r="I6" s="8"/>
    </row>
    <row r="7" customFormat="false" ht="33" hidden="false" customHeight="true" outlineLevel="0" collapsed="false">
      <c r="A7" s="4" t="n">
        <v>5</v>
      </c>
      <c r="B7" s="4" t="s">
        <v>26</v>
      </c>
      <c r="C7" s="4" t="s">
        <v>27</v>
      </c>
      <c r="D7" s="4" t="s">
        <v>28</v>
      </c>
      <c r="E7" s="5" t="s">
        <v>29</v>
      </c>
      <c r="F7" s="6" t="n">
        <f aca="false">Sheet5!E21</f>
        <v>0.044</v>
      </c>
      <c r="G7" s="6" t="n">
        <f aca="false">Sheet5!I11</f>
        <v>17.982</v>
      </c>
      <c r="H7" s="7" t="n">
        <f aca="false">IFERROR(G7/F7,"")</f>
        <v>408.681818181818</v>
      </c>
      <c r="I7" s="4"/>
    </row>
    <row r="8" customFormat="false" ht="24" hidden="false" customHeight="true" outlineLevel="0" collapsed="false">
      <c r="A8" s="8" t="n">
        <v>6</v>
      </c>
      <c r="B8" s="8" t="s">
        <v>10</v>
      </c>
      <c r="C8" s="8" t="s">
        <v>30</v>
      </c>
      <c r="D8" s="8" t="s">
        <v>31</v>
      </c>
      <c r="E8" s="9" t="s">
        <v>32</v>
      </c>
      <c r="F8" s="10" t="n">
        <f aca="false">Sheet6!D20</f>
        <v>0.044</v>
      </c>
      <c r="G8" s="10" t="n">
        <f aca="false">Sheet6!I10</f>
        <v>16.284</v>
      </c>
      <c r="H8" s="11" t="n">
        <f aca="false">IFERROR(G8/F8,"")</f>
        <v>370.090909090909</v>
      </c>
      <c r="I8" s="8"/>
    </row>
    <row r="9" customFormat="false" ht="33" hidden="false" customHeight="true" outlineLevel="0" collapsed="false">
      <c r="A9" s="4" t="n">
        <v>7</v>
      </c>
      <c r="B9" s="4" t="s">
        <v>14</v>
      </c>
      <c r="C9" s="4" t="s">
        <v>33</v>
      </c>
      <c r="D9" s="4" t="s">
        <v>34</v>
      </c>
      <c r="E9" s="5" t="s">
        <v>13</v>
      </c>
      <c r="F9" s="6" t="n">
        <f aca="false">Sheet7!D20</f>
        <v>0.047</v>
      </c>
      <c r="G9" s="6" t="n">
        <f aca="false">Sheet7!I10</f>
        <v>18.092</v>
      </c>
      <c r="H9" s="7" t="n">
        <f aca="false">IFERROR(G9/F9,"")</f>
        <v>384.936170212766</v>
      </c>
      <c r="I9" s="4"/>
    </row>
    <row r="10" customFormat="false" ht="33" hidden="false" customHeight="true" outlineLevel="0" collapsed="false">
      <c r="A10" s="8" t="n">
        <v>8</v>
      </c>
      <c r="B10" s="8" t="s">
        <v>18</v>
      </c>
      <c r="C10" s="8" t="s">
        <v>35</v>
      </c>
      <c r="D10" s="8" t="s">
        <v>36</v>
      </c>
      <c r="E10" s="9" t="s">
        <v>17</v>
      </c>
      <c r="F10" s="10" t="n">
        <f aca="false">Sheet8!D20</f>
        <v>0.047</v>
      </c>
      <c r="G10" s="10" t="n">
        <f aca="false">Sheet8!I10</f>
        <v>16.552</v>
      </c>
      <c r="H10" s="11" t="n">
        <f aca="false">IFERROR(G10/F10,"")</f>
        <v>352.170212765957</v>
      </c>
      <c r="I10" s="8"/>
    </row>
    <row r="11" customFormat="false" ht="33" hidden="false" customHeight="true" outlineLevel="0" collapsed="false">
      <c r="A11" s="4" t="n">
        <v>9</v>
      </c>
      <c r="B11" s="4" t="s">
        <v>22</v>
      </c>
      <c r="C11" s="4" t="s">
        <v>37</v>
      </c>
      <c r="D11" s="4" t="s">
        <v>38</v>
      </c>
      <c r="E11" s="5" t="s">
        <v>21</v>
      </c>
      <c r="F11" s="6" t="n">
        <f aca="false">Sheet9!D20</f>
        <v>0.048</v>
      </c>
      <c r="G11" s="6" t="n">
        <f aca="false">Sheet9!I10</f>
        <v>18.202</v>
      </c>
      <c r="H11" s="7" t="n">
        <f aca="false">IFERROR(G11/F11,"")</f>
        <v>379.208333333333</v>
      </c>
      <c r="I11" s="4"/>
    </row>
    <row r="12" customFormat="false" ht="33" hidden="false" customHeight="true" outlineLevel="0" collapsed="false">
      <c r="A12" s="8" t="n">
        <v>10</v>
      </c>
      <c r="B12" s="8" t="s">
        <v>26</v>
      </c>
      <c r="C12" s="8" t="s">
        <v>39</v>
      </c>
      <c r="D12" s="8" t="s">
        <v>40</v>
      </c>
      <c r="E12" s="9" t="s">
        <v>25</v>
      </c>
      <c r="F12" s="10" t="n">
        <f aca="false">Sheet10!D20</f>
        <v>0.048</v>
      </c>
      <c r="G12" s="10" t="n">
        <f aca="false">Sheet10!I10</f>
        <v>16.82</v>
      </c>
      <c r="H12" s="11" t="n">
        <f aca="false">IFERROR(G12/F12,"")</f>
        <v>350.416666666667</v>
      </c>
      <c r="I12" s="8"/>
    </row>
    <row r="13" customFormat="false" ht="33" hidden="false" customHeight="true" outlineLevel="0" collapsed="false">
      <c r="A13" s="4" t="n">
        <v>11</v>
      </c>
      <c r="B13" s="4" t="s">
        <v>10</v>
      </c>
      <c r="C13" s="4" t="s">
        <v>41</v>
      </c>
      <c r="D13" s="4" t="s">
        <v>42</v>
      </c>
      <c r="E13" s="5" t="s">
        <v>29</v>
      </c>
      <c r="F13" s="6" t="n">
        <f aca="false">Sheet12!D20</f>
        <v>0.059</v>
      </c>
      <c r="G13" s="6" t="n">
        <f aca="false">Sheet12!I10</f>
        <v>22.716</v>
      </c>
      <c r="H13" s="7" t="n">
        <f aca="false">IFERROR(G13/F13,"")</f>
        <v>385.016949152542</v>
      </c>
      <c r="I13" s="4"/>
    </row>
    <row r="14" customFormat="false" ht="33" hidden="false" customHeight="true" outlineLevel="0" collapsed="false">
      <c r="A14" s="8" t="n">
        <v>12</v>
      </c>
      <c r="B14" s="8" t="s">
        <v>14</v>
      </c>
      <c r="C14" s="8" t="s">
        <v>43</v>
      </c>
      <c r="D14" s="8" t="s">
        <v>44</v>
      </c>
      <c r="E14" s="9" t="s">
        <v>32</v>
      </c>
      <c r="F14" s="10" t="n">
        <f aca="false">Sheet13!D20</f>
        <v>0.059</v>
      </c>
      <c r="G14" s="10" t="n">
        <f aca="false">Sheet13!I10</f>
        <v>20.651</v>
      </c>
      <c r="H14" s="11" t="n">
        <f aca="false">IFERROR(G14/F14,"")</f>
        <v>350.016949152542</v>
      </c>
      <c r="I14" s="8"/>
    </row>
    <row r="15" customFormat="false" ht="33" hidden="false" customHeight="true" outlineLevel="0" collapsed="false">
      <c r="A15" s="4" t="n">
        <v>13</v>
      </c>
      <c r="B15" s="4" t="s">
        <v>18</v>
      </c>
      <c r="C15" s="4" t="s">
        <v>45</v>
      </c>
      <c r="D15" s="4" t="s">
        <v>46</v>
      </c>
      <c r="E15" s="5" t="s">
        <v>13</v>
      </c>
      <c r="F15" s="6" t="n">
        <f aca="false">Sheet14!D20</f>
        <v>0.054</v>
      </c>
      <c r="G15" s="6" t="n">
        <f aca="false">Sheet14!I10</f>
        <v>20.376</v>
      </c>
      <c r="H15" s="7" t="n">
        <f aca="false">IFERROR(G15/F15,"")</f>
        <v>377.333333333333</v>
      </c>
      <c r="I15" s="4"/>
    </row>
    <row r="16" customFormat="false" ht="33" hidden="false" customHeight="true" outlineLevel="0" collapsed="false">
      <c r="A16" s="8" t="n">
        <v>14</v>
      </c>
      <c r="B16" s="8" t="s">
        <v>22</v>
      </c>
      <c r="C16" s="8" t="s">
        <v>47</v>
      </c>
      <c r="D16" s="8" t="s">
        <v>48</v>
      </c>
      <c r="E16" s="9" t="s">
        <v>17</v>
      </c>
      <c r="F16" s="10" t="n">
        <f aca="false">Sheet15!D20</f>
        <v>0.054</v>
      </c>
      <c r="G16" s="10" t="n">
        <f aca="false">Sheet15!I10</f>
        <v>18.845</v>
      </c>
      <c r="H16" s="11" t="n">
        <f aca="false">IFERROR(G16/F16,"")</f>
        <v>348.981481481481</v>
      </c>
      <c r="I16" s="8"/>
    </row>
    <row r="17" customFormat="false" ht="33" hidden="false" customHeight="true" outlineLevel="0" collapsed="false">
      <c r="A17" s="4" t="n">
        <v>15</v>
      </c>
      <c r="B17" s="4" t="s">
        <v>26</v>
      </c>
      <c r="C17" s="4" t="s">
        <v>49</v>
      </c>
      <c r="D17" s="4" t="s">
        <v>50</v>
      </c>
      <c r="E17" s="5" t="s">
        <v>21</v>
      </c>
      <c r="F17" s="6" t="n">
        <f aca="false">Sheet16!D20</f>
        <v>0.068</v>
      </c>
      <c r="G17" s="6" t="n">
        <f aca="false">Sheet16!I10</f>
        <v>24.505</v>
      </c>
      <c r="H17" s="7" t="n">
        <f aca="false">IFERROR(G17/F17,"")</f>
        <v>360.367647058823</v>
      </c>
      <c r="I17" s="4"/>
    </row>
    <row r="18" customFormat="false" ht="33" hidden="false" customHeight="true" outlineLevel="0" collapsed="false">
      <c r="A18" s="8" t="n">
        <v>16</v>
      </c>
      <c r="B18" s="8" t="s">
        <v>10</v>
      </c>
      <c r="C18" s="8" t="s">
        <v>51</v>
      </c>
      <c r="D18" s="8" t="s">
        <v>52</v>
      </c>
      <c r="E18" s="9" t="s">
        <v>25</v>
      </c>
      <c r="F18" s="10" t="n">
        <f aca="false">Sheet17!D20</f>
        <v>0.045</v>
      </c>
      <c r="G18" s="10" t="n">
        <f aca="false">Sheet17!I10</f>
        <v>17.497</v>
      </c>
      <c r="H18" s="11" t="n">
        <f aca="false">IFERROR(G18/F18,"")</f>
        <v>388.822222222222</v>
      </c>
      <c r="I18" s="8"/>
    </row>
    <row r="19" customFormat="false" ht="33" hidden="false" customHeight="true" outlineLevel="0" collapsed="false">
      <c r="A19" s="4" t="n">
        <v>17</v>
      </c>
      <c r="B19" s="4" t="s">
        <v>14</v>
      </c>
      <c r="C19" s="4" t="s">
        <v>53</v>
      </c>
      <c r="D19" s="4" t="s">
        <v>54</v>
      </c>
      <c r="E19" s="5" t="s">
        <v>29</v>
      </c>
      <c r="F19" s="6" t="n">
        <f aca="false">Sheet18!D20</f>
        <v>0.659</v>
      </c>
      <c r="G19" s="6" t="n">
        <f aca="false">Sheet18!I10</f>
        <v>88.456</v>
      </c>
      <c r="H19" s="7" t="n">
        <f aca="false">IFERROR(G19/F19,"")</f>
        <v>134.227617602428</v>
      </c>
      <c r="I19" s="4"/>
    </row>
    <row r="20" customFormat="false" ht="33" hidden="false" customHeight="true" outlineLevel="0" collapsed="false">
      <c r="A20" s="8" t="n">
        <v>18</v>
      </c>
      <c r="B20" s="8" t="s">
        <v>18</v>
      </c>
      <c r="C20" s="8" t="s">
        <v>55</v>
      </c>
      <c r="D20" s="8" t="s">
        <v>56</v>
      </c>
      <c r="E20" s="9" t="s">
        <v>32</v>
      </c>
      <c r="F20" s="10" t="n">
        <f aca="false">Sheet19!D20</f>
        <v>0.566</v>
      </c>
      <c r="G20" s="10" t="n">
        <f aca="false">Sheet19!I10</f>
        <v>76.226</v>
      </c>
      <c r="H20" s="11" t="n">
        <f aca="false">IFERROR(G20/F20,"")</f>
        <v>134.674911660777</v>
      </c>
      <c r="I20" s="8"/>
    </row>
    <row r="21" customFormat="false" ht="33" hidden="false" customHeight="true" outlineLevel="0" collapsed="false">
      <c r="A21" s="4" t="n">
        <v>19</v>
      </c>
      <c r="B21" s="4" t="s">
        <v>22</v>
      </c>
      <c r="C21" s="4" t="s">
        <v>57</v>
      </c>
      <c r="D21" s="4" t="s">
        <v>58</v>
      </c>
      <c r="E21" s="5" t="s">
        <v>13</v>
      </c>
      <c r="F21" s="6" t="n">
        <f aca="false">Sheet20!D20</f>
        <v>0.319</v>
      </c>
      <c r="G21" s="6" t="n">
        <f aca="false">Sheet20!I10</f>
        <v>45.463</v>
      </c>
      <c r="H21" s="7" t="n">
        <f aca="false">IFERROR(G21/F21,"")</f>
        <v>142.51724137931</v>
      </c>
      <c r="I21" s="4"/>
    </row>
    <row r="22" customFormat="false" ht="33" hidden="false" customHeight="true" outlineLevel="0" collapsed="false">
      <c r="A22" s="8" t="n">
        <v>20</v>
      </c>
      <c r="B22" s="8" t="s">
        <v>26</v>
      </c>
      <c r="C22" s="8" t="s">
        <v>59</v>
      </c>
      <c r="D22" s="8" t="s">
        <v>60</v>
      </c>
      <c r="E22" s="9" t="s">
        <v>17</v>
      </c>
      <c r="F22" s="10" t="n">
        <f aca="false">Sheet21!D20</f>
        <v>0.319</v>
      </c>
      <c r="G22" s="10" t="n">
        <f aca="false">Sheet21!I10</f>
        <v>45.463</v>
      </c>
      <c r="H22" s="11" t="n">
        <f aca="false">IFERROR(G22/F22,"")</f>
        <v>142.51724137931</v>
      </c>
      <c r="I22" s="8"/>
    </row>
    <row r="23" customFormat="false" ht="33" hidden="false" customHeight="true" outlineLevel="0" collapsed="false">
      <c r="A23" s="4" t="n">
        <v>21</v>
      </c>
      <c r="B23" s="4" t="s">
        <v>10</v>
      </c>
      <c r="C23" s="4" t="s">
        <v>61</v>
      </c>
      <c r="D23" s="4" t="s">
        <v>62</v>
      </c>
      <c r="E23" s="5" t="s">
        <v>21</v>
      </c>
      <c r="F23" s="6" t="n">
        <f aca="false">Sheet22!D20</f>
        <v>0.289</v>
      </c>
      <c r="G23" s="6" t="n">
        <f aca="false">Sheet22!I10</f>
        <v>42.279</v>
      </c>
      <c r="H23" s="7" t="n">
        <f aca="false">IFERROR(G23/F23,"")</f>
        <v>146.294117647059</v>
      </c>
      <c r="I23" s="4"/>
    </row>
    <row r="24" customFormat="false" ht="33" hidden="false" customHeight="true" outlineLevel="0" collapsed="false">
      <c r="A24" s="8" t="n">
        <v>22</v>
      </c>
      <c r="B24" s="8" t="s">
        <v>14</v>
      </c>
      <c r="C24" s="8" t="s">
        <v>63</v>
      </c>
      <c r="D24" s="8" t="s">
        <v>64</v>
      </c>
      <c r="E24" s="9" t="s">
        <v>25</v>
      </c>
      <c r="F24" s="10" t="n">
        <f aca="false">Sheet23!D20</f>
        <v>0.289</v>
      </c>
      <c r="G24" s="10" t="n">
        <f aca="false">Sheet23!I10</f>
        <v>42.452</v>
      </c>
      <c r="H24" s="11" t="n">
        <f aca="false">IFERROR(G24/F24,"")</f>
        <v>146.892733564014</v>
      </c>
      <c r="I24" s="8"/>
    </row>
    <row r="25" customFormat="false" ht="33" hidden="false" customHeight="true" outlineLevel="0" collapsed="false">
      <c r="A25" s="4" t="n">
        <v>23</v>
      </c>
      <c r="B25" s="4" t="s">
        <v>18</v>
      </c>
      <c r="C25" s="4" t="s">
        <v>65</v>
      </c>
      <c r="D25" s="4" t="s">
        <v>66</v>
      </c>
      <c r="E25" s="5" t="s">
        <v>29</v>
      </c>
      <c r="F25" s="6" t="n">
        <f aca="false">Sheet24!D20</f>
        <v>0.309</v>
      </c>
      <c r="G25" s="6" t="n">
        <f aca="false">Sheet24!I10</f>
        <v>81.381</v>
      </c>
      <c r="H25" s="7" t="n">
        <f aca="false">IFERROR(G25/F25,"")</f>
        <v>263.368932038835</v>
      </c>
      <c r="I25" s="4"/>
    </row>
    <row r="26" customFormat="false" ht="33" hidden="false" customHeight="true" outlineLevel="0" collapsed="false">
      <c r="A26" s="8" t="n">
        <v>24</v>
      </c>
      <c r="B26" s="8" t="s">
        <v>22</v>
      </c>
      <c r="C26" s="8" t="s">
        <v>67</v>
      </c>
      <c r="D26" s="8" t="s">
        <v>68</v>
      </c>
      <c r="E26" s="9" t="s">
        <v>32</v>
      </c>
      <c r="F26" s="10" t="n">
        <f aca="false">Sheet25!D20</f>
        <v>0.308</v>
      </c>
      <c r="G26" s="10" t="n">
        <f aca="false">Sheet25!I10</f>
        <v>83.877</v>
      </c>
      <c r="H26" s="11" t="n">
        <f aca="false">IFERROR(G26/F26,"")</f>
        <v>272.327922077922</v>
      </c>
      <c r="I26" s="8"/>
    </row>
    <row r="27" customFormat="false" ht="33" hidden="false" customHeight="true" outlineLevel="0" collapsed="false">
      <c r="A27" s="4" t="n">
        <v>25</v>
      </c>
      <c r="B27" s="4" t="s">
        <v>26</v>
      </c>
      <c r="C27" s="4" t="s">
        <v>69</v>
      </c>
      <c r="D27" s="4" t="s">
        <v>70</v>
      </c>
      <c r="E27" s="5" t="s">
        <v>13</v>
      </c>
      <c r="F27" s="6" t="n">
        <f aca="false">Sheet26!D20</f>
        <v>0.309</v>
      </c>
      <c r="G27" s="6" t="n">
        <f aca="false">Sheet26!I10</f>
        <v>81.945</v>
      </c>
      <c r="H27" s="7" t="n">
        <f aca="false">IFERROR(G27/F27,"")</f>
        <v>265.194174757281</v>
      </c>
      <c r="I27" s="4"/>
    </row>
    <row r="28" customFormat="false" ht="33" hidden="false" customHeight="true" outlineLevel="0" collapsed="false">
      <c r="A28" s="8" t="n">
        <v>26</v>
      </c>
      <c r="B28" s="8" t="s">
        <v>10</v>
      </c>
      <c r="C28" s="8" t="s">
        <v>71</v>
      </c>
      <c r="D28" s="8" t="s">
        <v>72</v>
      </c>
      <c r="E28" s="9" t="s">
        <v>17</v>
      </c>
      <c r="F28" s="10" t="n">
        <f aca="false">Sheet27!D20</f>
        <v>0.333</v>
      </c>
      <c r="G28" s="10" t="n">
        <f aca="false">Sheet27!I10</f>
        <v>86.204</v>
      </c>
      <c r="H28" s="11" t="n">
        <f aca="false">IFERROR(G28/F28,"")</f>
        <v>258.870870870871</v>
      </c>
      <c r="I28" s="8"/>
    </row>
    <row r="29" customFormat="false" ht="33" hidden="false" customHeight="true" outlineLevel="0" collapsed="false">
      <c r="A29" s="4" t="n">
        <v>27</v>
      </c>
      <c r="B29" s="4" t="s">
        <v>14</v>
      </c>
      <c r="C29" s="4" t="s">
        <v>73</v>
      </c>
      <c r="D29" s="4" t="s">
        <v>74</v>
      </c>
      <c r="E29" s="5" t="s">
        <v>21</v>
      </c>
      <c r="F29" s="6" t="n">
        <f aca="false">Sheet28!D20</f>
        <v>0.332</v>
      </c>
      <c r="G29" s="6" t="n">
        <f aca="false">Sheet28!I10</f>
        <v>88.908</v>
      </c>
      <c r="H29" s="7" t="n">
        <f aca="false">IFERROR(G29/F29,"")</f>
        <v>267.795180722892</v>
      </c>
      <c r="I29" s="4"/>
    </row>
    <row r="30" customFormat="false" ht="33" hidden="false" customHeight="true" outlineLevel="0" collapsed="false">
      <c r="A30" s="8" t="n">
        <v>28</v>
      </c>
      <c r="B30" s="8" t="s">
        <v>18</v>
      </c>
      <c r="C30" s="8" t="s">
        <v>75</v>
      </c>
      <c r="D30" s="8" t="s">
        <v>76</v>
      </c>
      <c r="E30" s="9" t="s">
        <v>25</v>
      </c>
      <c r="F30" s="10" t="n">
        <f aca="false">Sheet29!D20</f>
        <v>0.333</v>
      </c>
      <c r="G30" s="10" t="n">
        <f aca="false">Sheet29!I10</f>
        <v>86.815</v>
      </c>
      <c r="H30" s="11" t="n">
        <f aca="false">IFERROR(G30/F30,"")</f>
        <v>260.705705705706</v>
      </c>
      <c r="I30" s="8"/>
    </row>
    <row r="31" customFormat="false" ht="33" hidden="false" customHeight="true" outlineLevel="0" collapsed="false">
      <c r="A31" s="4" t="n">
        <v>29</v>
      </c>
      <c r="B31" s="4" t="s">
        <v>22</v>
      </c>
      <c r="C31" s="4" t="s">
        <v>77</v>
      </c>
      <c r="D31" s="4" t="s">
        <v>78</v>
      </c>
      <c r="E31" s="5" t="s">
        <v>29</v>
      </c>
      <c r="F31" s="6" t="n">
        <f aca="false">Sheet30!D20</f>
        <v>0.341</v>
      </c>
      <c r="G31" s="6" t="n">
        <f aca="false">Sheet30!I10</f>
        <v>87.539</v>
      </c>
      <c r="H31" s="7" t="n">
        <f aca="false">IFERROR(G31/F31,"")</f>
        <v>256.712609970674</v>
      </c>
      <c r="I31" s="4"/>
    </row>
    <row r="32" customFormat="false" ht="33" hidden="false" customHeight="true" outlineLevel="0" collapsed="false">
      <c r="A32" s="8" t="n">
        <v>30</v>
      </c>
      <c r="B32" s="8" t="s">
        <v>26</v>
      </c>
      <c r="C32" s="8" t="s">
        <v>79</v>
      </c>
      <c r="D32" s="8" t="s">
        <v>80</v>
      </c>
      <c r="E32" s="9" t="s">
        <v>32</v>
      </c>
      <c r="F32" s="10" t="n">
        <f aca="false">Sheet31!D20</f>
        <v>0.339</v>
      </c>
      <c r="G32" s="10" t="n">
        <f aca="false">Sheet31!I10</f>
        <v>90.243</v>
      </c>
      <c r="H32" s="11" t="n">
        <f aca="false">IFERROR(G32/F32,"")</f>
        <v>266.203539823009</v>
      </c>
      <c r="I32" s="8"/>
    </row>
    <row r="33" customFormat="false" ht="33" hidden="false" customHeight="true" outlineLevel="0" collapsed="false">
      <c r="A33" s="4" t="n">
        <v>31</v>
      </c>
      <c r="B33" s="4" t="s">
        <v>10</v>
      </c>
      <c r="C33" s="4" t="s">
        <v>81</v>
      </c>
      <c r="D33" s="4" t="s">
        <v>82</v>
      </c>
      <c r="E33" s="5" t="s">
        <v>13</v>
      </c>
      <c r="F33" s="6" t="n">
        <f aca="false">Sheet32!D20</f>
        <v>0.334</v>
      </c>
      <c r="G33" s="6" t="n">
        <f aca="false">Sheet32!I10</f>
        <v>85.338</v>
      </c>
      <c r="H33" s="7" t="n">
        <f aca="false">IFERROR(G33/F33,"")</f>
        <v>255.502994011976</v>
      </c>
      <c r="I33" s="4"/>
    </row>
    <row r="34" customFormat="false" ht="33" hidden="false" customHeight="true" outlineLevel="0" collapsed="false">
      <c r="A34" s="8" t="n">
        <v>32</v>
      </c>
      <c r="B34" s="8" t="s">
        <v>14</v>
      </c>
      <c r="C34" s="8" t="s">
        <v>83</v>
      </c>
      <c r="D34" s="8" t="s">
        <v>84</v>
      </c>
      <c r="E34" s="9" t="s">
        <v>17</v>
      </c>
      <c r="F34" s="10" t="n">
        <f aca="false">Sheet33!D20</f>
        <v>0.244</v>
      </c>
      <c r="G34" s="10" t="n">
        <f aca="false">Sheet33!I10</f>
        <v>66.71</v>
      </c>
      <c r="H34" s="11" t="n">
        <f aca="false">IFERROR(G34/F34,"")</f>
        <v>273.401639344262</v>
      </c>
      <c r="I34" s="8"/>
    </row>
    <row r="35" customFormat="false" ht="33" hidden="false" customHeight="true" outlineLevel="0" collapsed="false">
      <c r="A35" s="4" t="n">
        <v>33</v>
      </c>
      <c r="B35" s="4" t="s">
        <v>18</v>
      </c>
      <c r="C35" s="4" t="s">
        <v>85</v>
      </c>
      <c r="D35" s="4" t="s">
        <v>86</v>
      </c>
      <c r="E35" s="5" t="s">
        <v>21</v>
      </c>
      <c r="F35" s="6" t="n">
        <f aca="false">Sheet34!D20</f>
        <v>0.246</v>
      </c>
      <c r="G35" s="6" t="n">
        <f aca="false">Sheet34!I10</f>
        <v>70.393</v>
      </c>
      <c r="H35" s="7" t="n">
        <f aca="false">IFERROR(G35/F35,"")</f>
        <v>286.150406504065</v>
      </c>
      <c r="I35" s="4"/>
    </row>
    <row r="36" customFormat="false" ht="33" hidden="false" customHeight="true" outlineLevel="0" collapsed="false">
      <c r="A36" s="8" t="n">
        <v>34</v>
      </c>
      <c r="B36" s="8" t="s">
        <v>22</v>
      </c>
      <c r="C36" s="8" t="s">
        <v>87</v>
      </c>
      <c r="D36" s="8" t="s">
        <v>88</v>
      </c>
      <c r="E36" s="9" t="s">
        <v>25</v>
      </c>
      <c r="F36" s="10" t="n">
        <f aca="false">Sheet35!D20</f>
        <v>0.244</v>
      </c>
      <c r="G36" s="10" t="n">
        <f aca="false">Sheet35!I10</f>
        <v>70.393</v>
      </c>
      <c r="H36" s="11" t="n">
        <f aca="false">IFERROR(G36/F36,"")</f>
        <v>288.495901639344</v>
      </c>
      <c r="I36" s="8"/>
    </row>
    <row r="37" customFormat="false" ht="33" hidden="false" customHeight="true" outlineLevel="0" collapsed="false">
      <c r="A37" s="4" t="n">
        <v>35</v>
      </c>
      <c r="B37" s="4" t="s">
        <v>26</v>
      </c>
      <c r="C37" s="4" t="s">
        <v>89</v>
      </c>
      <c r="D37" s="4" t="s">
        <v>90</v>
      </c>
      <c r="E37" s="5" t="s">
        <v>29</v>
      </c>
      <c r="F37" s="6" t="n">
        <f aca="false">Sheet36!D20</f>
        <v>0.248</v>
      </c>
      <c r="G37" s="6" t="n">
        <f aca="false">Sheet36!I10</f>
        <v>68.261</v>
      </c>
      <c r="H37" s="7" t="n">
        <f aca="false">IFERROR(G37/F37,"")</f>
        <v>275.245967741935</v>
      </c>
      <c r="I37" s="4"/>
    </row>
    <row r="38" customFormat="false" ht="33" hidden="false" customHeight="true" outlineLevel="0" collapsed="false">
      <c r="A38" s="8" t="n">
        <v>36</v>
      </c>
      <c r="B38" s="8" t="s">
        <v>10</v>
      </c>
      <c r="C38" s="8" t="s">
        <v>91</v>
      </c>
      <c r="D38" s="8" t="s">
        <v>92</v>
      </c>
      <c r="E38" s="9" t="s">
        <v>32</v>
      </c>
      <c r="F38" s="10" t="n">
        <f aca="false">Sheet37!D20</f>
        <v>0.402</v>
      </c>
      <c r="G38" s="10" t="n">
        <f aca="false">Sheet37!I10</f>
        <v>96.171</v>
      </c>
      <c r="H38" s="11" t="n">
        <f aca="false">IFERROR(G38/F38,"")</f>
        <v>239.231343283582</v>
      </c>
      <c r="I38" s="8"/>
    </row>
    <row r="39" customFormat="false" ht="33" hidden="false" customHeight="true" outlineLevel="0" collapsed="false">
      <c r="A39" s="4" t="n">
        <v>37</v>
      </c>
      <c r="B39" s="4" t="s">
        <v>14</v>
      </c>
      <c r="C39" s="4" t="s">
        <v>93</v>
      </c>
      <c r="D39" s="4" t="s">
        <v>94</v>
      </c>
      <c r="E39" s="5" t="s">
        <v>13</v>
      </c>
      <c r="F39" s="6" t="n">
        <f aca="false">Sheet38!D20</f>
        <v>0.402</v>
      </c>
      <c r="G39" s="6" t="n">
        <f aca="false">Sheet38!I10</f>
        <v>100.56</v>
      </c>
      <c r="H39" s="7" t="n">
        <f aca="false">IFERROR(G39/F39,"")</f>
        <v>250.149253731343</v>
      </c>
      <c r="I39" s="4"/>
    </row>
    <row r="40" customFormat="false" ht="33" hidden="false" customHeight="true" outlineLevel="0" collapsed="false">
      <c r="A40" s="8" t="n">
        <v>38</v>
      </c>
      <c r="B40" s="8" t="s">
        <v>18</v>
      </c>
      <c r="C40" s="8" t="s">
        <v>95</v>
      </c>
      <c r="D40" s="8" t="s">
        <v>96</v>
      </c>
      <c r="E40" s="9" t="s">
        <v>17</v>
      </c>
      <c r="F40" s="10" t="n">
        <f aca="false">Sheet39!D20</f>
        <v>0.402</v>
      </c>
      <c r="G40" s="10" t="n">
        <f aca="false">Sheet39!I10</f>
        <v>100.56</v>
      </c>
      <c r="H40" s="11" t="n">
        <f aca="false">IFERROR(G40/F40,"")</f>
        <v>250.149253731343</v>
      </c>
      <c r="I40" s="8"/>
    </row>
    <row r="41" customFormat="false" ht="33" hidden="false" customHeight="true" outlineLevel="0" collapsed="false">
      <c r="A41" s="4" t="n">
        <v>39</v>
      </c>
      <c r="B41" s="4" t="s">
        <v>22</v>
      </c>
      <c r="C41" s="4" t="s">
        <v>97</v>
      </c>
      <c r="D41" s="4" t="s">
        <v>98</v>
      </c>
      <c r="E41" s="5" t="s">
        <v>21</v>
      </c>
      <c r="F41" s="6" t="n">
        <v>0.404</v>
      </c>
      <c r="G41" s="6" t="n">
        <v>97.116</v>
      </c>
      <c r="H41" s="7" t="n">
        <f aca="false">IFERROR(G41/F41,"")</f>
        <v>240.386138613861</v>
      </c>
      <c r="I41" s="4"/>
    </row>
    <row r="42" customFormat="false" ht="33" hidden="false" customHeight="true" outlineLevel="0" collapsed="false">
      <c r="A42" s="8" t="n">
        <v>40</v>
      </c>
      <c r="B42" s="8" t="s">
        <v>26</v>
      </c>
      <c r="C42" s="8" t="s">
        <v>99</v>
      </c>
      <c r="D42" s="8" t="s">
        <v>100</v>
      </c>
      <c r="E42" s="9" t="s">
        <v>25</v>
      </c>
      <c r="F42" s="10" t="n">
        <f aca="false">Sheet41!D20</f>
        <v>0.33</v>
      </c>
      <c r="G42" s="10" t="n">
        <f aca="false">Sheet41!I10</f>
        <v>48.783</v>
      </c>
      <c r="H42" s="11" t="n">
        <f aca="false">IFERROR(G42/F42,"")</f>
        <v>147.827272727273</v>
      </c>
      <c r="I42" s="8"/>
    </row>
    <row r="43" customFormat="false" ht="33" hidden="false" customHeight="true" outlineLevel="0" collapsed="false">
      <c r="A43" s="4" t="n">
        <v>41</v>
      </c>
      <c r="B43" s="4" t="s">
        <v>10</v>
      </c>
      <c r="C43" s="4" t="s">
        <v>101</v>
      </c>
      <c r="D43" s="4" t="s">
        <v>102</v>
      </c>
      <c r="E43" s="5" t="s">
        <v>29</v>
      </c>
      <c r="F43" s="6" t="n">
        <f aca="false">Sheet42!E21</f>
        <v>0.329</v>
      </c>
      <c r="G43" s="6" t="n">
        <f aca="false">Sheet42!I11</f>
        <v>50.079</v>
      </c>
      <c r="H43" s="7" t="n">
        <f aca="false">IFERROR(G43/F43,"")</f>
        <v>152.215805471125</v>
      </c>
      <c r="I43" s="4"/>
    </row>
    <row r="44" customFormat="false" ht="33" hidden="false" customHeight="true" outlineLevel="0" collapsed="false">
      <c r="A44" s="8" t="n">
        <v>42</v>
      </c>
      <c r="B44" s="8" t="s">
        <v>14</v>
      </c>
      <c r="C44" s="8" t="s">
        <v>103</v>
      </c>
      <c r="D44" s="8" t="s">
        <v>104</v>
      </c>
      <c r="E44" s="9" t="s">
        <v>32</v>
      </c>
      <c r="F44" s="10" t="n">
        <f aca="false">Sheet43!E21</f>
        <v>0.329</v>
      </c>
      <c r="G44" s="10" t="n">
        <f aca="false">Sheet43!I11</f>
        <v>50.079</v>
      </c>
      <c r="H44" s="11" t="n">
        <f aca="false">IFERROR(G44/F44,"")</f>
        <v>152.215805471125</v>
      </c>
      <c r="I44" s="8"/>
    </row>
    <row r="45" customFormat="false" ht="33" hidden="false" customHeight="true" outlineLevel="0" collapsed="false">
      <c r="A45" s="4" t="n">
        <v>43</v>
      </c>
      <c r="B45" s="4" t="s">
        <v>18</v>
      </c>
      <c r="C45" s="4" t="s">
        <v>105</v>
      </c>
      <c r="D45" s="4" t="s">
        <v>106</v>
      </c>
      <c r="E45" s="5" t="s">
        <v>13</v>
      </c>
      <c r="F45" s="6" t="n">
        <f aca="false">Sheet44!E21</f>
        <v>0.33</v>
      </c>
      <c r="G45" s="6" t="n">
        <f aca="false">Sheet44!I11</f>
        <v>48.783</v>
      </c>
      <c r="H45" s="7" t="n">
        <f aca="false">IFERROR(G45/F45,"")</f>
        <v>147.827272727273</v>
      </c>
      <c r="I45" s="4"/>
    </row>
    <row r="46" customFormat="false" ht="33" hidden="false" customHeight="true" outlineLevel="0" collapsed="false">
      <c r="A46" s="8" t="n">
        <v>44</v>
      </c>
      <c r="B46" s="8" t="s">
        <v>22</v>
      </c>
      <c r="C46" s="8" t="s">
        <v>107</v>
      </c>
      <c r="D46" s="8" t="s">
        <v>108</v>
      </c>
      <c r="E46" s="9" t="s">
        <v>17</v>
      </c>
      <c r="F46" s="10" t="n">
        <f aca="false">Sheet45!E21</f>
        <v>0.356</v>
      </c>
      <c r="G46" s="10" t="n">
        <f aca="false">Sheet45!I11</f>
        <v>53.267</v>
      </c>
      <c r="H46" s="11" t="n">
        <f aca="false">IFERROR(G46/F46,"")</f>
        <v>149.626404494382</v>
      </c>
      <c r="I46" s="8"/>
    </row>
    <row r="47" customFormat="false" ht="33" hidden="false" customHeight="true" outlineLevel="0" collapsed="false">
      <c r="A47" s="4" t="n">
        <v>45</v>
      </c>
      <c r="B47" s="4" t="s">
        <v>26</v>
      </c>
      <c r="C47" s="4" t="s">
        <v>109</v>
      </c>
      <c r="D47" s="4" t="s">
        <v>110</v>
      </c>
      <c r="E47" s="5" t="s">
        <v>21</v>
      </c>
      <c r="F47" s="6" t="n">
        <f aca="false">Sheet46!E21</f>
        <v>0.357</v>
      </c>
      <c r="G47" s="6" t="n">
        <f aca="false">Sheet46!I11</f>
        <v>55.255</v>
      </c>
      <c r="H47" s="7" t="n">
        <f aca="false">IFERROR(G47/F47,"")</f>
        <v>154.775910364146</v>
      </c>
      <c r="I47" s="4"/>
    </row>
    <row r="48" customFormat="false" ht="33" hidden="false" customHeight="true" outlineLevel="0" collapsed="false">
      <c r="A48" s="8" t="n">
        <v>46</v>
      </c>
      <c r="B48" s="8" t="s">
        <v>10</v>
      </c>
      <c r="C48" s="8" t="s">
        <v>111</v>
      </c>
      <c r="D48" s="8" t="s">
        <v>112</v>
      </c>
      <c r="E48" s="9" t="s">
        <v>25</v>
      </c>
      <c r="F48" s="10" t="n">
        <f aca="false">Sheet47!E21</f>
        <v>0.357</v>
      </c>
      <c r="G48" s="10" t="n">
        <f aca="false">Sheet47!I11</f>
        <v>55.255</v>
      </c>
      <c r="H48" s="11" t="n">
        <f aca="false">IFERROR(G48/F48,"")</f>
        <v>154.775910364146</v>
      </c>
      <c r="I48" s="8"/>
    </row>
    <row r="49" customFormat="false" ht="33" hidden="false" customHeight="true" outlineLevel="0" collapsed="false">
      <c r="A49" s="4" t="n">
        <v>47</v>
      </c>
      <c r="B49" s="4" t="s">
        <v>14</v>
      </c>
      <c r="C49" s="4" t="s">
        <v>113</v>
      </c>
      <c r="D49" s="4" t="s">
        <v>114</v>
      </c>
      <c r="E49" s="5" t="s">
        <v>29</v>
      </c>
      <c r="F49" s="6" t="n">
        <f aca="false">Sheet48!E21</f>
        <v>0.35</v>
      </c>
      <c r="G49" s="6" t="n">
        <f aca="false">Sheet48!I11</f>
        <v>53.102</v>
      </c>
      <c r="H49" s="7" t="n">
        <f aca="false">IFERROR(G49/F49,"")</f>
        <v>151.72</v>
      </c>
      <c r="I49" s="4"/>
    </row>
    <row r="50" customFormat="false" ht="33" hidden="false" customHeight="true" outlineLevel="0" collapsed="false">
      <c r="A50" s="8" t="n">
        <v>48</v>
      </c>
      <c r="B50" s="8" t="s">
        <v>18</v>
      </c>
      <c r="C50" s="8" t="s">
        <v>115</v>
      </c>
      <c r="D50" s="8" t="s">
        <v>116</v>
      </c>
      <c r="E50" s="9" t="s">
        <v>32</v>
      </c>
      <c r="F50" s="10" t="n">
        <f aca="false">Sheet49!E21</f>
        <v>0.299</v>
      </c>
      <c r="G50" s="10" t="n">
        <f aca="false">Sheet49!I11</f>
        <v>43.79</v>
      </c>
      <c r="H50" s="11" t="n">
        <f aca="false">IFERROR(G50/F50,"")</f>
        <v>146.454849498328</v>
      </c>
      <c r="I50" s="8"/>
    </row>
    <row r="51" customFormat="false" ht="33" hidden="false" customHeight="true" outlineLevel="0" collapsed="false">
      <c r="A51" s="4" t="n">
        <v>49</v>
      </c>
      <c r="B51" s="4" t="s">
        <v>22</v>
      </c>
      <c r="C51" s="4" t="s">
        <v>117</v>
      </c>
      <c r="D51" s="4" t="s">
        <v>118</v>
      </c>
      <c r="E51" s="5" t="s">
        <v>13</v>
      </c>
      <c r="F51" s="6" t="n">
        <f aca="false">Sheet50!E21</f>
        <v>0.3</v>
      </c>
      <c r="G51" s="6" t="n">
        <f aca="false">Sheet50!I11</f>
        <v>45.414</v>
      </c>
      <c r="H51" s="7" t="n">
        <f aca="false">IFERROR(G51/F51,"")</f>
        <v>151.38</v>
      </c>
      <c r="I51" s="4"/>
    </row>
    <row r="52" customFormat="false" ht="33" hidden="false" customHeight="true" outlineLevel="0" collapsed="false">
      <c r="A52" s="8" t="n">
        <v>50</v>
      </c>
      <c r="B52" s="8" t="s">
        <v>26</v>
      </c>
      <c r="C52" s="8" t="s">
        <v>119</v>
      </c>
      <c r="D52" s="8" t="s">
        <v>120</v>
      </c>
      <c r="E52" s="9" t="s">
        <v>17</v>
      </c>
      <c r="F52" s="10" t="n">
        <f aca="false">Sheet51!E21</f>
        <v>0.3</v>
      </c>
      <c r="G52" s="10" t="n">
        <f aca="false">Sheet51!I11</f>
        <v>45.414</v>
      </c>
      <c r="H52" s="11" t="n">
        <f aca="false">IFERROR(G52/F52,"")</f>
        <v>151.38</v>
      </c>
      <c r="I52" s="8"/>
    </row>
    <row r="53" customFormat="false" ht="33" hidden="false" customHeight="true" outlineLevel="0" collapsed="false">
      <c r="A53" s="4" t="n">
        <v>51</v>
      </c>
      <c r="B53" s="4" t="s">
        <v>10</v>
      </c>
      <c r="C53" s="4" t="s">
        <v>121</v>
      </c>
      <c r="D53" s="4" t="s">
        <v>122</v>
      </c>
      <c r="E53" s="5" t="s">
        <v>21</v>
      </c>
      <c r="F53" s="6" t="n">
        <f aca="false">Sheet52!E21</f>
        <v>0.296</v>
      </c>
      <c r="G53" s="6" t="n">
        <f aca="false">Sheet52!I11</f>
        <v>43.678</v>
      </c>
      <c r="H53" s="7" t="n">
        <f aca="false">IFERROR(G53/F53,"")</f>
        <v>147.560810810811</v>
      </c>
      <c r="I53" s="4"/>
    </row>
    <row r="54" customFormat="false" ht="33" hidden="false" customHeight="true" outlineLevel="0" collapsed="false">
      <c r="A54" s="8" t="n">
        <v>52</v>
      </c>
      <c r="B54" s="8" t="s">
        <v>14</v>
      </c>
      <c r="C54" s="8" t="s">
        <v>123</v>
      </c>
      <c r="D54" s="8" t="s">
        <v>124</v>
      </c>
      <c r="E54" s="9" t="s">
        <v>25</v>
      </c>
      <c r="F54" s="10" t="n">
        <f aca="false">Sheet53!E21</f>
        <v>0.319</v>
      </c>
      <c r="G54" s="10" t="n">
        <f aca="false">Sheet53!I11</f>
        <v>46.966</v>
      </c>
      <c r="H54" s="11" t="n">
        <f aca="false">IFERROR(G54/F54,"")</f>
        <v>147.228840125392</v>
      </c>
      <c r="I54" s="8"/>
    </row>
    <row r="55" customFormat="false" ht="33" hidden="false" customHeight="true" outlineLevel="0" collapsed="false">
      <c r="A55" s="4" t="n">
        <v>53</v>
      </c>
      <c r="B55" s="4" t="s">
        <v>18</v>
      </c>
      <c r="C55" s="4" t="s">
        <v>125</v>
      </c>
      <c r="D55" s="4" t="s">
        <v>126</v>
      </c>
      <c r="E55" s="5" t="s">
        <v>29</v>
      </c>
      <c r="F55" s="6" t="n">
        <f aca="false">Sheet54!E21</f>
        <v>0.317</v>
      </c>
      <c r="G55" s="6" t="n">
        <f aca="false">Sheet54!I11</f>
        <v>48.262</v>
      </c>
      <c r="H55" s="7" t="n">
        <f aca="false">IFERROR(G55/F55,"")</f>
        <v>152.246056782334</v>
      </c>
      <c r="I55" s="4"/>
    </row>
    <row r="56" customFormat="false" ht="33" hidden="false" customHeight="true" outlineLevel="0" collapsed="false">
      <c r="A56" s="8" t="n">
        <v>54</v>
      </c>
      <c r="B56" s="8" t="s">
        <v>22</v>
      </c>
      <c r="C56" s="8" t="s">
        <v>127</v>
      </c>
      <c r="D56" s="8" t="s">
        <v>128</v>
      </c>
      <c r="E56" s="9" t="s">
        <v>32</v>
      </c>
      <c r="F56" s="10" t="n">
        <f aca="false">Sheet55!E21</f>
        <v>0.317</v>
      </c>
      <c r="G56" s="10" t="n">
        <f aca="false">Sheet55!I11</f>
        <v>48.262</v>
      </c>
      <c r="H56" s="11" t="n">
        <f aca="false">IFERROR(G56/F56,"")</f>
        <v>152.246056782334</v>
      </c>
      <c r="I56" s="8"/>
    </row>
    <row r="57" customFormat="false" ht="33" hidden="false" customHeight="true" outlineLevel="0" collapsed="false">
      <c r="A57" s="4" t="n">
        <v>55</v>
      </c>
      <c r="B57" s="4" t="s">
        <v>26</v>
      </c>
      <c r="C57" s="4" t="s">
        <v>129</v>
      </c>
      <c r="D57" s="4" t="s">
        <v>130</v>
      </c>
      <c r="E57" s="5" t="s">
        <v>13</v>
      </c>
      <c r="F57" s="6" t="n">
        <f aca="false">Sheet56!E21</f>
        <v>0.319</v>
      </c>
      <c r="G57" s="6" t="n">
        <f aca="false">Sheet56!I11</f>
        <v>46.966</v>
      </c>
      <c r="H57" s="7" t="n">
        <f aca="false">IFERROR(G57/F57,"")</f>
        <v>147.228840125392</v>
      </c>
      <c r="I57" s="4"/>
    </row>
    <row r="58" customFormat="false" ht="33" hidden="false" customHeight="true" outlineLevel="0" collapsed="false">
      <c r="A58" s="8" t="n">
        <v>56</v>
      </c>
      <c r="B58" s="8" t="s">
        <v>10</v>
      </c>
      <c r="C58" s="8" t="s">
        <v>131</v>
      </c>
      <c r="D58" s="8" t="s">
        <v>132</v>
      </c>
      <c r="E58" s="9" t="s">
        <v>17</v>
      </c>
      <c r="F58" s="10" t="n">
        <f aca="false">Sheet57!E21</f>
        <v>0.322</v>
      </c>
      <c r="G58" s="10" t="n">
        <f aca="false">Sheet57!I11</f>
        <v>46.985</v>
      </c>
      <c r="H58" s="11" t="n">
        <f aca="false">IFERROR(G58/F58,"")</f>
        <v>145.916149068323</v>
      </c>
      <c r="I58" s="8"/>
    </row>
    <row r="59" customFormat="false" ht="33" hidden="false" customHeight="true" outlineLevel="0" collapsed="false">
      <c r="A59" s="4" t="n">
        <v>57</v>
      </c>
      <c r="B59" s="4" t="s">
        <v>14</v>
      </c>
      <c r="C59" s="4" t="s">
        <v>133</v>
      </c>
      <c r="D59" s="4" t="s">
        <v>134</v>
      </c>
      <c r="E59" s="5" t="s">
        <v>21</v>
      </c>
      <c r="F59" s="6" t="n">
        <f aca="false">Sheet58!E21</f>
        <v>0.323</v>
      </c>
      <c r="G59" s="6" t="n">
        <f aca="false">Sheet58!I11</f>
        <v>48.691</v>
      </c>
      <c r="H59" s="7" t="n">
        <f aca="false">IFERROR(G59/F59,"")</f>
        <v>150.74613003096</v>
      </c>
      <c r="I59" s="4"/>
    </row>
    <row r="60" customFormat="false" ht="33" hidden="false" customHeight="true" outlineLevel="0" collapsed="false">
      <c r="A60" s="8" t="n">
        <v>58</v>
      </c>
      <c r="B60" s="8" t="s">
        <v>18</v>
      </c>
      <c r="C60" s="8" t="s">
        <v>135</v>
      </c>
      <c r="D60" s="8" t="s">
        <v>136</v>
      </c>
      <c r="E60" s="9" t="s">
        <v>25</v>
      </c>
      <c r="F60" s="10" t="n">
        <f aca="false">Sheet59!E21</f>
        <v>0.323</v>
      </c>
      <c r="G60" s="10" t="n">
        <f aca="false">Sheet59!I11</f>
        <v>48.691</v>
      </c>
      <c r="H60" s="11" t="n">
        <f aca="false">IFERROR(G60/F60,"")</f>
        <v>150.74613003096</v>
      </c>
      <c r="I60" s="8"/>
    </row>
    <row r="61" customFormat="false" ht="33" hidden="false" customHeight="true" outlineLevel="0" collapsed="false">
      <c r="A61" s="4" t="n">
        <v>59</v>
      </c>
      <c r="B61" s="4" t="s">
        <v>22</v>
      </c>
      <c r="C61" s="4" t="s">
        <v>137</v>
      </c>
      <c r="D61" s="4" t="s">
        <v>138</v>
      </c>
      <c r="E61" s="5" t="s">
        <v>29</v>
      </c>
      <c r="F61" s="6" t="n">
        <f aca="false">Sheet60!E21</f>
        <v>0.32</v>
      </c>
      <c r="G61" s="6" t="n">
        <f aca="false">Sheet60!I11</f>
        <v>47.047</v>
      </c>
      <c r="H61" s="7" t="n">
        <f aca="false">IFERROR(G61/F61,"")</f>
        <v>147.021875</v>
      </c>
      <c r="I61" s="4"/>
    </row>
    <row r="62" customFormat="false" ht="33" hidden="false" customHeight="true" outlineLevel="0" collapsed="false">
      <c r="A62" s="8" t="n">
        <v>60</v>
      </c>
      <c r="B62" s="8" t="s">
        <v>26</v>
      </c>
      <c r="C62" s="8" t="s">
        <v>139</v>
      </c>
      <c r="D62" s="8" t="s">
        <v>140</v>
      </c>
      <c r="E62" s="9" t="s">
        <v>32</v>
      </c>
      <c r="F62" s="10" t="n">
        <f aca="false">Sheet61!E21</f>
        <v>0.393</v>
      </c>
      <c r="G62" s="10" t="n">
        <f aca="false">Sheet61!I11</f>
        <v>56.682</v>
      </c>
      <c r="H62" s="11" t="n">
        <f aca="false">IFERROR(G62/F62,"")</f>
        <v>144.229007633588</v>
      </c>
      <c r="I62" s="8"/>
    </row>
    <row r="71" customFormat="false" ht="24" hidden="false" customHeight="true" outlineLevel="0" collapsed="false"/>
  </sheetData>
  <mergeCells count="1">
    <mergeCell ref="A1:I1"/>
  </mergeCells>
  <conditionalFormatting sqref="H3:H62">
    <cfRule type="colorScale" priority="2">
      <colorScale>
        <cfvo type="min" val="0"/>
        <cfvo type="percentile" val="50"/>
        <cfvo type="max" val="0"/>
        <color rgb="FFD9EAF7"/>
        <color rgb="FFFFF2CC"/>
        <color rgb="FFF4B18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141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12</v>
      </c>
      <c r="C2" s="13" t="s">
        <v>143</v>
      </c>
      <c r="D2" s="14" t="s">
        <v>144</v>
      </c>
      <c r="E2" s="13" t="s">
        <v>145</v>
      </c>
      <c r="F2" s="15" t="s">
        <v>13</v>
      </c>
      <c r="G2" s="16" t="s">
        <v>146</v>
      </c>
      <c r="H2" s="17" t="n">
        <v>19.006</v>
      </c>
      <c r="I2" s="17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9</v>
      </c>
      <c r="F6" s="23" t="n">
        <v>1048</v>
      </c>
      <c r="G6" s="24" t="n">
        <v>1.02</v>
      </c>
      <c r="H6" s="22" t="s">
        <v>159</v>
      </c>
      <c r="I6" s="25" t="n">
        <v>5.855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7</v>
      </c>
      <c r="F7" s="28" t="n">
        <v>1359</v>
      </c>
      <c r="G7" s="29" t="n">
        <v>0.98</v>
      </c>
      <c r="H7" s="27" t="s">
        <v>163</v>
      </c>
      <c r="I7" s="30" t="n">
        <v>5.528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17</v>
      </c>
      <c r="F8" s="23" t="n">
        <v>1670</v>
      </c>
      <c r="G8" s="24" t="n">
        <v>1</v>
      </c>
      <c r="H8" s="22" t="s">
        <v>167</v>
      </c>
      <c r="I8" s="25" t="n">
        <v>4.482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3</v>
      </c>
      <c r="F9" s="28" t="n">
        <v>1981</v>
      </c>
      <c r="G9" s="29" t="n">
        <v>1.05</v>
      </c>
      <c r="H9" s="27" t="s">
        <v>170</v>
      </c>
      <c r="I9" s="30" t="n">
        <v>3.141</v>
      </c>
    </row>
    <row r="10" customFormat="false" ht="21.7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</row>
    <row r="11" customFormat="false" ht="9" hidden="false" customHeight="true" outlineLevel="0" collapsed="false">
      <c r="A11" s="19" t="s">
        <v>171</v>
      </c>
      <c r="B11" s="19"/>
      <c r="C11" s="19"/>
      <c r="D11" s="19"/>
      <c r="E11" s="19"/>
      <c r="F11" s="19"/>
      <c r="G11" s="19"/>
      <c r="H11" s="19"/>
      <c r="I11" s="19"/>
    </row>
    <row r="12" customFormat="false" ht="22.5" hidden="false" customHeight="true" outlineLevel="0" collapsed="false">
      <c r="A12" s="20" t="s">
        <v>172</v>
      </c>
      <c r="B12" s="20" t="s">
        <v>173</v>
      </c>
      <c r="C12" s="20" t="s">
        <v>174</v>
      </c>
      <c r="D12" s="20" t="s">
        <v>175</v>
      </c>
      <c r="E12" s="20" t="s">
        <v>151</v>
      </c>
      <c r="F12" s="20" t="s">
        <v>176</v>
      </c>
      <c r="G12" s="20" t="s">
        <v>177</v>
      </c>
      <c r="H12" s="20" t="s">
        <v>178</v>
      </c>
      <c r="I12" s="20" t="s">
        <v>9</v>
      </c>
    </row>
    <row r="13" customFormat="false" ht="21.75" hidden="false" customHeight="true" outlineLevel="0" collapsed="false">
      <c r="A13" s="21" t="s">
        <v>179</v>
      </c>
      <c r="B13" s="22" t="s">
        <v>180</v>
      </c>
      <c r="C13" s="21" t="s">
        <v>181</v>
      </c>
      <c r="D13" s="21" t="s">
        <v>182</v>
      </c>
      <c r="E13" s="21" t="n">
        <v>10</v>
      </c>
      <c r="F13" s="22" t="s">
        <v>183</v>
      </c>
      <c r="G13" s="22" t="s">
        <v>184</v>
      </c>
      <c r="H13" s="22" t="s">
        <v>185</v>
      </c>
      <c r="I13" s="21"/>
    </row>
    <row r="14" customFormat="false" ht="21.75" hidden="false" customHeight="true" outlineLevel="0" collapsed="false">
      <c r="A14" s="26" t="s">
        <v>186</v>
      </c>
      <c r="B14" s="27" t="s">
        <v>187</v>
      </c>
      <c r="C14" s="26" t="s">
        <v>188</v>
      </c>
      <c r="D14" s="27" t="s">
        <v>189</v>
      </c>
      <c r="E14" s="26" t="n">
        <v>2</v>
      </c>
      <c r="F14" s="27" t="s">
        <v>190</v>
      </c>
      <c r="G14" s="27" t="s">
        <v>191</v>
      </c>
      <c r="H14" s="27" t="s">
        <v>192</v>
      </c>
      <c r="I14" s="26"/>
    </row>
    <row r="15" customFormat="false" ht="21.75" hidden="false" customHeight="true" outlineLevel="0" collapsed="false">
      <c r="A15" s="21" t="s">
        <v>193</v>
      </c>
      <c r="B15" s="22" t="s">
        <v>194</v>
      </c>
      <c r="C15" s="21" t="s">
        <v>195</v>
      </c>
      <c r="D15" s="22" t="s">
        <v>196</v>
      </c>
      <c r="E15" s="21" t="n">
        <v>2</v>
      </c>
      <c r="F15" s="22" t="s">
        <v>197</v>
      </c>
      <c r="G15" s="22" t="s">
        <v>198</v>
      </c>
      <c r="H15" s="22" t="s">
        <v>199</v>
      </c>
      <c r="I15" s="21"/>
    </row>
    <row r="16" customFormat="false" ht="21.7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</row>
    <row r="17" customFormat="false" ht="9" hidden="false" customHeight="true" outlineLevel="0" collapsed="false">
      <c r="A17" s="19" t="s">
        <v>200</v>
      </c>
      <c r="B17" s="19"/>
      <c r="C17" s="19"/>
      <c r="D17" s="19"/>
      <c r="E17" s="19"/>
      <c r="F17" s="19"/>
      <c r="G17" s="19"/>
      <c r="H17" s="19"/>
      <c r="I17" s="19"/>
    </row>
    <row r="18" customFormat="false" ht="22.5" hidden="false" customHeight="true" outlineLevel="0" collapsed="false">
      <c r="A18" s="20" t="s">
        <v>201</v>
      </c>
      <c r="B18" s="20" t="s">
        <v>202</v>
      </c>
      <c r="C18" s="20" t="s">
        <v>203</v>
      </c>
      <c r="D18" s="20" t="s">
        <v>204</v>
      </c>
      <c r="E18" s="20" t="s">
        <v>205</v>
      </c>
      <c r="F18" s="20" t="s">
        <v>206</v>
      </c>
      <c r="G18" s="20" t="s">
        <v>207</v>
      </c>
      <c r="H18" s="20" t="s">
        <v>208</v>
      </c>
      <c r="I18" s="20" t="s">
        <v>9</v>
      </c>
    </row>
    <row r="19" customFormat="false" ht="21.75" hidden="false" customHeight="true" outlineLevel="0" collapsed="false">
      <c r="A19" s="22" t="s">
        <v>209</v>
      </c>
      <c r="B19" s="21" t="s">
        <v>210</v>
      </c>
      <c r="C19" s="21" t="s">
        <v>211</v>
      </c>
      <c r="D19" s="31" t="n">
        <v>0.12</v>
      </c>
      <c r="E19" s="23" t="n">
        <v>1</v>
      </c>
      <c r="F19" s="22" t="s">
        <v>212</v>
      </c>
      <c r="G19" s="22" t="s">
        <v>213</v>
      </c>
      <c r="H19" s="25" t="n">
        <v>0.049</v>
      </c>
      <c r="I19" s="25"/>
    </row>
    <row r="20" customFormat="false" ht="21.7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/>
    <row r="26" customFormat="false" ht="25.5" hidden="false" customHeight="true" outlineLevel="0" collapsed="false"/>
    <row r="27" customFormat="false" ht="19.5" hidden="false" customHeight="true" outlineLevel="0" collapsed="false"/>
  </sheetData>
  <mergeCells count="4">
    <mergeCell ref="A1:I1"/>
    <mergeCell ref="A4:I4"/>
    <mergeCell ref="A11:I11"/>
    <mergeCell ref="A17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214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16</v>
      </c>
      <c r="C2" s="13" t="s">
        <v>143</v>
      </c>
      <c r="D2" s="14" t="s">
        <v>215</v>
      </c>
      <c r="E2" s="13" t="s">
        <v>145</v>
      </c>
      <c r="F2" s="15" t="s">
        <v>17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6</v>
      </c>
      <c r="F6" s="23" t="n">
        <v>1185</v>
      </c>
      <c r="G6" s="24" t="n">
        <v>1.02</v>
      </c>
      <c r="H6" s="22" t="s">
        <v>159</v>
      </c>
      <c r="I6" s="25" t="n">
        <v>6.209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16</v>
      </c>
      <c r="F7" s="28" t="n">
        <v>1496</v>
      </c>
      <c r="G7" s="29" t="n">
        <v>0.98</v>
      </c>
      <c r="H7" s="27" t="s">
        <v>163</v>
      </c>
      <c r="I7" s="30" t="n">
        <v>5.158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6</v>
      </c>
      <c r="F8" s="23" t="n">
        <v>1807</v>
      </c>
      <c r="G8" s="24" t="n">
        <v>1</v>
      </c>
      <c r="H8" s="22" t="s">
        <v>167</v>
      </c>
      <c r="I8" s="25" t="n">
        <v>3.36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16</v>
      </c>
      <c r="F9" s="28" t="n">
        <v>2118</v>
      </c>
      <c r="G9" s="29" t="n">
        <v>1.05</v>
      </c>
      <c r="H9" s="27" t="s">
        <v>170</v>
      </c>
      <c r="I9" s="30" t="n">
        <v>2.695</v>
      </c>
    </row>
    <row r="10" customFormat="false" ht="21.75" hidden="false" customHeight="true" outlineLevel="0" collapsed="false">
      <c r="A10" s="33" t="n">
        <v>17.422</v>
      </c>
      <c r="B10" s="33"/>
      <c r="C10" s="33"/>
      <c r="D10" s="33"/>
      <c r="E10" s="33"/>
      <c r="F10" s="33"/>
      <c r="G10" s="33"/>
      <c r="H10" s="33"/>
      <c r="I10" s="16" t="s">
        <v>146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219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220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223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204</v>
      </c>
      <c r="E19" s="20" t="s">
        <v>224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225</v>
      </c>
      <c r="D20" s="31" t="n">
        <v>0.12</v>
      </c>
      <c r="E20" s="25" t="n">
        <v>0.049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/>
    <row r="25" customFormat="false" ht="9" hidden="false" customHeight="true" outlineLevel="0" collapsed="false"/>
    <row r="26" customFormat="false" ht="25.5" hidden="false" customHeight="true" outlineLevel="0" collapsed="false"/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226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20</v>
      </c>
      <c r="C2" s="13" t="s">
        <v>143</v>
      </c>
      <c r="D2" s="14" t="s">
        <v>227</v>
      </c>
      <c r="E2" s="13" t="s">
        <v>145</v>
      </c>
      <c r="F2" s="15" t="s">
        <v>21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17</v>
      </c>
      <c r="F6" s="23" t="n">
        <v>1322</v>
      </c>
      <c r="G6" s="24" t="n">
        <v>1.02</v>
      </c>
      <c r="H6" s="22" t="s">
        <v>159</v>
      </c>
      <c r="I6" s="25" t="n">
        <v>6.48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18</v>
      </c>
      <c r="F7" s="28" t="n">
        <v>1633</v>
      </c>
      <c r="G7" s="29" t="n">
        <v>0.98</v>
      </c>
      <c r="H7" s="27" t="s">
        <v>163</v>
      </c>
      <c r="I7" s="30" t="n">
        <v>5.622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6</v>
      </c>
      <c r="F8" s="23" t="n">
        <v>1944</v>
      </c>
      <c r="G8" s="24" t="n">
        <v>1</v>
      </c>
      <c r="H8" s="22" t="s">
        <v>167</v>
      </c>
      <c r="I8" s="25" t="n">
        <v>4.375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9</v>
      </c>
      <c r="F9" s="28" t="n">
        <v>2255</v>
      </c>
      <c r="G9" s="29" t="n">
        <v>1.05</v>
      </c>
      <c r="H9" s="27" t="s">
        <v>170</v>
      </c>
      <c r="I9" s="30" t="n">
        <v>3.839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20.316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228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229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231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232</v>
      </c>
      <c r="D20" s="25" t="n">
        <v>0.053</v>
      </c>
      <c r="E20" s="31" t="n">
        <v>0.13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233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24</v>
      </c>
      <c r="C2" s="13" t="s">
        <v>143</v>
      </c>
      <c r="D2" s="14" t="s">
        <v>234</v>
      </c>
      <c r="E2" s="13" t="s">
        <v>145</v>
      </c>
      <c r="F2" s="15" t="s">
        <v>25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36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17</v>
      </c>
      <c r="F6" s="23" t="n">
        <v>1459</v>
      </c>
      <c r="G6" s="24" t="n">
        <v>1.02</v>
      </c>
      <c r="H6" s="22" t="s">
        <v>159</v>
      </c>
      <c r="I6" s="37" t="n">
        <v>6.328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17</v>
      </c>
      <c r="F7" s="28" t="n">
        <v>1770</v>
      </c>
      <c r="G7" s="29" t="n">
        <v>0.98</v>
      </c>
      <c r="H7" s="27" t="s">
        <v>163</v>
      </c>
      <c r="I7" s="38" t="n">
        <v>4.959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9</v>
      </c>
      <c r="F8" s="23" t="n">
        <v>2081</v>
      </c>
      <c r="G8" s="24" t="n">
        <v>1</v>
      </c>
      <c r="H8" s="22" t="s">
        <v>167</v>
      </c>
      <c r="I8" s="37" t="n">
        <v>4.306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4</v>
      </c>
      <c r="F9" s="28" t="n">
        <v>2392</v>
      </c>
      <c r="G9" s="29" t="n">
        <v>1.05</v>
      </c>
      <c r="H9" s="27" t="s">
        <v>170</v>
      </c>
      <c r="I9" s="38" t="n">
        <v>3.208</v>
      </c>
    </row>
    <row r="10" customFormat="false" ht="21.75" hidden="false" customHeight="true" outlineLevel="0" collapsed="false">
      <c r="A10" s="39" t="s">
        <v>146</v>
      </c>
      <c r="B10" s="40" t="n">
        <v>18.801</v>
      </c>
      <c r="C10" s="18"/>
      <c r="D10" s="18"/>
      <c r="E10" s="18"/>
      <c r="F10" s="18"/>
      <c r="G10" s="18"/>
      <c r="H10" s="18"/>
      <c r="I10" s="18"/>
    </row>
    <row r="11" customFormat="false" ht="24.75" hidden="false" customHeight="true" outlineLevel="0" collapsed="false">
      <c r="A11" s="19" t="s">
        <v>171</v>
      </c>
      <c r="B11" s="19"/>
      <c r="C11" s="19"/>
      <c r="D11" s="19"/>
      <c r="E11" s="19"/>
      <c r="F11" s="19"/>
      <c r="G11" s="19"/>
      <c r="H11" s="19"/>
      <c r="I11" s="19"/>
    </row>
    <row r="12" customFormat="false" ht="22.5" hidden="false" customHeight="true" outlineLevel="0" collapsed="false">
      <c r="A12" s="20" t="s">
        <v>172</v>
      </c>
      <c r="B12" s="20" t="s">
        <v>173</v>
      </c>
      <c r="C12" s="20" t="s">
        <v>174</v>
      </c>
      <c r="D12" s="20" t="s">
        <v>175</v>
      </c>
      <c r="E12" s="20" t="s">
        <v>151</v>
      </c>
      <c r="F12" s="20" t="s">
        <v>176</v>
      </c>
      <c r="G12" s="20" t="s">
        <v>177</v>
      </c>
      <c r="H12" s="20" t="s">
        <v>178</v>
      </c>
      <c r="I12" s="20" t="s">
        <v>9</v>
      </c>
    </row>
    <row r="13" customFormat="false" ht="21.75" hidden="false" customHeight="true" outlineLevel="0" collapsed="false">
      <c r="A13" s="21" t="s">
        <v>235</v>
      </c>
      <c r="B13" s="22" t="s">
        <v>180</v>
      </c>
      <c r="C13" s="21" t="s">
        <v>181</v>
      </c>
      <c r="D13" s="21" t="s">
        <v>182</v>
      </c>
      <c r="E13" s="21" t="n">
        <v>10</v>
      </c>
      <c r="F13" s="22" t="s">
        <v>183</v>
      </c>
      <c r="G13" s="22" t="s">
        <v>184</v>
      </c>
      <c r="H13" s="22" t="s">
        <v>185</v>
      </c>
      <c r="I13" s="21"/>
    </row>
    <row r="14" customFormat="false" ht="21.75" hidden="false" customHeight="true" outlineLevel="0" collapsed="false">
      <c r="A14" s="26" t="s">
        <v>236</v>
      </c>
      <c r="B14" s="27" t="s">
        <v>187</v>
      </c>
      <c r="C14" s="26" t="s">
        <v>188</v>
      </c>
      <c r="D14" s="27" t="s">
        <v>189</v>
      </c>
      <c r="E14" s="26" t="s">
        <v>237</v>
      </c>
      <c r="F14" s="27" t="s">
        <v>190</v>
      </c>
      <c r="G14" s="27" t="s">
        <v>191</v>
      </c>
      <c r="H14" s="27" t="s">
        <v>192</v>
      </c>
      <c r="I14" s="27" t="s">
        <v>222</v>
      </c>
    </row>
    <row r="15" customFormat="false" ht="21.75" hidden="false" customHeight="true" outlineLevel="0" collapsed="false">
      <c r="A15" s="21" t="s">
        <v>238</v>
      </c>
      <c r="B15" s="22" t="s">
        <v>194</v>
      </c>
      <c r="C15" s="21" t="s">
        <v>195</v>
      </c>
      <c r="D15" s="22" t="s">
        <v>196</v>
      </c>
      <c r="E15" s="21" t="n">
        <v>2</v>
      </c>
      <c r="F15" s="22" t="s">
        <v>197</v>
      </c>
      <c r="G15" s="22" t="s">
        <v>198</v>
      </c>
      <c r="H15" s="22" t="s">
        <v>199</v>
      </c>
      <c r="I15" s="21"/>
    </row>
    <row r="16" customFormat="false" ht="21.7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</row>
    <row r="17" customFormat="false" ht="18" hidden="false" customHeight="true" outlineLevel="0" collapsed="false">
      <c r="A17" s="19" t="s">
        <v>200</v>
      </c>
      <c r="B17" s="19"/>
      <c r="C17" s="19"/>
      <c r="D17" s="19"/>
      <c r="E17" s="19"/>
      <c r="F17" s="19"/>
      <c r="G17" s="19"/>
      <c r="H17" s="19"/>
      <c r="I17" s="19"/>
    </row>
    <row r="18" customFormat="false" ht="22.5" hidden="false" customHeight="true" outlineLevel="0" collapsed="false">
      <c r="A18" s="20" t="s">
        <v>201</v>
      </c>
      <c r="B18" s="20" t="s">
        <v>224</v>
      </c>
      <c r="C18" s="20" t="s">
        <v>203</v>
      </c>
      <c r="D18" s="20" t="s">
        <v>202</v>
      </c>
      <c r="E18" s="20" t="s">
        <v>204</v>
      </c>
      <c r="F18" s="20" t="s">
        <v>205</v>
      </c>
      <c r="G18" s="20" t="s">
        <v>206</v>
      </c>
      <c r="H18" s="20" t="s">
        <v>207</v>
      </c>
      <c r="I18" s="20" t="s">
        <v>9</v>
      </c>
    </row>
    <row r="19" customFormat="false" ht="21.75" hidden="false" customHeight="true" outlineLevel="0" collapsed="false">
      <c r="A19" s="22" t="s">
        <v>209</v>
      </c>
      <c r="B19" s="25" t="n">
        <v>0.053</v>
      </c>
      <c r="C19" s="21" t="s">
        <v>239</v>
      </c>
      <c r="D19" s="21" t="s">
        <v>210</v>
      </c>
      <c r="E19" s="31" t="n">
        <v>0.13</v>
      </c>
      <c r="F19" s="23" t="n">
        <v>1</v>
      </c>
      <c r="G19" s="22" t="s">
        <v>212</v>
      </c>
      <c r="H19" s="22" t="s">
        <v>213</v>
      </c>
      <c r="I19" s="21"/>
    </row>
    <row r="20" customFormat="false" ht="21.7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</row>
    <row r="21" customFormat="false" ht="22.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</row>
    <row r="24" customFormat="false" ht="9" hidden="false" customHeight="true" outlineLevel="0" collapsed="false"/>
    <row r="25" customFormat="false" ht="9" hidden="false" customHeight="true" outlineLevel="0" collapsed="false"/>
    <row r="26" customFormat="false" ht="25.5" hidden="false" customHeight="true" outlineLevel="0" collapsed="false"/>
    <row r="27" customFormat="false" ht="19.5" hidden="false" customHeight="true" outlineLevel="0" collapsed="false"/>
  </sheetData>
  <mergeCells count="4">
    <mergeCell ref="A1:I1"/>
    <mergeCell ref="A4:I4"/>
    <mergeCell ref="A11:I11"/>
    <mergeCell ref="A17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240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28</v>
      </c>
      <c r="C2" s="41" t="s">
        <v>143</v>
      </c>
      <c r="D2" s="42" t="s">
        <v>241</v>
      </c>
      <c r="E2" s="41" t="s">
        <v>145</v>
      </c>
      <c r="F2" s="43" t="s">
        <v>29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12</v>
      </c>
      <c r="F6" s="47" t="n">
        <v>1596</v>
      </c>
      <c r="G6" s="48" t="n">
        <v>1.02</v>
      </c>
      <c r="H6" s="22" t="s">
        <v>159</v>
      </c>
      <c r="I6" s="49" t="n">
        <v>5.69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19</v>
      </c>
      <c r="F7" s="50" t="n">
        <v>1907</v>
      </c>
      <c r="G7" s="51" t="n">
        <v>0.98</v>
      </c>
      <c r="H7" s="27" t="s">
        <v>163</v>
      </c>
      <c r="I7" s="52" t="n">
        <v>4.799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8</v>
      </c>
      <c r="F8" s="47" t="n">
        <v>2218</v>
      </c>
      <c r="G8" s="48" t="n">
        <v>1</v>
      </c>
      <c r="H8" s="22" t="s">
        <v>167</v>
      </c>
      <c r="I8" s="49" t="n">
        <v>4.009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17</v>
      </c>
      <c r="F9" s="55" t="n">
        <v>2529</v>
      </c>
      <c r="G9" s="56" t="n">
        <v>1.05</v>
      </c>
      <c r="H9" s="54" t="s">
        <v>170</v>
      </c>
      <c r="I9" s="57" t="n">
        <v>3.484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17.982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246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247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248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251</v>
      </c>
      <c r="D21" s="31" t="n">
        <v>0.108</v>
      </c>
      <c r="E21" s="25" t="n">
        <v>0.044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  <row r="28" customFormat="false" ht="19.5" hidden="false" customHeight="true" outlineLevel="0" collapsed="false"/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252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31</v>
      </c>
      <c r="C2" s="13" t="s">
        <v>143</v>
      </c>
      <c r="D2" s="14" t="s">
        <v>144</v>
      </c>
      <c r="E2" s="13" t="s">
        <v>145</v>
      </c>
      <c r="F2" s="15" t="s">
        <v>32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10</v>
      </c>
      <c r="F6" s="23" t="n">
        <v>1733</v>
      </c>
      <c r="G6" s="24" t="n">
        <v>1.02</v>
      </c>
      <c r="H6" s="22" t="s">
        <v>159</v>
      </c>
      <c r="I6" s="25" t="n">
        <v>5.54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16</v>
      </c>
      <c r="F7" s="28" t="n">
        <v>2044</v>
      </c>
      <c r="G7" s="29" t="n">
        <v>0.98</v>
      </c>
      <c r="H7" s="27" t="s">
        <v>163</v>
      </c>
      <c r="I7" s="30" t="n">
        <v>4.611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9</v>
      </c>
      <c r="F8" s="23" t="n">
        <v>2355</v>
      </c>
      <c r="G8" s="24" t="n">
        <v>1</v>
      </c>
      <c r="H8" s="22" t="s">
        <v>167</v>
      </c>
      <c r="I8" s="25" t="n">
        <v>3.492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6</v>
      </c>
      <c r="F9" s="28" t="n">
        <v>2666</v>
      </c>
      <c r="G9" s="29" t="n">
        <v>1.05</v>
      </c>
      <c r="H9" s="27" t="s">
        <v>170</v>
      </c>
      <c r="I9" s="30" t="n">
        <v>2.641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16.284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253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254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255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256</v>
      </c>
      <c r="D20" s="25" t="n">
        <v>0.044</v>
      </c>
      <c r="E20" s="31" t="n">
        <v>0.108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257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34</v>
      </c>
      <c r="C2" s="13" t="s">
        <v>143</v>
      </c>
      <c r="D2" s="14" t="s">
        <v>215</v>
      </c>
      <c r="E2" s="13" t="s">
        <v>145</v>
      </c>
      <c r="F2" s="15" t="s">
        <v>13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  <c r="J5" s="64"/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13</v>
      </c>
      <c r="F6" s="23" t="n">
        <v>1870</v>
      </c>
      <c r="G6" s="24" t="n">
        <v>1.02</v>
      </c>
      <c r="H6" s="22" t="s">
        <v>159</v>
      </c>
      <c r="I6" s="25" t="n">
        <v>6.071</v>
      </c>
      <c r="J6" s="64"/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8</v>
      </c>
      <c r="F7" s="28" t="n">
        <v>2181</v>
      </c>
      <c r="G7" s="29" t="n">
        <v>0.98</v>
      </c>
      <c r="H7" s="27" t="s">
        <v>163</v>
      </c>
      <c r="I7" s="30" t="n">
        <v>4.734</v>
      </c>
      <c r="J7" s="64"/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6</v>
      </c>
      <c r="F8" s="23" t="n">
        <v>2492</v>
      </c>
      <c r="G8" s="24" t="n">
        <v>1</v>
      </c>
      <c r="H8" s="22" t="s">
        <v>167</v>
      </c>
      <c r="I8" s="25" t="n">
        <v>4.354</v>
      </c>
      <c r="J8" s="64"/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16</v>
      </c>
      <c r="F9" s="28" t="n">
        <v>2803</v>
      </c>
      <c r="G9" s="29" t="n">
        <v>1.05</v>
      </c>
      <c r="H9" s="27" t="s">
        <v>170</v>
      </c>
      <c r="I9" s="30" t="n">
        <v>2.933</v>
      </c>
      <c r="J9" s="64"/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18.092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258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259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260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261</v>
      </c>
      <c r="D20" s="25" t="n">
        <v>0.047</v>
      </c>
      <c r="E20" s="31" t="n">
        <v>0.115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262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36</v>
      </c>
      <c r="C2" s="13" t="s">
        <v>143</v>
      </c>
      <c r="D2" s="14" t="s">
        <v>227</v>
      </c>
      <c r="E2" s="13" t="s">
        <v>145</v>
      </c>
      <c r="F2" s="15" t="s">
        <v>17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5</v>
      </c>
      <c r="F6" s="23" t="n">
        <v>2007</v>
      </c>
      <c r="G6" s="24" t="n">
        <v>1.02</v>
      </c>
      <c r="H6" s="22" t="s">
        <v>159</v>
      </c>
      <c r="I6" s="25" t="n">
        <v>5.184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6</v>
      </c>
      <c r="F7" s="28" t="n">
        <v>2318</v>
      </c>
      <c r="G7" s="29" t="n">
        <v>0.98</v>
      </c>
      <c r="H7" s="27" t="s">
        <v>163</v>
      </c>
      <c r="I7" s="30" t="n">
        <v>4.922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5</v>
      </c>
      <c r="F8" s="23" t="n">
        <v>2629</v>
      </c>
      <c r="G8" s="24" t="n">
        <v>1</v>
      </c>
      <c r="H8" s="22" t="s">
        <v>167</v>
      </c>
      <c r="I8" s="25" t="n">
        <v>3.266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17</v>
      </c>
      <c r="F9" s="28" t="n">
        <v>2940</v>
      </c>
      <c r="G9" s="29" t="n">
        <v>1.05</v>
      </c>
      <c r="H9" s="27" t="s">
        <v>170</v>
      </c>
      <c r="I9" s="30" t="n">
        <v>3.18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16.552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263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264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265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266</v>
      </c>
      <c r="D20" s="25" t="n">
        <v>0.047</v>
      </c>
      <c r="E20" s="31" t="n">
        <v>0.115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267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38</v>
      </c>
      <c r="C2" s="13" t="s">
        <v>143</v>
      </c>
      <c r="D2" s="14" t="s">
        <v>234</v>
      </c>
      <c r="E2" s="13" t="s">
        <v>145</v>
      </c>
      <c r="F2" s="15" t="s">
        <v>21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16</v>
      </c>
      <c r="F6" s="23" t="n">
        <v>2144</v>
      </c>
      <c r="G6" s="24" t="n">
        <v>1.02</v>
      </c>
      <c r="H6" s="22" t="s">
        <v>159</v>
      </c>
      <c r="I6" s="25" t="n">
        <v>6.024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11</v>
      </c>
      <c r="F7" s="28" t="n">
        <v>2455</v>
      </c>
      <c r="G7" s="29" t="n">
        <v>0.98</v>
      </c>
      <c r="H7" s="27" t="s">
        <v>163</v>
      </c>
      <c r="I7" s="30" t="n">
        <v>4.822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4</v>
      </c>
      <c r="F8" s="23" t="n">
        <v>2766</v>
      </c>
      <c r="G8" s="24" t="n">
        <v>1</v>
      </c>
      <c r="H8" s="22" t="s">
        <v>167</v>
      </c>
      <c r="I8" s="25" t="n">
        <v>3.644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12</v>
      </c>
      <c r="F9" s="28" t="n">
        <v>3077</v>
      </c>
      <c r="G9" s="29" t="n">
        <v>1.05</v>
      </c>
      <c r="H9" s="27" t="s">
        <v>170</v>
      </c>
      <c r="I9" s="30" t="n">
        <v>3.712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18.202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268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269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270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271</v>
      </c>
      <c r="D20" s="25" t="n">
        <v>0.048</v>
      </c>
      <c r="E20" s="31" t="n">
        <v>0.118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272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40</v>
      </c>
      <c r="C2" s="13" t="s">
        <v>143</v>
      </c>
      <c r="D2" s="14" t="s">
        <v>273</v>
      </c>
      <c r="E2" s="13" t="s">
        <v>145</v>
      </c>
      <c r="F2" s="15" t="s">
        <v>25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5</v>
      </c>
      <c r="F6" s="23" t="n">
        <v>2281</v>
      </c>
      <c r="G6" s="24" t="n">
        <v>1.02</v>
      </c>
      <c r="H6" s="22" t="s">
        <v>159</v>
      </c>
      <c r="I6" s="25" t="n">
        <v>5.696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20</v>
      </c>
      <c r="F7" s="28" t="n">
        <v>2592</v>
      </c>
      <c r="G7" s="29" t="n">
        <v>0.98</v>
      </c>
      <c r="H7" s="27" t="s">
        <v>163</v>
      </c>
      <c r="I7" s="30" t="n">
        <v>4.528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19</v>
      </c>
      <c r="F8" s="23" t="n">
        <v>2903</v>
      </c>
      <c r="G8" s="24" t="n">
        <v>1</v>
      </c>
      <c r="H8" s="22" t="s">
        <v>167</v>
      </c>
      <c r="I8" s="25" t="n">
        <v>3.829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17</v>
      </c>
      <c r="F9" s="28" t="n">
        <v>3214</v>
      </c>
      <c r="G9" s="29" t="n">
        <v>1.05</v>
      </c>
      <c r="H9" s="27" t="s">
        <v>170</v>
      </c>
      <c r="I9" s="30" t="n">
        <v>2.767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16.82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274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275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276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277</v>
      </c>
      <c r="D20" s="25" t="n">
        <v>0.048</v>
      </c>
      <c r="E20" s="31" t="n">
        <v>0.118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278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42</v>
      </c>
      <c r="C2" s="13" t="s">
        <v>143</v>
      </c>
      <c r="D2" s="14" t="s">
        <v>144</v>
      </c>
      <c r="E2" s="13" t="s">
        <v>145</v>
      </c>
      <c r="F2" s="15" t="s">
        <v>29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16</v>
      </c>
      <c r="F6" s="23" t="n">
        <v>2418</v>
      </c>
      <c r="G6" s="24" t="n">
        <v>1.02</v>
      </c>
      <c r="H6" s="22" t="s">
        <v>159</v>
      </c>
      <c r="I6" s="25" t="n">
        <v>7.256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16</v>
      </c>
      <c r="F7" s="28" t="n">
        <v>2729</v>
      </c>
      <c r="G7" s="29" t="n">
        <v>0.98</v>
      </c>
      <c r="H7" s="27" t="s">
        <v>163</v>
      </c>
      <c r="I7" s="30" t="n">
        <v>6.068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17</v>
      </c>
      <c r="F8" s="23" t="n">
        <v>3040</v>
      </c>
      <c r="G8" s="24" t="n">
        <v>1</v>
      </c>
      <c r="H8" s="22" t="s">
        <v>167</v>
      </c>
      <c r="I8" s="25" t="n">
        <v>5.444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13</v>
      </c>
      <c r="F9" s="28" t="n">
        <v>3351</v>
      </c>
      <c r="G9" s="29" t="n">
        <v>1.05</v>
      </c>
      <c r="H9" s="27" t="s">
        <v>170</v>
      </c>
      <c r="I9" s="30" t="n">
        <v>3.948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22.716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279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280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281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282</v>
      </c>
      <c r="D20" s="25" t="n">
        <v>0.059</v>
      </c>
      <c r="E20" s="31" t="n">
        <v>0.145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283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44</v>
      </c>
      <c r="C2" s="13" t="s">
        <v>143</v>
      </c>
      <c r="D2" s="14" t="s">
        <v>215</v>
      </c>
      <c r="E2" s="13" t="s">
        <v>145</v>
      </c>
      <c r="F2" s="15" t="s">
        <v>32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8</v>
      </c>
      <c r="F6" s="23" t="n">
        <v>2555</v>
      </c>
      <c r="G6" s="24" t="n">
        <v>1.02</v>
      </c>
      <c r="H6" s="22" t="s">
        <v>159</v>
      </c>
      <c r="I6" s="25" t="n">
        <v>6.807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11</v>
      </c>
      <c r="F7" s="28" t="n">
        <v>2866</v>
      </c>
      <c r="G7" s="29" t="n">
        <v>0.98</v>
      </c>
      <c r="H7" s="27" t="s">
        <v>163</v>
      </c>
      <c r="I7" s="30" t="n">
        <v>5.791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8</v>
      </c>
      <c r="F8" s="23" t="n">
        <v>3177</v>
      </c>
      <c r="G8" s="24" t="n">
        <v>1</v>
      </c>
      <c r="H8" s="22" t="s">
        <v>167</v>
      </c>
      <c r="I8" s="25" t="n">
        <v>4.766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14</v>
      </c>
      <c r="F9" s="28" t="n">
        <v>3488</v>
      </c>
      <c r="G9" s="29" t="n">
        <v>1.05</v>
      </c>
      <c r="H9" s="27" t="s">
        <v>170</v>
      </c>
      <c r="I9" s="30" t="n">
        <v>3.287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20.651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284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285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286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287</v>
      </c>
      <c r="D20" s="25" t="n">
        <v>0.059</v>
      </c>
      <c r="E20" s="31" t="n">
        <v>0.145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288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46</v>
      </c>
      <c r="C2" s="13" t="s">
        <v>143</v>
      </c>
      <c r="D2" s="14" t="s">
        <v>227</v>
      </c>
      <c r="E2" s="13" t="s">
        <v>145</v>
      </c>
      <c r="F2" s="15" t="s">
        <v>13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16</v>
      </c>
      <c r="F6" s="23" t="n">
        <v>2692</v>
      </c>
      <c r="G6" s="24" t="n">
        <v>1.02</v>
      </c>
      <c r="H6" s="22" t="s">
        <v>159</v>
      </c>
      <c r="I6" s="25" t="n">
        <v>6.25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18</v>
      </c>
      <c r="F7" s="28" t="n">
        <v>3003</v>
      </c>
      <c r="G7" s="29" t="n">
        <v>0.98</v>
      </c>
      <c r="H7" s="27" t="s">
        <v>163</v>
      </c>
      <c r="I7" s="30" t="n">
        <v>5.568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14</v>
      </c>
      <c r="F8" s="23" t="n">
        <v>3314</v>
      </c>
      <c r="G8" s="24" t="n">
        <v>1</v>
      </c>
      <c r="H8" s="22" t="s">
        <v>167</v>
      </c>
      <c r="I8" s="25" t="n">
        <v>4.577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15</v>
      </c>
      <c r="F9" s="28" t="n">
        <v>3625</v>
      </c>
      <c r="G9" s="29" t="n">
        <v>1.05</v>
      </c>
      <c r="H9" s="27" t="s">
        <v>170</v>
      </c>
      <c r="I9" s="30" t="n">
        <v>3.981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20.376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289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290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291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292</v>
      </c>
      <c r="D20" s="25" t="n">
        <v>0.054</v>
      </c>
      <c r="E20" s="31" t="n">
        <v>0.132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293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48</v>
      </c>
      <c r="C2" s="13" t="s">
        <v>143</v>
      </c>
      <c r="D2" s="14" t="s">
        <v>234</v>
      </c>
      <c r="E2" s="13" t="s">
        <v>145</v>
      </c>
      <c r="F2" s="15" t="s">
        <v>17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18</v>
      </c>
      <c r="F6" s="23" t="n">
        <v>2829</v>
      </c>
      <c r="G6" s="24" t="n">
        <v>1.02</v>
      </c>
      <c r="H6" s="22" t="s">
        <v>159</v>
      </c>
      <c r="I6" s="25" t="n">
        <v>5.638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4</v>
      </c>
      <c r="F7" s="28" t="n">
        <v>3140</v>
      </c>
      <c r="G7" s="29" t="n">
        <v>0.98</v>
      </c>
      <c r="H7" s="27" t="s">
        <v>163</v>
      </c>
      <c r="I7" s="30" t="n">
        <v>5.192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14</v>
      </c>
      <c r="F8" s="23" t="n">
        <v>3451</v>
      </c>
      <c r="G8" s="24" t="n">
        <v>1</v>
      </c>
      <c r="H8" s="22" t="s">
        <v>167</v>
      </c>
      <c r="I8" s="25" t="n">
        <v>4.216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7</v>
      </c>
      <c r="F9" s="28" t="n">
        <v>3762</v>
      </c>
      <c r="G9" s="29" t="n">
        <v>1.05</v>
      </c>
      <c r="H9" s="27" t="s">
        <v>170</v>
      </c>
      <c r="I9" s="30" t="n">
        <v>3.799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18.845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294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295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296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297</v>
      </c>
      <c r="D20" s="25" t="n">
        <v>0.054</v>
      </c>
      <c r="E20" s="31" t="n">
        <v>0.132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298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50</v>
      </c>
      <c r="C2" s="13" t="s">
        <v>143</v>
      </c>
      <c r="D2" s="14" t="s">
        <v>273</v>
      </c>
      <c r="E2" s="13" t="s">
        <v>145</v>
      </c>
      <c r="F2" s="15" t="s">
        <v>21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12</v>
      </c>
      <c r="F6" s="23" t="n">
        <v>2966</v>
      </c>
      <c r="G6" s="24" t="n">
        <v>1.02</v>
      </c>
      <c r="H6" s="22" t="s">
        <v>159</v>
      </c>
      <c r="I6" s="25" t="n">
        <v>8.839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10</v>
      </c>
      <c r="F7" s="28" t="n">
        <v>3277</v>
      </c>
      <c r="G7" s="29" t="n">
        <v>0.98</v>
      </c>
      <c r="H7" s="27" t="s">
        <v>163</v>
      </c>
      <c r="I7" s="30" t="n">
        <v>5.944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19</v>
      </c>
      <c r="F8" s="23" t="n">
        <v>3588</v>
      </c>
      <c r="G8" s="24" t="n">
        <v>1</v>
      </c>
      <c r="H8" s="22" t="s">
        <v>167</v>
      </c>
      <c r="I8" s="25" t="n">
        <v>5.783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18</v>
      </c>
      <c r="F9" s="28" t="n">
        <v>3899</v>
      </c>
      <c r="G9" s="29" t="n">
        <v>1.05</v>
      </c>
      <c r="H9" s="27" t="s">
        <v>170</v>
      </c>
      <c r="I9" s="30" t="n">
        <v>3.939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24.505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299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300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301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302</v>
      </c>
      <c r="D20" s="25" t="n">
        <v>0.068</v>
      </c>
      <c r="E20" s="31" t="n">
        <v>0.167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303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52</v>
      </c>
      <c r="C2" s="13" t="s">
        <v>143</v>
      </c>
      <c r="D2" s="14" t="s">
        <v>144</v>
      </c>
      <c r="E2" s="13" t="s">
        <v>145</v>
      </c>
      <c r="F2" s="15" t="s">
        <v>25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14</v>
      </c>
      <c r="F6" s="23" t="n">
        <v>3103</v>
      </c>
      <c r="G6" s="24" t="n">
        <v>1.02</v>
      </c>
      <c r="H6" s="22" t="s">
        <v>159</v>
      </c>
      <c r="I6" s="25" t="n">
        <v>5.73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10</v>
      </c>
      <c r="F7" s="28" t="n">
        <v>3414</v>
      </c>
      <c r="G7" s="29" t="n">
        <v>0.98</v>
      </c>
      <c r="H7" s="27" t="s">
        <v>163</v>
      </c>
      <c r="I7" s="30" t="n">
        <v>4.788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18</v>
      </c>
      <c r="F8" s="23" t="n">
        <v>3725</v>
      </c>
      <c r="G8" s="24" t="n">
        <v>1</v>
      </c>
      <c r="H8" s="22" t="s">
        <v>167</v>
      </c>
      <c r="I8" s="25" t="n">
        <v>3.83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2</v>
      </c>
      <c r="F9" s="28" t="n">
        <v>4036</v>
      </c>
      <c r="G9" s="29" t="n">
        <v>1.05</v>
      </c>
      <c r="H9" s="27" t="s">
        <v>170</v>
      </c>
      <c r="I9" s="30" t="n">
        <v>3.149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17.497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304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305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306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307</v>
      </c>
      <c r="D20" s="25" t="n">
        <v>0.045</v>
      </c>
      <c r="E20" s="31" t="n">
        <v>0.11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308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54</v>
      </c>
      <c r="C2" s="13" t="s">
        <v>143</v>
      </c>
      <c r="D2" s="14" t="s">
        <v>215</v>
      </c>
      <c r="E2" s="13" t="s">
        <v>145</v>
      </c>
      <c r="F2" s="15" t="s">
        <v>29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18</v>
      </c>
      <c r="F6" s="23" t="n">
        <v>3240</v>
      </c>
      <c r="G6" s="24" t="n">
        <v>1.02</v>
      </c>
      <c r="H6" s="22" t="s">
        <v>159</v>
      </c>
      <c r="I6" s="25" t="n">
        <v>28.324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16</v>
      </c>
      <c r="F7" s="28" t="n">
        <v>3551</v>
      </c>
      <c r="G7" s="29" t="n">
        <v>0.98</v>
      </c>
      <c r="H7" s="27" t="s">
        <v>163</v>
      </c>
      <c r="I7" s="30" t="n">
        <v>24.655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19</v>
      </c>
      <c r="F8" s="23" t="n">
        <v>3862</v>
      </c>
      <c r="G8" s="24" t="n">
        <v>1</v>
      </c>
      <c r="H8" s="22" t="s">
        <v>167</v>
      </c>
      <c r="I8" s="25" t="n">
        <v>21.169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19</v>
      </c>
      <c r="F9" s="28" t="n">
        <v>4173</v>
      </c>
      <c r="G9" s="29" t="n">
        <v>1.05</v>
      </c>
      <c r="H9" s="27" t="s">
        <v>170</v>
      </c>
      <c r="I9" s="30" t="n">
        <v>14.308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88.456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309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310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311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312</v>
      </c>
      <c r="D20" s="25" t="n">
        <v>0.659</v>
      </c>
      <c r="E20" s="31" t="n">
        <v>1.615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313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56</v>
      </c>
      <c r="C2" s="13" t="s">
        <v>143</v>
      </c>
      <c r="D2" s="14" t="s">
        <v>227</v>
      </c>
      <c r="E2" s="13" t="s">
        <v>145</v>
      </c>
      <c r="F2" s="15" t="s">
        <v>32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7</v>
      </c>
      <c r="F6" s="23" t="n">
        <v>3377</v>
      </c>
      <c r="G6" s="24" t="n">
        <v>1.02</v>
      </c>
      <c r="H6" s="22" t="s">
        <v>159</v>
      </c>
      <c r="I6" s="25" t="n">
        <v>24.62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16</v>
      </c>
      <c r="F7" s="28" t="n">
        <v>3688</v>
      </c>
      <c r="G7" s="29" t="n">
        <v>0.98</v>
      </c>
      <c r="H7" s="27" t="s">
        <v>163</v>
      </c>
      <c r="I7" s="30" t="n">
        <v>22.15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20</v>
      </c>
      <c r="F8" s="23" t="n">
        <v>3999</v>
      </c>
      <c r="G8" s="24" t="n">
        <v>1</v>
      </c>
      <c r="H8" s="22" t="s">
        <v>167</v>
      </c>
      <c r="I8" s="25" t="n">
        <v>16.637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13</v>
      </c>
      <c r="F9" s="28" t="n">
        <v>4310</v>
      </c>
      <c r="G9" s="29" t="n">
        <v>1.05</v>
      </c>
      <c r="H9" s="27" t="s">
        <v>170</v>
      </c>
      <c r="I9" s="30" t="n">
        <v>12.819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76.226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314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315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316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317</v>
      </c>
      <c r="D20" s="25" t="n">
        <v>0.566</v>
      </c>
      <c r="E20" s="31" t="n">
        <v>1.387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318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58</v>
      </c>
      <c r="C2" s="13" t="s">
        <v>143</v>
      </c>
      <c r="D2" s="14" t="s">
        <v>234</v>
      </c>
      <c r="E2" s="13" t="s">
        <v>145</v>
      </c>
      <c r="F2" s="15" t="s">
        <v>13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21</v>
      </c>
      <c r="F6" s="23" t="n">
        <v>3514</v>
      </c>
      <c r="G6" s="24" t="n">
        <v>1.02</v>
      </c>
      <c r="H6" s="22" t="s">
        <v>159</v>
      </c>
      <c r="I6" s="25" t="n">
        <v>15.04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5</v>
      </c>
      <c r="F7" s="28" t="n">
        <v>3825</v>
      </c>
      <c r="G7" s="29" t="n">
        <v>0.98</v>
      </c>
      <c r="H7" s="27" t="s">
        <v>163</v>
      </c>
      <c r="I7" s="30" t="n">
        <v>12.676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10</v>
      </c>
      <c r="F8" s="23" t="n">
        <v>4136</v>
      </c>
      <c r="G8" s="24" t="n">
        <v>1</v>
      </c>
      <c r="H8" s="22" t="s">
        <v>167</v>
      </c>
      <c r="I8" s="25" t="n">
        <v>9.768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20</v>
      </c>
      <c r="F9" s="28" t="n">
        <v>4447</v>
      </c>
      <c r="G9" s="29" t="n">
        <v>1.05</v>
      </c>
      <c r="H9" s="27" t="s">
        <v>170</v>
      </c>
      <c r="I9" s="30" t="n">
        <v>7.979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45.463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319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320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321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322</v>
      </c>
      <c r="D20" s="25" t="n">
        <v>0.319</v>
      </c>
      <c r="E20" s="31" t="n">
        <v>0.782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323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60</v>
      </c>
      <c r="C2" s="13" t="s">
        <v>143</v>
      </c>
      <c r="D2" s="14" t="s">
        <v>273</v>
      </c>
      <c r="E2" s="13" t="s">
        <v>145</v>
      </c>
      <c r="F2" s="15" t="s">
        <v>17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2</v>
      </c>
      <c r="F6" s="23" t="n">
        <v>3651</v>
      </c>
      <c r="G6" s="24" t="n">
        <v>1.02</v>
      </c>
      <c r="H6" s="22" t="s">
        <v>159</v>
      </c>
      <c r="I6" s="25" t="n">
        <v>14.975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2</v>
      </c>
      <c r="F7" s="28" t="n">
        <v>3962</v>
      </c>
      <c r="G7" s="29" t="n">
        <v>0.98</v>
      </c>
      <c r="H7" s="27" t="s">
        <v>163</v>
      </c>
      <c r="I7" s="30" t="n">
        <v>11.883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5</v>
      </c>
      <c r="F8" s="23" t="n">
        <v>4273</v>
      </c>
      <c r="G8" s="24" t="n">
        <v>1</v>
      </c>
      <c r="H8" s="22" t="s">
        <v>167</v>
      </c>
      <c r="I8" s="25" t="n">
        <v>9.973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18</v>
      </c>
      <c r="F9" s="28" t="n">
        <v>4584</v>
      </c>
      <c r="G9" s="29" t="n">
        <v>1.05</v>
      </c>
      <c r="H9" s="27" t="s">
        <v>170</v>
      </c>
      <c r="I9" s="30" t="n">
        <v>8.632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45.463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324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325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326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327</v>
      </c>
      <c r="D20" s="25" t="n">
        <v>0.319</v>
      </c>
      <c r="E20" s="31" t="n">
        <v>0.782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328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62</v>
      </c>
      <c r="C2" s="13" t="s">
        <v>143</v>
      </c>
      <c r="D2" s="14" t="s">
        <v>144</v>
      </c>
      <c r="E2" s="13" t="s">
        <v>145</v>
      </c>
      <c r="F2" s="15" t="s">
        <v>21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14</v>
      </c>
      <c r="F6" s="23" t="n">
        <v>3788</v>
      </c>
      <c r="G6" s="24" t="n">
        <v>1.02</v>
      </c>
      <c r="H6" s="22" t="s">
        <v>159</v>
      </c>
      <c r="I6" s="25" t="n">
        <v>13.127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12</v>
      </c>
      <c r="F7" s="28" t="n">
        <v>4099</v>
      </c>
      <c r="G7" s="29" t="n">
        <v>0.98</v>
      </c>
      <c r="H7" s="27" t="s">
        <v>163</v>
      </c>
      <c r="I7" s="30" t="n">
        <v>11.919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5</v>
      </c>
      <c r="F8" s="23" t="n">
        <v>4410</v>
      </c>
      <c r="G8" s="24" t="n">
        <v>1</v>
      </c>
      <c r="H8" s="22" t="s">
        <v>167</v>
      </c>
      <c r="I8" s="25" t="n">
        <v>9.662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8</v>
      </c>
      <c r="F9" s="28" t="n">
        <v>4721</v>
      </c>
      <c r="G9" s="29" t="n">
        <v>1.05</v>
      </c>
      <c r="H9" s="27" t="s">
        <v>170</v>
      </c>
      <c r="I9" s="30" t="n">
        <v>7.571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42.279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329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330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331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332</v>
      </c>
      <c r="D20" s="25" t="n">
        <v>0.289</v>
      </c>
      <c r="E20" s="31" t="n">
        <v>0.708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333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64</v>
      </c>
      <c r="C2" s="13" t="s">
        <v>143</v>
      </c>
      <c r="D2" s="14" t="s">
        <v>215</v>
      </c>
      <c r="E2" s="13" t="s">
        <v>145</v>
      </c>
      <c r="F2" s="15" t="s">
        <v>25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9</v>
      </c>
      <c r="F6" s="23" t="n">
        <v>3925</v>
      </c>
      <c r="G6" s="24" t="n">
        <v>1.02</v>
      </c>
      <c r="H6" s="22" t="s">
        <v>159</v>
      </c>
      <c r="I6" s="25" t="n">
        <v>15.067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4</v>
      </c>
      <c r="F7" s="28" t="n">
        <v>4236</v>
      </c>
      <c r="G7" s="29" t="n">
        <v>0.98</v>
      </c>
      <c r="H7" s="27" t="s">
        <v>163</v>
      </c>
      <c r="I7" s="30" t="n">
        <v>10.47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20</v>
      </c>
      <c r="F8" s="23" t="n">
        <v>4547</v>
      </c>
      <c r="G8" s="24" t="n">
        <v>1</v>
      </c>
      <c r="H8" s="22" t="s">
        <v>167</v>
      </c>
      <c r="I8" s="25" t="n">
        <v>8.068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5</v>
      </c>
      <c r="F9" s="28" t="n">
        <v>4858</v>
      </c>
      <c r="G9" s="29" t="n">
        <v>1.05</v>
      </c>
      <c r="H9" s="27" t="s">
        <v>170</v>
      </c>
      <c r="I9" s="30" t="n">
        <v>8.847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42.452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334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335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336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337</v>
      </c>
      <c r="D20" s="25" t="n">
        <v>0.289</v>
      </c>
      <c r="E20" s="31" t="n">
        <v>0.708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338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66</v>
      </c>
      <c r="C2" s="13" t="s">
        <v>143</v>
      </c>
      <c r="D2" s="14" t="s">
        <v>227</v>
      </c>
      <c r="E2" s="13" t="s">
        <v>145</v>
      </c>
      <c r="F2" s="15" t="s">
        <v>29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14</v>
      </c>
      <c r="F6" s="23" t="n">
        <v>4062</v>
      </c>
      <c r="G6" s="24" t="n">
        <v>1.02</v>
      </c>
      <c r="H6" s="22" t="s">
        <v>159</v>
      </c>
      <c r="I6" s="25" t="n">
        <v>27.527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7</v>
      </c>
      <c r="F7" s="28" t="n">
        <v>4373</v>
      </c>
      <c r="G7" s="29" t="n">
        <v>0.98</v>
      </c>
      <c r="H7" s="27" t="s">
        <v>163</v>
      </c>
      <c r="I7" s="30" t="n">
        <v>22.992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8</v>
      </c>
      <c r="F8" s="23" t="n">
        <v>4684</v>
      </c>
      <c r="G8" s="24" t="n">
        <v>1</v>
      </c>
      <c r="H8" s="22" t="s">
        <v>167</v>
      </c>
      <c r="I8" s="25" t="n">
        <v>18.859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15</v>
      </c>
      <c r="F9" s="28" t="n">
        <v>695</v>
      </c>
      <c r="G9" s="29" t="n">
        <v>1.05</v>
      </c>
      <c r="H9" s="27" t="s">
        <v>170</v>
      </c>
      <c r="I9" s="30" t="n">
        <v>12.003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81.381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339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340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341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342</v>
      </c>
      <c r="D20" s="25" t="n">
        <v>0.309</v>
      </c>
      <c r="E20" s="31" t="n">
        <v>0.757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343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68</v>
      </c>
      <c r="C2" s="13" t="s">
        <v>143</v>
      </c>
      <c r="D2" s="14" t="s">
        <v>234</v>
      </c>
      <c r="E2" s="13" t="s">
        <v>145</v>
      </c>
      <c r="F2" s="15" t="s">
        <v>32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3</v>
      </c>
      <c r="F6" s="23" t="n">
        <v>4199</v>
      </c>
      <c r="G6" s="24" t="n">
        <v>1.02</v>
      </c>
      <c r="H6" s="22" t="s">
        <v>159</v>
      </c>
      <c r="I6" s="25" t="n">
        <v>27.537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4</v>
      </c>
      <c r="F7" s="28" t="n">
        <v>4510</v>
      </c>
      <c r="G7" s="29" t="n">
        <v>0.98</v>
      </c>
      <c r="H7" s="27" t="s">
        <v>163</v>
      </c>
      <c r="I7" s="30" t="n">
        <v>23.331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4</v>
      </c>
      <c r="F8" s="23" t="n">
        <v>4821</v>
      </c>
      <c r="G8" s="24" t="n">
        <v>1</v>
      </c>
      <c r="H8" s="22" t="s">
        <v>167</v>
      </c>
      <c r="I8" s="25" t="n">
        <v>16.145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15</v>
      </c>
      <c r="F9" s="28" t="n">
        <v>832</v>
      </c>
      <c r="G9" s="29" t="n">
        <v>1.05</v>
      </c>
      <c r="H9" s="27" t="s">
        <v>170</v>
      </c>
      <c r="I9" s="30" t="n">
        <v>16.864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83.877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344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345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346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347</v>
      </c>
      <c r="D20" s="25" t="n">
        <v>0.308</v>
      </c>
      <c r="E20" s="31" t="n">
        <v>0.755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348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70</v>
      </c>
      <c r="C2" s="13" t="s">
        <v>143</v>
      </c>
      <c r="D2" s="14" t="s">
        <v>273</v>
      </c>
      <c r="E2" s="13" t="s">
        <v>145</v>
      </c>
      <c r="F2" s="15" t="s">
        <v>13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8</v>
      </c>
      <c r="F6" s="23" t="n">
        <v>4336</v>
      </c>
      <c r="G6" s="24" t="n">
        <v>1.02</v>
      </c>
      <c r="H6" s="22" t="s">
        <v>159</v>
      </c>
      <c r="I6" s="25" t="n">
        <v>25.876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7</v>
      </c>
      <c r="F7" s="28" t="n">
        <v>4647</v>
      </c>
      <c r="G7" s="29" t="n">
        <v>0.98</v>
      </c>
      <c r="H7" s="27" t="s">
        <v>163</v>
      </c>
      <c r="I7" s="30" t="n">
        <v>23.71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13</v>
      </c>
      <c r="F8" s="23" t="n">
        <v>658</v>
      </c>
      <c r="G8" s="24" t="n">
        <v>1</v>
      </c>
      <c r="H8" s="22" t="s">
        <v>167</v>
      </c>
      <c r="I8" s="25" t="n">
        <v>19.298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6</v>
      </c>
      <c r="F9" s="28" t="n">
        <v>969</v>
      </c>
      <c r="G9" s="29" t="n">
        <v>1.05</v>
      </c>
      <c r="H9" s="27" t="s">
        <v>170</v>
      </c>
      <c r="I9" s="30" t="n">
        <v>13.061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81.945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349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350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351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352</v>
      </c>
      <c r="D20" s="25" t="n">
        <v>0.309</v>
      </c>
      <c r="E20" s="31" t="n">
        <v>0.757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353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72</v>
      </c>
      <c r="C2" s="13" t="s">
        <v>143</v>
      </c>
      <c r="D2" s="14" t="s">
        <v>144</v>
      </c>
      <c r="E2" s="13" t="s">
        <v>145</v>
      </c>
      <c r="F2" s="15" t="s">
        <v>17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4</v>
      </c>
      <c r="F6" s="23" t="n">
        <v>4473</v>
      </c>
      <c r="G6" s="24" t="n">
        <v>1.02</v>
      </c>
      <c r="H6" s="22" t="s">
        <v>159</v>
      </c>
      <c r="I6" s="25" t="n">
        <v>30.168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6</v>
      </c>
      <c r="F7" s="28" t="n">
        <v>4784</v>
      </c>
      <c r="G7" s="29" t="n">
        <v>0.98</v>
      </c>
      <c r="H7" s="27" t="s">
        <v>163</v>
      </c>
      <c r="I7" s="30" t="n">
        <v>22.061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13</v>
      </c>
      <c r="F8" s="23" t="n">
        <v>795</v>
      </c>
      <c r="G8" s="24" t="n">
        <v>1</v>
      </c>
      <c r="H8" s="22" t="s">
        <v>167</v>
      </c>
      <c r="I8" s="25" t="n">
        <v>17.699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4</v>
      </c>
      <c r="F9" s="28" t="n">
        <v>1106</v>
      </c>
      <c r="G9" s="29" t="n">
        <v>1.05</v>
      </c>
      <c r="H9" s="27" t="s">
        <v>170</v>
      </c>
      <c r="I9" s="30" t="n">
        <v>16.276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86.204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354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355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356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357</v>
      </c>
      <c r="D20" s="25" t="n">
        <v>0.333</v>
      </c>
      <c r="E20" s="31" t="n">
        <v>0.816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358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74</v>
      </c>
      <c r="C2" s="13" t="s">
        <v>143</v>
      </c>
      <c r="D2" s="14" t="s">
        <v>215</v>
      </c>
      <c r="E2" s="13" t="s">
        <v>145</v>
      </c>
      <c r="F2" s="15" t="s">
        <v>21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20</v>
      </c>
      <c r="F6" s="23" t="n">
        <v>4610</v>
      </c>
      <c r="G6" s="24" t="n">
        <v>1.02</v>
      </c>
      <c r="H6" s="22" t="s">
        <v>159</v>
      </c>
      <c r="I6" s="25" t="n">
        <v>29.249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10</v>
      </c>
      <c r="F7" s="28" t="n">
        <v>621</v>
      </c>
      <c r="G7" s="29" t="n">
        <v>0.98</v>
      </c>
      <c r="H7" s="27" t="s">
        <v>163</v>
      </c>
      <c r="I7" s="30" t="n">
        <v>24.344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18</v>
      </c>
      <c r="F8" s="23" t="n">
        <v>932</v>
      </c>
      <c r="G8" s="24" t="n">
        <v>1</v>
      </c>
      <c r="H8" s="22" t="s">
        <v>167</v>
      </c>
      <c r="I8" s="25" t="n">
        <v>21.353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8</v>
      </c>
      <c r="F9" s="28" t="n">
        <v>1243</v>
      </c>
      <c r="G9" s="29" t="n">
        <v>1.05</v>
      </c>
      <c r="H9" s="27" t="s">
        <v>170</v>
      </c>
      <c r="I9" s="30" t="n">
        <v>13.962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88.908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359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360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361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362</v>
      </c>
      <c r="D20" s="25" t="n">
        <v>0.332</v>
      </c>
      <c r="E20" s="31" t="n">
        <v>0.813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363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76</v>
      </c>
      <c r="C2" s="13" t="s">
        <v>143</v>
      </c>
      <c r="D2" s="14" t="s">
        <v>227</v>
      </c>
      <c r="E2" s="13" t="s">
        <v>145</v>
      </c>
      <c r="F2" s="15" t="s">
        <v>25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16</v>
      </c>
      <c r="F6" s="23" t="n">
        <v>4747</v>
      </c>
      <c r="G6" s="24" t="n">
        <v>1.02</v>
      </c>
      <c r="H6" s="22" t="s">
        <v>159</v>
      </c>
      <c r="I6" s="25" t="n">
        <v>28.298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12</v>
      </c>
      <c r="F7" s="28" t="n">
        <v>758</v>
      </c>
      <c r="G7" s="29" t="n">
        <v>0.98</v>
      </c>
      <c r="H7" s="27" t="s">
        <v>163</v>
      </c>
      <c r="I7" s="30" t="n">
        <v>22.863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11</v>
      </c>
      <c r="F8" s="23" t="n">
        <v>1069</v>
      </c>
      <c r="G8" s="24" t="n">
        <v>1</v>
      </c>
      <c r="H8" s="22" t="s">
        <v>167</v>
      </c>
      <c r="I8" s="25" t="n">
        <v>20.832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11</v>
      </c>
      <c r="F9" s="28" t="n">
        <v>1380</v>
      </c>
      <c r="G9" s="29" t="n">
        <v>1.05</v>
      </c>
      <c r="H9" s="27" t="s">
        <v>170</v>
      </c>
      <c r="I9" s="30" t="n">
        <v>14.822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86.815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364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365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366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367</v>
      </c>
      <c r="D20" s="25" t="n">
        <v>0.333</v>
      </c>
      <c r="E20" s="31" t="n">
        <v>0.816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368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78</v>
      </c>
      <c r="C2" s="13" t="s">
        <v>143</v>
      </c>
      <c r="D2" s="14" t="s">
        <v>234</v>
      </c>
      <c r="E2" s="13" t="s">
        <v>145</v>
      </c>
      <c r="F2" s="15" t="s">
        <v>29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6</v>
      </c>
      <c r="F6" s="23" t="n">
        <v>4884</v>
      </c>
      <c r="G6" s="24" t="n">
        <v>1.02</v>
      </c>
      <c r="H6" s="22" t="s">
        <v>159</v>
      </c>
      <c r="I6" s="25" t="n">
        <v>29.093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10</v>
      </c>
      <c r="F7" s="28" t="n">
        <v>895</v>
      </c>
      <c r="G7" s="29" t="n">
        <v>0.98</v>
      </c>
      <c r="H7" s="27" t="s">
        <v>163</v>
      </c>
      <c r="I7" s="30" t="n">
        <v>22.788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6</v>
      </c>
      <c r="F8" s="23" t="n">
        <v>1206</v>
      </c>
      <c r="G8" s="24" t="n">
        <v>1</v>
      </c>
      <c r="H8" s="22" t="s">
        <v>167</v>
      </c>
      <c r="I8" s="25" t="n">
        <v>21.035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14</v>
      </c>
      <c r="F9" s="28" t="n">
        <v>1517</v>
      </c>
      <c r="G9" s="29" t="n">
        <v>1.05</v>
      </c>
      <c r="H9" s="27" t="s">
        <v>170</v>
      </c>
      <c r="I9" s="30" t="n">
        <v>14.623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87.539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369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370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371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372</v>
      </c>
      <c r="D20" s="25" t="n">
        <v>0.341</v>
      </c>
      <c r="E20" s="31" t="n">
        <v>0.835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373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80</v>
      </c>
      <c r="C2" s="13" t="s">
        <v>143</v>
      </c>
      <c r="D2" s="14" t="s">
        <v>273</v>
      </c>
      <c r="E2" s="13" t="s">
        <v>145</v>
      </c>
      <c r="F2" s="15" t="s">
        <v>32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13</v>
      </c>
      <c r="F6" s="23" t="n">
        <v>721</v>
      </c>
      <c r="G6" s="24" t="n">
        <v>1.02</v>
      </c>
      <c r="H6" s="22" t="s">
        <v>159</v>
      </c>
      <c r="I6" s="25" t="n">
        <v>30.897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10</v>
      </c>
      <c r="F7" s="28" t="n">
        <v>1032</v>
      </c>
      <c r="G7" s="29" t="n">
        <v>0.98</v>
      </c>
      <c r="H7" s="27" t="s">
        <v>163</v>
      </c>
      <c r="I7" s="30" t="n">
        <v>23.925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18</v>
      </c>
      <c r="F8" s="23" t="n">
        <v>1343</v>
      </c>
      <c r="G8" s="24" t="n">
        <v>1</v>
      </c>
      <c r="H8" s="22" t="s">
        <v>167</v>
      </c>
      <c r="I8" s="25" t="n">
        <v>17.831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19</v>
      </c>
      <c r="F9" s="28" t="n">
        <v>1654</v>
      </c>
      <c r="G9" s="29" t="n">
        <v>1.05</v>
      </c>
      <c r="H9" s="27" t="s">
        <v>170</v>
      </c>
      <c r="I9" s="30" t="n">
        <v>17.59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90.243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374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375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376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377</v>
      </c>
      <c r="D20" s="25" t="n">
        <v>0.339</v>
      </c>
      <c r="E20" s="31" t="n">
        <v>0.831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378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82</v>
      </c>
      <c r="C2" s="13" t="s">
        <v>143</v>
      </c>
      <c r="D2" s="14" t="s">
        <v>144</v>
      </c>
      <c r="E2" s="13" t="s">
        <v>145</v>
      </c>
      <c r="F2" s="15" t="s">
        <v>13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18</v>
      </c>
      <c r="F6" s="23" t="n">
        <v>858</v>
      </c>
      <c r="G6" s="24" t="n">
        <v>1.02</v>
      </c>
      <c r="H6" s="22" t="s">
        <v>159</v>
      </c>
      <c r="I6" s="25" t="n">
        <v>26.956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19</v>
      </c>
      <c r="F7" s="28" t="n">
        <v>1169</v>
      </c>
      <c r="G7" s="29" t="n">
        <v>0.98</v>
      </c>
      <c r="H7" s="27" t="s">
        <v>163</v>
      </c>
      <c r="I7" s="30" t="n">
        <v>22.116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18</v>
      </c>
      <c r="F8" s="23" t="n">
        <v>1480</v>
      </c>
      <c r="G8" s="24" t="n">
        <v>1</v>
      </c>
      <c r="H8" s="22" t="s">
        <v>167</v>
      </c>
      <c r="I8" s="25" t="n">
        <v>19.143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8</v>
      </c>
      <c r="F9" s="28" t="n">
        <v>1791</v>
      </c>
      <c r="G9" s="29" t="n">
        <v>1.05</v>
      </c>
      <c r="H9" s="27" t="s">
        <v>170</v>
      </c>
      <c r="I9" s="30" t="n">
        <v>17.123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85.338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379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380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381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382</v>
      </c>
      <c r="D20" s="25" t="n">
        <v>0.334</v>
      </c>
      <c r="E20" s="31" t="n">
        <v>0.818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383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84</v>
      </c>
      <c r="C2" s="13" t="s">
        <v>143</v>
      </c>
      <c r="D2" s="14" t="s">
        <v>215</v>
      </c>
      <c r="E2" s="13" t="s">
        <v>145</v>
      </c>
      <c r="F2" s="15" t="s">
        <v>17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10</v>
      </c>
      <c r="F6" s="23" t="n">
        <v>995</v>
      </c>
      <c r="G6" s="24" t="n">
        <v>1.02</v>
      </c>
      <c r="H6" s="22" t="s">
        <v>159</v>
      </c>
      <c r="I6" s="25" t="n">
        <v>20.959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13</v>
      </c>
      <c r="F7" s="28" t="n">
        <v>1306</v>
      </c>
      <c r="G7" s="29" t="n">
        <v>0.98</v>
      </c>
      <c r="H7" s="27" t="s">
        <v>163</v>
      </c>
      <c r="I7" s="30" t="n">
        <v>17.393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18</v>
      </c>
      <c r="F8" s="23" t="n">
        <v>1617</v>
      </c>
      <c r="G8" s="24" t="n">
        <v>1</v>
      </c>
      <c r="H8" s="22" t="s">
        <v>167</v>
      </c>
      <c r="I8" s="25" t="n">
        <v>14.323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5</v>
      </c>
      <c r="F9" s="28" t="n">
        <v>1928</v>
      </c>
      <c r="G9" s="29" t="n">
        <v>1.05</v>
      </c>
      <c r="H9" s="27" t="s">
        <v>170</v>
      </c>
      <c r="I9" s="30" t="n">
        <v>14.035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66.71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384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385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386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387</v>
      </c>
      <c r="D20" s="25" t="n">
        <v>0.244</v>
      </c>
      <c r="E20" s="31" t="n">
        <v>0.598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388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86</v>
      </c>
      <c r="C2" s="13" t="s">
        <v>143</v>
      </c>
      <c r="D2" s="14" t="s">
        <v>227</v>
      </c>
      <c r="E2" s="13" t="s">
        <v>145</v>
      </c>
      <c r="F2" s="15" t="s">
        <v>21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9</v>
      </c>
      <c r="F6" s="23" t="n">
        <v>1132</v>
      </c>
      <c r="G6" s="24" t="n">
        <v>1.02</v>
      </c>
      <c r="H6" s="22" t="s">
        <v>159</v>
      </c>
      <c r="I6" s="25" t="n">
        <v>23.115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5</v>
      </c>
      <c r="F7" s="28" t="n">
        <v>1443</v>
      </c>
      <c r="G7" s="29" t="n">
        <v>0.98</v>
      </c>
      <c r="H7" s="27" t="s">
        <v>163</v>
      </c>
      <c r="I7" s="30" t="n">
        <v>19.222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9</v>
      </c>
      <c r="F8" s="23" t="n">
        <v>1754</v>
      </c>
      <c r="G8" s="24" t="n">
        <v>1</v>
      </c>
      <c r="H8" s="22" t="s">
        <v>167</v>
      </c>
      <c r="I8" s="25" t="n">
        <v>16.531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6</v>
      </c>
      <c r="F9" s="28" t="n">
        <v>2065</v>
      </c>
      <c r="G9" s="29" t="n">
        <v>1.05</v>
      </c>
      <c r="H9" s="27" t="s">
        <v>170</v>
      </c>
      <c r="I9" s="30" t="n">
        <v>11.525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70.393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389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390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391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392</v>
      </c>
      <c r="D20" s="25" t="n">
        <v>0.246</v>
      </c>
      <c r="E20" s="31" t="n">
        <v>0.603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393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88</v>
      </c>
      <c r="C2" s="13" t="s">
        <v>143</v>
      </c>
      <c r="D2" s="14" t="s">
        <v>234</v>
      </c>
      <c r="E2" s="13" t="s">
        <v>145</v>
      </c>
      <c r="F2" s="15" t="s">
        <v>25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16</v>
      </c>
      <c r="F6" s="23" t="n">
        <v>1269</v>
      </c>
      <c r="G6" s="24" t="n">
        <v>1.02</v>
      </c>
      <c r="H6" s="22" t="s">
        <v>159</v>
      </c>
      <c r="I6" s="25" t="n">
        <v>22.21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15</v>
      </c>
      <c r="F7" s="28" t="n">
        <v>1580</v>
      </c>
      <c r="G7" s="29" t="n">
        <v>0.98</v>
      </c>
      <c r="H7" s="27" t="s">
        <v>163</v>
      </c>
      <c r="I7" s="30" t="n">
        <v>18.421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4</v>
      </c>
      <c r="F8" s="23" t="n">
        <v>1891</v>
      </c>
      <c r="G8" s="24" t="n">
        <v>1</v>
      </c>
      <c r="H8" s="22" t="s">
        <v>167</v>
      </c>
      <c r="I8" s="25" t="n">
        <v>16.109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16</v>
      </c>
      <c r="F9" s="28" t="n">
        <v>2202</v>
      </c>
      <c r="G9" s="29" t="n">
        <v>1.05</v>
      </c>
      <c r="H9" s="27" t="s">
        <v>170</v>
      </c>
      <c r="I9" s="30" t="n">
        <v>13.653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70.393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394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395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396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397</v>
      </c>
      <c r="D20" s="25" t="n">
        <v>0.244</v>
      </c>
      <c r="E20" s="31" t="n">
        <v>0.598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398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90</v>
      </c>
      <c r="C2" s="13" t="s">
        <v>143</v>
      </c>
      <c r="D2" s="14" t="s">
        <v>273</v>
      </c>
      <c r="E2" s="13" t="s">
        <v>145</v>
      </c>
      <c r="F2" s="15" t="s">
        <v>29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11</v>
      </c>
      <c r="F6" s="23" t="n">
        <v>1406</v>
      </c>
      <c r="G6" s="24" t="n">
        <v>1.02</v>
      </c>
      <c r="H6" s="22" t="s">
        <v>159</v>
      </c>
      <c r="I6" s="25" t="n">
        <v>21.547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14</v>
      </c>
      <c r="F7" s="28" t="n">
        <v>1717</v>
      </c>
      <c r="G7" s="29" t="n">
        <v>0.98</v>
      </c>
      <c r="H7" s="27" t="s">
        <v>163</v>
      </c>
      <c r="I7" s="30" t="n">
        <v>18.448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18</v>
      </c>
      <c r="F8" s="23" t="n">
        <v>2028</v>
      </c>
      <c r="G8" s="24" t="n">
        <v>1</v>
      </c>
      <c r="H8" s="22" t="s">
        <v>167</v>
      </c>
      <c r="I8" s="25" t="n">
        <v>15.199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21</v>
      </c>
      <c r="F9" s="28" t="n">
        <v>2339</v>
      </c>
      <c r="G9" s="29" t="n">
        <v>1.05</v>
      </c>
      <c r="H9" s="27" t="s">
        <v>170</v>
      </c>
      <c r="I9" s="30" t="n">
        <v>13.067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68.261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399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400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401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402</v>
      </c>
      <c r="D20" s="25" t="n">
        <v>0.248</v>
      </c>
      <c r="E20" s="31" t="n">
        <v>0.608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403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92</v>
      </c>
      <c r="C2" s="13" t="s">
        <v>143</v>
      </c>
      <c r="D2" s="14" t="s">
        <v>144</v>
      </c>
      <c r="E2" s="13" t="s">
        <v>145</v>
      </c>
      <c r="F2" s="15" t="s">
        <v>32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5</v>
      </c>
      <c r="F6" s="23" t="n">
        <v>1543</v>
      </c>
      <c r="G6" s="24" t="n">
        <v>1.02</v>
      </c>
      <c r="H6" s="22" t="s">
        <v>159</v>
      </c>
      <c r="I6" s="25" t="n">
        <v>28.7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8</v>
      </c>
      <c r="F7" s="28" t="n">
        <v>1854</v>
      </c>
      <c r="G7" s="29" t="n">
        <v>0.98</v>
      </c>
      <c r="H7" s="27" t="s">
        <v>163</v>
      </c>
      <c r="I7" s="30" t="n">
        <v>26.839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7</v>
      </c>
      <c r="F8" s="23" t="n">
        <v>2165</v>
      </c>
      <c r="G8" s="24" t="n">
        <v>1</v>
      </c>
      <c r="H8" s="22" t="s">
        <v>167</v>
      </c>
      <c r="I8" s="25" t="n">
        <v>22.222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18</v>
      </c>
      <c r="F9" s="28" t="n">
        <v>2476</v>
      </c>
      <c r="G9" s="29" t="n">
        <v>1.05</v>
      </c>
      <c r="H9" s="27" t="s">
        <v>170</v>
      </c>
      <c r="I9" s="30" t="n">
        <v>18.41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96.171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404</v>
      </c>
      <c r="B14" s="22" t="s">
        <v>180</v>
      </c>
      <c r="C14" s="21" t="s">
        <v>181</v>
      </c>
      <c r="D14" s="21" t="s">
        <v>182</v>
      </c>
      <c r="E14" s="21" t="n">
        <v>9</v>
      </c>
      <c r="F14" s="22" t="s">
        <v>183</v>
      </c>
      <c r="G14" s="22" t="s">
        <v>198</v>
      </c>
      <c r="H14" s="22" t="s">
        <v>199</v>
      </c>
      <c r="I14" s="21"/>
    </row>
    <row r="15" customFormat="false" ht="21.75" hidden="false" customHeight="true" outlineLevel="0" collapsed="false">
      <c r="A15" s="26" t="s">
        <v>405</v>
      </c>
      <c r="B15" s="27" t="s">
        <v>187</v>
      </c>
      <c r="C15" s="26" t="s">
        <v>188</v>
      </c>
      <c r="D15" s="27" t="s">
        <v>189</v>
      </c>
      <c r="E15" s="26" t="s">
        <v>230</v>
      </c>
      <c r="F15" s="27" t="s">
        <v>190</v>
      </c>
      <c r="G15" s="27" t="s">
        <v>184</v>
      </c>
      <c r="H15" s="27" t="s">
        <v>185</v>
      </c>
      <c r="I15" s="27" t="s">
        <v>222</v>
      </c>
    </row>
    <row r="16" customFormat="false" ht="21.75" hidden="false" customHeight="true" outlineLevel="0" collapsed="false">
      <c r="A16" s="21" t="s">
        <v>406</v>
      </c>
      <c r="B16" s="22" t="s">
        <v>194</v>
      </c>
      <c r="C16" s="21" t="s">
        <v>195</v>
      </c>
      <c r="D16" s="22" t="s">
        <v>196</v>
      </c>
      <c r="E16" s="21" t="n">
        <v>1</v>
      </c>
      <c r="F16" s="22" t="s">
        <v>197</v>
      </c>
      <c r="G16" s="22" t="s">
        <v>191</v>
      </c>
      <c r="H16" s="22" t="s">
        <v>192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407</v>
      </c>
      <c r="D20" s="25" t="n">
        <v>0.402</v>
      </c>
      <c r="E20" s="31" t="n">
        <v>0.985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408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94</v>
      </c>
      <c r="C2" s="13" t="s">
        <v>143</v>
      </c>
      <c r="D2" s="14" t="s">
        <v>215</v>
      </c>
      <c r="E2" s="13" t="s">
        <v>145</v>
      </c>
      <c r="F2" s="15" t="s">
        <v>13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6</v>
      </c>
      <c r="F6" s="23" t="n">
        <v>1680</v>
      </c>
      <c r="G6" s="24" t="n">
        <v>1.02</v>
      </c>
      <c r="H6" s="22" t="s">
        <v>159</v>
      </c>
      <c r="I6" s="25" t="n">
        <v>33.81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7</v>
      </c>
      <c r="F7" s="28" t="n">
        <v>1991</v>
      </c>
      <c r="G7" s="29" t="n">
        <v>0.98</v>
      </c>
      <c r="H7" s="27" t="s">
        <v>163</v>
      </c>
      <c r="I7" s="30" t="n">
        <v>24.346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5</v>
      </c>
      <c r="F8" s="23" t="n">
        <v>2302</v>
      </c>
      <c r="G8" s="24" t="n">
        <v>1</v>
      </c>
      <c r="H8" s="22" t="s">
        <v>167</v>
      </c>
      <c r="I8" s="25" t="n">
        <v>22.519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17</v>
      </c>
      <c r="F9" s="28" t="n">
        <v>2613</v>
      </c>
      <c r="G9" s="29" t="n">
        <v>1.05</v>
      </c>
      <c r="H9" s="27" t="s">
        <v>170</v>
      </c>
      <c r="I9" s="30" t="n">
        <v>19.885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100.56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409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410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411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412</v>
      </c>
      <c r="D20" s="25" t="n">
        <v>0.402</v>
      </c>
      <c r="E20" s="31" t="n">
        <v>0.985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413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96</v>
      </c>
      <c r="C2" s="13" t="s">
        <v>143</v>
      </c>
      <c r="D2" s="14" t="s">
        <v>227</v>
      </c>
      <c r="E2" s="13" t="s">
        <v>145</v>
      </c>
      <c r="F2" s="15" t="s">
        <v>17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11</v>
      </c>
      <c r="F6" s="23" t="n">
        <v>1817</v>
      </c>
      <c r="G6" s="24" t="n">
        <v>1.02</v>
      </c>
      <c r="H6" s="22" t="s">
        <v>159</v>
      </c>
      <c r="I6" s="25" t="n">
        <v>34.317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7</v>
      </c>
      <c r="F7" s="28" t="n">
        <v>2128</v>
      </c>
      <c r="G7" s="29" t="n">
        <v>0.98</v>
      </c>
      <c r="H7" s="27" t="s">
        <v>163</v>
      </c>
      <c r="I7" s="30" t="n">
        <v>26.951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19</v>
      </c>
      <c r="F8" s="23" t="n">
        <v>2439</v>
      </c>
      <c r="G8" s="24" t="n">
        <v>1</v>
      </c>
      <c r="H8" s="22" t="s">
        <v>167</v>
      </c>
      <c r="I8" s="25" t="n">
        <v>23.677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20</v>
      </c>
      <c r="F9" s="28" t="n">
        <v>2750</v>
      </c>
      <c r="G9" s="29" t="n">
        <v>1.05</v>
      </c>
      <c r="H9" s="27" t="s">
        <v>170</v>
      </c>
      <c r="I9" s="30" t="n">
        <v>15.615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100.56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414</v>
      </c>
      <c r="B14" s="22" t="s">
        <v>180</v>
      </c>
      <c r="C14" s="21" t="s">
        <v>181</v>
      </c>
      <c r="D14" s="21" t="s">
        <v>182</v>
      </c>
      <c r="E14" s="21" t="n">
        <v>8</v>
      </c>
      <c r="F14" s="22" t="s">
        <v>183</v>
      </c>
      <c r="G14" s="22" t="s">
        <v>191</v>
      </c>
      <c r="H14" s="22" t="s">
        <v>192</v>
      </c>
      <c r="I14" s="21"/>
    </row>
    <row r="15" customFormat="false" ht="21.75" hidden="false" customHeight="true" outlineLevel="0" collapsed="false">
      <c r="A15" s="26" t="s">
        <v>415</v>
      </c>
      <c r="B15" s="27" t="s">
        <v>187</v>
      </c>
      <c r="C15" s="26" t="s">
        <v>188</v>
      </c>
      <c r="D15" s="27" t="s">
        <v>189</v>
      </c>
      <c r="E15" s="26" t="s">
        <v>221</v>
      </c>
      <c r="F15" s="27" t="s">
        <v>190</v>
      </c>
      <c r="G15" s="27" t="s">
        <v>198</v>
      </c>
      <c r="H15" s="27" t="s">
        <v>199</v>
      </c>
      <c r="I15" s="27" t="s">
        <v>222</v>
      </c>
    </row>
    <row r="16" customFormat="false" ht="21.75" hidden="false" customHeight="true" outlineLevel="0" collapsed="false">
      <c r="A16" s="21" t="s">
        <v>416</v>
      </c>
      <c r="B16" s="22" t="s">
        <v>194</v>
      </c>
      <c r="C16" s="21" t="s">
        <v>195</v>
      </c>
      <c r="D16" s="22" t="s">
        <v>196</v>
      </c>
      <c r="E16" s="21" t="n">
        <v>3</v>
      </c>
      <c r="F16" s="22" t="s">
        <v>197</v>
      </c>
      <c r="G16" s="22" t="s">
        <v>184</v>
      </c>
      <c r="H16" s="22" t="s">
        <v>185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417</v>
      </c>
      <c r="D20" s="25" t="n">
        <v>0.402</v>
      </c>
      <c r="E20" s="31" t="n">
        <v>0.985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418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98</v>
      </c>
      <c r="C2" s="13" t="s">
        <v>143</v>
      </c>
      <c r="D2" s="14" t="s">
        <v>234</v>
      </c>
      <c r="E2" s="13" t="s">
        <v>145</v>
      </c>
      <c r="F2" s="15" t="s">
        <v>21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  <c r="J5" s="20" t="s">
        <v>146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12</v>
      </c>
      <c r="F6" s="23" t="n">
        <v>1954</v>
      </c>
      <c r="G6" s="24" t="n">
        <v>1.02</v>
      </c>
      <c r="H6" s="22" t="s">
        <v>159</v>
      </c>
      <c r="I6" s="25" t="n">
        <v>31.917</v>
      </c>
      <c r="J6" s="16" t="n">
        <v>97.116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20</v>
      </c>
      <c r="F7" s="28" t="n">
        <v>2265</v>
      </c>
      <c r="G7" s="29" t="n">
        <v>0.98</v>
      </c>
      <c r="H7" s="27" t="s">
        <v>163</v>
      </c>
      <c r="I7" s="30" t="n">
        <v>26.866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21</v>
      </c>
      <c r="F8" s="23" t="n">
        <v>2576</v>
      </c>
      <c r="G8" s="24" t="n">
        <v>1</v>
      </c>
      <c r="H8" s="22" t="s">
        <v>167</v>
      </c>
      <c r="I8" s="25" t="n">
        <v>20.595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20</v>
      </c>
      <c r="F9" s="28" t="n">
        <v>2887</v>
      </c>
      <c r="G9" s="29" t="n">
        <v>1.05</v>
      </c>
      <c r="H9" s="27" t="s">
        <v>170</v>
      </c>
      <c r="I9" s="30" t="n">
        <v>17.738</v>
      </c>
    </row>
    <row r="10" customFormat="false" ht="21.7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</row>
    <row r="11" customFormat="false" ht="9" hidden="false" customHeight="true" outlineLevel="0" collapsed="false">
      <c r="A11" s="19" t="s">
        <v>171</v>
      </c>
      <c r="B11" s="19"/>
      <c r="C11" s="19"/>
      <c r="D11" s="19"/>
      <c r="E11" s="19"/>
      <c r="F11" s="19"/>
      <c r="G11" s="19"/>
      <c r="H11" s="19"/>
      <c r="I11" s="19"/>
    </row>
    <row r="12" customFormat="false" ht="22.5" hidden="false" customHeight="true" outlineLevel="0" collapsed="false">
      <c r="A12" s="20" t="s">
        <v>172</v>
      </c>
      <c r="B12" s="20" t="s">
        <v>173</v>
      </c>
      <c r="C12" s="20" t="s">
        <v>174</v>
      </c>
      <c r="D12" s="20" t="s">
        <v>175</v>
      </c>
      <c r="E12" s="20" t="s">
        <v>151</v>
      </c>
      <c r="F12" s="20" t="s">
        <v>176</v>
      </c>
      <c r="G12" s="20" t="s">
        <v>177</v>
      </c>
      <c r="H12" s="20" t="s">
        <v>178</v>
      </c>
      <c r="I12" s="20" t="s">
        <v>9</v>
      </c>
    </row>
    <row r="13" customFormat="false" ht="21.75" hidden="false" customHeight="true" outlineLevel="0" collapsed="false">
      <c r="A13" s="21" t="s">
        <v>419</v>
      </c>
      <c r="B13" s="22" t="s">
        <v>180</v>
      </c>
      <c r="C13" s="21" t="s">
        <v>181</v>
      </c>
      <c r="D13" s="21" t="s">
        <v>182</v>
      </c>
      <c r="E13" s="21" t="n">
        <v>9</v>
      </c>
      <c r="F13" s="22" t="s">
        <v>183</v>
      </c>
      <c r="G13" s="22" t="s">
        <v>198</v>
      </c>
      <c r="H13" s="22" t="s">
        <v>199</v>
      </c>
      <c r="I13" s="21"/>
    </row>
    <row r="14" customFormat="false" ht="21.75" hidden="false" customHeight="true" outlineLevel="0" collapsed="false">
      <c r="A14" s="26" t="s">
        <v>420</v>
      </c>
      <c r="B14" s="27" t="s">
        <v>187</v>
      </c>
      <c r="C14" s="26" t="s">
        <v>188</v>
      </c>
      <c r="D14" s="27" t="s">
        <v>189</v>
      </c>
      <c r="E14" s="26" t="s">
        <v>230</v>
      </c>
      <c r="F14" s="27" t="s">
        <v>190</v>
      </c>
      <c r="G14" s="27" t="s">
        <v>184</v>
      </c>
      <c r="H14" s="27" t="s">
        <v>185</v>
      </c>
      <c r="I14" s="27" t="s">
        <v>222</v>
      </c>
    </row>
    <row r="15" customFormat="false" ht="21.75" hidden="false" customHeight="true" outlineLevel="0" collapsed="false">
      <c r="A15" s="21" t="s">
        <v>421</v>
      </c>
      <c r="B15" s="22" t="s">
        <v>194</v>
      </c>
      <c r="C15" s="21" t="s">
        <v>195</v>
      </c>
      <c r="D15" s="22" t="s">
        <v>196</v>
      </c>
      <c r="E15" s="21" t="n">
        <v>1</v>
      </c>
      <c r="F15" s="22" t="s">
        <v>197</v>
      </c>
      <c r="G15" s="22" t="s">
        <v>191</v>
      </c>
      <c r="H15" s="22" t="s">
        <v>192</v>
      </c>
      <c r="I15" s="21"/>
    </row>
    <row r="16" customFormat="false" ht="21.7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</row>
    <row r="17" customFormat="false" ht="9" hidden="false" customHeight="true" outlineLevel="0" collapsed="false">
      <c r="A17" s="19" t="s">
        <v>200</v>
      </c>
      <c r="B17" s="19"/>
      <c r="C17" s="19"/>
      <c r="D17" s="19"/>
      <c r="E17" s="19"/>
      <c r="F17" s="19"/>
      <c r="G17" s="19"/>
      <c r="H17" s="19"/>
      <c r="I17" s="19"/>
    </row>
    <row r="18" customFormat="false" ht="22.5" hidden="false" customHeight="true" outlineLevel="0" collapsed="false">
      <c r="A18" s="20" t="s">
        <v>201</v>
      </c>
      <c r="B18" s="20" t="s">
        <v>202</v>
      </c>
      <c r="C18" s="20" t="s">
        <v>203</v>
      </c>
      <c r="D18" s="20" t="s">
        <v>205</v>
      </c>
      <c r="E18" s="20" t="s">
        <v>204</v>
      </c>
      <c r="F18" s="20" t="s">
        <v>224</v>
      </c>
      <c r="G18" s="20" t="s">
        <v>206</v>
      </c>
      <c r="H18" s="20" t="s">
        <v>207</v>
      </c>
      <c r="I18" s="20" t="s">
        <v>9</v>
      </c>
    </row>
    <row r="19" customFormat="false" ht="21.75" hidden="false" customHeight="true" outlineLevel="0" collapsed="false">
      <c r="A19" s="22" t="s">
        <v>209</v>
      </c>
      <c r="B19" s="21" t="s">
        <v>210</v>
      </c>
      <c r="C19" s="21" t="s">
        <v>422</v>
      </c>
      <c r="D19" s="23" t="n">
        <v>1</v>
      </c>
      <c r="E19" s="31" t="n">
        <v>0.99</v>
      </c>
      <c r="F19" s="25" t="n">
        <v>0.404</v>
      </c>
      <c r="G19" s="22" t="s">
        <v>212</v>
      </c>
      <c r="H19" s="22" t="s">
        <v>213</v>
      </c>
      <c r="I19" s="21"/>
    </row>
    <row r="20" customFormat="false" ht="21.7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/>
    <row r="23" customFormat="false" ht="9" hidden="false" customHeight="true" outlineLevel="0" collapsed="false"/>
    <row r="24" customFormat="false" ht="9" hidden="false" customHeight="true" outlineLevel="0" collapsed="false"/>
    <row r="25" customFormat="false" ht="9" hidden="false" customHeight="true" outlineLevel="0" collapsed="false"/>
    <row r="26" customFormat="false" ht="25.5" hidden="false" customHeight="true" outlineLevel="0" collapsed="false"/>
    <row r="27" customFormat="false" ht="19.5" hidden="false" customHeight="true" outlineLevel="0" collapsed="false"/>
  </sheetData>
  <mergeCells count="4">
    <mergeCell ref="A1:I1"/>
    <mergeCell ref="A4:I4"/>
    <mergeCell ref="A11:I11"/>
    <mergeCell ref="A17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2" t="s">
        <v>423</v>
      </c>
      <c r="B1" s="12"/>
      <c r="C1" s="12"/>
      <c r="D1" s="12"/>
      <c r="E1" s="12"/>
      <c r="F1" s="12"/>
      <c r="G1" s="12"/>
      <c r="H1" s="12"/>
      <c r="I1" s="12"/>
    </row>
    <row r="2" customFormat="false" ht="21.75" hidden="false" customHeight="true" outlineLevel="0" collapsed="false">
      <c r="A2" s="13" t="s">
        <v>142</v>
      </c>
      <c r="B2" s="14" t="s">
        <v>100</v>
      </c>
      <c r="C2" s="13" t="s">
        <v>143</v>
      </c>
      <c r="D2" s="14" t="s">
        <v>273</v>
      </c>
      <c r="E2" s="13" t="s">
        <v>145</v>
      </c>
      <c r="F2" s="15" t="s">
        <v>25</v>
      </c>
      <c r="G2" s="13" t="s">
        <v>216</v>
      </c>
      <c r="H2" s="15" t="s">
        <v>217</v>
      </c>
      <c r="I2" s="32"/>
    </row>
    <row r="3" customFormat="false" ht="9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19" t="s">
        <v>147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1</v>
      </c>
      <c r="B5" s="20" t="s">
        <v>148</v>
      </c>
      <c r="C5" s="20" t="s">
        <v>149</v>
      </c>
      <c r="D5" s="20" t="s">
        <v>150</v>
      </c>
      <c r="E5" s="20" t="s">
        <v>151</v>
      </c>
      <c r="F5" s="20" t="s">
        <v>152</v>
      </c>
      <c r="G5" s="20" t="s">
        <v>153</v>
      </c>
      <c r="H5" s="20" t="s">
        <v>154</v>
      </c>
      <c r="I5" s="20" t="s">
        <v>155</v>
      </c>
    </row>
    <row r="6" customFormat="false" ht="21.7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21" t="n">
        <v>15</v>
      </c>
      <c r="F6" s="23" t="n">
        <v>2091</v>
      </c>
      <c r="G6" s="24" t="n">
        <v>1.02</v>
      </c>
      <c r="H6" s="22" t="s">
        <v>159</v>
      </c>
      <c r="I6" s="25" t="n">
        <v>16.319</v>
      </c>
    </row>
    <row r="7" customFormat="false" ht="21.7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26" t="n">
        <v>15</v>
      </c>
      <c r="F7" s="28" t="n">
        <v>2402</v>
      </c>
      <c r="G7" s="29" t="n">
        <v>0.98</v>
      </c>
      <c r="H7" s="27" t="s">
        <v>163</v>
      </c>
      <c r="I7" s="30" t="n">
        <v>14.583</v>
      </c>
    </row>
    <row r="8" customFormat="false" ht="21.7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21" t="n">
        <v>9</v>
      </c>
      <c r="F8" s="23" t="n">
        <v>2713</v>
      </c>
      <c r="G8" s="24" t="n">
        <v>1</v>
      </c>
      <c r="H8" s="22" t="s">
        <v>167</v>
      </c>
      <c r="I8" s="25" t="n">
        <v>9.562</v>
      </c>
    </row>
    <row r="9" customFormat="false" ht="21.75" hidden="false" customHeight="true" outlineLevel="0" collapsed="false">
      <c r="A9" s="26" t="n">
        <v>4</v>
      </c>
      <c r="B9" s="27" t="s">
        <v>168</v>
      </c>
      <c r="C9" s="27" t="s">
        <v>169</v>
      </c>
      <c r="D9" s="26" t="s">
        <v>162</v>
      </c>
      <c r="E9" s="26" t="n">
        <v>17</v>
      </c>
      <c r="F9" s="28" t="n">
        <v>3024</v>
      </c>
      <c r="G9" s="29" t="n">
        <v>1.05</v>
      </c>
      <c r="H9" s="27" t="s">
        <v>170</v>
      </c>
      <c r="I9" s="30" t="n">
        <v>8.319</v>
      </c>
    </row>
    <row r="10" customFormat="false" ht="21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16" t="n">
        <v>48.783</v>
      </c>
    </row>
    <row r="11" customFormat="false" ht="9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22.5" hidden="false" customHeight="tru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20" t="s">
        <v>172</v>
      </c>
      <c r="B13" s="20" t="s">
        <v>173</v>
      </c>
      <c r="C13" s="20" t="s">
        <v>174</v>
      </c>
      <c r="D13" s="20" t="s">
        <v>175</v>
      </c>
      <c r="E13" s="20" t="s">
        <v>151</v>
      </c>
      <c r="F13" s="20" t="s">
        <v>176</v>
      </c>
      <c r="G13" s="20" t="s">
        <v>177</v>
      </c>
      <c r="H13" s="20" t="s">
        <v>178</v>
      </c>
      <c r="I13" s="20" t="s">
        <v>9</v>
      </c>
    </row>
    <row r="14" customFormat="false" ht="21.75" hidden="false" customHeight="true" outlineLevel="0" collapsed="false">
      <c r="A14" s="21" t="s">
        <v>424</v>
      </c>
      <c r="B14" s="22" t="s">
        <v>180</v>
      </c>
      <c r="C14" s="21" t="s">
        <v>181</v>
      </c>
      <c r="D14" s="21" t="s">
        <v>182</v>
      </c>
      <c r="E14" s="21" t="n">
        <v>10</v>
      </c>
      <c r="F14" s="22" t="s">
        <v>183</v>
      </c>
      <c r="G14" s="22" t="s">
        <v>184</v>
      </c>
      <c r="H14" s="22" t="s">
        <v>185</v>
      </c>
      <c r="I14" s="21"/>
    </row>
    <row r="15" customFormat="false" ht="21.75" hidden="false" customHeight="true" outlineLevel="0" collapsed="false">
      <c r="A15" s="26" t="s">
        <v>425</v>
      </c>
      <c r="B15" s="27" t="s">
        <v>187</v>
      </c>
      <c r="C15" s="26" t="s">
        <v>188</v>
      </c>
      <c r="D15" s="27" t="s">
        <v>189</v>
      </c>
      <c r="E15" s="26" t="s">
        <v>237</v>
      </c>
      <c r="F15" s="27" t="s">
        <v>190</v>
      </c>
      <c r="G15" s="27" t="s">
        <v>191</v>
      </c>
      <c r="H15" s="27" t="s">
        <v>192</v>
      </c>
      <c r="I15" s="27" t="s">
        <v>222</v>
      </c>
    </row>
    <row r="16" customFormat="false" ht="21.75" hidden="false" customHeight="true" outlineLevel="0" collapsed="false">
      <c r="A16" s="21" t="s">
        <v>426</v>
      </c>
      <c r="B16" s="22" t="s">
        <v>194</v>
      </c>
      <c r="C16" s="21" t="s">
        <v>195</v>
      </c>
      <c r="D16" s="22" t="s">
        <v>196</v>
      </c>
      <c r="E16" s="21" t="n">
        <v>2</v>
      </c>
      <c r="F16" s="22" t="s">
        <v>197</v>
      </c>
      <c r="G16" s="22" t="s">
        <v>198</v>
      </c>
      <c r="H16" s="22" t="s">
        <v>199</v>
      </c>
      <c r="I16" s="21"/>
    </row>
    <row r="17" customFormat="false" ht="9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22.5" hidden="false" customHeight="true" outlineLevel="0" collapsed="false">
      <c r="A18" s="19" t="s">
        <v>200</v>
      </c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20" t="s">
        <v>201</v>
      </c>
      <c r="B19" s="20" t="s">
        <v>202</v>
      </c>
      <c r="C19" s="20" t="s">
        <v>203</v>
      </c>
      <c r="D19" s="20" t="s">
        <v>224</v>
      </c>
      <c r="E19" s="20" t="s">
        <v>204</v>
      </c>
      <c r="F19" s="20" t="s">
        <v>205</v>
      </c>
      <c r="G19" s="20" t="s">
        <v>206</v>
      </c>
      <c r="H19" s="20" t="s">
        <v>207</v>
      </c>
      <c r="I19" s="20" t="s">
        <v>9</v>
      </c>
    </row>
    <row r="20" customFormat="false" ht="21.75" hidden="false" customHeight="true" outlineLevel="0" collapsed="false">
      <c r="A20" s="22" t="s">
        <v>209</v>
      </c>
      <c r="B20" s="21" t="s">
        <v>210</v>
      </c>
      <c r="C20" s="21" t="s">
        <v>427</v>
      </c>
      <c r="D20" s="25" t="n">
        <v>0.33</v>
      </c>
      <c r="E20" s="31" t="n">
        <v>0.809</v>
      </c>
      <c r="F20" s="23" t="n">
        <v>1</v>
      </c>
      <c r="G20" s="22" t="s">
        <v>212</v>
      </c>
      <c r="H20" s="22" t="s">
        <v>213</v>
      </c>
      <c r="I20" s="21"/>
    </row>
    <row r="21" customFormat="false" ht="9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25.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</row>
    <row r="27" customFormat="false" ht="19.5" hidden="false" customHeight="true" outlineLevel="0" collapsed="false"/>
  </sheetData>
  <mergeCells count="5">
    <mergeCell ref="A1:I1"/>
    <mergeCell ref="A4:I4"/>
    <mergeCell ref="A10:H10"/>
    <mergeCell ref="A12:I12"/>
    <mergeCell ref="A18:I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428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102</v>
      </c>
      <c r="C2" s="41" t="s">
        <v>143</v>
      </c>
      <c r="D2" s="42" t="s">
        <v>429</v>
      </c>
      <c r="E2" s="41" t="s">
        <v>145</v>
      </c>
      <c r="F2" s="43" t="s">
        <v>29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19</v>
      </c>
      <c r="F6" s="47" t="n">
        <v>2228</v>
      </c>
      <c r="G6" s="48" t="n">
        <v>1.02</v>
      </c>
      <c r="H6" s="22" t="s">
        <v>159</v>
      </c>
      <c r="I6" s="49" t="n">
        <v>16.473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19</v>
      </c>
      <c r="F7" s="50" t="n">
        <v>2539</v>
      </c>
      <c r="G7" s="51" t="n">
        <v>0.98</v>
      </c>
      <c r="H7" s="27" t="s">
        <v>163</v>
      </c>
      <c r="I7" s="52" t="n">
        <v>12.952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17</v>
      </c>
      <c r="F8" s="47" t="n">
        <v>2850</v>
      </c>
      <c r="G8" s="48" t="n">
        <v>1</v>
      </c>
      <c r="H8" s="22" t="s">
        <v>167</v>
      </c>
      <c r="I8" s="49" t="n">
        <v>10.203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5</v>
      </c>
      <c r="F9" s="55" t="n">
        <v>3161</v>
      </c>
      <c r="G9" s="56" t="n">
        <v>1.05</v>
      </c>
      <c r="H9" s="54" t="s">
        <v>170</v>
      </c>
      <c r="I9" s="57" t="n">
        <v>10.451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50.079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430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431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432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433</v>
      </c>
      <c r="D21" s="31" t="n">
        <v>0.806</v>
      </c>
      <c r="E21" s="25" t="n">
        <v>0.329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434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104</v>
      </c>
      <c r="C2" s="41" t="s">
        <v>143</v>
      </c>
      <c r="D2" s="42" t="s">
        <v>435</v>
      </c>
      <c r="E2" s="41" t="s">
        <v>145</v>
      </c>
      <c r="F2" s="43" t="s">
        <v>32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19</v>
      </c>
      <c r="F6" s="47" t="n">
        <v>2365</v>
      </c>
      <c r="G6" s="48" t="n">
        <v>1.02</v>
      </c>
      <c r="H6" s="22" t="s">
        <v>159</v>
      </c>
      <c r="I6" s="49" t="n">
        <v>17.841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8</v>
      </c>
      <c r="F7" s="50" t="n">
        <v>2676</v>
      </c>
      <c r="G7" s="51" t="n">
        <v>0.98</v>
      </c>
      <c r="H7" s="27" t="s">
        <v>163</v>
      </c>
      <c r="I7" s="52" t="n">
        <v>12.734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19</v>
      </c>
      <c r="F8" s="47" t="n">
        <v>2987</v>
      </c>
      <c r="G8" s="48" t="n">
        <v>1</v>
      </c>
      <c r="H8" s="22" t="s">
        <v>167</v>
      </c>
      <c r="I8" s="49" t="n">
        <v>10.888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17</v>
      </c>
      <c r="F9" s="55" t="n">
        <v>3298</v>
      </c>
      <c r="G9" s="56" t="n">
        <v>1.05</v>
      </c>
      <c r="H9" s="54" t="s">
        <v>170</v>
      </c>
      <c r="I9" s="57" t="n">
        <v>8.616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50.079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436</v>
      </c>
      <c r="B15" s="22" t="s">
        <v>180</v>
      </c>
      <c r="C15" s="21" t="s">
        <v>181</v>
      </c>
      <c r="D15" s="21" t="s">
        <v>182</v>
      </c>
      <c r="E15" s="21" t="n">
        <v>9</v>
      </c>
      <c r="F15" s="22" t="s">
        <v>183</v>
      </c>
      <c r="G15" s="22" t="s">
        <v>198</v>
      </c>
      <c r="H15" s="22" t="s">
        <v>199</v>
      </c>
      <c r="I15" s="21"/>
    </row>
    <row r="16" customFormat="false" ht="22.5" hidden="false" customHeight="true" outlineLevel="0" collapsed="false">
      <c r="A16" s="26" t="s">
        <v>437</v>
      </c>
      <c r="B16" s="27" t="s">
        <v>187</v>
      </c>
      <c r="C16" s="26" t="s">
        <v>188</v>
      </c>
      <c r="D16" s="27" t="s">
        <v>189</v>
      </c>
      <c r="E16" s="26" t="s">
        <v>230</v>
      </c>
      <c r="F16" s="27" t="s">
        <v>190</v>
      </c>
      <c r="G16" s="27" t="s">
        <v>184</v>
      </c>
      <c r="H16" s="27" t="s">
        <v>185</v>
      </c>
      <c r="I16" s="27" t="s">
        <v>222</v>
      </c>
    </row>
    <row r="17" customFormat="false" ht="22.5" hidden="false" customHeight="true" outlineLevel="0" collapsed="false">
      <c r="A17" s="21" t="s">
        <v>438</v>
      </c>
      <c r="B17" s="22" t="s">
        <v>194</v>
      </c>
      <c r="C17" s="21" t="s">
        <v>195</v>
      </c>
      <c r="D17" s="22" t="s">
        <v>196</v>
      </c>
      <c r="E17" s="21" t="n">
        <v>1</v>
      </c>
      <c r="F17" s="22" t="s">
        <v>197</v>
      </c>
      <c r="G17" s="22" t="s">
        <v>191</v>
      </c>
      <c r="H17" s="22" t="s">
        <v>192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439</v>
      </c>
      <c r="D21" s="31" t="n">
        <v>0.806</v>
      </c>
      <c r="E21" s="25" t="n">
        <v>0.329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440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106</v>
      </c>
      <c r="C2" s="41" t="s">
        <v>143</v>
      </c>
      <c r="D2" s="42" t="s">
        <v>441</v>
      </c>
      <c r="E2" s="41" t="s">
        <v>145</v>
      </c>
      <c r="F2" s="43" t="s">
        <v>13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15</v>
      </c>
      <c r="F6" s="47" t="n">
        <v>2502</v>
      </c>
      <c r="G6" s="48" t="n">
        <v>1.02</v>
      </c>
      <c r="H6" s="22" t="s">
        <v>159</v>
      </c>
      <c r="I6" s="49" t="n">
        <v>15.355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19</v>
      </c>
      <c r="F7" s="50" t="n">
        <v>2813</v>
      </c>
      <c r="G7" s="51" t="n">
        <v>0.98</v>
      </c>
      <c r="H7" s="27" t="s">
        <v>163</v>
      </c>
      <c r="I7" s="52" t="n">
        <v>14.311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14</v>
      </c>
      <c r="F8" s="47" t="n">
        <v>3124</v>
      </c>
      <c r="G8" s="48" t="n">
        <v>1</v>
      </c>
      <c r="H8" s="22" t="s">
        <v>167</v>
      </c>
      <c r="I8" s="49" t="n">
        <v>10.089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15</v>
      </c>
      <c r="F9" s="55" t="n">
        <v>3435</v>
      </c>
      <c r="G9" s="56" t="n">
        <v>1.05</v>
      </c>
      <c r="H9" s="54" t="s">
        <v>170</v>
      </c>
      <c r="I9" s="57" t="n">
        <v>9.028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48.783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442</v>
      </c>
      <c r="B15" s="22" t="s">
        <v>180</v>
      </c>
      <c r="C15" s="21" t="s">
        <v>181</v>
      </c>
      <c r="D15" s="21" t="s">
        <v>182</v>
      </c>
      <c r="E15" s="21" t="n">
        <v>10</v>
      </c>
      <c r="F15" s="22" t="s">
        <v>183</v>
      </c>
      <c r="G15" s="22" t="s">
        <v>184</v>
      </c>
      <c r="H15" s="22" t="s">
        <v>185</v>
      </c>
      <c r="I15" s="21"/>
    </row>
    <row r="16" customFormat="false" ht="22.5" hidden="false" customHeight="true" outlineLevel="0" collapsed="false">
      <c r="A16" s="26" t="s">
        <v>443</v>
      </c>
      <c r="B16" s="27" t="s">
        <v>187</v>
      </c>
      <c r="C16" s="26" t="s">
        <v>188</v>
      </c>
      <c r="D16" s="27" t="s">
        <v>189</v>
      </c>
      <c r="E16" s="26" t="s">
        <v>237</v>
      </c>
      <c r="F16" s="27" t="s">
        <v>190</v>
      </c>
      <c r="G16" s="27" t="s">
        <v>191</v>
      </c>
      <c r="H16" s="27" t="s">
        <v>192</v>
      </c>
      <c r="I16" s="27" t="s">
        <v>222</v>
      </c>
    </row>
    <row r="17" customFormat="false" ht="22.5" hidden="false" customHeight="true" outlineLevel="0" collapsed="false">
      <c r="A17" s="21" t="s">
        <v>444</v>
      </c>
      <c r="B17" s="22" t="s">
        <v>194</v>
      </c>
      <c r="C17" s="21" t="s">
        <v>195</v>
      </c>
      <c r="D17" s="22" t="s">
        <v>196</v>
      </c>
      <c r="E17" s="21" t="n">
        <v>2</v>
      </c>
      <c r="F17" s="22" t="s">
        <v>197</v>
      </c>
      <c r="G17" s="22" t="s">
        <v>198</v>
      </c>
      <c r="H17" s="22" t="s">
        <v>199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445</v>
      </c>
      <c r="D21" s="31" t="n">
        <v>0.809</v>
      </c>
      <c r="E21" s="25" t="n">
        <v>0.33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446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108</v>
      </c>
      <c r="C2" s="41" t="s">
        <v>143</v>
      </c>
      <c r="D2" s="42" t="s">
        <v>447</v>
      </c>
      <c r="E2" s="41" t="s">
        <v>145</v>
      </c>
      <c r="F2" s="43" t="s">
        <v>17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17</v>
      </c>
      <c r="F6" s="47" t="n">
        <v>2639</v>
      </c>
      <c r="G6" s="48" t="n">
        <v>1.02</v>
      </c>
      <c r="H6" s="22" t="s">
        <v>159</v>
      </c>
      <c r="I6" s="49" t="n">
        <v>17.297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7</v>
      </c>
      <c r="F7" s="50" t="n">
        <v>2950</v>
      </c>
      <c r="G7" s="51" t="n">
        <v>0.98</v>
      </c>
      <c r="H7" s="27" t="s">
        <v>163</v>
      </c>
      <c r="I7" s="52" t="n">
        <v>14.526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12</v>
      </c>
      <c r="F8" s="47" t="n">
        <v>3261</v>
      </c>
      <c r="G8" s="48" t="n">
        <v>1</v>
      </c>
      <c r="H8" s="22" t="s">
        <v>167</v>
      </c>
      <c r="I8" s="49" t="n">
        <v>12.884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17</v>
      </c>
      <c r="F9" s="55" t="n">
        <v>3572</v>
      </c>
      <c r="G9" s="56" t="n">
        <v>1.05</v>
      </c>
      <c r="H9" s="54" t="s">
        <v>170</v>
      </c>
      <c r="I9" s="57" t="n">
        <v>8.56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53.267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448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449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450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451</v>
      </c>
      <c r="D21" s="31" t="n">
        <v>0.872</v>
      </c>
      <c r="E21" s="25" t="n">
        <v>0.356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452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110</v>
      </c>
      <c r="C2" s="41" t="s">
        <v>143</v>
      </c>
      <c r="D2" s="42" t="s">
        <v>241</v>
      </c>
      <c r="E2" s="41" t="s">
        <v>145</v>
      </c>
      <c r="F2" s="43" t="s">
        <v>21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7</v>
      </c>
      <c r="F6" s="47" t="n">
        <v>2776</v>
      </c>
      <c r="G6" s="48" t="n">
        <v>1.02</v>
      </c>
      <c r="H6" s="22" t="s">
        <v>159</v>
      </c>
      <c r="I6" s="49" t="n">
        <v>18.382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19</v>
      </c>
      <c r="F7" s="50" t="n">
        <v>3087</v>
      </c>
      <c r="G7" s="51" t="n">
        <v>0.98</v>
      </c>
      <c r="H7" s="27" t="s">
        <v>163</v>
      </c>
      <c r="I7" s="52" t="n">
        <v>15.649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3</v>
      </c>
      <c r="F8" s="47" t="n">
        <v>3398</v>
      </c>
      <c r="G8" s="48" t="n">
        <v>1</v>
      </c>
      <c r="H8" s="22" t="s">
        <v>167</v>
      </c>
      <c r="I8" s="49" t="n">
        <v>11.327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19</v>
      </c>
      <c r="F9" s="55" t="n">
        <v>3709</v>
      </c>
      <c r="G9" s="56" t="n">
        <v>1.05</v>
      </c>
      <c r="H9" s="54" t="s">
        <v>170</v>
      </c>
      <c r="I9" s="57" t="n">
        <v>9.897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55.255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453</v>
      </c>
      <c r="B15" s="22" t="s">
        <v>180</v>
      </c>
      <c r="C15" s="21" t="s">
        <v>181</v>
      </c>
      <c r="D15" s="21" t="s">
        <v>182</v>
      </c>
      <c r="E15" s="21" t="n">
        <v>9</v>
      </c>
      <c r="F15" s="22" t="s">
        <v>183</v>
      </c>
      <c r="G15" s="22" t="s">
        <v>198</v>
      </c>
      <c r="H15" s="22" t="s">
        <v>199</v>
      </c>
      <c r="I15" s="21"/>
    </row>
    <row r="16" customFormat="false" ht="22.5" hidden="false" customHeight="true" outlineLevel="0" collapsed="false">
      <c r="A16" s="26" t="s">
        <v>454</v>
      </c>
      <c r="B16" s="27" t="s">
        <v>187</v>
      </c>
      <c r="C16" s="26" t="s">
        <v>188</v>
      </c>
      <c r="D16" s="27" t="s">
        <v>189</v>
      </c>
      <c r="E16" s="26" t="s">
        <v>230</v>
      </c>
      <c r="F16" s="27" t="s">
        <v>190</v>
      </c>
      <c r="G16" s="27" t="s">
        <v>184</v>
      </c>
      <c r="H16" s="27" t="s">
        <v>185</v>
      </c>
      <c r="I16" s="27" t="s">
        <v>222</v>
      </c>
    </row>
    <row r="17" customFormat="false" ht="22.5" hidden="false" customHeight="true" outlineLevel="0" collapsed="false">
      <c r="A17" s="21" t="s">
        <v>455</v>
      </c>
      <c r="B17" s="22" t="s">
        <v>194</v>
      </c>
      <c r="C17" s="21" t="s">
        <v>195</v>
      </c>
      <c r="D17" s="22" t="s">
        <v>196</v>
      </c>
      <c r="E17" s="21" t="n">
        <v>1</v>
      </c>
      <c r="F17" s="22" t="s">
        <v>197</v>
      </c>
      <c r="G17" s="22" t="s">
        <v>191</v>
      </c>
      <c r="H17" s="22" t="s">
        <v>192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456</v>
      </c>
      <c r="D21" s="31" t="n">
        <v>0.875</v>
      </c>
      <c r="E21" s="25" t="n">
        <v>0.357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457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112</v>
      </c>
      <c r="C2" s="41" t="s">
        <v>143</v>
      </c>
      <c r="D2" s="42" t="s">
        <v>429</v>
      </c>
      <c r="E2" s="41" t="s">
        <v>145</v>
      </c>
      <c r="F2" s="43" t="s">
        <v>25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9</v>
      </c>
      <c r="F6" s="47" t="n">
        <v>2913</v>
      </c>
      <c r="G6" s="48" t="n">
        <v>1.02</v>
      </c>
      <c r="H6" s="22" t="s">
        <v>159</v>
      </c>
      <c r="I6" s="49" t="n">
        <v>18.695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5</v>
      </c>
      <c r="F7" s="50" t="n">
        <v>3224</v>
      </c>
      <c r="G7" s="51" t="n">
        <v>0.98</v>
      </c>
      <c r="H7" s="27" t="s">
        <v>163</v>
      </c>
      <c r="I7" s="52" t="n">
        <v>13.97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20</v>
      </c>
      <c r="F8" s="47" t="n">
        <v>3535</v>
      </c>
      <c r="G8" s="48" t="n">
        <v>1</v>
      </c>
      <c r="H8" s="22" t="s">
        <v>167</v>
      </c>
      <c r="I8" s="49" t="n">
        <v>11.923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5</v>
      </c>
      <c r="F9" s="55" t="n">
        <v>3846</v>
      </c>
      <c r="G9" s="56" t="n">
        <v>1.05</v>
      </c>
      <c r="H9" s="54" t="s">
        <v>170</v>
      </c>
      <c r="I9" s="57" t="n">
        <v>10.667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55.255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458</v>
      </c>
      <c r="B15" s="22" t="s">
        <v>180</v>
      </c>
      <c r="C15" s="21" t="s">
        <v>181</v>
      </c>
      <c r="D15" s="21" t="s">
        <v>182</v>
      </c>
      <c r="E15" s="21" t="n">
        <v>10</v>
      </c>
      <c r="F15" s="22" t="s">
        <v>183</v>
      </c>
      <c r="G15" s="22" t="s">
        <v>184</v>
      </c>
      <c r="H15" s="22" t="s">
        <v>185</v>
      </c>
      <c r="I15" s="21"/>
    </row>
    <row r="16" customFormat="false" ht="22.5" hidden="false" customHeight="true" outlineLevel="0" collapsed="false">
      <c r="A16" s="26" t="s">
        <v>459</v>
      </c>
      <c r="B16" s="27" t="s">
        <v>187</v>
      </c>
      <c r="C16" s="26" t="s">
        <v>188</v>
      </c>
      <c r="D16" s="27" t="s">
        <v>189</v>
      </c>
      <c r="E16" s="26" t="s">
        <v>237</v>
      </c>
      <c r="F16" s="27" t="s">
        <v>190</v>
      </c>
      <c r="G16" s="27" t="s">
        <v>191</v>
      </c>
      <c r="H16" s="27" t="s">
        <v>192</v>
      </c>
      <c r="I16" s="27" t="s">
        <v>222</v>
      </c>
    </row>
    <row r="17" customFormat="false" ht="22.5" hidden="false" customHeight="true" outlineLevel="0" collapsed="false">
      <c r="A17" s="21" t="s">
        <v>460</v>
      </c>
      <c r="B17" s="22" t="s">
        <v>194</v>
      </c>
      <c r="C17" s="21" t="s">
        <v>195</v>
      </c>
      <c r="D17" s="22" t="s">
        <v>196</v>
      </c>
      <c r="E17" s="21" t="n">
        <v>2</v>
      </c>
      <c r="F17" s="22" t="s">
        <v>197</v>
      </c>
      <c r="G17" s="22" t="s">
        <v>198</v>
      </c>
      <c r="H17" s="22" t="s">
        <v>199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461</v>
      </c>
      <c r="D21" s="31" t="n">
        <v>0.875</v>
      </c>
      <c r="E21" s="25" t="n">
        <v>0.357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462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114</v>
      </c>
      <c r="C2" s="41" t="s">
        <v>143</v>
      </c>
      <c r="D2" s="42" t="s">
        <v>435</v>
      </c>
      <c r="E2" s="41" t="s">
        <v>145</v>
      </c>
      <c r="F2" s="43" t="s">
        <v>29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17</v>
      </c>
      <c r="F6" s="47" t="n">
        <v>3050</v>
      </c>
      <c r="G6" s="48" t="n">
        <v>1.02</v>
      </c>
      <c r="H6" s="22" t="s">
        <v>159</v>
      </c>
      <c r="I6" s="49" t="n">
        <v>17.493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18</v>
      </c>
      <c r="F7" s="50" t="n">
        <v>3361</v>
      </c>
      <c r="G7" s="51" t="n">
        <v>0.98</v>
      </c>
      <c r="H7" s="27" t="s">
        <v>163</v>
      </c>
      <c r="I7" s="52" t="n">
        <v>14.481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17</v>
      </c>
      <c r="F8" s="47" t="n">
        <v>3672</v>
      </c>
      <c r="G8" s="48" t="n">
        <v>1</v>
      </c>
      <c r="H8" s="22" t="s">
        <v>167</v>
      </c>
      <c r="I8" s="49" t="n">
        <v>11.834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17</v>
      </c>
      <c r="F9" s="55" t="n">
        <v>3983</v>
      </c>
      <c r="G9" s="56" t="n">
        <v>1.05</v>
      </c>
      <c r="H9" s="54" t="s">
        <v>170</v>
      </c>
      <c r="I9" s="57" t="n">
        <v>9.294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53.102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463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464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465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466</v>
      </c>
      <c r="D21" s="31" t="n">
        <v>0.858</v>
      </c>
      <c r="E21" s="25" t="n">
        <v>0.35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467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116</v>
      </c>
      <c r="C2" s="41" t="s">
        <v>143</v>
      </c>
      <c r="D2" s="42" t="s">
        <v>441</v>
      </c>
      <c r="E2" s="41" t="s">
        <v>145</v>
      </c>
      <c r="F2" s="43" t="s">
        <v>32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10</v>
      </c>
      <c r="F6" s="47" t="n">
        <v>3187</v>
      </c>
      <c r="G6" s="48" t="n">
        <v>1.02</v>
      </c>
      <c r="H6" s="22" t="s">
        <v>159</v>
      </c>
      <c r="I6" s="49" t="n">
        <v>14.85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2</v>
      </c>
      <c r="F7" s="50" t="n">
        <v>3498</v>
      </c>
      <c r="G7" s="51" t="n">
        <v>0.98</v>
      </c>
      <c r="H7" s="27" t="s">
        <v>163</v>
      </c>
      <c r="I7" s="52" t="n">
        <v>11.059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16</v>
      </c>
      <c r="F8" s="47" t="n">
        <v>3809</v>
      </c>
      <c r="G8" s="48" t="n">
        <v>1</v>
      </c>
      <c r="H8" s="22" t="s">
        <v>167</v>
      </c>
      <c r="I8" s="49" t="n">
        <v>10.38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4</v>
      </c>
      <c r="F9" s="55" t="n">
        <v>4120</v>
      </c>
      <c r="G9" s="56" t="n">
        <v>1.05</v>
      </c>
      <c r="H9" s="54" t="s">
        <v>170</v>
      </c>
      <c r="I9" s="57" t="n">
        <v>7.501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43.79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468</v>
      </c>
      <c r="B15" s="22" t="s">
        <v>180</v>
      </c>
      <c r="C15" s="21" t="s">
        <v>181</v>
      </c>
      <c r="D15" s="21" t="s">
        <v>182</v>
      </c>
      <c r="E15" s="21" t="n">
        <v>9</v>
      </c>
      <c r="F15" s="22" t="s">
        <v>183</v>
      </c>
      <c r="G15" s="22" t="s">
        <v>198</v>
      </c>
      <c r="H15" s="22" t="s">
        <v>199</v>
      </c>
      <c r="I15" s="21"/>
    </row>
    <row r="16" customFormat="false" ht="22.5" hidden="false" customHeight="true" outlineLevel="0" collapsed="false">
      <c r="A16" s="26" t="s">
        <v>469</v>
      </c>
      <c r="B16" s="27" t="s">
        <v>187</v>
      </c>
      <c r="C16" s="26" t="s">
        <v>188</v>
      </c>
      <c r="D16" s="27" t="s">
        <v>189</v>
      </c>
      <c r="E16" s="26" t="s">
        <v>230</v>
      </c>
      <c r="F16" s="27" t="s">
        <v>190</v>
      </c>
      <c r="G16" s="27" t="s">
        <v>184</v>
      </c>
      <c r="H16" s="27" t="s">
        <v>185</v>
      </c>
      <c r="I16" s="27" t="s">
        <v>222</v>
      </c>
    </row>
    <row r="17" customFormat="false" ht="22.5" hidden="false" customHeight="true" outlineLevel="0" collapsed="false">
      <c r="A17" s="21" t="s">
        <v>470</v>
      </c>
      <c r="B17" s="22" t="s">
        <v>194</v>
      </c>
      <c r="C17" s="21" t="s">
        <v>195</v>
      </c>
      <c r="D17" s="22" t="s">
        <v>196</v>
      </c>
      <c r="E17" s="21" t="n">
        <v>1</v>
      </c>
      <c r="F17" s="22" t="s">
        <v>197</v>
      </c>
      <c r="G17" s="22" t="s">
        <v>191</v>
      </c>
      <c r="H17" s="22" t="s">
        <v>192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471</v>
      </c>
      <c r="D21" s="31" t="n">
        <v>0.733</v>
      </c>
      <c r="E21" s="25" t="n">
        <v>0.299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472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118</v>
      </c>
      <c r="C2" s="41" t="s">
        <v>143</v>
      </c>
      <c r="D2" s="42" t="s">
        <v>447</v>
      </c>
      <c r="E2" s="41" t="s">
        <v>145</v>
      </c>
      <c r="F2" s="43" t="s">
        <v>13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16</v>
      </c>
      <c r="F6" s="47" t="n">
        <v>3324</v>
      </c>
      <c r="G6" s="48" t="n">
        <v>1.02</v>
      </c>
      <c r="H6" s="22" t="s">
        <v>159</v>
      </c>
      <c r="I6" s="49" t="n">
        <v>14.373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5</v>
      </c>
      <c r="F7" s="50" t="n">
        <v>3635</v>
      </c>
      <c r="G7" s="51" t="n">
        <v>0.98</v>
      </c>
      <c r="H7" s="27" t="s">
        <v>163</v>
      </c>
      <c r="I7" s="52" t="n">
        <v>12.519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7</v>
      </c>
      <c r="F8" s="47" t="n">
        <v>3946</v>
      </c>
      <c r="G8" s="48" t="n">
        <v>1</v>
      </c>
      <c r="H8" s="22" t="s">
        <v>167</v>
      </c>
      <c r="I8" s="49" t="n">
        <v>9.296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14</v>
      </c>
      <c r="F9" s="55" t="n">
        <v>4257</v>
      </c>
      <c r="G9" s="56" t="n">
        <v>1.05</v>
      </c>
      <c r="H9" s="54" t="s">
        <v>170</v>
      </c>
      <c r="I9" s="57" t="n">
        <v>9.226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45.414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473</v>
      </c>
      <c r="B15" s="22" t="s">
        <v>180</v>
      </c>
      <c r="C15" s="21" t="s">
        <v>181</v>
      </c>
      <c r="D15" s="21" t="s">
        <v>182</v>
      </c>
      <c r="E15" s="21" t="n">
        <v>10</v>
      </c>
      <c r="F15" s="22" t="s">
        <v>183</v>
      </c>
      <c r="G15" s="22" t="s">
        <v>184</v>
      </c>
      <c r="H15" s="22" t="s">
        <v>185</v>
      </c>
      <c r="I15" s="21"/>
    </row>
    <row r="16" customFormat="false" ht="22.5" hidden="false" customHeight="true" outlineLevel="0" collapsed="false">
      <c r="A16" s="26" t="s">
        <v>474</v>
      </c>
      <c r="B16" s="27" t="s">
        <v>187</v>
      </c>
      <c r="C16" s="26" t="s">
        <v>188</v>
      </c>
      <c r="D16" s="27" t="s">
        <v>189</v>
      </c>
      <c r="E16" s="26" t="s">
        <v>237</v>
      </c>
      <c r="F16" s="27" t="s">
        <v>190</v>
      </c>
      <c r="G16" s="27" t="s">
        <v>191</v>
      </c>
      <c r="H16" s="27" t="s">
        <v>192</v>
      </c>
      <c r="I16" s="27" t="s">
        <v>222</v>
      </c>
    </row>
    <row r="17" customFormat="false" ht="22.5" hidden="false" customHeight="true" outlineLevel="0" collapsed="false">
      <c r="A17" s="21" t="s">
        <v>475</v>
      </c>
      <c r="B17" s="22" t="s">
        <v>194</v>
      </c>
      <c r="C17" s="21" t="s">
        <v>195</v>
      </c>
      <c r="D17" s="22" t="s">
        <v>196</v>
      </c>
      <c r="E17" s="21" t="n">
        <v>2</v>
      </c>
      <c r="F17" s="22" t="s">
        <v>197</v>
      </c>
      <c r="G17" s="22" t="s">
        <v>198</v>
      </c>
      <c r="H17" s="22" t="s">
        <v>199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476</v>
      </c>
      <c r="D21" s="31" t="n">
        <v>0.735</v>
      </c>
      <c r="E21" s="25" t="n">
        <v>0.3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477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120</v>
      </c>
      <c r="C2" s="41" t="s">
        <v>143</v>
      </c>
      <c r="D2" s="42" t="s">
        <v>241</v>
      </c>
      <c r="E2" s="41" t="s">
        <v>145</v>
      </c>
      <c r="F2" s="43" t="s">
        <v>17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13</v>
      </c>
      <c r="F6" s="47" t="n">
        <v>3461</v>
      </c>
      <c r="G6" s="48" t="n">
        <v>1.02</v>
      </c>
      <c r="H6" s="22" t="s">
        <v>159</v>
      </c>
      <c r="I6" s="49" t="n">
        <v>15.307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12</v>
      </c>
      <c r="F7" s="50" t="n">
        <v>3772</v>
      </c>
      <c r="G7" s="51" t="n">
        <v>0.98</v>
      </c>
      <c r="H7" s="27" t="s">
        <v>163</v>
      </c>
      <c r="I7" s="52" t="n">
        <v>11.879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9</v>
      </c>
      <c r="F8" s="47" t="n">
        <v>4083</v>
      </c>
      <c r="G8" s="48" t="n">
        <v>1</v>
      </c>
      <c r="H8" s="22" t="s">
        <v>167</v>
      </c>
      <c r="I8" s="49" t="n">
        <v>10.592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14</v>
      </c>
      <c r="F9" s="55" t="n">
        <v>4394</v>
      </c>
      <c r="G9" s="56" t="n">
        <v>1.05</v>
      </c>
      <c r="H9" s="54" t="s">
        <v>170</v>
      </c>
      <c r="I9" s="57" t="n">
        <v>7.636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45.414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478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479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480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481</v>
      </c>
      <c r="D21" s="31" t="n">
        <v>0.735</v>
      </c>
      <c r="E21" s="25" t="n">
        <v>0.3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482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122</v>
      </c>
      <c r="C2" s="41" t="s">
        <v>143</v>
      </c>
      <c r="D2" s="42" t="s">
        <v>429</v>
      </c>
      <c r="E2" s="41" t="s">
        <v>145</v>
      </c>
      <c r="F2" s="43" t="s">
        <v>21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15</v>
      </c>
      <c r="F6" s="47" t="n">
        <v>3598</v>
      </c>
      <c r="G6" s="48" t="n">
        <v>1.02</v>
      </c>
      <c r="H6" s="22" t="s">
        <v>159</v>
      </c>
      <c r="I6" s="49" t="n">
        <v>13.969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7</v>
      </c>
      <c r="F7" s="50" t="n">
        <v>3909</v>
      </c>
      <c r="G7" s="51" t="n">
        <v>0.98</v>
      </c>
      <c r="H7" s="27" t="s">
        <v>163</v>
      </c>
      <c r="I7" s="52" t="n">
        <v>11.994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18</v>
      </c>
      <c r="F8" s="47" t="n">
        <v>4220</v>
      </c>
      <c r="G8" s="48" t="n">
        <v>1</v>
      </c>
      <c r="H8" s="22" t="s">
        <v>167</v>
      </c>
      <c r="I8" s="49" t="n">
        <v>8.867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20</v>
      </c>
      <c r="F9" s="55" t="n">
        <v>4531</v>
      </c>
      <c r="G9" s="56" t="n">
        <v>1.05</v>
      </c>
      <c r="H9" s="54" t="s">
        <v>170</v>
      </c>
      <c r="I9" s="57" t="n">
        <v>8.848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43.678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483</v>
      </c>
      <c r="B15" s="22" t="s">
        <v>180</v>
      </c>
      <c r="C15" s="21" t="s">
        <v>181</v>
      </c>
      <c r="D15" s="21" t="s">
        <v>182</v>
      </c>
      <c r="E15" s="21" t="n">
        <v>9</v>
      </c>
      <c r="F15" s="22" t="s">
        <v>183</v>
      </c>
      <c r="G15" s="22" t="s">
        <v>198</v>
      </c>
      <c r="H15" s="22" t="s">
        <v>199</v>
      </c>
      <c r="I15" s="21"/>
    </row>
    <row r="16" customFormat="false" ht="22.5" hidden="false" customHeight="true" outlineLevel="0" collapsed="false">
      <c r="A16" s="26" t="s">
        <v>484</v>
      </c>
      <c r="B16" s="27" t="s">
        <v>187</v>
      </c>
      <c r="C16" s="26" t="s">
        <v>188</v>
      </c>
      <c r="D16" s="27" t="s">
        <v>189</v>
      </c>
      <c r="E16" s="26" t="s">
        <v>230</v>
      </c>
      <c r="F16" s="27" t="s">
        <v>190</v>
      </c>
      <c r="G16" s="27" t="s">
        <v>184</v>
      </c>
      <c r="H16" s="27" t="s">
        <v>185</v>
      </c>
      <c r="I16" s="27" t="s">
        <v>222</v>
      </c>
    </row>
    <row r="17" customFormat="false" ht="22.5" hidden="false" customHeight="true" outlineLevel="0" collapsed="false">
      <c r="A17" s="21" t="s">
        <v>485</v>
      </c>
      <c r="B17" s="22" t="s">
        <v>194</v>
      </c>
      <c r="C17" s="21" t="s">
        <v>195</v>
      </c>
      <c r="D17" s="22" t="s">
        <v>196</v>
      </c>
      <c r="E17" s="21" t="n">
        <v>1</v>
      </c>
      <c r="F17" s="22" t="s">
        <v>197</v>
      </c>
      <c r="G17" s="22" t="s">
        <v>191</v>
      </c>
      <c r="H17" s="22" t="s">
        <v>192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486</v>
      </c>
      <c r="D21" s="31" t="n">
        <v>0.725</v>
      </c>
      <c r="E21" s="25" t="n">
        <v>0.296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487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124</v>
      </c>
      <c r="C2" s="41" t="s">
        <v>143</v>
      </c>
      <c r="D2" s="42" t="s">
        <v>435</v>
      </c>
      <c r="E2" s="41" t="s">
        <v>145</v>
      </c>
      <c r="F2" s="43" t="s">
        <v>25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10</v>
      </c>
      <c r="F6" s="47" t="n">
        <v>3735</v>
      </c>
      <c r="G6" s="48" t="n">
        <v>1.02</v>
      </c>
      <c r="H6" s="22" t="s">
        <v>159</v>
      </c>
      <c r="I6" s="49" t="n">
        <v>16.605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18</v>
      </c>
      <c r="F7" s="50" t="n">
        <v>4046</v>
      </c>
      <c r="G7" s="51" t="n">
        <v>0.98</v>
      </c>
      <c r="H7" s="27" t="s">
        <v>163</v>
      </c>
      <c r="I7" s="52" t="n">
        <v>11.262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9</v>
      </c>
      <c r="F8" s="47" t="n">
        <v>4357</v>
      </c>
      <c r="G8" s="48" t="n">
        <v>1</v>
      </c>
      <c r="H8" s="22" t="s">
        <v>167</v>
      </c>
      <c r="I8" s="49" t="n">
        <v>10.811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5</v>
      </c>
      <c r="F9" s="55" t="n">
        <v>4668</v>
      </c>
      <c r="G9" s="56" t="n">
        <v>1.05</v>
      </c>
      <c r="H9" s="54" t="s">
        <v>170</v>
      </c>
      <c r="I9" s="57" t="n">
        <v>8.288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46.966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488</v>
      </c>
      <c r="B15" s="22" t="s">
        <v>180</v>
      </c>
      <c r="C15" s="21" t="s">
        <v>181</v>
      </c>
      <c r="D15" s="21" t="s">
        <v>182</v>
      </c>
      <c r="E15" s="21" t="n">
        <v>10</v>
      </c>
      <c r="F15" s="22" t="s">
        <v>183</v>
      </c>
      <c r="G15" s="22" t="s">
        <v>184</v>
      </c>
      <c r="H15" s="22" t="s">
        <v>185</v>
      </c>
      <c r="I15" s="21"/>
    </row>
    <row r="16" customFormat="false" ht="22.5" hidden="false" customHeight="true" outlineLevel="0" collapsed="false">
      <c r="A16" s="26" t="s">
        <v>489</v>
      </c>
      <c r="B16" s="27" t="s">
        <v>187</v>
      </c>
      <c r="C16" s="26" t="s">
        <v>188</v>
      </c>
      <c r="D16" s="27" t="s">
        <v>189</v>
      </c>
      <c r="E16" s="26" t="s">
        <v>237</v>
      </c>
      <c r="F16" s="27" t="s">
        <v>190</v>
      </c>
      <c r="G16" s="27" t="s">
        <v>191</v>
      </c>
      <c r="H16" s="27" t="s">
        <v>192</v>
      </c>
      <c r="I16" s="27" t="s">
        <v>222</v>
      </c>
    </row>
    <row r="17" customFormat="false" ht="22.5" hidden="false" customHeight="true" outlineLevel="0" collapsed="false">
      <c r="A17" s="21" t="s">
        <v>490</v>
      </c>
      <c r="B17" s="22" t="s">
        <v>194</v>
      </c>
      <c r="C17" s="21" t="s">
        <v>195</v>
      </c>
      <c r="D17" s="22" t="s">
        <v>196</v>
      </c>
      <c r="E17" s="21" t="n">
        <v>2</v>
      </c>
      <c r="F17" s="22" t="s">
        <v>197</v>
      </c>
      <c r="G17" s="22" t="s">
        <v>198</v>
      </c>
      <c r="H17" s="22" t="s">
        <v>199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491</v>
      </c>
      <c r="D21" s="31" t="n">
        <v>0.782</v>
      </c>
      <c r="E21" s="25" t="n">
        <v>0.319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492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126</v>
      </c>
      <c r="C2" s="41" t="s">
        <v>143</v>
      </c>
      <c r="D2" s="42" t="s">
        <v>441</v>
      </c>
      <c r="E2" s="41" t="s">
        <v>145</v>
      </c>
      <c r="F2" s="43" t="s">
        <v>29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18</v>
      </c>
      <c r="F6" s="47" t="n">
        <v>3872</v>
      </c>
      <c r="G6" s="48" t="n">
        <v>1.02</v>
      </c>
      <c r="H6" s="22" t="s">
        <v>159</v>
      </c>
      <c r="I6" s="49" t="n">
        <v>15.632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17</v>
      </c>
      <c r="F7" s="50" t="n">
        <v>4183</v>
      </c>
      <c r="G7" s="51" t="n">
        <v>0.98</v>
      </c>
      <c r="H7" s="27" t="s">
        <v>163</v>
      </c>
      <c r="I7" s="52" t="n">
        <v>13.609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13</v>
      </c>
      <c r="F8" s="47" t="n">
        <v>4494</v>
      </c>
      <c r="G8" s="48" t="n">
        <v>1</v>
      </c>
      <c r="H8" s="22" t="s">
        <v>167</v>
      </c>
      <c r="I8" s="49" t="n">
        <v>10.083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3</v>
      </c>
      <c r="F9" s="55" t="n">
        <v>4805</v>
      </c>
      <c r="G9" s="56" t="n">
        <v>1.05</v>
      </c>
      <c r="H9" s="54" t="s">
        <v>170</v>
      </c>
      <c r="I9" s="57" t="n">
        <v>8.938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48.262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493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494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495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496</v>
      </c>
      <c r="D21" s="31" t="n">
        <v>0.777</v>
      </c>
      <c r="E21" s="25" t="n">
        <v>0.317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497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128</v>
      </c>
      <c r="C2" s="41" t="s">
        <v>143</v>
      </c>
      <c r="D2" s="42" t="s">
        <v>447</v>
      </c>
      <c r="E2" s="41" t="s">
        <v>145</v>
      </c>
      <c r="F2" s="43" t="s">
        <v>32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10</v>
      </c>
      <c r="F6" s="47" t="n">
        <v>4009</v>
      </c>
      <c r="G6" s="48" t="n">
        <v>1.02</v>
      </c>
      <c r="H6" s="22" t="s">
        <v>159</v>
      </c>
      <c r="I6" s="49" t="n">
        <v>17.032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15</v>
      </c>
      <c r="F7" s="50" t="n">
        <v>4320</v>
      </c>
      <c r="G7" s="51" t="n">
        <v>0.98</v>
      </c>
      <c r="H7" s="27" t="s">
        <v>163</v>
      </c>
      <c r="I7" s="52" t="n">
        <v>11.916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19</v>
      </c>
      <c r="F8" s="47" t="n">
        <v>4631</v>
      </c>
      <c r="G8" s="48" t="n">
        <v>1</v>
      </c>
      <c r="H8" s="22" t="s">
        <v>167</v>
      </c>
      <c r="I8" s="49" t="n">
        <v>10.722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6</v>
      </c>
      <c r="F9" s="55" t="n">
        <v>642</v>
      </c>
      <c r="G9" s="56" t="n">
        <v>1.05</v>
      </c>
      <c r="H9" s="54" t="s">
        <v>170</v>
      </c>
      <c r="I9" s="57" t="n">
        <v>8.592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48.262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498</v>
      </c>
      <c r="B15" s="22" t="s">
        <v>180</v>
      </c>
      <c r="C15" s="21" t="s">
        <v>181</v>
      </c>
      <c r="D15" s="21" t="s">
        <v>182</v>
      </c>
      <c r="E15" s="21" t="n">
        <v>9</v>
      </c>
      <c r="F15" s="22" t="s">
        <v>183</v>
      </c>
      <c r="G15" s="22" t="s">
        <v>198</v>
      </c>
      <c r="H15" s="22" t="s">
        <v>199</v>
      </c>
      <c r="I15" s="21"/>
    </row>
    <row r="16" customFormat="false" ht="22.5" hidden="false" customHeight="true" outlineLevel="0" collapsed="false">
      <c r="A16" s="26" t="s">
        <v>499</v>
      </c>
      <c r="B16" s="27" t="s">
        <v>187</v>
      </c>
      <c r="C16" s="26" t="s">
        <v>188</v>
      </c>
      <c r="D16" s="27" t="s">
        <v>189</v>
      </c>
      <c r="E16" s="26" t="s">
        <v>230</v>
      </c>
      <c r="F16" s="27" t="s">
        <v>190</v>
      </c>
      <c r="G16" s="27" t="s">
        <v>184</v>
      </c>
      <c r="H16" s="27" t="s">
        <v>185</v>
      </c>
      <c r="I16" s="27" t="s">
        <v>222</v>
      </c>
    </row>
    <row r="17" customFormat="false" ht="22.5" hidden="false" customHeight="true" outlineLevel="0" collapsed="false">
      <c r="A17" s="21" t="s">
        <v>500</v>
      </c>
      <c r="B17" s="22" t="s">
        <v>194</v>
      </c>
      <c r="C17" s="21" t="s">
        <v>195</v>
      </c>
      <c r="D17" s="22" t="s">
        <v>196</v>
      </c>
      <c r="E17" s="21" t="n">
        <v>1</v>
      </c>
      <c r="F17" s="22" t="s">
        <v>197</v>
      </c>
      <c r="G17" s="22" t="s">
        <v>191</v>
      </c>
      <c r="H17" s="22" t="s">
        <v>192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501</v>
      </c>
      <c r="D21" s="31" t="n">
        <v>0.777</v>
      </c>
      <c r="E21" s="25" t="n">
        <v>0.317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502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130</v>
      </c>
      <c r="C2" s="41" t="s">
        <v>143</v>
      </c>
      <c r="D2" s="42" t="s">
        <v>241</v>
      </c>
      <c r="E2" s="41" t="s">
        <v>145</v>
      </c>
      <c r="F2" s="43" t="s">
        <v>13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15</v>
      </c>
      <c r="F6" s="47" t="n">
        <v>4146</v>
      </c>
      <c r="G6" s="48" t="n">
        <v>1.02</v>
      </c>
      <c r="H6" s="22" t="s">
        <v>159</v>
      </c>
      <c r="I6" s="49" t="n">
        <v>14.405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12</v>
      </c>
      <c r="F7" s="50" t="n">
        <v>4457</v>
      </c>
      <c r="G7" s="51" t="n">
        <v>0.98</v>
      </c>
      <c r="H7" s="27" t="s">
        <v>163</v>
      </c>
      <c r="I7" s="52" t="n">
        <v>14.009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9</v>
      </c>
      <c r="F8" s="47" t="n">
        <v>4768</v>
      </c>
      <c r="G8" s="48" t="n">
        <v>1</v>
      </c>
      <c r="H8" s="22" t="s">
        <v>167</v>
      </c>
      <c r="I8" s="49" t="n">
        <v>9.385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7</v>
      </c>
      <c r="F9" s="55" t="n">
        <v>779</v>
      </c>
      <c r="G9" s="56" t="n">
        <v>1.05</v>
      </c>
      <c r="H9" s="54" t="s">
        <v>170</v>
      </c>
      <c r="I9" s="57" t="n">
        <v>9.167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46.966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503</v>
      </c>
      <c r="B15" s="22" t="s">
        <v>180</v>
      </c>
      <c r="C15" s="21" t="s">
        <v>181</v>
      </c>
      <c r="D15" s="21" t="s">
        <v>182</v>
      </c>
      <c r="E15" s="21" t="n">
        <v>10</v>
      </c>
      <c r="F15" s="22" t="s">
        <v>183</v>
      </c>
      <c r="G15" s="22" t="s">
        <v>184</v>
      </c>
      <c r="H15" s="22" t="s">
        <v>185</v>
      </c>
      <c r="I15" s="21"/>
    </row>
    <row r="16" customFormat="false" ht="22.5" hidden="false" customHeight="true" outlineLevel="0" collapsed="false">
      <c r="A16" s="26" t="s">
        <v>504</v>
      </c>
      <c r="B16" s="27" t="s">
        <v>187</v>
      </c>
      <c r="C16" s="26" t="s">
        <v>188</v>
      </c>
      <c r="D16" s="27" t="s">
        <v>189</v>
      </c>
      <c r="E16" s="26" t="s">
        <v>237</v>
      </c>
      <c r="F16" s="27" t="s">
        <v>190</v>
      </c>
      <c r="G16" s="27" t="s">
        <v>191</v>
      </c>
      <c r="H16" s="27" t="s">
        <v>192</v>
      </c>
      <c r="I16" s="27" t="s">
        <v>222</v>
      </c>
    </row>
    <row r="17" customFormat="false" ht="22.5" hidden="false" customHeight="true" outlineLevel="0" collapsed="false">
      <c r="A17" s="21" t="s">
        <v>505</v>
      </c>
      <c r="B17" s="22" t="s">
        <v>194</v>
      </c>
      <c r="C17" s="21" t="s">
        <v>195</v>
      </c>
      <c r="D17" s="22" t="s">
        <v>196</v>
      </c>
      <c r="E17" s="21" t="n">
        <v>2</v>
      </c>
      <c r="F17" s="22" t="s">
        <v>197</v>
      </c>
      <c r="G17" s="22" t="s">
        <v>198</v>
      </c>
      <c r="H17" s="22" t="s">
        <v>199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506</v>
      </c>
      <c r="D21" s="31" t="n">
        <v>0.782</v>
      </c>
      <c r="E21" s="25" t="n">
        <v>0.319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507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132</v>
      </c>
      <c r="C2" s="41" t="s">
        <v>143</v>
      </c>
      <c r="D2" s="42" t="s">
        <v>429</v>
      </c>
      <c r="E2" s="41" t="s">
        <v>145</v>
      </c>
      <c r="F2" s="43" t="s">
        <v>17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9</v>
      </c>
      <c r="F6" s="47" t="n">
        <v>4283</v>
      </c>
      <c r="G6" s="48" t="n">
        <v>1.02</v>
      </c>
      <c r="H6" s="22" t="s">
        <v>159</v>
      </c>
      <c r="I6" s="49" t="n">
        <v>16.307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2</v>
      </c>
      <c r="F7" s="50" t="n">
        <v>4594</v>
      </c>
      <c r="G7" s="51" t="n">
        <v>0.98</v>
      </c>
      <c r="H7" s="27" t="s">
        <v>163</v>
      </c>
      <c r="I7" s="52" t="n">
        <v>12.464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16</v>
      </c>
      <c r="F8" s="47" t="n">
        <v>605</v>
      </c>
      <c r="G8" s="48" t="n">
        <v>1</v>
      </c>
      <c r="H8" s="22" t="s">
        <v>167</v>
      </c>
      <c r="I8" s="49" t="n">
        <v>9.95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8</v>
      </c>
      <c r="F9" s="55" t="n">
        <v>916</v>
      </c>
      <c r="G9" s="56" t="n">
        <v>1.05</v>
      </c>
      <c r="H9" s="54" t="s">
        <v>170</v>
      </c>
      <c r="I9" s="57" t="n">
        <v>8.264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46.985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508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509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510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511</v>
      </c>
      <c r="D21" s="31" t="n">
        <v>0.789</v>
      </c>
      <c r="E21" s="25" t="n">
        <v>0.322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512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134</v>
      </c>
      <c r="C2" s="41" t="s">
        <v>143</v>
      </c>
      <c r="D2" s="42" t="s">
        <v>435</v>
      </c>
      <c r="E2" s="41" t="s">
        <v>145</v>
      </c>
      <c r="F2" s="43" t="s">
        <v>21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13</v>
      </c>
      <c r="F6" s="47" t="n">
        <v>4420</v>
      </c>
      <c r="G6" s="48" t="n">
        <v>1.02</v>
      </c>
      <c r="H6" s="22" t="s">
        <v>159</v>
      </c>
      <c r="I6" s="49" t="n">
        <v>15.508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3</v>
      </c>
      <c r="F7" s="50" t="n">
        <v>4731</v>
      </c>
      <c r="G7" s="51" t="n">
        <v>0.98</v>
      </c>
      <c r="H7" s="27" t="s">
        <v>163</v>
      </c>
      <c r="I7" s="52" t="n">
        <v>14.115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6</v>
      </c>
      <c r="F8" s="47" t="n">
        <v>742</v>
      </c>
      <c r="G8" s="48" t="n">
        <v>1</v>
      </c>
      <c r="H8" s="22" t="s">
        <v>167</v>
      </c>
      <c r="I8" s="49" t="n">
        <v>9.798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10</v>
      </c>
      <c r="F9" s="55" t="n">
        <v>1053</v>
      </c>
      <c r="G9" s="56" t="n">
        <v>1.05</v>
      </c>
      <c r="H9" s="54" t="s">
        <v>170</v>
      </c>
      <c r="I9" s="57" t="n">
        <v>9.27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48.691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513</v>
      </c>
      <c r="B15" s="22" t="s">
        <v>180</v>
      </c>
      <c r="C15" s="21" t="s">
        <v>181</v>
      </c>
      <c r="D15" s="21" t="s">
        <v>182</v>
      </c>
      <c r="E15" s="21" t="n">
        <v>9</v>
      </c>
      <c r="F15" s="22" t="s">
        <v>183</v>
      </c>
      <c r="G15" s="22" t="s">
        <v>198</v>
      </c>
      <c r="H15" s="22" t="s">
        <v>199</v>
      </c>
      <c r="I15" s="21"/>
    </row>
    <row r="16" customFormat="false" ht="22.5" hidden="false" customHeight="true" outlineLevel="0" collapsed="false">
      <c r="A16" s="26" t="s">
        <v>514</v>
      </c>
      <c r="B16" s="27" t="s">
        <v>187</v>
      </c>
      <c r="C16" s="26" t="s">
        <v>188</v>
      </c>
      <c r="D16" s="27" t="s">
        <v>189</v>
      </c>
      <c r="E16" s="26" t="s">
        <v>230</v>
      </c>
      <c r="F16" s="27" t="s">
        <v>190</v>
      </c>
      <c r="G16" s="27" t="s">
        <v>184</v>
      </c>
      <c r="H16" s="27" t="s">
        <v>185</v>
      </c>
      <c r="I16" s="27" t="s">
        <v>222</v>
      </c>
    </row>
    <row r="17" customFormat="false" ht="22.5" hidden="false" customHeight="true" outlineLevel="0" collapsed="false">
      <c r="A17" s="21" t="s">
        <v>515</v>
      </c>
      <c r="B17" s="22" t="s">
        <v>194</v>
      </c>
      <c r="C17" s="21" t="s">
        <v>195</v>
      </c>
      <c r="D17" s="22" t="s">
        <v>196</v>
      </c>
      <c r="E17" s="21" t="n">
        <v>1</v>
      </c>
      <c r="F17" s="22" t="s">
        <v>197</v>
      </c>
      <c r="G17" s="22" t="s">
        <v>191</v>
      </c>
      <c r="H17" s="22" t="s">
        <v>192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516</v>
      </c>
      <c r="D21" s="31" t="n">
        <v>0.791</v>
      </c>
      <c r="E21" s="25" t="n">
        <v>0.323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517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136</v>
      </c>
      <c r="C2" s="41" t="s">
        <v>143</v>
      </c>
      <c r="D2" s="42" t="s">
        <v>441</v>
      </c>
      <c r="E2" s="41" t="s">
        <v>145</v>
      </c>
      <c r="F2" s="43" t="s">
        <v>25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15</v>
      </c>
      <c r="F6" s="47" t="n">
        <v>4557</v>
      </c>
      <c r="G6" s="48" t="n">
        <v>1.02</v>
      </c>
      <c r="H6" s="22" t="s">
        <v>159</v>
      </c>
      <c r="I6" s="49" t="n">
        <v>15.945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16</v>
      </c>
      <c r="F7" s="50" t="n">
        <v>4868</v>
      </c>
      <c r="G7" s="51" t="n">
        <v>0.98</v>
      </c>
      <c r="H7" s="27" t="s">
        <v>163</v>
      </c>
      <c r="I7" s="52" t="n">
        <v>12.017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11</v>
      </c>
      <c r="F8" s="47" t="n">
        <v>879</v>
      </c>
      <c r="G8" s="48" t="n">
        <v>1</v>
      </c>
      <c r="H8" s="22" t="s">
        <v>167</v>
      </c>
      <c r="I8" s="49" t="n">
        <v>10.882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5</v>
      </c>
      <c r="F9" s="55" t="n">
        <v>1190</v>
      </c>
      <c r="G9" s="56" t="n">
        <v>1.05</v>
      </c>
      <c r="H9" s="54" t="s">
        <v>170</v>
      </c>
      <c r="I9" s="57" t="n">
        <v>9.847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48.691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518</v>
      </c>
      <c r="B15" s="22" t="s">
        <v>180</v>
      </c>
      <c r="C15" s="21" t="s">
        <v>181</v>
      </c>
      <c r="D15" s="21" t="s">
        <v>182</v>
      </c>
      <c r="E15" s="21" t="n">
        <v>10</v>
      </c>
      <c r="F15" s="22" t="s">
        <v>183</v>
      </c>
      <c r="G15" s="22" t="s">
        <v>184</v>
      </c>
      <c r="H15" s="22" t="s">
        <v>185</v>
      </c>
      <c r="I15" s="21"/>
    </row>
    <row r="16" customFormat="false" ht="22.5" hidden="false" customHeight="true" outlineLevel="0" collapsed="false">
      <c r="A16" s="26" t="s">
        <v>519</v>
      </c>
      <c r="B16" s="27" t="s">
        <v>187</v>
      </c>
      <c r="C16" s="26" t="s">
        <v>188</v>
      </c>
      <c r="D16" s="27" t="s">
        <v>189</v>
      </c>
      <c r="E16" s="26" t="s">
        <v>237</v>
      </c>
      <c r="F16" s="27" t="s">
        <v>190</v>
      </c>
      <c r="G16" s="27" t="s">
        <v>191</v>
      </c>
      <c r="H16" s="27" t="s">
        <v>192</v>
      </c>
      <c r="I16" s="27" t="s">
        <v>222</v>
      </c>
    </row>
    <row r="17" customFormat="false" ht="22.5" hidden="false" customHeight="true" outlineLevel="0" collapsed="false">
      <c r="A17" s="21" t="s">
        <v>520</v>
      </c>
      <c r="B17" s="22" t="s">
        <v>194</v>
      </c>
      <c r="C17" s="21" t="s">
        <v>195</v>
      </c>
      <c r="D17" s="22" t="s">
        <v>196</v>
      </c>
      <c r="E17" s="21" t="n">
        <v>2</v>
      </c>
      <c r="F17" s="22" t="s">
        <v>197</v>
      </c>
      <c r="G17" s="22" t="s">
        <v>198</v>
      </c>
      <c r="H17" s="22" t="s">
        <v>199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521</v>
      </c>
      <c r="D21" s="31" t="n">
        <v>0.791</v>
      </c>
      <c r="E21" s="25" t="n">
        <v>0.323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522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138</v>
      </c>
      <c r="C2" s="41" t="s">
        <v>143</v>
      </c>
      <c r="D2" s="42" t="s">
        <v>447</v>
      </c>
      <c r="E2" s="41" t="s">
        <v>145</v>
      </c>
      <c r="F2" s="43" t="s">
        <v>29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9</v>
      </c>
      <c r="F6" s="47" t="n">
        <v>4694</v>
      </c>
      <c r="G6" s="48" t="n">
        <v>1.02</v>
      </c>
      <c r="H6" s="22" t="s">
        <v>159</v>
      </c>
      <c r="I6" s="49" t="n">
        <v>14.637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15</v>
      </c>
      <c r="F7" s="50" t="n">
        <v>705</v>
      </c>
      <c r="G7" s="51" t="n">
        <v>0.98</v>
      </c>
      <c r="H7" s="27" t="s">
        <v>163</v>
      </c>
      <c r="I7" s="52" t="n">
        <v>13.82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8</v>
      </c>
      <c r="F8" s="47" t="n">
        <v>1016</v>
      </c>
      <c r="G8" s="48" t="n">
        <v>1</v>
      </c>
      <c r="H8" s="22" t="s">
        <v>167</v>
      </c>
      <c r="I8" s="49" t="n">
        <v>11.522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9</v>
      </c>
      <c r="F9" s="55" t="n">
        <v>1327</v>
      </c>
      <c r="G9" s="56" t="n">
        <v>1.05</v>
      </c>
      <c r="H9" s="54" t="s">
        <v>170</v>
      </c>
      <c r="I9" s="57" t="n">
        <v>7.068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47.047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523</v>
      </c>
      <c r="B15" s="22" t="s">
        <v>180</v>
      </c>
      <c r="C15" s="21" t="s">
        <v>181</v>
      </c>
      <c r="D15" s="21" t="s">
        <v>182</v>
      </c>
      <c r="E15" s="21" t="n">
        <v>8</v>
      </c>
      <c r="F15" s="22" t="s">
        <v>183</v>
      </c>
      <c r="G15" s="22" t="s">
        <v>191</v>
      </c>
      <c r="H15" s="22" t="s">
        <v>192</v>
      </c>
      <c r="I15" s="21"/>
    </row>
    <row r="16" customFormat="false" ht="22.5" hidden="false" customHeight="true" outlineLevel="0" collapsed="false">
      <c r="A16" s="26" t="s">
        <v>524</v>
      </c>
      <c r="B16" s="27" t="s">
        <v>187</v>
      </c>
      <c r="C16" s="26" t="s">
        <v>188</v>
      </c>
      <c r="D16" s="27" t="s">
        <v>189</v>
      </c>
      <c r="E16" s="26" t="s">
        <v>221</v>
      </c>
      <c r="F16" s="27" t="s">
        <v>190</v>
      </c>
      <c r="G16" s="27" t="s">
        <v>198</v>
      </c>
      <c r="H16" s="27" t="s">
        <v>199</v>
      </c>
      <c r="I16" s="27" t="s">
        <v>222</v>
      </c>
    </row>
    <row r="17" customFormat="false" ht="22.5" hidden="false" customHeight="true" outlineLevel="0" collapsed="false">
      <c r="A17" s="21" t="s">
        <v>525</v>
      </c>
      <c r="B17" s="22" t="s">
        <v>194</v>
      </c>
      <c r="C17" s="21" t="s">
        <v>195</v>
      </c>
      <c r="D17" s="22" t="s">
        <v>196</v>
      </c>
      <c r="E17" s="21" t="n">
        <v>3</v>
      </c>
      <c r="F17" s="22" t="s">
        <v>197</v>
      </c>
      <c r="G17" s="22" t="s">
        <v>184</v>
      </c>
      <c r="H17" s="22" t="s">
        <v>185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526</v>
      </c>
      <c r="D21" s="31" t="n">
        <v>0.784</v>
      </c>
      <c r="E21" s="25" t="n">
        <v>0.32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4.51"/>
    <col collapsed="false" customWidth="true" hidden="false" outlineLevel="0" max="3" min="3" style="0" width="21.67"/>
    <col collapsed="false" customWidth="true" hidden="false" outlineLevel="0" max="4" min="4" style="0" width="15.51"/>
    <col collapsed="false" customWidth="true" hidden="false" outlineLevel="0" max="5" min="5" style="0" width="12.51"/>
    <col collapsed="false" customWidth="true" hidden="false" outlineLevel="0" max="6" min="6" style="0" width="17.01"/>
    <col collapsed="false" customWidth="true" hidden="false" outlineLevel="0" max="7" min="7" style="0" width="13.34"/>
    <col collapsed="false" customWidth="true" hidden="false" outlineLevel="0" max="8" min="8" style="0" width="13"/>
    <col collapsed="false" customWidth="true" hidden="false" outlineLevel="0" max="9" min="9" style="0" width="12.17"/>
  </cols>
  <sheetData>
    <row r="1" customFormat="false" ht="28.5" hidden="false" customHeight="true" outlineLevel="0" collapsed="false">
      <c r="A1" s="12" t="s">
        <v>527</v>
      </c>
      <c r="B1" s="12"/>
      <c r="C1" s="12"/>
      <c r="D1" s="12"/>
      <c r="E1" s="12"/>
      <c r="F1" s="12"/>
      <c r="G1" s="12"/>
      <c r="H1" s="12"/>
      <c r="I1" s="12"/>
    </row>
    <row r="2" customFormat="false" ht="22.5" hidden="false" customHeight="true" outlineLevel="0" collapsed="false">
      <c r="A2" s="41" t="s">
        <v>142</v>
      </c>
      <c r="B2" s="42" t="s">
        <v>140</v>
      </c>
      <c r="C2" s="41" t="s">
        <v>143</v>
      </c>
      <c r="D2" s="42" t="s">
        <v>241</v>
      </c>
      <c r="E2" s="41" t="s">
        <v>145</v>
      </c>
      <c r="F2" s="43" t="s">
        <v>32</v>
      </c>
      <c r="G2" s="41" t="s">
        <v>216</v>
      </c>
      <c r="H2" s="43" t="s">
        <v>242</v>
      </c>
      <c r="I2" s="44"/>
    </row>
    <row r="3" customFormat="false" ht="22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</row>
    <row r="4" customFormat="false" ht="22.5" hidden="false" customHeight="true" outlineLevel="0" collapsed="false">
      <c r="A4" s="45" t="s">
        <v>147</v>
      </c>
      <c r="B4" s="45"/>
      <c r="C4" s="45"/>
      <c r="D4" s="45"/>
      <c r="E4" s="45"/>
      <c r="F4" s="45"/>
      <c r="G4" s="45"/>
      <c r="H4" s="45"/>
      <c r="I4" s="45"/>
    </row>
    <row r="5" customFormat="false" ht="22.5" hidden="false" customHeight="true" outlineLevel="0" collapsed="false">
      <c r="A5" s="46" t="s">
        <v>1</v>
      </c>
      <c r="B5" s="46" t="s">
        <v>148</v>
      </c>
      <c r="C5" s="46" t="s">
        <v>149</v>
      </c>
      <c r="D5" s="46" t="s">
        <v>243</v>
      </c>
      <c r="E5" s="46" t="s">
        <v>151</v>
      </c>
      <c r="F5" s="46" t="s">
        <v>244</v>
      </c>
      <c r="G5" s="46" t="s">
        <v>153</v>
      </c>
      <c r="H5" s="46" t="s">
        <v>154</v>
      </c>
      <c r="I5" s="46" t="s">
        <v>245</v>
      </c>
    </row>
    <row r="6" customFormat="false" ht="22.5" hidden="false" customHeight="true" outlineLevel="0" collapsed="false">
      <c r="A6" s="21" t="n">
        <v>1</v>
      </c>
      <c r="B6" s="22" t="s">
        <v>156</v>
      </c>
      <c r="C6" s="22" t="s">
        <v>157</v>
      </c>
      <c r="D6" s="21" t="s">
        <v>158</v>
      </c>
      <c r="E6" s="47" t="n">
        <v>12</v>
      </c>
      <c r="F6" s="47" t="n">
        <v>4831</v>
      </c>
      <c r="G6" s="48" t="n">
        <v>1.02</v>
      </c>
      <c r="H6" s="22" t="s">
        <v>159</v>
      </c>
      <c r="I6" s="49" t="n">
        <v>18.096</v>
      </c>
    </row>
    <row r="7" customFormat="false" ht="22.5" hidden="false" customHeight="true" outlineLevel="0" collapsed="false">
      <c r="A7" s="26" t="n">
        <v>2</v>
      </c>
      <c r="B7" s="27" t="s">
        <v>160</v>
      </c>
      <c r="C7" s="27" t="s">
        <v>161</v>
      </c>
      <c r="D7" s="26" t="s">
        <v>162</v>
      </c>
      <c r="E7" s="50" t="n">
        <v>7</v>
      </c>
      <c r="F7" s="50" t="n">
        <v>842</v>
      </c>
      <c r="G7" s="51" t="n">
        <v>0.98</v>
      </c>
      <c r="H7" s="27" t="s">
        <v>163</v>
      </c>
      <c r="I7" s="52" t="n">
        <v>15.607</v>
      </c>
    </row>
    <row r="8" customFormat="false" ht="22.5" hidden="false" customHeight="true" outlineLevel="0" collapsed="false">
      <c r="A8" s="21" t="n">
        <v>3</v>
      </c>
      <c r="B8" s="22" t="s">
        <v>164</v>
      </c>
      <c r="C8" s="22" t="s">
        <v>165</v>
      </c>
      <c r="D8" s="21" t="s">
        <v>166</v>
      </c>
      <c r="E8" s="47" t="n">
        <v>11</v>
      </c>
      <c r="F8" s="47" t="n">
        <v>1153</v>
      </c>
      <c r="G8" s="48" t="n">
        <v>1</v>
      </c>
      <c r="H8" s="22" t="s">
        <v>167</v>
      </c>
      <c r="I8" s="49" t="n">
        <v>11.702</v>
      </c>
    </row>
    <row r="9" customFormat="false" ht="22.5" hidden="false" customHeight="true" outlineLevel="0" collapsed="false">
      <c r="A9" s="53" t="n">
        <v>4</v>
      </c>
      <c r="B9" s="54" t="s">
        <v>168</v>
      </c>
      <c r="C9" s="54" t="s">
        <v>169</v>
      </c>
      <c r="D9" s="53" t="s">
        <v>162</v>
      </c>
      <c r="E9" s="55" t="n">
        <v>18</v>
      </c>
      <c r="F9" s="55" t="n">
        <v>1464</v>
      </c>
      <c r="G9" s="56" t="n">
        <v>1.05</v>
      </c>
      <c r="H9" s="54" t="s">
        <v>170</v>
      </c>
      <c r="I9" s="57" t="n">
        <v>11.277</v>
      </c>
    </row>
    <row r="10" customFormat="false" ht="22.5" hidden="false" customHeight="true" outlineLevel="0" collapsed="false">
      <c r="A10" s="58"/>
      <c r="B10" s="58"/>
      <c r="C10" s="58"/>
      <c r="D10" s="58"/>
      <c r="E10" s="58"/>
      <c r="F10" s="59"/>
      <c r="G10" s="60"/>
      <c r="H10" s="58"/>
      <c r="I10" s="61"/>
    </row>
    <row r="11" customFormat="false" ht="22.5" hidden="false" customHeight="true" outlineLevel="0" collapsed="false">
      <c r="A11" s="62" t="s">
        <v>146</v>
      </c>
      <c r="B11" s="62"/>
      <c r="C11" s="62"/>
      <c r="D11" s="62"/>
      <c r="E11" s="62"/>
      <c r="F11" s="62"/>
      <c r="G11" s="62"/>
      <c r="H11" s="62"/>
      <c r="I11" s="63" t="n">
        <v>56.682</v>
      </c>
    </row>
    <row r="12" customFormat="false" ht="22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</row>
    <row r="13" customFormat="false" ht="22.5" hidden="false" customHeight="true" outlineLevel="0" collapsed="false">
      <c r="A13" s="45" t="s">
        <v>218</v>
      </c>
      <c r="B13" s="45"/>
      <c r="C13" s="45"/>
      <c r="D13" s="45"/>
      <c r="E13" s="45"/>
      <c r="F13" s="45"/>
      <c r="G13" s="45"/>
      <c r="H13" s="45"/>
      <c r="I13" s="45"/>
    </row>
    <row r="14" customFormat="false" ht="22.5" hidden="false" customHeight="true" outlineLevel="0" collapsed="false">
      <c r="A14" s="46" t="s">
        <v>172</v>
      </c>
      <c r="B14" s="46" t="s">
        <v>173</v>
      </c>
      <c r="C14" s="46" t="s">
        <v>174</v>
      </c>
      <c r="D14" s="46" t="s">
        <v>175</v>
      </c>
      <c r="E14" s="46" t="s">
        <v>151</v>
      </c>
      <c r="F14" s="46" t="s">
        <v>176</v>
      </c>
      <c r="G14" s="46" t="s">
        <v>177</v>
      </c>
      <c r="H14" s="46" t="s">
        <v>178</v>
      </c>
      <c r="I14" s="46" t="s">
        <v>9</v>
      </c>
    </row>
    <row r="15" customFormat="false" ht="22.5" hidden="false" customHeight="true" outlineLevel="0" collapsed="false">
      <c r="A15" s="21" t="s">
        <v>528</v>
      </c>
      <c r="B15" s="22" t="s">
        <v>180</v>
      </c>
      <c r="C15" s="21" t="s">
        <v>181</v>
      </c>
      <c r="D15" s="21" t="s">
        <v>182</v>
      </c>
      <c r="E15" s="21" t="n">
        <v>9</v>
      </c>
      <c r="F15" s="22" t="s">
        <v>183</v>
      </c>
      <c r="G15" s="22" t="s">
        <v>198</v>
      </c>
      <c r="H15" s="22" t="s">
        <v>199</v>
      </c>
      <c r="I15" s="21"/>
    </row>
    <row r="16" customFormat="false" ht="22.5" hidden="false" customHeight="true" outlineLevel="0" collapsed="false">
      <c r="A16" s="26" t="s">
        <v>529</v>
      </c>
      <c r="B16" s="27" t="s">
        <v>187</v>
      </c>
      <c r="C16" s="26" t="s">
        <v>188</v>
      </c>
      <c r="D16" s="27" t="s">
        <v>189</v>
      </c>
      <c r="E16" s="26" t="s">
        <v>230</v>
      </c>
      <c r="F16" s="27" t="s">
        <v>190</v>
      </c>
      <c r="G16" s="27" t="s">
        <v>184</v>
      </c>
      <c r="H16" s="27" t="s">
        <v>185</v>
      </c>
      <c r="I16" s="27" t="s">
        <v>222</v>
      </c>
    </row>
    <row r="17" customFormat="false" ht="22.5" hidden="false" customHeight="true" outlineLevel="0" collapsed="false">
      <c r="A17" s="21" t="s">
        <v>530</v>
      </c>
      <c r="B17" s="22" t="s">
        <v>194</v>
      </c>
      <c r="C17" s="21" t="s">
        <v>195</v>
      </c>
      <c r="D17" s="22" t="s">
        <v>196</v>
      </c>
      <c r="E17" s="21" t="n">
        <v>1</v>
      </c>
      <c r="F17" s="22" t="s">
        <v>197</v>
      </c>
      <c r="G17" s="22" t="s">
        <v>191</v>
      </c>
      <c r="H17" s="22" t="s">
        <v>192</v>
      </c>
      <c r="I17" s="21"/>
    </row>
    <row r="18" customFormat="false" ht="22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22.5" hidden="false" customHeight="true" outlineLevel="0" collapsed="false">
      <c r="A19" s="45" t="s">
        <v>200</v>
      </c>
      <c r="B19" s="45"/>
      <c r="C19" s="45"/>
      <c r="D19" s="45"/>
      <c r="E19" s="45"/>
      <c r="F19" s="45"/>
      <c r="G19" s="45"/>
      <c r="H19" s="45"/>
      <c r="I19" s="45"/>
    </row>
    <row r="20" customFormat="false" ht="22.5" hidden="false" customHeight="true" outlineLevel="0" collapsed="false">
      <c r="A20" s="46" t="s">
        <v>201</v>
      </c>
      <c r="B20" s="46" t="s">
        <v>202</v>
      </c>
      <c r="C20" s="46" t="s">
        <v>203</v>
      </c>
      <c r="D20" s="46" t="s">
        <v>249</v>
      </c>
      <c r="E20" s="46" t="s">
        <v>250</v>
      </c>
      <c r="F20" s="46" t="s">
        <v>205</v>
      </c>
      <c r="G20" s="46" t="s">
        <v>206</v>
      </c>
      <c r="H20" s="46" t="s">
        <v>207</v>
      </c>
      <c r="I20" s="46" t="s">
        <v>9</v>
      </c>
    </row>
    <row r="21" customFormat="false" ht="22.5" hidden="false" customHeight="true" outlineLevel="0" collapsed="false">
      <c r="A21" s="22" t="s">
        <v>209</v>
      </c>
      <c r="B21" s="21" t="s">
        <v>210</v>
      </c>
      <c r="C21" s="21" t="s">
        <v>531</v>
      </c>
      <c r="D21" s="31" t="n">
        <v>0.963</v>
      </c>
      <c r="E21" s="25" t="n">
        <v>0.393</v>
      </c>
      <c r="F21" s="23" t="n">
        <v>1</v>
      </c>
      <c r="G21" s="22" t="s">
        <v>212</v>
      </c>
      <c r="H21" s="22" t="s">
        <v>213</v>
      </c>
      <c r="I21" s="21"/>
    </row>
    <row r="22" customFormat="false" ht="9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9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</row>
    <row r="24" customFormat="false" ht="9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9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9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25.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</row>
  </sheetData>
  <mergeCells count="5">
    <mergeCell ref="A1:I1"/>
    <mergeCell ref="A4:I4"/>
    <mergeCell ref="A11:H11"/>
    <mergeCell ref="A13:I13"/>
    <mergeCell ref="A19:I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2026-08-23T20:12:32Z</dcterms:created>
  <dc:creator>openpyxl</dc:creator>
  <dc:description/>
  <dc:language>en-US</dc:language>
  <cp:lastModifiedBy/>
  <dcterms:modified xsi:type="dcterms:W3CDTF">2026-08-23T20:12:33Z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