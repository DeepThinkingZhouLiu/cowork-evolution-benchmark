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12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<sst xmlns="http://schemas.openxmlformats.org/spreadsheetml/2006/main" count="112" uniqueCount="75">
  <si>
    <t>2026年12月份区域渠道销量统计表</t>
  </si>
  <si>
    <t>东湾渠道一组</t>
  </si>
  <si>
    <t>乳猪料</t>
  </si>
  <si>
    <t>北岭养殖服务组</t>
  </si>
  <si>
    <t>客户</t>
  </si>
  <si>
    <t>数量(吨)</t>
  </si>
  <si>
    <t>开口料</t>
  </si>
  <si>
    <t>保育/育肥料</t>
  </si>
  <si>
    <t>蛋禽料</t>
  </si>
  <si>
    <t>水禽料</t>
  </si>
  <si>
    <t>沉水鱼料</t>
  </si>
  <si>
    <t>浮水鱼料</t>
  </si>
  <si>
    <t>暮野生态养殖场</t>
  </si>
  <si>
    <t>芜畴联合养殖场</t>
  </si>
  <si>
    <t>苍樾农牧合作社</t>
  </si>
  <si>
    <t>沧隅牧业合作社</t>
  </si>
  <si>
    <t>泠泽家庭农场</t>
  </si>
  <si>
    <t>汀沿饲养中心</t>
  </si>
  <si>
    <t>芪牧饲养基地</t>
  </si>
  <si>
    <t>槿谷养殖点</t>
  </si>
  <si>
    <t>砚滨牧业服务站</t>
  </si>
  <si>
    <t>小计</t>
  </si>
  <si>
    <t>海岚客户维护组</t>
  </si>
  <si>
    <t>西禾区域合作组</t>
  </si>
  <si>
    <t>星溯湾养殖场</t>
  </si>
  <si>
    <t>祁朔农牧场</t>
  </si>
  <si>
    <t>镜渊农牧社</t>
  </si>
  <si>
    <t>栀隅合作社</t>
  </si>
  <si>
    <t>岫岩育养基地</t>
  </si>
  <si>
    <t>阑渚养殖基地</t>
  </si>
  <si>
    <t>渡川家庭农场</t>
  </si>
  <si>
    <t>沧浔家庭农场</t>
  </si>
  <si>
    <t>暮岑合作养殖点</t>
  </si>
  <si>
    <t>苇汀育养中心</t>
  </si>
  <si>
    <t>涧埠饲养服务部</t>
  </si>
  <si>
    <t>泠漾农牧服务站</t>
  </si>
  <si>
    <t>茴湾饲养点</t>
  </si>
  <si>
    <t>峤南农牧场</t>
  </si>
  <si>
    <t>潇涧合作养殖场</t>
  </si>
  <si>
    <t>筠筱养殖社</t>
  </si>
  <si>
    <t>荞墟农牧基地</t>
  </si>
  <si>
    <t>芃洲饲养中心</t>
  </si>
  <si>
    <t>西墟联营农场</t>
  </si>
  <si>
    <t>檀汐家庭牧场</t>
  </si>
  <si>
    <t>漠汀生态养殖场</t>
  </si>
  <si>
    <t>沧漾农牧社</t>
  </si>
  <si>
    <t>岚川育养基地</t>
  </si>
  <si>
    <t>岑峦合作社</t>
  </si>
  <si>
    <t>桧杉养殖点</t>
  </si>
  <si>
    <t>云澜养殖拓展组</t>
  </si>
  <si>
    <t>缥涧农牧场</t>
  </si>
  <si>
    <t>西渚饲养中心</t>
  </si>
  <si>
    <t>泠溪养殖合作社</t>
  </si>
  <si>
    <t>玄径生态农场</t>
  </si>
  <si>
    <t>攸禾家庭农场</t>
  </si>
  <si>
    <t>连塘合作养殖社</t>
  </si>
  <si>
    <t>景隅农牧场</t>
  </si>
  <si>
    <t>汐野农牧基地</t>
  </si>
  <si>
    <t>栖林生态养殖场</t>
  </si>
  <si>
    <t>琉湾牧业服务部</t>
  </si>
  <si>
    <t>檀峰饲养中心</t>
  </si>
  <si>
    <t>湄洲家庭农场</t>
  </si>
  <si>
    <t>青岑合作养殖社</t>
  </si>
  <si>
    <t>玦岩联合养殖场</t>
  </si>
  <si>
    <t>景言农牧基地</t>
  </si>
  <si>
    <t>砚辞生态牧场</t>
  </si>
  <si>
    <t>峥峦合作社</t>
  </si>
  <si>
    <t>泫川农牧场</t>
  </si>
  <si>
    <t>曜津饲养点</t>
  </si>
  <si>
    <t>螭渊养殖基地</t>
  </si>
  <si>
    <t>安浔家庭农场</t>
  </si>
  <si>
    <t>聿辰农牧社</t>
  </si>
  <si>
    <t>砚漾合作养殖场</t>
  </si>
  <si>
    <t>合计</t>
  </si>
  <si>
    <t>制表：渠道运营部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</si>
</sst>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rlito"/>
      <charset val="134"/>
    </font>
    <font>
      <b/>
      <sz val="15"/>
      <color rgb="FFFFFFFF"/>
      <name val="Carlito"/>
      <charset val="134"/>
    </font>
    <font>
      <b/>
      <sz val="11"/>
      <color rgb="FFFFFFFF"/>
      <name val="Carlito"/>
      <charset val="134"/>
    </font>
    <font>
      <b/>
      <sz val="11"/>
      <color rgb="FF1F1F1F"/>
      <name val="Carlito"/>
      <charset val="134"/>
    </font>
    <font>
      <b/>
      <sz val="11"/>
      <name val="Carlito"/>
      <charset val="134"/>
    </font>
    <font>
      <sz val="12"/>
      <color rgb="FF000000"/>
      <name val="Arial"/>
      <charset val="134"/>
    </font>
    <font>
      <sz val="11"/>
      <name val="宋体"/>
      <charset val="134"/>
    </font>
    <font>
      <b/>
      <sz val="11"/>
      <color rgb="FF7F300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9" borderId="4" applyNumberFormat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49"/>
    <xf numFmtId="0" fontId="0" fillId="0" borderId="0" xfId="49" applyNumberFormat="1" applyFont="1" applyFill="1" applyBorder="1" applyAlignment="1">
      <alignment vertical="center" wrapText="1"/>
    </xf>
    <xf numFmtId="0" fontId="1" fillId="2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horizontal="center" vertical="center" wrapText="1"/>
    </xf>
    <xf numFmtId="0" fontId="3" fillId="4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horizontal="center" vertical="center" wrapText="1"/>
    </xf>
    <xf numFmtId="2" fontId="0" fillId="0" borderId="0" xfId="49" applyNumberFormat="1" applyFont="1" applyFill="1" applyBorder="1" applyAlignment="1">
      <alignment vertical="center" wrapText="1"/>
    </xf>
    <xf numFmtId="0" fontId="4" fillId="5" borderId="0" xfId="49" applyNumberFormat="1" applyFont="1" applyFill="1" applyBorder="1" applyAlignment="1">
      <alignment horizontal="center" vertical="center" wrapText="1"/>
    </xf>
    <xf numFmtId="2" fontId="4" fillId="5" borderId="0" xfId="49" applyNumberFormat="1" applyFont="1" applyFill="1" applyBorder="1" applyAlignment="1">
      <alignment horizontal="center" vertical="center" wrapText="1"/>
    </xf>
    <xf numFmtId="2" fontId="2" fillId="3" borderId="0" xfId="49" applyNumberFormat="1" applyFont="1" applyFill="1" applyBorder="1" applyAlignment="1">
      <alignment horizontal="center" vertical="center" wrapText="1"/>
    </xf>
    <xf numFmtId="2" fontId="3" fillId="4" borderId="0" xfId="49" applyNumberFormat="1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6" fillId="0" borderId="0" xfId="49" applyNumberFormat="1" applyFont="1" applyFill="1" applyBorder="1" applyAlignment="1">
      <alignment horizontal="center" vertical="center" wrapText="1"/>
    </xf>
    <xf numFmtId="0" fontId="7" fillId="6" borderId="0" xfId="49" applyNumberFormat="1" applyFont="1" applyFill="1" applyBorder="1" applyAlignment="1">
      <alignment horizontal="center" vertical="center" wrapText="1"/>
    </xf>
    <xf numFmtId="2" fontId="7" fillId="6" borderId="0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8"/>
  <sheetViews>
    <sheetView tabSelected="1" topLeftCell="A26" workbookViewId="0">
      <selection activeCell="K43" sqref="K43"/>
    </sheetView>
  </sheetViews>
  <sheetFormatPr defaultColWidth="9" defaultRowHeight="14.25"/>
  <cols>
    <col min="1" max="1" width="6" customWidth="1"/>
    <col min="2" max="2" width="22" customWidth="1"/>
    <col min="3" max="3" width="11" customWidth="1"/>
    <col min="4" max="9" width="12" customWidth="1"/>
    <col min="10" max="10" width="6" customWidth="1"/>
    <col min="11" max="11" width="22" customWidth="1"/>
    <col min="12" max="12" width="11" customWidth="1"/>
    <col min="13" max="18" width="12" customWidth="1"/>
  </cols>
  <sheetData>
    <row r="1" ht="30" customHeight="1" spans="1:18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20" customHeight="1" spans="1:1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ht="20" customHeight="1" spans="1:18">
      <c r="A3" s="3">
        <v>1</v>
      </c>
      <c r="B3" s="3" t="s">
        <v>1</v>
      </c>
      <c r="C3" s="3"/>
      <c r="D3" s="3" t="s">
        <v>2</v>
      </c>
      <c r="E3" s="3"/>
      <c r="F3" s="3"/>
      <c r="G3" s="3"/>
      <c r="H3" s="3"/>
      <c r="I3" s="3"/>
      <c r="J3" s="3">
        <v>4</v>
      </c>
      <c r="K3" s="3" t="s">
        <v>3</v>
      </c>
      <c r="L3" s="3"/>
      <c r="M3" s="3" t="s">
        <v>2</v>
      </c>
      <c r="N3" s="3"/>
      <c r="O3" s="3"/>
      <c r="P3" s="3"/>
      <c r="Q3" s="3"/>
      <c r="R3" s="3"/>
    </row>
    <row r="4" ht="28" customHeight="1" spans="1:18">
      <c r="A4" s="1"/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1"/>
      <c r="K4" s="4" t="s">
        <v>4</v>
      </c>
      <c r="L4" s="4" t="s">
        <v>5</v>
      </c>
      <c r="M4" s="4" t="s">
        <v>6</v>
      </c>
      <c r="N4" s="4" t="s">
        <v>7</v>
      </c>
      <c r="O4" s="4" t="s">
        <v>8</v>
      </c>
      <c r="P4" s="4" t="s">
        <v>9</v>
      </c>
      <c r="Q4" s="4" t="s">
        <v>10</v>
      </c>
      <c r="R4" s="4" t="s">
        <v>11</v>
      </c>
    </row>
    <row r="5" ht="20" customHeight="1" spans="1:18">
      <c r="A5" s="1"/>
      <c r="B5" s="5" t="s">
        <v>12</v>
      </c>
      <c r="C5" s="6">
        <f t="shared" ref="C5:C10" si="0">SUM(D5:I5)</f>
        <v>84.82</v>
      </c>
      <c r="D5" s="6"/>
      <c r="E5" s="6">
        <v>78.42</v>
      </c>
      <c r="F5" s="6">
        <v>5.16</v>
      </c>
      <c r="G5" s="6"/>
      <c r="H5" s="6">
        <v>1.24</v>
      </c>
      <c r="I5" s="6"/>
      <c r="J5" s="1"/>
      <c r="K5" s="5" t="s">
        <v>13</v>
      </c>
      <c r="L5" s="6">
        <f>SUM(M5:R5)</f>
        <v>24.6</v>
      </c>
      <c r="M5" s="6"/>
      <c r="N5" s="6">
        <v>24.6</v>
      </c>
      <c r="O5" s="6"/>
      <c r="P5" s="6"/>
      <c r="Q5" s="6"/>
      <c r="R5" s="6"/>
    </row>
    <row r="6" ht="20" customHeight="1" spans="1:18">
      <c r="A6" s="1"/>
      <c r="B6" s="5" t="s">
        <v>14</v>
      </c>
      <c r="C6" s="6">
        <f t="shared" si="0"/>
        <v>21.36</v>
      </c>
      <c r="D6" s="6"/>
      <c r="E6" s="6">
        <v>21.36</v>
      </c>
      <c r="F6" s="6"/>
      <c r="G6" s="6"/>
      <c r="H6" s="6"/>
      <c r="I6" s="6"/>
      <c r="J6" s="1"/>
      <c r="K6" s="5" t="s">
        <v>15</v>
      </c>
      <c r="L6" s="6">
        <f>SUM(M6:R6)</f>
        <v>3.12</v>
      </c>
      <c r="M6" s="6"/>
      <c r="N6" s="6">
        <v>3.12</v>
      </c>
      <c r="O6" s="6"/>
      <c r="P6" s="6"/>
      <c r="Q6" s="6"/>
      <c r="R6" s="6"/>
    </row>
    <row r="7" ht="20" customHeight="1" spans="1:18">
      <c r="A7" s="1"/>
      <c r="B7" s="5" t="s">
        <v>16</v>
      </c>
      <c r="C7" s="6">
        <f t="shared" si="0"/>
        <v>8.12</v>
      </c>
      <c r="D7" s="6"/>
      <c r="E7" s="6">
        <v>8.12</v>
      </c>
      <c r="F7" s="6"/>
      <c r="G7" s="6"/>
      <c r="H7" s="6"/>
      <c r="I7" s="6"/>
      <c r="J7" s="1"/>
      <c r="K7" s="5" t="s">
        <v>17</v>
      </c>
      <c r="L7" s="6">
        <f>SUM(M7:R7)</f>
        <v>1.68</v>
      </c>
      <c r="M7" s="6"/>
      <c r="N7" s="6">
        <v>1.68</v>
      </c>
      <c r="O7" s="6"/>
      <c r="P7" s="6"/>
      <c r="Q7" s="6"/>
      <c r="R7" s="6"/>
    </row>
    <row r="8" ht="20" customHeight="1" spans="1:18">
      <c r="A8" s="1"/>
      <c r="B8" s="5" t="s">
        <v>18</v>
      </c>
      <c r="C8" s="6">
        <f t="shared" si="0"/>
        <v>14.84</v>
      </c>
      <c r="D8" s="6"/>
      <c r="E8" s="6"/>
      <c r="F8" s="6">
        <v>14.84</v>
      </c>
      <c r="G8" s="6"/>
      <c r="H8" s="6"/>
      <c r="I8" s="6"/>
      <c r="J8" s="1"/>
      <c r="K8" s="1"/>
      <c r="L8" s="6"/>
      <c r="M8" s="6"/>
      <c r="N8" s="6"/>
      <c r="O8" s="6"/>
      <c r="P8" s="6"/>
      <c r="Q8" s="6"/>
      <c r="R8" s="6"/>
    </row>
    <row r="9" ht="20" customHeight="1" spans="1:18">
      <c r="A9" s="1"/>
      <c r="B9" s="5" t="s">
        <v>19</v>
      </c>
      <c r="C9" s="6">
        <f t="shared" si="0"/>
        <v>6.48</v>
      </c>
      <c r="D9" s="6"/>
      <c r="E9" s="6">
        <v>6.48</v>
      </c>
      <c r="F9" s="6"/>
      <c r="G9" s="6"/>
      <c r="H9" s="6"/>
      <c r="I9" s="6"/>
      <c r="J9" s="1"/>
      <c r="K9" s="1"/>
      <c r="L9" s="6"/>
      <c r="M9" s="6"/>
      <c r="N9" s="6"/>
      <c r="O9" s="6"/>
      <c r="P9" s="6"/>
      <c r="Q9" s="6"/>
      <c r="R9" s="6"/>
    </row>
    <row r="10" ht="20" customHeight="1" spans="1:18">
      <c r="A10" s="1"/>
      <c r="B10" s="5" t="s">
        <v>20</v>
      </c>
      <c r="C10" s="6">
        <f t="shared" si="0"/>
        <v>11.28</v>
      </c>
      <c r="D10" s="6"/>
      <c r="E10" s="6">
        <v>9.72</v>
      </c>
      <c r="F10" s="6">
        <v>1.56</v>
      </c>
      <c r="G10" s="6"/>
      <c r="H10" s="6"/>
      <c r="I10" s="6"/>
      <c r="J10" s="1"/>
      <c r="K10" s="1"/>
      <c r="L10" s="6"/>
      <c r="M10" s="6"/>
      <c r="N10" s="6"/>
      <c r="O10" s="6"/>
      <c r="P10" s="6"/>
      <c r="Q10" s="6"/>
      <c r="R10" s="6"/>
    </row>
    <row r="11" ht="20" customHeight="1" spans="1:18">
      <c r="A11" s="1"/>
      <c r="B11" s="1"/>
      <c r="C11" s="6"/>
      <c r="D11" s="6"/>
      <c r="E11" s="6"/>
      <c r="F11" s="6"/>
      <c r="G11" s="6"/>
      <c r="H11" s="6"/>
      <c r="I11" s="6"/>
      <c r="J11" s="1"/>
      <c r="K11" s="1"/>
      <c r="L11" s="6"/>
      <c r="M11" s="6"/>
      <c r="N11" s="6"/>
      <c r="O11" s="6"/>
      <c r="P11" s="6"/>
      <c r="Q11" s="6"/>
      <c r="R11" s="6"/>
    </row>
    <row r="12" ht="20" customHeight="1" spans="1:18">
      <c r="A12" s="1"/>
      <c r="B12" s="7" t="s">
        <v>21</v>
      </c>
      <c r="C12" s="8">
        <f t="shared" ref="C12:I12" si="1">SUM(C5:C10)</f>
        <v>146.9</v>
      </c>
      <c r="D12" s="8">
        <f t="shared" si="1"/>
        <v>0</v>
      </c>
      <c r="E12" s="8">
        <f t="shared" si="1"/>
        <v>124.1</v>
      </c>
      <c r="F12" s="8">
        <f t="shared" si="1"/>
        <v>21.56</v>
      </c>
      <c r="G12" s="8">
        <f t="shared" si="1"/>
        <v>0</v>
      </c>
      <c r="H12" s="8">
        <f t="shared" si="1"/>
        <v>1.24</v>
      </c>
      <c r="I12" s="8">
        <f t="shared" si="1"/>
        <v>0</v>
      </c>
      <c r="J12" s="1"/>
      <c r="K12" s="7" t="s">
        <v>21</v>
      </c>
      <c r="L12" s="8">
        <f t="shared" ref="L12:R12" si="2">SUM(L5:L7)</f>
        <v>29.4</v>
      </c>
      <c r="M12" s="8">
        <f t="shared" si="2"/>
        <v>0</v>
      </c>
      <c r="N12" s="8">
        <f t="shared" si="2"/>
        <v>29.4</v>
      </c>
      <c r="O12" s="8">
        <f t="shared" si="2"/>
        <v>0</v>
      </c>
      <c r="P12" s="8">
        <f t="shared" si="2"/>
        <v>0</v>
      </c>
      <c r="Q12" s="8">
        <f t="shared" si="2"/>
        <v>0</v>
      </c>
      <c r="R12" s="8">
        <f t="shared" si="2"/>
        <v>0</v>
      </c>
    </row>
    <row r="13" ht="20" customHeight="1" spans="1:18">
      <c r="A13" s="1"/>
      <c r="B13" s="1"/>
      <c r="C13" s="6"/>
      <c r="D13" s="6"/>
      <c r="E13" s="6"/>
      <c r="F13" s="6"/>
      <c r="G13" s="6"/>
      <c r="H13" s="6"/>
      <c r="I13" s="6"/>
      <c r="J13" s="1"/>
      <c r="K13" s="1"/>
      <c r="L13" s="6"/>
      <c r="M13" s="6"/>
      <c r="N13" s="6"/>
      <c r="O13" s="6"/>
      <c r="P13" s="6"/>
      <c r="Q13" s="6"/>
      <c r="R13" s="6"/>
    </row>
    <row r="14" ht="20" customHeight="1" spans="1:18">
      <c r="A14" s="1"/>
      <c r="B14" s="1"/>
      <c r="C14" s="6"/>
      <c r="D14" s="6"/>
      <c r="E14" s="6"/>
      <c r="F14" s="6"/>
      <c r="G14" s="6"/>
      <c r="H14" s="6"/>
      <c r="I14" s="6"/>
      <c r="J14" s="1"/>
      <c r="K14" s="1"/>
      <c r="L14" s="6"/>
      <c r="M14" s="6"/>
      <c r="N14" s="6"/>
      <c r="O14" s="6"/>
      <c r="P14" s="6"/>
      <c r="Q14" s="6"/>
      <c r="R14" s="6"/>
    </row>
    <row r="15" ht="20" customHeight="1" spans="1:18">
      <c r="A15" s="1"/>
      <c r="B15" s="1"/>
      <c r="C15" s="6"/>
      <c r="D15" s="6"/>
      <c r="E15" s="6"/>
      <c r="F15" s="6"/>
      <c r="G15" s="6"/>
      <c r="H15" s="6"/>
      <c r="I15" s="6"/>
      <c r="J15" s="1"/>
      <c r="K15" s="1"/>
      <c r="L15" s="6"/>
      <c r="M15" s="6"/>
      <c r="N15" s="6"/>
      <c r="O15" s="6"/>
      <c r="P15" s="6"/>
      <c r="Q15" s="6"/>
      <c r="R15" s="6"/>
    </row>
    <row r="16" ht="20" customHeight="1" spans="1:18">
      <c r="A16" s="1"/>
      <c r="B16" s="1"/>
      <c r="C16" s="6"/>
      <c r="D16" s="6"/>
      <c r="E16" s="6"/>
      <c r="F16" s="6"/>
      <c r="G16" s="6"/>
      <c r="H16" s="6"/>
      <c r="I16" s="6"/>
      <c r="J16" s="1"/>
      <c r="K16" s="1"/>
      <c r="L16" s="6"/>
      <c r="M16" s="6"/>
      <c r="N16" s="6"/>
      <c r="O16" s="6"/>
      <c r="P16" s="6"/>
      <c r="Q16" s="6"/>
      <c r="R16" s="6"/>
    </row>
    <row r="17" ht="20" customHeight="1" spans="1:18">
      <c r="A17" s="3">
        <v>2</v>
      </c>
      <c r="B17" s="3" t="s">
        <v>22</v>
      </c>
      <c r="C17" s="9"/>
      <c r="D17" s="9"/>
      <c r="E17" s="9"/>
      <c r="F17" s="9"/>
      <c r="G17" s="9"/>
      <c r="H17" s="9"/>
      <c r="I17" s="9"/>
      <c r="J17" s="3">
        <v>5</v>
      </c>
      <c r="K17" s="3" t="s">
        <v>23</v>
      </c>
      <c r="L17" s="9"/>
      <c r="M17" s="9"/>
      <c r="N17" s="9"/>
      <c r="O17" s="9"/>
      <c r="P17" s="9"/>
      <c r="Q17" s="9"/>
      <c r="R17" s="9"/>
    </row>
    <row r="18" ht="28" customHeight="1" spans="1:18">
      <c r="A18" s="1"/>
      <c r="B18" s="4" t="s">
        <v>4</v>
      </c>
      <c r="C18" s="10" t="s">
        <v>5</v>
      </c>
      <c r="D18" s="10" t="s">
        <v>6</v>
      </c>
      <c r="E18" s="10" t="s">
        <v>7</v>
      </c>
      <c r="F18" s="10" t="s">
        <v>8</v>
      </c>
      <c r="G18" s="10" t="s">
        <v>9</v>
      </c>
      <c r="H18" s="10" t="s">
        <v>10</v>
      </c>
      <c r="I18" s="10" t="s">
        <v>11</v>
      </c>
      <c r="J18" s="1"/>
      <c r="K18" s="4" t="s">
        <v>4</v>
      </c>
      <c r="L18" s="10" t="s">
        <v>5</v>
      </c>
      <c r="M18" s="10" t="s">
        <v>6</v>
      </c>
      <c r="N18" s="10" t="s">
        <v>7</v>
      </c>
      <c r="O18" s="10" t="s">
        <v>8</v>
      </c>
      <c r="P18" s="10" t="s">
        <v>9</v>
      </c>
      <c r="Q18" s="10" t="s">
        <v>10</v>
      </c>
      <c r="R18" s="10" t="s">
        <v>11</v>
      </c>
    </row>
    <row r="19" ht="20" customHeight="1" spans="1:18">
      <c r="A19" s="1"/>
      <c r="B19" s="5" t="s">
        <v>24</v>
      </c>
      <c r="C19" s="6">
        <f t="shared" ref="C19:C24" si="3">SUM(D19:I19)</f>
        <v>16.92</v>
      </c>
      <c r="D19" s="6">
        <v>0.08</v>
      </c>
      <c r="E19" s="6">
        <v>12.4</v>
      </c>
      <c r="F19" s="6">
        <v>2.36</v>
      </c>
      <c r="G19" s="6">
        <v>0.92</v>
      </c>
      <c r="H19" s="6">
        <v>1.16</v>
      </c>
      <c r="I19" s="6"/>
      <c r="J19" s="1"/>
      <c r="K19" s="5" t="s">
        <v>25</v>
      </c>
      <c r="L19" s="6">
        <f t="shared" ref="L19:L53" si="4">SUM(M19:R19)</f>
        <v>4.36</v>
      </c>
      <c r="M19" s="6"/>
      <c r="N19" s="6">
        <v>4.36</v>
      </c>
      <c r="O19" s="6"/>
      <c r="P19" s="6"/>
      <c r="Q19" s="6"/>
      <c r="R19" s="6"/>
    </row>
    <row r="20" ht="20" customHeight="1" spans="1:18">
      <c r="A20" s="1"/>
      <c r="B20" s="5" t="s">
        <v>26</v>
      </c>
      <c r="C20" s="6">
        <f t="shared" si="3"/>
        <v>4.8</v>
      </c>
      <c r="D20" s="6"/>
      <c r="E20" s="6">
        <v>4.8</v>
      </c>
      <c r="F20" s="6"/>
      <c r="G20" s="6"/>
      <c r="H20" s="6"/>
      <c r="I20" s="6"/>
      <c r="J20" s="1"/>
      <c r="K20" s="5" t="s">
        <v>27</v>
      </c>
      <c r="L20" s="6">
        <f t="shared" si="4"/>
        <v>2.88</v>
      </c>
      <c r="M20" s="6"/>
      <c r="N20" s="6">
        <v>2.88</v>
      </c>
      <c r="O20" s="6"/>
      <c r="P20" s="6"/>
      <c r="Q20" s="6"/>
      <c r="R20" s="6"/>
    </row>
    <row r="21" ht="20" customHeight="1" spans="1:18">
      <c r="A21" s="1"/>
      <c r="B21" s="5" t="s">
        <v>28</v>
      </c>
      <c r="C21" s="6">
        <f t="shared" si="3"/>
        <v>43.68</v>
      </c>
      <c r="D21" s="6"/>
      <c r="E21" s="6">
        <v>43.68</v>
      </c>
      <c r="F21" s="6"/>
      <c r="G21" s="6"/>
      <c r="H21" s="6"/>
      <c r="I21" s="6"/>
      <c r="J21" s="1"/>
      <c r="K21" s="5" t="s">
        <v>29</v>
      </c>
      <c r="L21" s="6">
        <f t="shared" si="4"/>
        <v>2.64</v>
      </c>
      <c r="M21" s="6"/>
      <c r="N21" s="6">
        <v>2.64</v>
      </c>
      <c r="O21" s="6"/>
      <c r="P21" s="6"/>
      <c r="Q21" s="6"/>
      <c r="R21" s="6"/>
    </row>
    <row r="22" ht="20" customHeight="1" spans="1:18">
      <c r="A22" s="1"/>
      <c r="B22" s="5" t="s">
        <v>30</v>
      </c>
      <c r="C22" s="6">
        <f t="shared" si="3"/>
        <v>19.9</v>
      </c>
      <c r="D22" s="6">
        <v>0.06</v>
      </c>
      <c r="E22" s="6">
        <v>19.84</v>
      </c>
      <c r="F22" s="6"/>
      <c r="G22" s="6"/>
      <c r="H22" s="6"/>
      <c r="I22" s="6"/>
      <c r="J22" s="1"/>
      <c r="K22" s="5" t="s">
        <v>31</v>
      </c>
      <c r="L22" s="6">
        <f t="shared" si="4"/>
        <v>3.52</v>
      </c>
      <c r="M22" s="6"/>
      <c r="N22" s="6">
        <v>3.52</v>
      </c>
      <c r="O22" s="6"/>
      <c r="P22" s="6"/>
      <c r="Q22" s="6"/>
      <c r="R22" s="6"/>
    </row>
    <row r="23" ht="20" customHeight="1" spans="1:18">
      <c r="A23" s="1"/>
      <c r="B23" s="5" t="s">
        <v>32</v>
      </c>
      <c r="C23" s="6">
        <f t="shared" si="3"/>
        <v>7.92</v>
      </c>
      <c r="D23" s="6"/>
      <c r="E23" s="6">
        <v>7.2</v>
      </c>
      <c r="F23" s="6">
        <v>0.72</v>
      </c>
      <c r="G23" s="6"/>
      <c r="H23" s="6"/>
      <c r="I23" s="6"/>
      <c r="J23" s="1"/>
      <c r="K23" s="5" t="s">
        <v>33</v>
      </c>
      <c r="L23" s="6">
        <f t="shared" si="4"/>
        <v>0.54</v>
      </c>
      <c r="M23" s="6"/>
      <c r="N23" s="6">
        <v>0.36</v>
      </c>
      <c r="O23" s="6"/>
      <c r="P23" s="6"/>
      <c r="Q23" s="6">
        <v>0.18</v>
      </c>
      <c r="R23" s="6"/>
    </row>
    <row r="24" ht="20" customHeight="1" spans="1:18">
      <c r="A24" s="1"/>
      <c r="B24" s="5" t="s">
        <v>34</v>
      </c>
      <c r="C24" s="6">
        <f t="shared" si="3"/>
        <v>18.4</v>
      </c>
      <c r="D24" s="6"/>
      <c r="E24" s="6">
        <v>18.4</v>
      </c>
      <c r="F24" s="6"/>
      <c r="G24" s="6"/>
      <c r="H24" s="6"/>
      <c r="I24" s="6"/>
      <c r="J24" s="1"/>
      <c r="K24" s="5" t="s">
        <v>35</v>
      </c>
      <c r="L24" s="6">
        <f t="shared" si="4"/>
        <v>1.08</v>
      </c>
      <c r="M24" s="6"/>
      <c r="N24" s="6"/>
      <c r="O24" s="6"/>
      <c r="P24" s="6"/>
      <c r="Q24" s="6">
        <v>1.08</v>
      </c>
      <c r="R24" s="6"/>
    </row>
    <row r="25" ht="20" customHeight="1" spans="1:18">
      <c r="A25" s="1"/>
      <c r="B25" s="7" t="s">
        <v>21</v>
      </c>
      <c r="C25" s="8">
        <f t="shared" ref="C25:I25" si="5">SUM(C19:C24)</f>
        <v>111.62</v>
      </c>
      <c r="D25" s="8">
        <f t="shared" si="5"/>
        <v>0.14</v>
      </c>
      <c r="E25" s="8">
        <f t="shared" si="5"/>
        <v>106.32</v>
      </c>
      <c r="F25" s="8">
        <f t="shared" si="5"/>
        <v>3.08</v>
      </c>
      <c r="G25" s="8">
        <f t="shared" si="5"/>
        <v>0.92</v>
      </c>
      <c r="H25" s="8">
        <f t="shared" si="5"/>
        <v>1.16</v>
      </c>
      <c r="I25" s="8">
        <f t="shared" si="5"/>
        <v>0</v>
      </c>
      <c r="J25" s="1"/>
      <c r="K25" s="5" t="s">
        <v>36</v>
      </c>
      <c r="L25" s="6">
        <f t="shared" si="4"/>
        <v>0.12</v>
      </c>
      <c r="M25" s="6"/>
      <c r="N25" s="6"/>
      <c r="O25" s="6"/>
      <c r="P25" s="6">
        <v>0.12</v>
      </c>
      <c r="Q25" s="6"/>
      <c r="R25" s="6"/>
    </row>
    <row r="26" ht="20" customHeight="1" spans="1:18">
      <c r="A26" s="1"/>
      <c r="B26" s="1"/>
      <c r="C26" s="6"/>
      <c r="D26" s="6"/>
      <c r="E26" s="6"/>
      <c r="F26" s="6"/>
      <c r="G26" s="6"/>
      <c r="H26" s="6"/>
      <c r="I26" s="6"/>
      <c r="J26" s="1"/>
      <c r="K26" s="5" t="s">
        <v>37</v>
      </c>
      <c r="L26" s="6">
        <f t="shared" si="4"/>
        <v>42.64</v>
      </c>
      <c r="M26" s="6"/>
      <c r="N26" s="6">
        <v>42.56</v>
      </c>
      <c r="O26" s="6">
        <v>0.08</v>
      </c>
      <c r="P26" s="6"/>
      <c r="Q26" s="6"/>
      <c r="R26" s="6"/>
    </row>
    <row r="27" ht="20" customHeight="1" spans="1:18">
      <c r="A27" s="1"/>
      <c r="B27" s="1"/>
      <c r="C27" s="6"/>
      <c r="D27" s="6"/>
      <c r="E27" s="6"/>
      <c r="F27" s="6"/>
      <c r="G27" s="6"/>
      <c r="H27" s="6"/>
      <c r="I27" s="6"/>
      <c r="J27" s="1"/>
      <c r="K27" s="5" t="s">
        <v>38</v>
      </c>
      <c r="L27" s="6">
        <f t="shared" si="4"/>
        <v>3.68</v>
      </c>
      <c r="M27" s="6"/>
      <c r="N27" s="6">
        <v>3.04</v>
      </c>
      <c r="O27" s="6"/>
      <c r="P27" s="6"/>
      <c r="Q27" s="6"/>
      <c r="R27" s="6">
        <v>0.64</v>
      </c>
    </row>
    <row r="28" ht="20" customHeight="1" spans="1:18">
      <c r="A28" s="1"/>
      <c r="B28" s="1"/>
      <c r="C28" s="6"/>
      <c r="D28" s="6"/>
      <c r="E28" s="6"/>
      <c r="F28" s="6"/>
      <c r="G28" s="6"/>
      <c r="H28" s="6"/>
      <c r="I28" s="6"/>
      <c r="J28" s="1"/>
      <c r="K28" s="5" t="s">
        <v>39</v>
      </c>
      <c r="L28" s="6">
        <f t="shared" si="4"/>
        <v>1.2</v>
      </c>
      <c r="M28" s="6"/>
      <c r="N28" s="6">
        <v>1.2</v>
      </c>
      <c r="O28" s="6"/>
      <c r="P28" s="6"/>
      <c r="Q28" s="6"/>
      <c r="R28" s="6"/>
    </row>
    <row r="29" ht="20" customHeight="1" spans="1:18">
      <c r="A29" s="1"/>
      <c r="B29" s="1"/>
      <c r="C29" s="6"/>
      <c r="D29" s="6"/>
      <c r="E29" s="6"/>
      <c r="F29" s="6"/>
      <c r="G29" s="6"/>
      <c r="H29" s="6"/>
      <c r="I29" s="6"/>
      <c r="J29" s="1"/>
      <c r="K29" s="5" t="s">
        <v>40</v>
      </c>
      <c r="L29" s="6">
        <f t="shared" si="4"/>
        <v>2.36</v>
      </c>
      <c r="M29" s="6"/>
      <c r="N29" s="6">
        <v>1.32</v>
      </c>
      <c r="O29" s="6">
        <v>1.04</v>
      </c>
      <c r="P29" s="6"/>
      <c r="Q29" s="6"/>
      <c r="R29" s="6"/>
    </row>
    <row r="30" ht="20" customHeight="1" spans="1:18">
      <c r="A30" s="1"/>
      <c r="B30" s="1"/>
      <c r="C30" s="6"/>
      <c r="D30" s="6"/>
      <c r="E30" s="6"/>
      <c r="F30" s="6"/>
      <c r="G30" s="6"/>
      <c r="H30" s="6"/>
      <c r="I30" s="6"/>
      <c r="J30" s="1"/>
      <c r="K30" s="5" t="s">
        <v>41</v>
      </c>
      <c r="L30" s="6">
        <f t="shared" si="4"/>
        <v>1.72</v>
      </c>
      <c r="M30" s="6"/>
      <c r="N30" s="6"/>
      <c r="O30" s="6">
        <v>1.72</v>
      </c>
      <c r="P30" s="6"/>
      <c r="Q30" s="6"/>
      <c r="R30" s="6"/>
    </row>
    <row r="31" ht="20" customHeight="1" spans="1:18">
      <c r="A31" s="1"/>
      <c r="B31" s="1"/>
      <c r="C31" s="6"/>
      <c r="D31" s="6"/>
      <c r="E31" s="6"/>
      <c r="F31" s="6"/>
      <c r="G31" s="6"/>
      <c r="H31" s="6"/>
      <c r="I31" s="6"/>
      <c r="J31" s="1"/>
      <c r="K31" s="5" t="s">
        <v>42</v>
      </c>
      <c r="L31" s="6">
        <f t="shared" si="4"/>
        <v>22.92</v>
      </c>
      <c r="M31" s="6">
        <v>0.08</v>
      </c>
      <c r="N31" s="6">
        <v>22.84</v>
      </c>
      <c r="O31" s="6"/>
      <c r="P31" s="6"/>
      <c r="Q31" s="6"/>
      <c r="R31" s="6"/>
    </row>
    <row r="32" ht="20" customHeight="1" spans="1:18">
      <c r="A32" s="1"/>
      <c r="B32" s="1"/>
      <c r="C32" s="6"/>
      <c r="D32" s="6"/>
      <c r="E32" s="6"/>
      <c r="F32" s="6"/>
      <c r="G32" s="6"/>
      <c r="H32" s="6"/>
      <c r="I32" s="6"/>
      <c r="J32" s="1"/>
      <c r="K32" s="5" t="s">
        <v>43</v>
      </c>
      <c r="L32" s="6">
        <f t="shared" si="4"/>
        <v>0.72</v>
      </c>
      <c r="M32" s="6"/>
      <c r="N32" s="6">
        <v>0.72</v>
      </c>
      <c r="O32" s="6"/>
      <c r="P32" s="6"/>
      <c r="Q32" s="6"/>
      <c r="R32" s="6"/>
    </row>
    <row r="33" ht="20" customHeight="1" spans="1:18">
      <c r="A33" s="1"/>
      <c r="B33" s="1"/>
      <c r="C33" s="6"/>
      <c r="D33" s="6"/>
      <c r="E33" s="6"/>
      <c r="F33" s="6"/>
      <c r="G33" s="6"/>
      <c r="H33" s="6"/>
      <c r="I33" s="6"/>
      <c r="J33" s="1"/>
      <c r="K33" s="5" t="s">
        <v>44</v>
      </c>
      <c r="L33" s="6">
        <f t="shared" si="4"/>
        <v>0.36</v>
      </c>
      <c r="M33" s="6"/>
      <c r="N33" s="6">
        <v>0.36</v>
      </c>
      <c r="O33" s="6"/>
      <c r="P33" s="6"/>
      <c r="Q33" s="6"/>
      <c r="R33" s="6"/>
    </row>
    <row r="34" ht="20" customHeight="1" spans="1:18">
      <c r="A34" s="1"/>
      <c r="B34" s="1"/>
      <c r="C34" s="6"/>
      <c r="D34" s="6"/>
      <c r="E34" s="6"/>
      <c r="F34" s="6"/>
      <c r="G34" s="6"/>
      <c r="H34" s="6"/>
      <c r="I34" s="6"/>
      <c r="J34" s="1"/>
      <c r="K34" s="5" t="s">
        <v>45</v>
      </c>
      <c r="L34" s="6">
        <f t="shared" si="4"/>
        <v>0.08</v>
      </c>
      <c r="M34" s="6"/>
      <c r="N34" s="6">
        <v>0.08</v>
      </c>
      <c r="O34" s="6"/>
      <c r="P34" s="6"/>
      <c r="Q34" s="6"/>
      <c r="R34" s="6"/>
    </row>
    <row r="35" ht="20" customHeight="1" spans="1:18">
      <c r="A35" s="1"/>
      <c r="B35" s="1"/>
      <c r="C35" s="6"/>
      <c r="D35" s="6"/>
      <c r="E35" s="6"/>
      <c r="F35" s="6"/>
      <c r="G35" s="6"/>
      <c r="H35" s="6"/>
      <c r="I35" s="6"/>
      <c r="J35" s="1"/>
      <c r="K35" s="5" t="s">
        <v>46</v>
      </c>
      <c r="L35" s="6">
        <f t="shared" si="4"/>
        <v>55.8</v>
      </c>
      <c r="M35" s="6">
        <v>0.04</v>
      </c>
      <c r="N35" s="6">
        <v>55.76</v>
      </c>
      <c r="O35" s="6"/>
      <c r="P35" s="6"/>
      <c r="Q35" s="6"/>
      <c r="R35" s="6"/>
    </row>
    <row r="36" ht="20" customHeight="1" spans="1:18">
      <c r="A36" s="1"/>
      <c r="B36" s="1"/>
      <c r="C36" s="6"/>
      <c r="D36" s="6"/>
      <c r="E36" s="6"/>
      <c r="F36" s="6"/>
      <c r="G36" s="6"/>
      <c r="H36" s="6"/>
      <c r="I36" s="6"/>
      <c r="J36" s="1"/>
      <c r="K36" s="5" t="s">
        <v>47</v>
      </c>
      <c r="L36" s="6">
        <f t="shared" si="4"/>
        <v>62.4</v>
      </c>
      <c r="M36" s="6"/>
      <c r="N36" s="6"/>
      <c r="O36" s="6">
        <v>62.4</v>
      </c>
      <c r="P36" s="6"/>
      <c r="Q36" s="6"/>
      <c r="R36" s="6"/>
    </row>
    <row r="37" ht="20" customHeight="1" spans="1:18">
      <c r="A37" s="1"/>
      <c r="B37" s="1"/>
      <c r="C37" s="6"/>
      <c r="D37" s="6"/>
      <c r="E37" s="6"/>
      <c r="F37" s="6"/>
      <c r="G37" s="6"/>
      <c r="H37" s="6"/>
      <c r="I37" s="6"/>
      <c r="J37" s="1"/>
      <c r="K37" s="5" t="s">
        <v>48</v>
      </c>
      <c r="L37" s="6">
        <f t="shared" si="4"/>
        <v>0.48</v>
      </c>
      <c r="M37" s="6"/>
      <c r="N37" s="6">
        <v>0.28</v>
      </c>
      <c r="O37" s="6">
        <v>0.2</v>
      </c>
      <c r="P37" s="6"/>
      <c r="Q37" s="6"/>
      <c r="R37" s="6"/>
    </row>
    <row r="38" ht="20" customHeight="1" spans="1:18">
      <c r="A38" s="3">
        <v>3</v>
      </c>
      <c r="B38" s="3" t="s">
        <v>49</v>
      </c>
      <c r="C38" s="9"/>
      <c r="D38" s="9"/>
      <c r="E38" s="9"/>
      <c r="F38" s="9"/>
      <c r="G38" s="9"/>
      <c r="H38" s="9"/>
      <c r="I38" s="9"/>
      <c r="J38" s="1"/>
      <c r="K38" s="5" t="s">
        <v>50</v>
      </c>
      <c r="L38" s="6">
        <f t="shared" si="4"/>
        <v>4.88</v>
      </c>
      <c r="M38" s="6"/>
      <c r="N38" s="6">
        <v>4.88</v>
      </c>
      <c r="O38" s="6"/>
      <c r="P38" s="6"/>
      <c r="Q38" s="6"/>
      <c r="R38" s="6"/>
    </row>
    <row r="39" ht="28" customHeight="1" spans="1:18">
      <c r="A39" s="1"/>
      <c r="B39" s="4" t="s">
        <v>4</v>
      </c>
      <c r="C39" s="10" t="s">
        <v>5</v>
      </c>
      <c r="D39" s="10" t="s">
        <v>6</v>
      </c>
      <c r="E39" s="10" t="s">
        <v>7</v>
      </c>
      <c r="F39" s="10" t="s">
        <v>8</v>
      </c>
      <c r="G39" s="10" t="s">
        <v>9</v>
      </c>
      <c r="H39" s="10" t="s">
        <v>10</v>
      </c>
      <c r="I39" s="10" t="s">
        <v>11</v>
      </c>
      <c r="J39" s="1"/>
      <c r="K39" s="5" t="s">
        <v>51</v>
      </c>
      <c r="L39" s="6">
        <f t="shared" si="4"/>
        <v>6.2</v>
      </c>
      <c r="M39" s="6"/>
      <c r="N39" s="6">
        <v>1.76</v>
      </c>
      <c r="O39" s="6">
        <v>3.52</v>
      </c>
      <c r="P39" s="6"/>
      <c r="Q39" s="6">
        <v>0.92</v>
      </c>
      <c r="R39" s="6"/>
    </row>
    <row r="40" ht="20" customHeight="1" spans="1:18">
      <c r="A40" s="1"/>
      <c r="B40" s="11" t="s">
        <v>52</v>
      </c>
      <c r="C40" s="6">
        <f t="shared" ref="C40:C46" si="6">SUM(D40:I40)</f>
        <v>9.44</v>
      </c>
      <c r="D40" s="6"/>
      <c r="E40" s="6">
        <v>9.44</v>
      </c>
      <c r="F40" s="6"/>
      <c r="G40" s="6"/>
      <c r="H40" s="6"/>
      <c r="I40" s="6"/>
      <c r="J40" s="1"/>
      <c r="K40" s="5" t="s">
        <v>53</v>
      </c>
      <c r="L40" s="6">
        <f t="shared" si="4"/>
        <v>3.4</v>
      </c>
      <c r="M40" s="6"/>
      <c r="N40" s="6">
        <v>3.4</v>
      </c>
      <c r="O40" s="6"/>
      <c r="P40" s="6"/>
      <c r="Q40" s="6"/>
      <c r="R40" s="6"/>
    </row>
    <row r="41" ht="20" customHeight="1" spans="1:18">
      <c r="A41" s="1"/>
      <c r="B41" s="1" t="s">
        <v>54</v>
      </c>
      <c r="C41" s="6">
        <f t="shared" si="6"/>
        <v>1.28</v>
      </c>
      <c r="D41" s="6"/>
      <c r="E41" s="6">
        <v>1.28</v>
      </c>
      <c r="F41" s="6"/>
      <c r="G41" s="6"/>
      <c r="H41" s="6"/>
      <c r="I41" s="6"/>
      <c r="J41" s="1"/>
      <c r="K41" s="12" t="s">
        <v>55</v>
      </c>
      <c r="L41" s="6">
        <f t="shared" si="4"/>
        <v>0.92</v>
      </c>
      <c r="M41" s="6"/>
      <c r="N41" s="6">
        <v>0.92</v>
      </c>
      <c r="O41" s="6"/>
      <c r="P41" s="6"/>
      <c r="Q41" s="6"/>
      <c r="R41" s="6"/>
    </row>
    <row r="42" ht="20" customHeight="1" spans="1:18">
      <c r="A42" s="1"/>
      <c r="B42" s="1" t="s">
        <v>56</v>
      </c>
      <c r="C42" s="6">
        <f t="shared" si="6"/>
        <v>7.92</v>
      </c>
      <c r="D42" s="6"/>
      <c r="E42" s="6">
        <v>7.92</v>
      </c>
      <c r="F42" s="6"/>
      <c r="G42" s="6"/>
      <c r="H42" s="6"/>
      <c r="I42" s="6"/>
      <c r="J42" s="1"/>
      <c r="K42" s="5" t="s">
        <v>57</v>
      </c>
      <c r="L42" s="6">
        <f t="shared" si="4"/>
        <v>13.88</v>
      </c>
      <c r="M42" s="6"/>
      <c r="N42" s="6">
        <v>13.88</v>
      </c>
      <c r="O42" s="6"/>
      <c r="P42" s="6"/>
      <c r="Q42" s="6"/>
      <c r="R42" s="6"/>
    </row>
    <row r="43" ht="20" customHeight="1" spans="1:18">
      <c r="A43" s="1"/>
      <c r="B43" s="1" t="s">
        <v>58</v>
      </c>
      <c r="C43" s="6">
        <f t="shared" si="6"/>
        <v>31.2</v>
      </c>
      <c r="D43" s="6"/>
      <c r="E43" s="6">
        <v>31.2</v>
      </c>
      <c r="F43" s="6"/>
      <c r="G43" s="6"/>
      <c r="H43" s="6"/>
      <c r="I43" s="6"/>
      <c r="J43" s="1"/>
      <c r="K43" s="5" t="s">
        <v>59</v>
      </c>
      <c r="L43" s="6">
        <f t="shared" si="4"/>
        <v>21.48</v>
      </c>
      <c r="M43" s="6"/>
      <c r="N43" s="6">
        <v>21.48</v>
      </c>
      <c r="O43" s="6"/>
      <c r="P43" s="6"/>
      <c r="Q43" s="6"/>
      <c r="R43" s="6"/>
    </row>
    <row r="44" ht="20" customHeight="1" spans="1:18">
      <c r="A44" s="1"/>
      <c r="B44" s="1" t="s">
        <v>60</v>
      </c>
      <c r="C44" s="6">
        <f t="shared" si="6"/>
        <v>10.84</v>
      </c>
      <c r="D44" s="6"/>
      <c r="E44" s="6">
        <v>10.84</v>
      </c>
      <c r="F44" s="6"/>
      <c r="G44" s="6"/>
      <c r="H44" s="6"/>
      <c r="I44" s="6"/>
      <c r="J44" s="1"/>
      <c r="K44" s="5" t="s">
        <v>61</v>
      </c>
      <c r="L44" s="6">
        <f t="shared" si="4"/>
        <v>15.6</v>
      </c>
      <c r="M44" s="6"/>
      <c r="N44" s="6">
        <v>15.6</v>
      </c>
      <c r="O44" s="6"/>
      <c r="P44" s="6"/>
      <c r="Q44" s="6"/>
      <c r="R44" s="6"/>
    </row>
    <row r="45" ht="20" customHeight="1" spans="1:18">
      <c r="A45" s="1"/>
      <c r="B45" s="1" t="s">
        <v>62</v>
      </c>
      <c r="C45" s="6">
        <f t="shared" si="6"/>
        <v>1.16</v>
      </c>
      <c r="D45" s="6"/>
      <c r="E45" s="6"/>
      <c r="F45" s="6">
        <v>1.16</v>
      </c>
      <c r="G45" s="6"/>
      <c r="H45" s="6"/>
      <c r="I45" s="6"/>
      <c r="J45" s="1"/>
      <c r="K45" s="5" t="s">
        <v>63</v>
      </c>
      <c r="L45" s="6">
        <f t="shared" si="4"/>
        <v>73.2</v>
      </c>
      <c r="M45" s="6"/>
      <c r="N45" s="6">
        <v>73.2</v>
      </c>
      <c r="O45" s="6"/>
      <c r="P45" s="6"/>
      <c r="Q45" s="6"/>
      <c r="R45" s="6"/>
    </row>
    <row r="46" ht="20" customHeight="1" spans="1:18">
      <c r="A46" s="1"/>
      <c r="B46" s="1" t="s">
        <v>64</v>
      </c>
      <c r="C46" s="6">
        <f t="shared" si="6"/>
        <v>6.32</v>
      </c>
      <c r="D46" s="6"/>
      <c r="E46" s="6">
        <v>5.68</v>
      </c>
      <c r="F46" s="6">
        <v>0.64</v>
      </c>
      <c r="G46" s="6"/>
      <c r="H46" s="6"/>
      <c r="I46" s="6"/>
      <c r="J46" s="1"/>
      <c r="K46" s="5" t="s">
        <v>65</v>
      </c>
      <c r="L46" s="6">
        <f t="shared" si="4"/>
        <v>2.08</v>
      </c>
      <c r="M46" s="6"/>
      <c r="N46" s="6">
        <v>2.08</v>
      </c>
      <c r="O46" s="6"/>
      <c r="P46" s="6"/>
      <c r="Q46" s="6"/>
      <c r="R46" s="6"/>
    </row>
    <row r="47" ht="20" customHeight="1" spans="1:18">
      <c r="A47" s="1"/>
      <c r="B47" s="1"/>
      <c r="C47" s="6"/>
      <c r="D47" s="6"/>
      <c r="E47" s="6"/>
      <c r="F47" s="6"/>
      <c r="G47" s="6"/>
      <c r="H47" s="6"/>
      <c r="I47" s="6"/>
      <c r="J47" s="1"/>
      <c r="K47" s="5" t="s">
        <v>66</v>
      </c>
      <c r="L47" s="6">
        <f t="shared" si="4"/>
        <v>15.08</v>
      </c>
      <c r="M47" s="6"/>
      <c r="N47" s="6">
        <v>14.96</v>
      </c>
      <c r="O47" s="6">
        <v>0.12</v>
      </c>
      <c r="P47" s="6"/>
      <c r="Q47" s="6"/>
      <c r="R47" s="6"/>
    </row>
    <row r="48" ht="20" customHeight="1" spans="1:18">
      <c r="A48" s="1"/>
      <c r="B48" s="1"/>
      <c r="C48" s="6"/>
      <c r="D48" s="6"/>
      <c r="E48" s="6"/>
      <c r="F48" s="6"/>
      <c r="G48" s="6"/>
      <c r="H48" s="6"/>
      <c r="I48" s="6"/>
      <c r="J48" s="1"/>
      <c r="K48" s="5" t="s">
        <v>67</v>
      </c>
      <c r="L48" s="6">
        <f t="shared" si="4"/>
        <v>8.76</v>
      </c>
      <c r="M48" s="6"/>
      <c r="N48" s="6">
        <v>8.76</v>
      </c>
      <c r="O48" s="6"/>
      <c r="P48" s="6"/>
      <c r="Q48" s="6"/>
      <c r="R48" s="6"/>
    </row>
    <row r="49" ht="20" customHeight="1" spans="1:18">
      <c r="A49" s="1"/>
      <c r="B49" s="1"/>
      <c r="C49" s="6"/>
      <c r="D49" s="6"/>
      <c r="E49" s="6"/>
      <c r="F49" s="6"/>
      <c r="G49" s="6"/>
      <c r="H49" s="6"/>
      <c r="I49" s="6"/>
      <c r="J49" s="1"/>
      <c r="K49" s="5" t="s">
        <v>68</v>
      </c>
      <c r="L49" s="6">
        <f t="shared" si="4"/>
        <v>2.24</v>
      </c>
      <c r="M49" s="6"/>
      <c r="N49" s="6">
        <v>2.24</v>
      </c>
      <c r="O49" s="6"/>
      <c r="P49" s="6"/>
      <c r="Q49" s="6"/>
      <c r="R49" s="6"/>
    </row>
    <row r="50" ht="20" customHeight="1" spans="1:18">
      <c r="A50" s="1"/>
      <c r="B50" s="1"/>
      <c r="C50" s="6"/>
      <c r="D50" s="6"/>
      <c r="E50" s="6"/>
      <c r="F50" s="6"/>
      <c r="G50" s="6"/>
      <c r="H50" s="6"/>
      <c r="I50" s="6"/>
      <c r="J50" s="1"/>
      <c r="K50" s="5" t="s">
        <v>69</v>
      </c>
      <c r="L50" s="6">
        <f t="shared" si="4"/>
        <v>3.36</v>
      </c>
      <c r="M50" s="6"/>
      <c r="N50" s="6"/>
      <c r="O50" s="6">
        <v>3.36</v>
      </c>
      <c r="P50" s="6"/>
      <c r="Q50" s="6"/>
      <c r="R50" s="6"/>
    </row>
    <row r="51" ht="20" customHeight="1" spans="1:18">
      <c r="A51" s="1"/>
      <c r="B51" s="1"/>
      <c r="C51" s="6"/>
      <c r="D51" s="6"/>
      <c r="E51" s="6"/>
      <c r="F51" s="6"/>
      <c r="G51" s="6"/>
      <c r="H51" s="6"/>
      <c r="I51" s="6"/>
      <c r="J51" s="1"/>
      <c r="K51" s="5" t="s">
        <v>70</v>
      </c>
      <c r="L51" s="6">
        <f t="shared" si="4"/>
        <v>0.68</v>
      </c>
      <c r="M51" s="6"/>
      <c r="N51" s="6">
        <v>0.68</v>
      </c>
      <c r="O51" s="6"/>
      <c r="P51" s="6"/>
      <c r="Q51" s="6"/>
      <c r="R51" s="6"/>
    </row>
    <row r="52" ht="20" customHeight="1" spans="1:18">
      <c r="A52" s="1"/>
      <c r="B52" s="1"/>
      <c r="C52" s="6"/>
      <c r="D52" s="6"/>
      <c r="E52" s="6"/>
      <c r="F52" s="6"/>
      <c r="G52" s="6"/>
      <c r="H52" s="6"/>
      <c r="I52" s="6"/>
      <c r="J52" s="1"/>
      <c r="K52" s="5" t="s">
        <v>71</v>
      </c>
      <c r="L52" s="6">
        <f t="shared" si="4"/>
        <v>2.06</v>
      </c>
      <c r="M52" s="6"/>
      <c r="N52" s="6">
        <v>1.88</v>
      </c>
      <c r="O52" s="6">
        <v>0.18</v>
      </c>
      <c r="P52" s="6"/>
      <c r="Q52" s="6"/>
      <c r="R52" s="6"/>
    </row>
    <row r="53" ht="20" customHeight="1" spans="1:18">
      <c r="A53" s="1"/>
      <c r="B53" s="1"/>
      <c r="C53" s="6"/>
      <c r="D53" s="6"/>
      <c r="E53" s="6"/>
      <c r="F53" s="6"/>
      <c r="G53" s="6"/>
      <c r="H53" s="6"/>
      <c r="I53" s="6"/>
      <c r="J53" s="1"/>
      <c r="K53" s="5" t="s">
        <v>72</v>
      </c>
      <c r="L53" s="6">
        <f t="shared" si="4"/>
        <v>0.56</v>
      </c>
      <c r="M53" s="6"/>
      <c r="N53" s="6">
        <v>0.56</v>
      </c>
      <c r="O53" s="6"/>
      <c r="P53" s="6"/>
      <c r="Q53" s="6"/>
      <c r="R53" s="6"/>
    </row>
    <row r="54" ht="20" customHeight="1" spans="1:18">
      <c r="A54" s="1"/>
      <c r="B54" s="1"/>
      <c r="C54" s="6"/>
      <c r="D54" s="6"/>
      <c r="E54" s="6"/>
      <c r="F54" s="6"/>
      <c r="G54" s="6"/>
      <c r="H54" s="6"/>
      <c r="I54" s="6"/>
      <c r="J54" s="1"/>
      <c r="K54" s="7" t="s">
        <v>21</v>
      </c>
      <c r="L54" s="8">
        <f t="shared" ref="L54:R54" si="7">SUM(L19:L53)</f>
        <v>383.88</v>
      </c>
      <c r="M54" s="8">
        <f t="shared" si="7"/>
        <v>0.12</v>
      </c>
      <c r="N54" s="8">
        <f t="shared" si="7"/>
        <v>308.2</v>
      </c>
      <c r="O54" s="8">
        <f t="shared" si="7"/>
        <v>72.62</v>
      </c>
      <c r="P54" s="8">
        <f t="shared" si="7"/>
        <v>0.12</v>
      </c>
      <c r="Q54" s="8">
        <f t="shared" si="7"/>
        <v>2.18</v>
      </c>
      <c r="R54" s="8">
        <f t="shared" si="7"/>
        <v>0.64</v>
      </c>
    </row>
    <row r="55" ht="20" customHeight="1" spans="1:18">
      <c r="A55" s="1"/>
      <c r="B55" s="1"/>
      <c r="C55" s="6"/>
      <c r="D55" s="6"/>
      <c r="E55" s="6"/>
      <c r="F55" s="6"/>
      <c r="G55" s="6"/>
      <c r="H55" s="6"/>
      <c r="I55" s="6"/>
      <c r="J55" s="1"/>
      <c r="K55" s="1"/>
      <c r="L55" s="6"/>
      <c r="M55" s="6"/>
      <c r="N55" s="6"/>
      <c r="O55" s="6"/>
      <c r="P55" s="6"/>
      <c r="Q55" s="6"/>
      <c r="R55" s="6"/>
    </row>
    <row r="56" ht="20" customHeight="1" spans="1:18">
      <c r="A56" s="1"/>
      <c r="B56" s="1"/>
      <c r="C56" s="6"/>
      <c r="D56" s="6"/>
      <c r="E56" s="6"/>
      <c r="F56" s="6"/>
      <c r="G56" s="6"/>
      <c r="H56" s="6"/>
      <c r="I56" s="6"/>
      <c r="J56" s="1"/>
      <c r="K56" s="1"/>
      <c r="L56" s="6"/>
      <c r="M56" s="6"/>
      <c r="N56" s="6"/>
      <c r="O56" s="6"/>
      <c r="P56" s="6"/>
      <c r="Q56" s="6"/>
      <c r="R56" s="6"/>
    </row>
    <row r="57" ht="20" customHeight="1" spans="1:18">
      <c r="A57" s="1"/>
      <c r="B57" s="7" t="s">
        <v>21</v>
      </c>
      <c r="C57" s="8">
        <f t="shared" ref="C57:I57" si="8">SUM(C40:C46)</f>
        <v>68.16</v>
      </c>
      <c r="D57" s="8">
        <f t="shared" si="8"/>
        <v>0</v>
      </c>
      <c r="E57" s="8">
        <f t="shared" si="8"/>
        <v>66.36</v>
      </c>
      <c r="F57" s="8">
        <f t="shared" si="8"/>
        <v>1.8</v>
      </c>
      <c r="G57" s="8">
        <f t="shared" si="8"/>
        <v>0</v>
      </c>
      <c r="H57" s="8">
        <f t="shared" si="8"/>
        <v>0</v>
      </c>
      <c r="I57" s="8">
        <f t="shared" si="8"/>
        <v>0</v>
      </c>
      <c r="J57" s="1"/>
      <c r="K57" s="13" t="s">
        <v>73</v>
      </c>
      <c r="L57" s="14">
        <f>C12+L12+C25+L54+C57</f>
        <v>739.96</v>
      </c>
      <c r="M57" s="6"/>
      <c r="N57" s="6"/>
      <c r="O57" s="6"/>
      <c r="P57" s="6"/>
      <c r="Q57" s="6"/>
      <c r="R57" s="6"/>
    </row>
    <row r="58" ht="20" customHeight="1" spans="1:1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 t="s">
        <v>74</v>
      </c>
      <c r="Q58" s="1"/>
      <c r="R58" s="1"/>
    </row>
  </sheetData>
  <mergeCells count="1">
    <mergeCell ref="B1:R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/>
</file>