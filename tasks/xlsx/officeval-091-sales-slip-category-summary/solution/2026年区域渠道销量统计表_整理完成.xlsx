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12月" sheetId="1" state="visible" r:id="rId1"/>
    <sheet xmlns:r="http://schemas.openxmlformats.org/officeDocument/2006/relationships" name="客户分类汇总" sheetId="2" state="visible" r:id="rId2"/>
  </sheets>
  <definedNames>
    <definedName name="_xlnm._FilterDatabase" localSheetId="1" hidden="1">'客户分类汇总'!$A$4:$H$61</definedName>
    <definedName name="_xlnm.Print_Titles" localSheetId="1">'客户分类汇总'!$1:$4</definedName>
    <definedName name="_xlnm.Print_Area" localSheetId="1">'客户分类汇总'!$A$1:$H$62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3">
    <font>
      <name val="Carlito"/>
      <charset val="134"/>
      <sz val="11"/>
    </font>
    <font>
      <name val="Carlito"/>
      <charset val="134"/>
      <b val="1"/>
      <color rgb="FFFFFFFF"/>
      <sz val="15"/>
    </font>
    <font>
      <name val="Carlito"/>
      <charset val="134"/>
      <b val="1"/>
      <color rgb="FFFFFFFF"/>
      <sz val="11"/>
    </font>
    <font>
      <name val="Carlito"/>
      <charset val="134"/>
      <b val="1"/>
      <color rgb="FF1F1F1F"/>
      <sz val="11"/>
    </font>
    <font>
      <name val="Carlito"/>
      <charset val="134"/>
      <b val="1"/>
      <sz val="11"/>
    </font>
    <font>
      <name val="Arial"/>
      <charset val="134"/>
      <color rgb="FF000000"/>
      <sz val="12"/>
    </font>
    <font>
      <name val="宋体"/>
      <charset val="134"/>
      <sz val="11"/>
    </font>
    <font>
      <name val="Carlito"/>
      <charset val="134"/>
      <b val="1"/>
      <color rgb="FF7F3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04040"/>
      <sz val="10"/>
    </font>
    <font>
      <name val="微软雅黑"/>
      <b val="1"/>
      <color rgb="00FFFFFF"/>
      <sz val="10"/>
    </font>
    <font>
      <name val="微软雅黑"/>
      <color rgb="00000000"/>
      <sz val="9.5"/>
    </font>
    <font>
      <name val="微软雅黑"/>
      <b val="1"/>
      <color rgb="00000000"/>
      <sz val="10"/>
    </font>
  </fonts>
  <fills count="43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F7FBFF"/>
      </patternFill>
    </fill>
    <fill>
      <patternFill patternType="solid">
        <fgColor rgb="00E2F0D9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0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7" borderId="1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" applyAlignment="1">
      <alignment vertical="center"/>
    </xf>
    <xf numFmtId="0" fontId="15" fillId="0" borderId="2" applyAlignment="1">
      <alignment vertical="center"/>
    </xf>
    <xf numFmtId="0" fontId="16" fillId="0" borderId="3" applyAlignment="1">
      <alignment vertical="center"/>
    </xf>
    <xf numFmtId="0" fontId="16" fillId="0" borderId="0" applyAlignment="1">
      <alignment vertical="center"/>
    </xf>
    <xf numFmtId="0" fontId="17" fillId="8" borderId="4" applyAlignment="1">
      <alignment vertical="center"/>
    </xf>
    <xf numFmtId="0" fontId="18" fillId="9" borderId="5" applyAlignment="1">
      <alignment vertical="center"/>
    </xf>
    <xf numFmtId="0" fontId="19" fillId="9" borderId="4" applyAlignment="1">
      <alignment vertical="center"/>
    </xf>
    <xf numFmtId="0" fontId="20" fillId="10" borderId="6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6" fillId="37" borderId="0" applyAlignment="1">
      <alignment vertical="center"/>
    </xf>
    <xf numFmtId="0" fontId="0" fillId="0" borderId="0"/>
  </cellStyleXfs>
  <cellXfs count="25">
    <xf numFmtId="0" fontId="0" fillId="0" borderId="0" pivotButton="0" quotePrefix="0" xfId="49"/>
    <xf numFmtId="0" fontId="0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horizontal="center" vertical="center" wrapText="1"/>
    </xf>
    <xf numFmtId="0" fontId="2" fillId="3" borderId="0" applyAlignment="1" pivotButton="0" quotePrefix="0" xfId="49">
      <alignment horizontal="center" vertical="center" wrapText="1"/>
    </xf>
    <xf numFmtId="0" fontId="3" fillId="4" borderId="0" applyAlignment="1" pivotButton="0" quotePrefix="0" xfId="49">
      <alignment horizontal="center" vertical="center" wrapText="1"/>
    </xf>
    <xf numFmtId="0" fontId="0" fillId="0" borderId="0" applyAlignment="1" pivotButton="0" quotePrefix="0" xfId="49">
      <alignment horizontal="center" vertical="center" wrapText="1"/>
    </xf>
    <xf numFmtId="2" fontId="0" fillId="0" borderId="0" applyAlignment="1" pivotButton="0" quotePrefix="0" xfId="49">
      <alignment vertical="center" wrapText="1"/>
    </xf>
    <xf numFmtId="0" fontId="4" fillId="5" borderId="0" applyAlignment="1" pivotButton="0" quotePrefix="0" xfId="49">
      <alignment horizontal="center" vertical="center" wrapText="1"/>
    </xf>
    <xf numFmtId="2" fontId="4" fillId="5" borderId="0" applyAlignment="1" pivotButton="0" quotePrefix="0" xfId="49">
      <alignment horizontal="center" vertical="center" wrapText="1"/>
    </xf>
    <xf numFmtId="2" fontId="2" fillId="3" borderId="0" applyAlignment="1" pivotButton="0" quotePrefix="0" xfId="49">
      <alignment horizontal="center" vertical="center" wrapText="1"/>
    </xf>
    <xf numFmtId="2" fontId="3" fillId="4" borderId="0" applyAlignment="1" pivotButton="0" quotePrefix="0" xfId="49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49">
      <alignment horizontal="center" vertical="center" wrapText="1"/>
    </xf>
    <xf numFmtId="0" fontId="7" fillId="6" borderId="0" applyAlignment="1" pivotButton="0" quotePrefix="0" xfId="49">
      <alignment horizontal="center" vertical="center" wrapText="1"/>
    </xf>
    <xf numFmtId="2" fontId="7" fillId="6" borderId="0" applyAlignment="1" pivotButton="0" quotePrefix="0" xfId="49">
      <alignment horizontal="center" vertical="center" wrapText="1"/>
    </xf>
    <xf numFmtId="0" fontId="0" fillId="0" borderId="0" pivotButton="0" quotePrefix="0" xfId="0"/>
    <xf numFmtId="0" fontId="28" fillId="38" borderId="0" applyAlignment="1" pivotButton="0" quotePrefix="0" xfId="0">
      <alignment horizontal="center" vertical="center"/>
    </xf>
    <xf numFmtId="0" fontId="29" fillId="39" borderId="0" applyAlignment="1" pivotButton="0" quotePrefix="0" xfId="0">
      <alignment horizontal="left" vertical="center" wrapText="1"/>
    </xf>
    <xf numFmtId="0" fontId="30" fillId="40" borderId="9" applyAlignment="1" pivotButton="0" quotePrefix="0" xfId="0">
      <alignment horizontal="center" vertical="center" wrapText="1"/>
    </xf>
    <xf numFmtId="0" fontId="31" fillId="0" borderId="9" applyAlignment="1" pivotButton="0" quotePrefix="0" xfId="0">
      <alignment horizontal="left" vertical="center"/>
    </xf>
    <xf numFmtId="2" fontId="31" fillId="0" borderId="9" applyAlignment="1" pivotButton="0" quotePrefix="0" xfId="0">
      <alignment horizontal="right" vertical="center"/>
    </xf>
    <xf numFmtId="0" fontId="31" fillId="41" borderId="9" applyAlignment="1" pivotButton="0" quotePrefix="0" xfId="0">
      <alignment horizontal="left" vertical="center"/>
    </xf>
    <xf numFmtId="2" fontId="31" fillId="41" borderId="9" applyAlignment="1" pivotButton="0" quotePrefix="0" xfId="0">
      <alignment horizontal="right" vertical="center"/>
    </xf>
    <xf numFmtId="0" fontId="32" fillId="42" borderId="9" applyAlignment="1" pivotButton="0" quotePrefix="0" xfId="0">
      <alignment horizontal="left" vertical="center"/>
    </xf>
    <xf numFmtId="2" fontId="32" fillId="42" borderId="9" applyAlignment="1" pivotButton="0" quotePrefix="0" xfId="0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tabSelected="1" topLeftCell="A26" workbookViewId="0">
      <selection activeCell="K43" sqref="K43"/>
    </sheetView>
  </sheetViews>
  <sheetFormatPr baseColWidth="8" defaultColWidth="9" defaultRowHeight="14.25"/>
  <cols>
    <col width="6" customWidth="1" style="15" min="1" max="1"/>
    <col width="22" customWidth="1" style="15" min="2" max="2"/>
    <col width="11" customWidth="1" style="15" min="3" max="3"/>
    <col width="12" customWidth="1" style="15" min="4" max="9"/>
    <col width="6" customWidth="1" style="15" min="10" max="10"/>
    <col width="22" customWidth="1" style="15" min="11" max="11"/>
    <col width="11" customWidth="1" style="15" min="12" max="12"/>
    <col width="12" customWidth="1" style="15" min="13" max="18"/>
  </cols>
  <sheetData>
    <row r="1" ht="30" customHeight="1" s="15">
      <c r="A1" s="1" t="n"/>
      <c r="B1" s="2" t="inlineStr">
        <is>
          <t>2026年12月份区域渠道销量统计表</t>
        </is>
      </c>
    </row>
    <row r="2" ht="20" customHeight="1" s="15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0" customHeight="1" s="15">
      <c r="A3" s="3" t="n">
        <v>1</v>
      </c>
      <c r="B3" s="3" t="inlineStr">
        <is>
          <t>东湾渠道一组</t>
        </is>
      </c>
      <c r="C3" s="3" t="n"/>
      <c r="D3" s="3" t="inlineStr">
        <is>
          <t>乳猪料</t>
        </is>
      </c>
      <c r="E3" s="3" t="n"/>
      <c r="F3" s="3" t="n"/>
      <c r="G3" s="3" t="n"/>
      <c r="H3" s="3" t="n"/>
      <c r="I3" s="3" t="n"/>
      <c r="J3" s="3" t="n">
        <v>4</v>
      </c>
      <c r="K3" s="3" t="inlineStr">
        <is>
          <t>北岭养殖服务组</t>
        </is>
      </c>
      <c r="L3" s="3" t="n"/>
      <c r="M3" s="3" t="inlineStr">
        <is>
          <t>乳猪料</t>
        </is>
      </c>
      <c r="N3" s="3" t="n"/>
      <c r="O3" s="3" t="n"/>
      <c r="P3" s="3" t="n"/>
      <c r="Q3" s="3" t="n"/>
      <c r="R3" s="3" t="n"/>
    </row>
    <row r="4" ht="28" customHeight="1" s="15">
      <c r="A4" s="1" t="n"/>
      <c r="B4" s="4" t="inlineStr">
        <is>
          <t>客户</t>
        </is>
      </c>
      <c r="C4" s="4" t="inlineStr">
        <is>
          <t>数量(吨)</t>
        </is>
      </c>
      <c r="D4" s="4" t="inlineStr">
        <is>
          <t>开口料</t>
        </is>
      </c>
      <c r="E4" s="4" t="inlineStr">
        <is>
          <t>保育/育肥料</t>
        </is>
      </c>
      <c r="F4" s="4" t="inlineStr">
        <is>
          <t>蛋禽料</t>
        </is>
      </c>
      <c r="G4" s="4" t="inlineStr">
        <is>
          <t>水禽料</t>
        </is>
      </c>
      <c r="H4" s="4" t="inlineStr">
        <is>
          <t>沉水鱼料</t>
        </is>
      </c>
      <c r="I4" s="4" t="inlineStr">
        <is>
          <t>浮水鱼料</t>
        </is>
      </c>
      <c r="J4" s="1" t="n"/>
      <c r="K4" s="4" t="inlineStr">
        <is>
          <t>客户</t>
        </is>
      </c>
      <c r="L4" s="4" t="inlineStr">
        <is>
          <t>数量(吨)</t>
        </is>
      </c>
      <c r="M4" s="4" t="inlineStr">
        <is>
          <t>开口料</t>
        </is>
      </c>
      <c r="N4" s="4" t="inlineStr">
        <is>
          <t>保育/育肥料</t>
        </is>
      </c>
      <c r="O4" s="4" t="inlineStr">
        <is>
          <t>蛋禽料</t>
        </is>
      </c>
      <c r="P4" s="4" t="inlineStr">
        <is>
          <t>水禽料</t>
        </is>
      </c>
      <c r="Q4" s="4" t="inlineStr">
        <is>
          <t>沉水鱼料</t>
        </is>
      </c>
      <c r="R4" s="4" t="inlineStr">
        <is>
          <t>浮水鱼料</t>
        </is>
      </c>
    </row>
    <row r="5" ht="20" customHeight="1" s="15">
      <c r="A5" s="1" t="n"/>
      <c r="B5" s="5" t="inlineStr">
        <is>
          <t>暮野生态养殖场</t>
        </is>
      </c>
      <c r="C5" s="6">
        <f>SUM(D5:I5)</f>
        <v/>
      </c>
      <c r="D5" s="6" t="n"/>
      <c r="E5" s="6" t="n">
        <v>78.42</v>
      </c>
      <c r="F5" s="6" t="n">
        <v>5.16</v>
      </c>
      <c r="G5" s="6" t="n"/>
      <c r="H5" s="6" t="n">
        <v>1.24</v>
      </c>
      <c r="I5" s="6" t="n"/>
      <c r="J5" s="1" t="n"/>
      <c r="K5" s="5" t="inlineStr">
        <is>
          <t>芜畴联合养殖场</t>
        </is>
      </c>
      <c r="L5" s="6">
        <f>SUM(M5:R5)</f>
        <v/>
      </c>
      <c r="M5" s="6" t="n"/>
      <c r="N5" s="6" t="n">
        <v>24.6</v>
      </c>
      <c r="O5" s="6" t="n"/>
      <c r="P5" s="6" t="n"/>
      <c r="Q5" s="6" t="n"/>
      <c r="R5" s="6" t="n"/>
    </row>
    <row r="6" ht="20" customHeight="1" s="15">
      <c r="A6" s="1" t="n"/>
      <c r="B6" s="5" t="inlineStr">
        <is>
          <t>苍樾农牧合作社</t>
        </is>
      </c>
      <c r="C6" s="6">
        <f>SUM(D6:I6)</f>
        <v/>
      </c>
      <c r="D6" s="6" t="n"/>
      <c r="E6" s="6" t="n">
        <v>21.36</v>
      </c>
      <c r="F6" s="6" t="n"/>
      <c r="G6" s="6" t="n"/>
      <c r="H6" s="6" t="n"/>
      <c r="I6" s="6" t="n"/>
      <c r="J6" s="1" t="n"/>
      <c r="K6" s="5" t="inlineStr">
        <is>
          <t>沧隅牧业合作社</t>
        </is>
      </c>
      <c r="L6" s="6">
        <f>SUM(M6:R6)</f>
        <v/>
      </c>
      <c r="M6" s="6" t="n"/>
      <c r="N6" s="6" t="n">
        <v>3.12</v>
      </c>
      <c r="O6" s="6" t="n"/>
      <c r="P6" s="6" t="n"/>
      <c r="Q6" s="6" t="n"/>
      <c r="R6" s="6" t="n"/>
    </row>
    <row r="7" ht="20" customHeight="1" s="15">
      <c r="A7" s="1" t="n"/>
      <c r="B7" s="5" t="inlineStr">
        <is>
          <t>泠泽家庭农场</t>
        </is>
      </c>
      <c r="C7" s="6">
        <f>SUM(D7:I7)</f>
        <v/>
      </c>
      <c r="D7" s="6" t="n"/>
      <c r="E7" s="6" t="n">
        <v>8.119999999999999</v>
      </c>
      <c r="F7" s="6" t="n"/>
      <c r="G7" s="6" t="n"/>
      <c r="H7" s="6" t="n"/>
      <c r="I7" s="6" t="n"/>
      <c r="J7" s="1" t="n"/>
      <c r="K7" s="5" t="inlineStr">
        <is>
          <t>汀沿饲养中心</t>
        </is>
      </c>
      <c r="L7" s="6">
        <f>SUM(M7:R7)</f>
        <v/>
      </c>
      <c r="M7" s="6" t="n"/>
      <c r="N7" s="6" t="n">
        <v>1.68</v>
      </c>
      <c r="O7" s="6" t="n"/>
      <c r="P7" s="6" t="n"/>
      <c r="Q7" s="6" t="n"/>
      <c r="R7" s="6" t="n"/>
    </row>
    <row r="8" ht="20" customHeight="1" s="15">
      <c r="A8" s="1" t="n"/>
      <c r="B8" s="5" t="inlineStr">
        <is>
          <t>芪牧饲养基地</t>
        </is>
      </c>
      <c r="C8" s="6">
        <f>SUM(D8:I8)</f>
        <v/>
      </c>
      <c r="D8" s="6" t="n"/>
      <c r="E8" s="6" t="n"/>
      <c r="F8" s="6" t="n">
        <v>14.84</v>
      </c>
      <c r="G8" s="6" t="n"/>
      <c r="H8" s="6" t="n"/>
      <c r="I8" s="6" t="n"/>
      <c r="J8" s="1" t="n"/>
      <c r="K8" s="1" t="n"/>
      <c r="L8" s="6" t="n"/>
      <c r="M8" s="6" t="n"/>
      <c r="N8" s="6" t="n"/>
      <c r="O8" s="6" t="n"/>
      <c r="P8" s="6" t="n"/>
      <c r="Q8" s="6" t="n"/>
      <c r="R8" s="6" t="n"/>
    </row>
    <row r="9" ht="20" customHeight="1" s="15">
      <c r="A9" s="1" t="n"/>
      <c r="B9" s="5" t="inlineStr">
        <is>
          <t>槿谷养殖点</t>
        </is>
      </c>
      <c r="C9" s="6">
        <f>SUM(D9:I9)</f>
        <v/>
      </c>
      <c r="D9" s="6" t="n"/>
      <c r="E9" s="6" t="n">
        <v>6.48</v>
      </c>
      <c r="F9" s="6" t="n"/>
      <c r="G9" s="6" t="n"/>
      <c r="H9" s="6" t="n"/>
      <c r="I9" s="6" t="n"/>
      <c r="J9" s="1" t="n"/>
      <c r="K9" s="1" t="n"/>
      <c r="L9" s="6" t="n"/>
      <c r="M9" s="6" t="n"/>
      <c r="N9" s="6" t="n"/>
      <c r="O9" s="6" t="n"/>
      <c r="P9" s="6" t="n"/>
      <c r="Q9" s="6" t="n"/>
      <c r="R9" s="6" t="n"/>
    </row>
    <row r="10" ht="20" customHeight="1" s="15">
      <c r="A10" s="1" t="n"/>
      <c r="B10" s="5" t="inlineStr">
        <is>
          <t>砚滨牧业服务站</t>
        </is>
      </c>
      <c r="C10" s="6">
        <f>SUM(D10:I10)</f>
        <v/>
      </c>
      <c r="D10" s="6" t="n"/>
      <c r="E10" s="6" t="n">
        <v>9.720000000000001</v>
      </c>
      <c r="F10" s="6" t="n">
        <v>1.56</v>
      </c>
      <c r="G10" s="6" t="n"/>
      <c r="H10" s="6" t="n"/>
      <c r="I10" s="6" t="n"/>
      <c r="J10" s="1" t="n"/>
      <c r="K10" s="1" t="n"/>
      <c r="L10" s="6" t="n"/>
      <c r="M10" s="6" t="n"/>
      <c r="N10" s="6" t="n"/>
      <c r="O10" s="6" t="n"/>
      <c r="P10" s="6" t="n"/>
      <c r="Q10" s="6" t="n"/>
      <c r="R10" s="6" t="n"/>
    </row>
    <row r="11" ht="20" customHeight="1" s="15">
      <c r="A11" s="1" t="n"/>
      <c r="B11" s="1" t="n"/>
      <c r="C11" s="6" t="n"/>
      <c r="D11" s="6" t="n"/>
      <c r="E11" s="6" t="n"/>
      <c r="F11" s="6" t="n"/>
      <c r="G11" s="6" t="n"/>
      <c r="H11" s="6" t="n"/>
      <c r="I11" s="6" t="n"/>
      <c r="J11" s="1" t="n"/>
      <c r="K11" s="1" t="n"/>
      <c r="L11" s="6" t="n"/>
      <c r="M11" s="6" t="n"/>
      <c r="N11" s="6" t="n"/>
      <c r="O11" s="6" t="n"/>
      <c r="P11" s="6" t="n"/>
      <c r="Q11" s="6" t="n"/>
      <c r="R11" s="6" t="n"/>
    </row>
    <row r="12" ht="20" customHeight="1" s="15">
      <c r="A12" s="1" t="n"/>
      <c r="B12" s="7" t="inlineStr">
        <is>
          <t>小计</t>
        </is>
      </c>
      <c r="C12" s="8">
        <f>SUM(C5:C10)</f>
        <v/>
      </c>
      <c r="D12" s="8">
        <f>SUM(D5:D10)</f>
        <v/>
      </c>
      <c r="E12" s="8">
        <f>SUM(E5:E10)</f>
        <v/>
      </c>
      <c r="F12" s="8">
        <f>SUM(F5:F10)</f>
        <v/>
      </c>
      <c r="G12" s="8">
        <f>SUM(G5:G10)</f>
        <v/>
      </c>
      <c r="H12" s="8">
        <f>SUM(H5:H10)</f>
        <v/>
      </c>
      <c r="I12" s="8">
        <f>SUM(I5:I10)</f>
        <v/>
      </c>
      <c r="J12" s="1" t="n"/>
      <c r="K12" s="7" t="inlineStr">
        <is>
          <t>小计</t>
        </is>
      </c>
      <c r="L12" s="8">
        <f>SUM(L5:L7)</f>
        <v/>
      </c>
      <c r="M12" s="8">
        <f>SUM(M5:M7)</f>
        <v/>
      </c>
      <c r="N12" s="8">
        <f>SUM(N5:N7)</f>
        <v/>
      </c>
      <c r="O12" s="8">
        <f>SUM(O5:O7)</f>
        <v/>
      </c>
      <c r="P12" s="8">
        <f>SUM(P5:P7)</f>
        <v/>
      </c>
      <c r="Q12" s="8">
        <f>SUM(Q5:Q7)</f>
        <v/>
      </c>
      <c r="R12" s="8">
        <f>SUM(R5:R7)</f>
        <v/>
      </c>
    </row>
    <row r="13" ht="20" customHeight="1" s="15">
      <c r="A13" s="1" t="n"/>
      <c r="B13" s="1" t="n"/>
      <c r="C13" s="6" t="n"/>
      <c r="D13" s="6" t="n"/>
      <c r="E13" s="6" t="n"/>
      <c r="F13" s="6" t="n"/>
      <c r="G13" s="6" t="n"/>
      <c r="H13" s="6" t="n"/>
      <c r="I13" s="6" t="n"/>
      <c r="J13" s="1" t="n"/>
      <c r="K13" s="1" t="n"/>
      <c r="L13" s="6" t="n"/>
      <c r="M13" s="6" t="n"/>
      <c r="N13" s="6" t="n"/>
      <c r="O13" s="6" t="n"/>
      <c r="P13" s="6" t="n"/>
      <c r="Q13" s="6" t="n"/>
      <c r="R13" s="6" t="n"/>
    </row>
    <row r="14" ht="20" customHeight="1" s="15">
      <c r="A14" s="1" t="n"/>
      <c r="B14" s="1" t="n"/>
      <c r="C14" s="6" t="n"/>
      <c r="D14" s="6" t="n"/>
      <c r="E14" s="6" t="n"/>
      <c r="F14" s="6" t="n"/>
      <c r="G14" s="6" t="n"/>
      <c r="H14" s="6" t="n"/>
      <c r="I14" s="6" t="n"/>
      <c r="J14" s="1" t="n"/>
      <c r="K14" s="1" t="n"/>
      <c r="L14" s="6" t="n"/>
      <c r="M14" s="6" t="n"/>
      <c r="N14" s="6" t="n"/>
      <c r="O14" s="6" t="n"/>
      <c r="P14" s="6" t="n"/>
      <c r="Q14" s="6" t="n"/>
      <c r="R14" s="6" t="n"/>
    </row>
    <row r="15" ht="20" customHeight="1" s="15">
      <c r="A15" s="1" t="n"/>
      <c r="B15" s="1" t="n"/>
      <c r="C15" s="6" t="n"/>
      <c r="D15" s="6" t="n"/>
      <c r="E15" s="6" t="n"/>
      <c r="F15" s="6" t="n"/>
      <c r="G15" s="6" t="n"/>
      <c r="H15" s="6" t="n"/>
      <c r="I15" s="6" t="n"/>
      <c r="J15" s="1" t="n"/>
      <c r="K15" s="1" t="n"/>
      <c r="L15" s="6" t="n"/>
      <c r="M15" s="6" t="n"/>
      <c r="N15" s="6" t="n"/>
      <c r="O15" s="6" t="n"/>
      <c r="P15" s="6" t="n"/>
      <c r="Q15" s="6" t="n"/>
      <c r="R15" s="6" t="n"/>
    </row>
    <row r="16" ht="20" customHeight="1" s="15">
      <c r="A16" s="1" t="n"/>
      <c r="B16" s="1" t="n"/>
      <c r="C16" s="6" t="n"/>
      <c r="D16" s="6" t="n"/>
      <c r="E16" s="6" t="n"/>
      <c r="F16" s="6" t="n"/>
      <c r="G16" s="6" t="n"/>
      <c r="H16" s="6" t="n"/>
      <c r="I16" s="6" t="n"/>
      <c r="J16" s="1" t="n"/>
      <c r="K16" s="1" t="n"/>
      <c r="L16" s="6" t="n"/>
      <c r="M16" s="6" t="n"/>
      <c r="N16" s="6" t="n"/>
      <c r="O16" s="6" t="n"/>
      <c r="P16" s="6" t="n"/>
      <c r="Q16" s="6" t="n"/>
      <c r="R16" s="6" t="n"/>
    </row>
    <row r="17" ht="20" customHeight="1" s="15">
      <c r="A17" s="3" t="n">
        <v>2</v>
      </c>
      <c r="B17" s="3" t="inlineStr">
        <is>
          <t>海岚客户维护组</t>
        </is>
      </c>
      <c r="C17" s="9" t="n"/>
      <c r="D17" s="9" t="n"/>
      <c r="E17" s="9" t="n"/>
      <c r="F17" s="9" t="n"/>
      <c r="G17" s="9" t="n"/>
      <c r="H17" s="9" t="n"/>
      <c r="I17" s="9" t="n"/>
      <c r="J17" s="3" t="n">
        <v>5</v>
      </c>
      <c r="K17" s="3" t="inlineStr">
        <is>
          <t>西禾区域合作组</t>
        </is>
      </c>
      <c r="L17" s="9" t="n"/>
      <c r="M17" s="9" t="n"/>
      <c r="N17" s="9" t="n"/>
      <c r="O17" s="9" t="n"/>
      <c r="P17" s="9" t="n"/>
      <c r="Q17" s="9" t="n"/>
      <c r="R17" s="9" t="n"/>
    </row>
    <row r="18" ht="28" customHeight="1" s="15">
      <c r="A18" s="1" t="n"/>
      <c r="B18" s="4" t="inlineStr">
        <is>
          <t>客户</t>
        </is>
      </c>
      <c r="C18" s="10" t="inlineStr">
        <is>
          <t>数量(吨)</t>
        </is>
      </c>
      <c r="D18" s="10" t="inlineStr">
        <is>
          <t>开口料</t>
        </is>
      </c>
      <c r="E18" s="10" t="inlineStr">
        <is>
          <t>保育/育肥料</t>
        </is>
      </c>
      <c r="F18" s="10" t="inlineStr">
        <is>
          <t>蛋禽料</t>
        </is>
      </c>
      <c r="G18" s="10" t="inlineStr">
        <is>
          <t>水禽料</t>
        </is>
      </c>
      <c r="H18" s="10" t="inlineStr">
        <is>
          <t>沉水鱼料</t>
        </is>
      </c>
      <c r="I18" s="10" t="inlineStr">
        <is>
          <t>浮水鱼料</t>
        </is>
      </c>
      <c r="J18" s="1" t="n"/>
      <c r="K18" s="4" t="inlineStr">
        <is>
          <t>客户</t>
        </is>
      </c>
      <c r="L18" s="10" t="inlineStr">
        <is>
          <t>数量(吨)</t>
        </is>
      </c>
      <c r="M18" s="10" t="inlineStr">
        <is>
          <t>开口料</t>
        </is>
      </c>
      <c r="N18" s="10" t="inlineStr">
        <is>
          <t>保育/育肥料</t>
        </is>
      </c>
      <c r="O18" s="10" t="inlineStr">
        <is>
          <t>蛋禽料</t>
        </is>
      </c>
      <c r="P18" s="10" t="inlineStr">
        <is>
          <t>水禽料</t>
        </is>
      </c>
      <c r="Q18" s="10" t="inlineStr">
        <is>
          <t>沉水鱼料</t>
        </is>
      </c>
      <c r="R18" s="10" t="inlineStr">
        <is>
          <t>浮水鱼料</t>
        </is>
      </c>
    </row>
    <row r="19" ht="20" customHeight="1" s="15">
      <c r="A19" s="1" t="n"/>
      <c r="B19" s="5" t="inlineStr">
        <is>
          <t>星溯湾养殖场</t>
        </is>
      </c>
      <c r="C19" s="6">
        <f>SUM(D19:I19)</f>
        <v/>
      </c>
      <c r="D19" s="6" t="n">
        <v>0.08</v>
      </c>
      <c r="E19" s="6" t="n">
        <v>12.4</v>
      </c>
      <c r="F19" s="6" t="n">
        <v>2.36</v>
      </c>
      <c r="G19" s="6" t="n">
        <v>0.92</v>
      </c>
      <c r="H19" s="6" t="n">
        <v>1.16</v>
      </c>
      <c r="I19" s="6" t="n"/>
      <c r="J19" s="1" t="n"/>
      <c r="K19" s="5" t="inlineStr">
        <is>
          <t>祁朔农牧场</t>
        </is>
      </c>
      <c r="L19" s="6">
        <f>SUM(M19:R19)</f>
        <v/>
      </c>
      <c r="M19" s="6" t="n"/>
      <c r="N19" s="6" t="n">
        <v>4.36</v>
      </c>
      <c r="O19" s="6" t="n"/>
      <c r="P19" s="6" t="n"/>
      <c r="Q19" s="6" t="n"/>
      <c r="R19" s="6" t="n"/>
    </row>
    <row r="20" ht="20" customHeight="1" s="15">
      <c r="A20" s="1" t="n"/>
      <c r="B20" s="5" t="inlineStr">
        <is>
          <t>镜渊农牧社</t>
        </is>
      </c>
      <c r="C20" s="6">
        <f>SUM(D20:I20)</f>
        <v/>
      </c>
      <c r="D20" s="6" t="n"/>
      <c r="E20" s="6" t="n">
        <v>4.8</v>
      </c>
      <c r="F20" s="6" t="n"/>
      <c r="G20" s="6" t="n"/>
      <c r="H20" s="6" t="n"/>
      <c r="I20" s="6" t="n"/>
      <c r="J20" s="1" t="n"/>
      <c r="K20" s="5" t="inlineStr">
        <is>
          <t>栀隅合作社</t>
        </is>
      </c>
      <c r="L20" s="6">
        <f>SUM(M20:R20)</f>
        <v/>
      </c>
      <c r="M20" s="6" t="n"/>
      <c r="N20" s="6" t="n">
        <v>2.88</v>
      </c>
      <c r="O20" s="6" t="n"/>
      <c r="P20" s="6" t="n"/>
      <c r="Q20" s="6" t="n"/>
      <c r="R20" s="6" t="n"/>
    </row>
    <row r="21" ht="20" customHeight="1" s="15">
      <c r="A21" s="1" t="n"/>
      <c r="B21" s="5" t="inlineStr">
        <is>
          <t>岫岩育养基地</t>
        </is>
      </c>
      <c r="C21" s="6">
        <f>SUM(D21:I21)</f>
        <v/>
      </c>
      <c r="D21" s="6" t="n"/>
      <c r="E21" s="6" t="n">
        <v>43.68</v>
      </c>
      <c r="F21" s="6" t="n"/>
      <c r="G21" s="6" t="n"/>
      <c r="H21" s="6" t="n"/>
      <c r="I21" s="6" t="n"/>
      <c r="J21" s="1" t="n"/>
      <c r="K21" s="5" t="inlineStr">
        <is>
          <t>阑渚养殖基地</t>
        </is>
      </c>
      <c r="L21" s="6">
        <f>SUM(M21:R21)</f>
        <v/>
      </c>
      <c r="M21" s="6" t="n"/>
      <c r="N21" s="6" t="n">
        <v>2.64</v>
      </c>
      <c r="O21" s="6" t="n"/>
      <c r="P21" s="6" t="n"/>
      <c r="Q21" s="6" t="n"/>
      <c r="R21" s="6" t="n"/>
    </row>
    <row r="22" ht="20" customHeight="1" s="15">
      <c r="A22" s="1" t="n"/>
      <c r="B22" s="5" t="inlineStr">
        <is>
          <t>渡川家庭农场</t>
        </is>
      </c>
      <c r="C22" s="6">
        <f>SUM(D22:I22)</f>
        <v/>
      </c>
      <c r="D22" s="6" t="n">
        <v>0.06</v>
      </c>
      <c r="E22" s="6" t="n">
        <v>19.84</v>
      </c>
      <c r="F22" s="6" t="n"/>
      <c r="G22" s="6" t="n"/>
      <c r="H22" s="6" t="n"/>
      <c r="I22" s="6" t="n"/>
      <c r="J22" s="1" t="n"/>
      <c r="K22" s="5" t="inlineStr">
        <is>
          <t>沧浔家庭农场</t>
        </is>
      </c>
      <c r="L22" s="6">
        <f>SUM(M22:R22)</f>
        <v/>
      </c>
      <c r="M22" s="6" t="n"/>
      <c r="N22" s="6" t="n">
        <v>3.52</v>
      </c>
      <c r="O22" s="6" t="n"/>
      <c r="P22" s="6" t="n"/>
      <c r="Q22" s="6" t="n"/>
      <c r="R22" s="6" t="n"/>
    </row>
    <row r="23" ht="20" customHeight="1" s="15">
      <c r="A23" s="1" t="n"/>
      <c r="B23" s="5" t="inlineStr">
        <is>
          <t>暮岑合作养殖点</t>
        </is>
      </c>
      <c r="C23" s="6">
        <f>SUM(D23:I23)</f>
        <v/>
      </c>
      <c r="D23" s="6" t="n"/>
      <c r="E23" s="6" t="n">
        <v>7.2</v>
      </c>
      <c r="F23" s="6" t="n">
        <v>0.72</v>
      </c>
      <c r="G23" s="6" t="n"/>
      <c r="H23" s="6" t="n"/>
      <c r="I23" s="6" t="n"/>
      <c r="J23" s="1" t="n"/>
      <c r="K23" s="5" t="inlineStr">
        <is>
          <t>苇汀育养中心</t>
        </is>
      </c>
      <c r="L23" s="6">
        <f>SUM(M23:R23)</f>
        <v/>
      </c>
      <c r="M23" s="6" t="n"/>
      <c r="N23" s="6" t="n">
        <v>0.36</v>
      </c>
      <c r="O23" s="6" t="n"/>
      <c r="P23" s="6" t="n"/>
      <c r="Q23" s="6" t="n">
        <v>0.18</v>
      </c>
      <c r="R23" s="6" t="n"/>
    </row>
    <row r="24" ht="20" customHeight="1" s="15">
      <c r="A24" s="1" t="n"/>
      <c r="B24" s="5" t="inlineStr">
        <is>
          <t>涧埠饲养服务部</t>
        </is>
      </c>
      <c r="C24" s="6">
        <f>SUM(D24:I24)</f>
        <v/>
      </c>
      <c r="D24" s="6" t="n"/>
      <c r="E24" s="6" t="n">
        <v>18.4</v>
      </c>
      <c r="F24" s="6" t="n"/>
      <c r="G24" s="6" t="n"/>
      <c r="H24" s="6" t="n"/>
      <c r="I24" s="6" t="n"/>
      <c r="J24" s="1" t="n"/>
      <c r="K24" s="5" t="inlineStr">
        <is>
          <t>泠漾农牧服务站</t>
        </is>
      </c>
      <c r="L24" s="6">
        <f>SUM(M24:R24)</f>
        <v/>
      </c>
      <c r="M24" s="6" t="n"/>
      <c r="N24" s="6" t="n"/>
      <c r="O24" s="6" t="n"/>
      <c r="P24" s="6" t="n"/>
      <c r="Q24" s="6" t="n">
        <v>1.08</v>
      </c>
      <c r="R24" s="6" t="n"/>
    </row>
    <row r="25" ht="20" customHeight="1" s="15">
      <c r="A25" s="1" t="n"/>
      <c r="B25" s="7" t="inlineStr">
        <is>
          <t>小计</t>
        </is>
      </c>
      <c r="C25" s="8">
        <f>SUM(C19:C24)</f>
        <v/>
      </c>
      <c r="D25" s="8">
        <f>SUM(D19:D24)</f>
        <v/>
      </c>
      <c r="E25" s="8">
        <f>SUM(E19:E24)</f>
        <v/>
      </c>
      <c r="F25" s="8">
        <f>SUM(F19:F24)</f>
        <v/>
      </c>
      <c r="G25" s="8">
        <f>SUM(G19:G24)</f>
        <v/>
      </c>
      <c r="H25" s="8">
        <f>SUM(H19:H24)</f>
        <v/>
      </c>
      <c r="I25" s="8">
        <f>SUM(I19:I24)</f>
        <v/>
      </c>
      <c r="J25" s="1" t="n"/>
      <c r="K25" s="5" t="inlineStr">
        <is>
          <t>茴湾饲养点</t>
        </is>
      </c>
      <c r="L25" s="6">
        <f>SUM(M25:R25)</f>
        <v/>
      </c>
      <c r="M25" s="6" t="n"/>
      <c r="N25" s="6" t="n"/>
      <c r="O25" s="6" t="n"/>
      <c r="P25" s="6" t="n">
        <v>0.12</v>
      </c>
      <c r="Q25" s="6" t="n"/>
      <c r="R25" s="6" t="n"/>
    </row>
    <row r="26" ht="20" customHeight="1" s="15">
      <c r="A26" s="1" t="n"/>
      <c r="B26" s="1" t="n"/>
      <c r="C26" s="6" t="n"/>
      <c r="D26" s="6" t="n"/>
      <c r="E26" s="6" t="n"/>
      <c r="F26" s="6" t="n"/>
      <c r="G26" s="6" t="n"/>
      <c r="H26" s="6" t="n"/>
      <c r="I26" s="6" t="n"/>
      <c r="J26" s="1" t="n"/>
      <c r="K26" s="5" t="inlineStr">
        <is>
          <t>峤南农牧场</t>
        </is>
      </c>
      <c r="L26" s="6">
        <f>SUM(M26:R26)</f>
        <v/>
      </c>
      <c r="M26" s="6" t="n"/>
      <c r="N26" s="6" t="n">
        <v>42.56</v>
      </c>
      <c r="O26" s="6" t="n">
        <v>0.08</v>
      </c>
      <c r="P26" s="6" t="n"/>
      <c r="Q26" s="6" t="n"/>
      <c r="R26" s="6" t="n"/>
    </row>
    <row r="27" ht="20" customHeight="1" s="15">
      <c r="A27" s="1" t="n"/>
      <c r="B27" s="1" t="n"/>
      <c r="C27" s="6" t="n"/>
      <c r="D27" s="6" t="n"/>
      <c r="E27" s="6" t="n"/>
      <c r="F27" s="6" t="n"/>
      <c r="G27" s="6" t="n"/>
      <c r="H27" s="6" t="n"/>
      <c r="I27" s="6" t="n"/>
      <c r="J27" s="1" t="n"/>
      <c r="K27" s="5" t="inlineStr">
        <is>
          <t>潇涧合作养殖场</t>
        </is>
      </c>
      <c r="L27" s="6">
        <f>SUM(M27:R27)</f>
        <v/>
      </c>
      <c r="M27" s="6" t="n"/>
      <c r="N27" s="6" t="n">
        <v>3.04</v>
      </c>
      <c r="O27" s="6" t="n"/>
      <c r="P27" s="6" t="n"/>
      <c r="Q27" s="6" t="n"/>
      <c r="R27" s="6" t="n">
        <v>0.64</v>
      </c>
    </row>
    <row r="28" ht="20" customHeight="1" s="15">
      <c r="A28" s="1" t="n"/>
      <c r="B28" s="1" t="n"/>
      <c r="C28" s="6" t="n"/>
      <c r="D28" s="6" t="n"/>
      <c r="E28" s="6" t="n"/>
      <c r="F28" s="6" t="n"/>
      <c r="G28" s="6" t="n"/>
      <c r="H28" s="6" t="n"/>
      <c r="I28" s="6" t="n"/>
      <c r="J28" s="1" t="n"/>
      <c r="K28" s="5" t="inlineStr">
        <is>
          <t>筠筱养殖社</t>
        </is>
      </c>
      <c r="L28" s="6">
        <f>SUM(M28:R28)</f>
        <v/>
      </c>
      <c r="M28" s="6" t="n"/>
      <c r="N28" s="6" t="n">
        <v>1.2</v>
      </c>
      <c r="O28" s="6" t="n"/>
      <c r="P28" s="6" t="n"/>
      <c r="Q28" s="6" t="n"/>
      <c r="R28" s="6" t="n"/>
    </row>
    <row r="29" ht="20" customHeight="1" s="15">
      <c r="A29" s="1" t="n"/>
      <c r="B29" s="1" t="n"/>
      <c r="C29" s="6" t="n"/>
      <c r="D29" s="6" t="n"/>
      <c r="E29" s="6" t="n"/>
      <c r="F29" s="6" t="n"/>
      <c r="G29" s="6" t="n"/>
      <c r="H29" s="6" t="n"/>
      <c r="I29" s="6" t="n"/>
      <c r="J29" s="1" t="n"/>
      <c r="K29" s="5" t="inlineStr">
        <is>
          <t>荞墟农牧基地</t>
        </is>
      </c>
      <c r="L29" s="6">
        <f>SUM(M29:R29)</f>
        <v/>
      </c>
      <c r="M29" s="6" t="n"/>
      <c r="N29" s="6" t="n">
        <v>1.32</v>
      </c>
      <c r="O29" s="6" t="n">
        <v>1.04</v>
      </c>
      <c r="P29" s="6" t="n"/>
      <c r="Q29" s="6" t="n"/>
      <c r="R29" s="6" t="n"/>
    </row>
    <row r="30" ht="20" customHeight="1" s="15">
      <c r="A30" s="1" t="n"/>
      <c r="B30" s="1" t="n"/>
      <c r="C30" s="6" t="n"/>
      <c r="D30" s="6" t="n"/>
      <c r="E30" s="6" t="n"/>
      <c r="F30" s="6" t="n"/>
      <c r="G30" s="6" t="n"/>
      <c r="H30" s="6" t="n"/>
      <c r="I30" s="6" t="n"/>
      <c r="J30" s="1" t="n"/>
      <c r="K30" s="5" t="inlineStr">
        <is>
          <t>芃洲饲养中心</t>
        </is>
      </c>
      <c r="L30" s="6">
        <f>SUM(M30:R30)</f>
        <v/>
      </c>
      <c r="M30" s="6" t="n"/>
      <c r="N30" s="6" t="n"/>
      <c r="O30" s="6" t="n">
        <v>1.72</v>
      </c>
      <c r="P30" s="6" t="n"/>
      <c r="Q30" s="6" t="n"/>
      <c r="R30" s="6" t="n"/>
    </row>
    <row r="31" ht="20" customHeight="1" s="15">
      <c r="A31" s="1" t="n"/>
      <c r="B31" s="1" t="n"/>
      <c r="C31" s="6" t="n"/>
      <c r="D31" s="6" t="n"/>
      <c r="E31" s="6" t="n"/>
      <c r="F31" s="6" t="n"/>
      <c r="G31" s="6" t="n"/>
      <c r="H31" s="6" t="n"/>
      <c r="I31" s="6" t="n"/>
      <c r="J31" s="1" t="n"/>
      <c r="K31" s="5" t="inlineStr">
        <is>
          <t>西墟联营农场</t>
        </is>
      </c>
      <c r="L31" s="6">
        <f>SUM(M31:R31)</f>
        <v/>
      </c>
      <c r="M31" s="6" t="n">
        <v>0.08</v>
      </c>
      <c r="N31" s="6" t="n">
        <v>22.84</v>
      </c>
      <c r="O31" s="6" t="n"/>
      <c r="P31" s="6" t="n"/>
      <c r="Q31" s="6" t="n"/>
      <c r="R31" s="6" t="n"/>
    </row>
    <row r="32" ht="20" customHeight="1" s="15">
      <c r="A32" s="1" t="n"/>
      <c r="B32" s="1" t="n"/>
      <c r="C32" s="6" t="n"/>
      <c r="D32" s="6" t="n"/>
      <c r="E32" s="6" t="n"/>
      <c r="F32" s="6" t="n"/>
      <c r="G32" s="6" t="n"/>
      <c r="H32" s="6" t="n"/>
      <c r="I32" s="6" t="n"/>
      <c r="J32" s="1" t="n"/>
      <c r="K32" s="5" t="inlineStr">
        <is>
          <t>檀汐家庭牧场</t>
        </is>
      </c>
      <c r="L32" s="6">
        <f>SUM(M32:R32)</f>
        <v/>
      </c>
      <c r="M32" s="6" t="n"/>
      <c r="N32" s="6" t="n">
        <v>0.72</v>
      </c>
      <c r="O32" s="6" t="n"/>
      <c r="P32" s="6" t="n"/>
      <c r="Q32" s="6" t="n"/>
      <c r="R32" s="6" t="n"/>
    </row>
    <row r="33" ht="20" customHeight="1" s="15">
      <c r="A33" s="1" t="n"/>
      <c r="B33" s="1" t="n"/>
      <c r="C33" s="6" t="n"/>
      <c r="D33" s="6" t="n"/>
      <c r="E33" s="6" t="n"/>
      <c r="F33" s="6" t="n"/>
      <c r="G33" s="6" t="n"/>
      <c r="H33" s="6" t="n"/>
      <c r="I33" s="6" t="n"/>
      <c r="J33" s="1" t="n"/>
      <c r="K33" s="5" t="inlineStr">
        <is>
          <t>漠汀生态养殖场</t>
        </is>
      </c>
      <c r="L33" s="6">
        <f>SUM(M33:R33)</f>
        <v/>
      </c>
      <c r="M33" s="6" t="n"/>
      <c r="N33" s="6" t="n">
        <v>0.36</v>
      </c>
      <c r="O33" s="6" t="n"/>
      <c r="P33" s="6" t="n"/>
      <c r="Q33" s="6" t="n"/>
      <c r="R33" s="6" t="n"/>
    </row>
    <row r="34" ht="20" customHeight="1" s="15">
      <c r="A34" s="1" t="n"/>
      <c r="B34" s="1" t="n"/>
      <c r="C34" s="6" t="n"/>
      <c r="D34" s="6" t="n"/>
      <c r="E34" s="6" t="n"/>
      <c r="F34" s="6" t="n"/>
      <c r="G34" s="6" t="n"/>
      <c r="H34" s="6" t="n"/>
      <c r="I34" s="6" t="n"/>
      <c r="J34" s="1" t="n"/>
      <c r="K34" s="5" t="inlineStr">
        <is>
          <t>沧漾农牧社</t>
        </is>
      </c>
      <c r="L34" s="6">
        <f>SUM(M34:R34)</f>
        <v/>
      </c>
      <c r="M34" s="6" t="n"/>
      <c r="N34" s="6" t="n">
        <v>0.08</v>
      </c>
      <c r="O34" s="6" t="n"/>
      <c r="P34" s="6" t="n"/>
      <c r="Q34" s="6" t="n"/>
      <c r="R34" s="6" t="n"/>
    </row>
    <row r="35" ht="20" customHeight="1" s="15">
      <c r="A35" s="1" t="n"/>
      <c r="B35" s="1" t="n"/>
      <c r="C35" s="6" t="n"/>
      <c r="D35" s="6" t="n"/>
      <c r="E35" s="6" t="n"/>
      <c r="F35" s="6" t="n"/>
      <c r="G35" s="6" t="n"/>
      <c r="H35" s="6" t="n"/>
      <c r="I35" s="6" t="n"/>
      <c r="J35" s="1" t="n"/>
      <c r="K35" s="5" t="inlineStr">
        <is>
          <t>岚川育养基地</t>
        </is>
      </c>
      <c r="L35" s="6">
        <f>SUM(M35:R35)</f>
        <v/>
      </c>
      <c r="M35" s="6" t="n">
        <v>0.04</v>
      </c>
      <c r="N35" s="6" t="n">
        <v>55.76</v>
      </c>
      <c r="O35" s="6" t="n"/>
      <c r="P35" s="6" t="n"/>
      <c r="Q35" s="6" t="n"/>
      <c r="R35" s="6" t="n"/>
    </row>
    <row r="36" ht="20" customHeight="1" s="15">
      <c r="A36" s="1" t="n"/>
      <c r="B36" s="1" t="n"/>
      <c r="C36" s="6" t="n"/>
      <c r="D36" s="6" t="n"/>
      <c r="E36" s="6" t="n"/>
      <c r="F36" s="6" t="n"/>
      <c r="G36" s="6" t="n"/>
      <c r="H36" s="6" t="n"/>
      <c r="I36" s="6" t="n"/>
      <c r="J36" s="1" t="n"/>
      <c r="K36" s="5" t="inlineStr">
        <is>
          <t>岑峦合作社</t>
        </is>
      </c>
      <c r="L36" s="6">
        <f>SUM(M36:R36)</f>
        <v/>
      </c>
      <c r="M36" s="6" t="n"/>
      <c r="N36" s="6" t="n"/>
      <c r="O36" s="6" t="n">
        <v>62.4</v>
      </c>
      <c r="P36" s="6" t="n"/>
      <c r="Q36" s="6" t="n"/>
      <c r="R36" s="6" t="n"/>
    </row>
    <row r="37" ht="20" customHeight="1" s="15">
      <c r="A37" s="1" t="n"/>
      <c r="B37" s="1" t="n"/>
      <c r="C37" s="6" t="n"/>
      <c r="D37" s="6" t="n"/>
      <c r="E37" s="6" t="n"/>
      <c r="F37" s="6" t="n"/>
      <c r="G37" s="6" t="n"/>
      <c r="H37" s="6" t="n"/>
      <c r="I37" s="6" t="n"/>
      <c r="J37" s="1" t="n"/>
      <c r="K37" s="5" t="inlineStr">
        <is>
          <t>桧杉养殖点</t>
        </is>
      </c>
      <c r="L37" s="6">
        <f>SUM(M37:R37)</f>
        <v/>
      </c>
      <c r="M37" s="6" t="n"/>
      <c r="N37" s="6" t="n">
        <v>0.28</v>
      </c>
      <c r="O37" s="6" t="n">
        <v>0.2</v>
      </c>
      <c r="P37" s="6" t="n"/>
      <c r="Q37" s="6" t="n"/>
      <c r="R37" s="6" t="n"/>
    </row>
    <row r="38" ht="20" customHeight="1" s="15">
      <c r="A38" s="3" t="n">
        <v>3</v>
      </c>
      <c r="B38" s="3" t="inlineStr">
        <is>
          <t>云澜养殖拓展组</t>
        </is>
      </c>
      <c r="C38" s="9" t="n"/>
      <c r="D38" s="9" t="n"/>
      <c r="E38" s="9" t="n"/>
      <c r="F38" s="9" t="n"/>
      <c r="G38" s="9" t="n"/>
      <c r="H38" s="9" t="n"/>
      <c r="I38" s="9" t="n"/>
      <c r="J38" s="1" t="n"/>
      <c r="K38" s="5" t="inlineStr">
        <is>
          <t>缥涧农牧场</t>
        </is>
      </c>
      <c r="L38" s="6">
        <f>SUM(M38:R38)</f>
        <v/>
      </c>
      <c r="M38" s="6" t="n"/>
      <c r="N38" s="6" t="n">
        <v>4.88</v>
      </c>
      <c r="O38" s="6" t="n"/>
      <c r="P38" s="6" t="n"/>
      <c r="Q38" s="6" t="n"/>
      <c r="R38" s="6" t="n"/>
    </row>
    <row r="39" ht="28" customHeight="1" s="15">
      <c r="A39" s="1" t="n"/>
      <c r="B39" s="4" t="inlineStr">
        <is>
          <t>客户</t>
        </is>
      </c>
      <c r="C39" s="10" t="inlineStr">
        <is>
          <t>数量(吨)</t>
        </is>
      </c>
      <c r="D39" s="10" t="inlineStr">
        <is>
          <t>开口料</t>
        </is>
      </c>
      <c r="E39" s="10" t="inlineStr">
        <is>
          <t>保育/育肥料</t>
        </is>
      </c>
      <c r="F39" s="10" t="inlineStr">
        <is>
          <t>蛋禽料</t>
        </is>
      </c>
      <c r="G39" s="10" t="inlineStr">
        <is>
          <t>水禽料</t>
        </is>
      </c>
      <c r="H39" s="10" t="inlineStr">
        <is>
          <t>沉水鱼料</t>
        </is>
      </c>
      <c r="I39" s="10" t="inlineStr">
        <is>
          <t>浮水鱼料</t>
        </is>
      </c>
      <c r="J39" s="1" t="n"/>
      <c r="K39" s="5" t="inlineStr">
        <is>
          <t>西渚饲养中心</t>
        </is>
      </c>
      <c r="L39" s="6">
        <f>SUM(M39:R39)</f>
        <v/>
      </c>
      <c r="M39" s="6" t="n"/>
      <c r="N39" s="6" t="n">
        <v>1.76</v>
      </c>
      <c r="O39" s="6" t="n">
        <v>3.52</v>
      </c>
      <c r="P39" s="6" t="n"/>
      <c r="Q39" s="6" t="n">
        <v>0.92</v>
      </c>
      <c r="R39" s="6" t="n"/>
    </row>
    <row r="40" ht="20" customHeight="1" s="15">
      <c r="A40" s="1" t="n"/>
      <c r="B40" s="11" t="inlineStr">
        <is>
          <t>泠溪养殖合作社</t>
        </is>
      </c>
      <c r="C40" s="6">
        <f>SUM(D40:I40)</f>
        <v/>
      </c>
      <c r="D40" s="6" t="n"/>
      <c r="E40" s="6" t="n">
        <v>9.44</v>
      </c>
      <c r="F40" s="6" t="n"/>
      <c r="G40" s="6" t="n"/>
      <c r="H40" s="6" t="n"/>
      <c r="I40" s="6" t="n"/>
      <c r="J40" s="1" t="n"/>
      <c r="K40" s="5" t="inlineStr">
        <is>
          <t>玄径生态农场</t>
        </is>
      </c>
      <c r="L40" s="6">
        <f>SUM(M40:R40)</f>
        <v/>
      </c>
      <c r="M40" s="6" t="n"/>
      <c r="N40" s="6" t="n">
        <v>3.4</v>
      </c>
      <c r="O40" s="6" t="n"/>
      <c r="P40" s="6" t="n"/>
      <c r="Q40" s="6" t="n"/>
      <c r="R40" s="6" t="n"/>
    </row>
    <row r="41" ht="20" customHeight="1" s="15">
      <c r="A41" s="1" t="n"/>
      <c r="B41" s="1" t="inlineStr">
        <is>
          <t>攸禾家庭农场</t>
        </is>
      </c>
      <c r="C41" s="6">
        <f>SUM(D41:I41)</f>
        <v/>
      </c>
      <c r="D41" s="6" t="n"/>
      <c r="E41" s="6" t="n">
        <v>1.28</v>
      </c>
      <c r="F41" s="6" t="n"/>
      <c r="G41" s="6" t="n"/>
      <c r="H41" s="6" t="n"/>
      <c r="I41" s="6" t="n"/>
      <c r="J41" s="1" t="n"/>
      <c r="K41" s="12" t="inlineStr">
        <is>
          <t>连塘合作养殖社</t>
        </is>
      </c>
      <c r="L41" s="6">
        <f>SUM(M41:R41)</f>
        <v/>
      </c>
      <c r="M41" s="6" t="n"/>
      <c r="N41" s="6" t="n">
        <v>2.52</v>
      </c>
      <c r="O41" s="6" t="n"/>
      <c r="P41" s="6" t="n"/>
      <c r="Q41" s="6" t="n"/>
      <c r="R41" s="6" t="n"/>
    </row>
    <row r="42" ht="20" customHeight="1" s="15">
      <c r="A42" s="1" t="n"/>
      <c r="B42" s="1" t="inlineStr">
        <is>
          <t>景隅农牧场</t>
        </is>
      </c>
      <c r="C42" s="6">
        <f>SUM(D42:I42)</f>
        <v/>
      </c>
      <c r="D42" s="6" t="n"/>
      <c r="E42" s="6" t="n">
        <v>7.92</v>
      </c>
      <c r="F42" s="6" t="n"/>
      <c r="G42" s="6" t="n"/>
      <c r="H42" s="6" t="n"/>
      <c r="I42" s="6" t="n"/>
      <c r="J42" s="1" t="n"/>
      <c r="K42" s="5" t="inlineStr">
        <is>
          <t>汐野农牧基地</t>
        </is>
      </c>
      <c r="L42" s="6">
        <f>SUM(M42:R42)</f>
        <v/>
      </c>
      <c r="M42" s="6" t="n"/>
      <c r="N42" s="6" t="n">
        <v>13.88</v>
      </c>
      <c r="O42" s="6" t="n"/>
      <c r="P42" s="6" t="n"/>
      <c r="Q42" s="6" t="n"/>
      <c r="R42" s="6" t="n"/>
    </row>
    <row r="43" ht="20" customHeight="1" s="15">
      <c r="A43" s="1" t="n"/>
      <c r="B43" s="1" t="inlineStr">
        <is>
          <t>栖林生态养殖场</t>
        </is>
      </c>
      <c r="C43" s="6">
        <f>SUM(D43:I43)</f>
        <v/>
      </c>
      <c r="D43" s="6" t="n"/>
      <c r="E43" s="6" t="n">
        <v>31.2</v>
      </c>
      <c r="F43" s="6" t="n"/>
      <c r="G43" s="6" t="n"/>
      <c r="H43" s="6" t="n"/>
      <c r="I43" s="6" t="n"/>
      <c r="J43" s="1" t="n"/>
      <c r="K43" s="5" t="inlineStr">
        <is>
          <t>琉湾牧业服务部</t>
        </is>
      </c>
      <c r="L43" s="6">
        <f>SUM(M43:R43)</f>
        <v/>
      </c>
      <c r="M43" s="6" t="n"/>
      <c r="N43" s="6" t="n">
        <v>21.48</v>
      </c>
      <c r="O43" s="6" t="n"/>
      <c r="P43" s="6" t="n"/>
      <c r="Q43" s="6" t="n"/>
      <c r="R43" s="6" t="n"/>
    </row>
    <row r="44" ht="20" customHeight="1" s="15">
      <c r="A44" s="1" t="n"/>
      <c r="B44" s="1" t="inlineStr">
        <is>
          <t>檀峰饲养中心</t>
        </is>
      </c>
      <c r="C44" s="6">
        <f>SUM(D44:I44)</f>
        <v/>
      </c>
      <c r="D44" s="6" t="n"/>
      <c r="E44" s="6" t="n">
        <v>10.84</v>
      </c>
      <c r="F44" s="6" t="n"/>
      <c r="G44" s="6" t="n"/>
      <c r="H44" s="6" t="n"/>
      <c r="I44" s="6" t="n"/>
      <c r="J44" s="1" t="n"/>
      <c r="K44" s="5" t="inlineStr">
        <is>
          <t>湄洲家庭农场</t>
        </is>
      </c>
      <c r="L44" s="6">
        <f>SUM(M44:R44)</f>
        <v/>
      </c>
      <c r="M44" s="6" t="n"/>
      <c r="N44" s="6" t="n">
        <v>15.6</v>
      </c>
      <c r="O44" s="6" t="n"/>
      <c r="P44" s="6" t="n"/>
      <c r="Q44" s="6" t="n"/>
      <c r="R44" s="6" t="n"/>
    </row>
    <row r="45" ht="20" customHeight="1" s="15">
      <c r="A45" s="1" t="n"/>
      <c r="B45" s="1" t="inlineStr">
        <is>
          <t>青岑合作养殖社</t>
        </is>
      </c>
      <c r="C45" s="6">
        <f>SUM(D45:I45)</f>
        <v/>
      </c>
      <c r="D45" s="6" t="n"/>
      <c r="E45" s="6" t="n"/>
      <c r="F45" s="6" t="n">
        <v>1.16</v>
      </c>
      <c r="G45" s="6" t="n"/>
      <c r="H45" s="6" t="n"/>
      <c r="I45" s="6" t="n"/>
      <c r="J45" s="1" t="n"/>
      <c r="K45" s="5" t="inlineStr">
        <is>
          <t>玦岩联合养殖场</t>
        </is>
      </c>
      <c r="L45" s="6">
        <f>SUM(M45:R45)</f>
        <v/>
      </c>
      <c r="M45" s="6" t="n"/>
      <c r="N45" s="6" t="n">
        <v>73.2</v>
      </c>
      <c r="O45" s="6" t="n"/>
      <c r="P45" s="6" t="n"/>
      <c r="Q45" s="6" t="n"/>
      <c r="R45" s="6" t="n"/>
    </row>
    <row r="46" ht="20" customHeight="1" s="15">
      <c r="A46" s="1" t="n"/>
      <c r="B46" s="1" t="inlineStr">
        <is>
          <t>景言农牧基地</t>
        </is>
      </c>
      <c r="C46" s="6">
        <f>SUM(D46:I46)</f>
        <v/>
      </c>
      <c r="D46" s="6" t="n"/>
      <c r="E46" s="6" t="n">
        <v>5.68</v>
      </c>
      <c r="F46" s="6" t="n">
        <v>0.64</v>
      </c>
      <c r="G46" s="6" t="n"/>
      <c r="H46" s="6" t="n"/>
      <c r="I46" s="6" t="n"/>
      <c r="J46" s="1" t="n"/>
      <c r="K46" s="5" t="inlineStr">
        <is>
          <t>砚辞生态牧场</t>
        </is>
      </c>
      <c r="L46" s="6">
        <f>SUM(M46:R46)</f>
        <v/>
      </c>
      <c r="M46" s="6" t="n"/>
      <c r="N46" s="6" t="n">
        <v>2.08</v>
      </c>
      <c r="O46" s="6" t="n"/>
      <c r="P46" s="6" t="n"/>
      <c r="Q46" s="6" t="n"/>
      <c r="R46" s="6" t="n"/>
    </row>
    <row r="47" ht="20" customHeight="1" s="15">
      <c r="A47" s="1" t="n"/>
      <c r="B47" s="1" t="n"/>
      <c r="C47" s="6" t="n"/>
      <c r="D47" s="6" t="n"/>
      <c r="E47" s="6" t="n"/>
      <c r="F47" s="6" t="n"/>
      <c r="G47" s="6" t="n"/>
      <c r="H47" s="6" t="n"/>
      <c r="I47" s="6" t="n"/>
      <c r="J47" s="1" t="n"/>
      <c r="K47" s="5" t="inlineStr">
        <is>
          <t>峥峦合作社</t>
        </is>
      </c>
      <c r="L47" s="6">
        <f>SUM(M47:R47)</f>
        <v/>
      </c>
      <c r="M47" s="6" t="n"/>
      <c r="N47" s="6" t="n">
        <v>14.96</v>
      </c>
      <c r="O47" s="6" t="n">
        <v>0.12</v>
      </c>
      <c r="P47" s="6" t="n"/>
      <c r="Q47" s="6" t="n"/>
      <c r="R47" s="6" t="n"/>
    </row>
    <row r="48" ht="20" customHeight="1" s="15">
      <c r="A48" s="1" t="n"/>
      <c r="B48" s="1" t="n"/>
      <c r="C48" s="6" t="n"/>
      <c r="D48" s="6" t="n"/>
      <c r="E48" s="6" t="n"/>
      <c r="F48" s="6" t="n"/>
      <c r="G48" s="6" t="n"/>
      <c r="H48" s="6" t="n"/>
      <c r="I48" s="6" t="n"/>
      <c r="J48" s="1" t="n"/>
      <c r="K48" s="5" t="inlineStr">
        <is>
          <t>泫川农牧场</t>
        </is>
      </c>
      <c r="L48" s="6">
        <f>SUM(M48:R48)</f>
        <v/>
      </c>
      <c r="M48" s="6" t="n"/>
      <c r="N48" s="6" t="n">
        <v>8.76</v>
      </c>
      <c r="O48" s="6" t="n"/>
      <c r="P48" s="6" t="n"/>
      <c r="Q48" s="6" t="n"/>
      <c r="R48" s="6" t="n"/>
    </row>
    <row r="49" ht="20" customHeight="1" s="15">
      <c r="A49" s="1" t="n"/>
      <c r="B49" s="1" t="n"/>
      <c r="C49" s="6" t="n"/>
      <c r="D49" s="6" t="n"/>
      <c r="E49" s="6" t="n"/>
      <c r="F49" s="6" t="n"/>
      <c r="G49" s="6" t="n"/>
      <c r="H49" s="6" t="n"/>
      <c r="I49" s="6" t="n"/>
      <c r="J49" s="1" t="n"/>
      <c r="K49" s="5" t="inlineStr">
        <is>
          <t>曜津饲养点</t>
        </is>
      </c>
      <c r="L49" s="6">
        <f>SUM(M49:R49)</f>
        <v/>
      </c>
      <c r="M49" s="6" t="n"/>
      <c r="N49" s="6" t="n">
        <v>2.24</v>
      </c>
      <c r="O49" s="6" t="n"/>
      <c r="P49" s="6" t="n"/>
      <c r="Q49" s="6" t="n"/>
      <c r="R49" s="6" t="n"/>
    </row>
    <row r="50" ht="20" customHeight="1" s="15">
      <c r="A50" s="1" t="n"/>
      <c r="B50" s="1" t="n"/>
      <c r="C50" s="6" t="n"/>
      <c r="D50" s="6" t="n"/>
      <c r="E50" s="6" t="n"/>
      <c r="F50" s="6" t="n"/>
      <c r="G50" s="6" t="n"/>
      <c r="H50" s="6" t="n"/>
      <c r="I50" s="6" t="n"/>
      <c r="J50" s="1" t="n"/>
      <c r="K50" s="5" t="inlineStr">
        <is>
          <t>螭渊养殖基地</t>
        </is>
      </c>
      <c r="L50" s="6">
        <f>SUM(M50:R50)</f>
        <v/>
      </c>
      <c r="M50" s="6" t="n"/>
      <c r="N50" s="6" t="n"/>
      <c r="O50" s="6" t="n">
        <v>3.36</v>
      </c>
      <c r="P50" s="6" t="n"/>
      <c r="Q50" s="6" t="n"/>
      <c r="R50" s="6" t="n"/>
    </row>
    <row r="51" ht="20" customHeight="1" s="15">
      <c r="A51" s="1" t="n"/>
      <c r="B51" s="1" t="n"/>
      <c r="C51" s="6" t="n"/>
      <c r="D51" s="6" t="n"/>
      <c r="E51" s="6" t="n"/>
      <c r="F51" s="6" t="n"/>
      <c r="G51" s="6" t="n"/>
      <c r="H51" s="6" t="n"/>
      <c r="I51" s="6" t="n"/>
      <c r="J51" s="1" t="n"/>
      <c r="K51" s="5" t="inlineStr">
        <is>
          <t>安浔家庭农场</t>
        </is>
      </c>
      <c r="L51" s="6">
        <f>SUM(M51:R51)</f>
        <v/>
      </c>
      <c r="M51" s="6" t="n"/>
      <c r="N51" s="6" t="n">
        <v>0.68</v>
      </c>
      <c r="O51" s="6" t="n"/>
      <c r="P51" s="6" t="n"/>
      <c r="Q51" s="6" t="n"/>
      <c r="R51" s="6" t="n"/>
    </row>
    <row r="52" ht="20" customHeight="1" s="15">
      <c r="A52" s="1" t="n"/>
      <c r="B52" s="1" t="n"/>
      <c r="C52" s="6" t="n"/>
      <c r="D52" s="6" t="n"/>
      <c r="E52" s="6" t="n"/>
      <c r="F52" s="6" t="n"/>
      <c r="G52" s="6" t="n"/>
      <c r="H52" s="6" t="n"/>
      <c r="I52" s="6" t="n"/>
      <c r="J52" s="1" t="n"/>
      <c r="K52" s="5" t="inlineStr">
        <is>
          <t>聿辰农牧社</t>
        </is>
      </c>
      <c r="L52" s="6">
        <f>SUM(M52:R52)</f>
        <v/>
      </c>
      <c r="M52" s="6" t="n"/>
      <c r="N52" s="6" t="n">
        <v>1.88</v>
      </c>
      <c r="O52" s="6" t="n">
        <v>0.18</v>
      </c>
      <c r="P52" s="6" t="n"/>
      <c r="Q52" s="6" t="n"/>
      <c r="R52" s="6" t="n"/>
    </row>
    <row r="53" ht="20" customHeight="1" s="15">
      <c r="A53" s="1" t="n"/>
      <c r="B53" s="1" t="n"/>
      <c r="C53" s="6" t="n"/>
      <c r="D53" s="6" t="n"/>
      <c r="E53" s="6" t="n"/>
      <c r="F53" s="6" t="n"/>
      <c r="G53" s="6" t="n"/>
      <c r="H53" s="6" t="n"/>
      <c r="I53" s="6" t="n"/>
      <c r="J53" s="1" t="n"/>
      <c r="K53" s="5" t="inlineStr">
        <is>
          <t>砚漾合作养殖场</t>
        </is>
      </c>
      <c r="L53" s="6">
        <f>SUM(M53:R53)</f>
        <v/>
      </c>
      <c r="M53" s="6" t="n"/>
      <c r="N53" s="6" t="n">
        <v>0.5600000000000001</v>
      </c>
      <c r="O53" s="6" t="n"/>
      <c r="P53" s="6" t="n"/>
      <c r="Q53" s="6" t="n"/>
      <c r="R53" s="6" t="n"/>
    </row>
    <row r="54" ht="20" customHeight="1" s="15">
      <c r="A54" s="1" t="n"/>
      <c r="B54" s="1" t="n"/>
      <c r="C54" s="6" t="n"/>
      <c r="D54" s="6" t="n"/>
      <c r="E54" s="6" t="n"/>
      <c r="F54" s="6" t="n"/>
      <c r="G54" s="6" t="n"/>
      <c r="H54" s="6" t="n"/>
      <c r="I54" s="6" t="n"/>
      <c r="J54" s="1" t="n"/>
      <c r="K54" s="7" t="inlineStr">
        <is>
          <t>小计</t>
        </is>
      </c>
      <c r="L54" s="8">
        <f>SUM(L19:L53)</f>
        <v/>
      </c>
      <c r="M54" s="8">
        <f>SUM(M19:M53)</f>
        <v/>
      </c>
      <c r="N54" s="8">
        <f>SUM(N19:N53)</f>
        <v/>
      </c>
      <c r="O54" s="8">
        <f>SUM(O19:O53)</f>
        <v/>
      </c>
      <c r="P54" s="8">
        <f>SUM(P19:P53)</f>
        <v/>
      </c>
      <c r="Q54" s="8">
        <f>SUM(Q19:Q53)</f>
        <v/>
      </c>
      <c r="R54" s="8">
        <f>SUM(R19:R53)</f>
        <v/>
      </c>
    </row>
    <row r="55" ht="20" customHeight="1" s="15">
      <c r="A55" s="1" t="n"/>
      <c r="B55" s="1" t="n"/>
      <c r="C55" s="6" t="n"/>
      <c r="D55" s="6" t="n"/>
      <c r="E55" s="6" t="n"/>
      <c r="F55" s="6" t="n"/>
      <c r="G55" s="6" t="n"/>
      <c r="H55" s="6" t="n"/>
      <c r="I55" s="6" t="n"/>
      <c r="J55" s="1" t="n"/>
      <c r="K55" s="1" t="n"/>
      <c r="L55" s="6" t="n"/>
      <c r="M55" s="6" t="n"/>
      <c r="N55" s="6" t="n"/>
      <c r="O55" s="6" t="n"/>
      <c r="P55" s="6" t="n"/>
      <c r="Q55" s="6" t="n"/>
      <c r="R55" s="6" t="n"/>
    </row>
    <row r="56" ht="20" customHeight="1" s="15">
      <c r="A56" s="1" t="n"/>
      <c r="B56" s="1" t="n"/>
      <c r="C56" s="6" t="n"/>
      <c r="D56" s="6" t="n"/>
      <c r="E56" s="6" t="n"/>
      <c r="F56" s="6" t="n"/>
      <c r="G56" s="6" t="n"/>
      <c r="H56" s="6" t="n"/>
      <c r="I56" s="6" t="n"/>
      <c r="J56" s="1" t="n"/>
      <c r="K56" s="1" t="n"/>
      <c r="L56" s="6" t="n"/>
      <c r="M56" s="6" t="n"/>
      <c r="N56" s="6" t="n"/>
      <c r="O56" s="6" t="n"/>
      <c r="P56" s="6" t="n"/>
      <c r="Q56" s="6" t="n"/>
      <c r="R56" s="6" t="n"/>
    </row>
    <row r="57" ht="20" customHeight="1" s="15">
      <c r="A57" s="1" t="n"/>
      <c r="B57" s="7" t="inlineStr">
        <is>
          <t>小计</t>
        </is>
      </c>
      <c r="C57" s="8">
        <f>SUM(C40:C46)</f>
        <v/>
      </c>
      <c r="D57" s="8">
        <f>SUM(D40:D46)</f>
        <v/>
      </c>
      <c r="E57" s="8">
        <f>SUM(E40:E46)</f>
        <v/>
      </c>
      <c r="F57" s="8">
        <f>SUM(F40:F46)</f>
        <v/>
      </c>
      <c r="G57" s="8">
        <f>SUM(G40:G46)</f>
        <v/>
      </c>
      <c r="H57" s="8">
        <f>SUM(H40:H46)</f>
        <v/>
      </c>
      <c r="I57" s="8">
        <f>SUM(I40:I46)</f>
        <v/>
      </c>
      <c r="J57" s="1" t="n"/>
      <c r="K57" s="13" t="inlineStr">
        <is>
          <t>合计</t>
        </is>
      </c>
      <c r="L57" s="14">
        <f>C12+L12+C25+L54+C57</f>
        <v/>
      </c>
      <c r="M57" s="6" t="n"/>
      <c r="N57" s="6" t="n"/>
      <c r="O57" s="6" t="n"/>
      <c r="P57" s="6" t="n"/>
      <c r="Q57" s="6" t="n"/>
      <c r="R57" s="6" t="n"/>
    </row>
    <row r="58" ht="20" customHeight="1" s="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inlineStr">
        <is>
          <t>制表：渠道运营部</t>
        </is>
      </c>
      <c r="Q58" s="1" t="n"/>
      <c r="R58" s="1" t="n"/>
    </row>
  </sheetData>
  <mergeCells count="1">
    <mergeCell ref="B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13" customWidth="1" style="15" min="2" max="2"/>
    <col width="12" customWidth="1" style="15" min="3" max="3"/>
    <col width="16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</cols>
  <sheetData>
    <row r="1" ht="30" customHeight="1" s="15">
      <c r="A1" s="16" t="inlineStr">
        <is>
          <t>2026年区域渠道销量客户分类汇总</t>
        </is>
      </c>
    </row>
    <row r="2" ht="32" customHeight="1" s="15">
      <c r="A2" s="17" t="inlineStr">
        <is>
          <t>来源：12月明细；销售单 连塘合作养殖社 / 育成期配合饲料 / 1600kg 已换算为 1.60 吨后计入保育/育肥料。</t>
        </is>
      </c>
    </row>
    <row r="4" ht="28" customHeight="1" s="15">
      <c r="A4" s="18" t="inlineStr">
        <is>
          <t>客户名称</t>
        </is>
      </c>
      <c r="B4" s="18" t="inlineStr">
        <is>
          <t>数量(吨)</t>
        </is>
      </c>
      <c r="C4" s="18" t="inlineStr">
        <is>
          <t>开口料</t>
        </is>
      </c>
      <c r="D4" s="18" t="inlineStr">
        <is>
          <t>保育/育肥料</t>
        </is>
      </c>
      <c r="E4" s="18" t="inlineStr">
        <is>
          <t>蛋禽料</t>
        </is>
      </c>
      <c r="F4" s="18" t="inlineStr">
        <is>
          <t>水禽料</t>
        </is>
      </c>
      <c r="G4" s="18" t="inlineStr">
        <is>
          <t>沉水鱼料</t>
        </is>
      </c>
      <c r="H4" s="18" t="inlineStr">
        <is>
          <t>浮水鱼料</t>
        </is>
      </c>
    </row>
    <row r="5" ht="21" customHeight="1" s="15">
      <c r="A5" s="19" t="inlineStr">
        <is>
          <t>暮野生态养殖场</t>
        </is>
      </c>
      <c r="B5" s="20">
        <f>SUM(C5:H5)</f>
        <v/>
      </c>
      <c r="C5" s="20">
        <f>'12月'!D5</f>
        <v/>
      </c>
      <c r="D5" s="20">
        <f>'12月'!E5</f>
        <v/>
      </c>
      <c r="E5" s="20">
        <f>'12月'!F5</f>
        <v/>
      </c>
      <c r="F5" s="20">
        <f>'12月'!G5</f>
        <v/>
      </c>
      <c r="G5" s="20">
        <f>'12月'!H5</f>
        <v/>
      </c>
      <c r="H5" s="20">
        <f>'12月'!I5</f>
        <v/>
      </c>
    </row>
    <row r="6" ht="21" customHeight="1" s="15">
      <c r="A6" s="21" t="inlineStr">
        <is>
          <t>苍樾农牧合作社</t>
        </is>
      </c>
      <c r="B6" s="22">
        <f>SUM(C6:H6)</f>
        <v/>
      </c>
      <c r="C6" s="22">
        <f>'12月'!D6</f>
        <v/>
      </c>
      <c r="D6" s="22">
        <f>'12月'!E6</f>
        <v/>
      </c>
      <c r="E6" s="22">
        <f>'12月'!F6</f>
        <v/>
      </c>
      <c r="F6" s="22">
        <f>'12月'!G6</f>
        <v/>
      </c>
      <c r="G6" s="22">
        <f>'12月'!H6</f>
        <v/>
      </c>
      <c r="H6" s="22">
        <f>'12月'!I6</f>
        <v/>
      </c>
    </row>
    <row r="7" ht="21" customHeight="1" s="15">
      <c r="A7" s="19" t="inlineStr">
        <is>
          <t>泠泽家庭农场</t>
        </is>
      </c>
      <c r="B7" s="20">
        <f>SUM(C7:H7)</f>
        <v/>
      </c>
      <c r="C7" s="20">
        <f>'12月'!D7</f>
        <v/>
      </c>
      <c r="D7" s="20">
        <f>'12月'!E7</f>
        <v/>
      </c>
      <c r="E7" s="20">
        <f>'12月'!F7</f>
        <v/>
      </c>
      <c r="F7" s="20">
        <f>'12月'!G7</f>
        <v/>
      </c>
      <c r="G7" s="20">
        <f>'12月'!H7</f>
        <v/>
      </c>
      <c r="H7" s="20">
        <f>'12月'!I7</f>
        <v/>
      </c>
    </row>
    <row r="8" ht="21" customHeight="1" s="15">
      <c r="A8" s="21" t="inlineStr">
        <is>
          <t>芪牧饲养基地</t>
        </is>
      </c>
      <c r="B8" s="22">
        <f>SUM(C8:H8)</f>
        <v/>
      </c>
      <c r="C8" s="22">
        <f>'12月'!D8</f>
        <v/>
      </c>
      <c r="D8" s="22">
        <f>'12月'!E8</f>
        <v/>
      </c>
      <c r="E8" s="22">
        <f>'12月'!F8</f>
        <v/>
      </c>
      <c r="F8" s="22">
        <f>'12月'!G8</f>
        <v/>
      </c>
      <c r="G8" s="22">
        <f>'12月'!H8</f>
        <v/>
      </c>
      <c r="H8" s="22">
        <f>'12月'!I8</f>
        <v/>
      </c>
    </row>
    <row r="9" ht="21" customHeight="1" s="15">
      <c r="A9" s="19" t="inlineStr">
        <is>
          <t>槿谷养殖点</t>
        </is>
      </c>
      <c r="B9" s="20">
        <f>SUM(C9:H9)</f>
        <v/>
      </c>
      <c r="C9" s="20">
        <f>'12月'!D9</f>
        <v/>
      </c>
      <c r="D9" s="20">
        <f>'12月'!E9</f>
        <v/>
      </c>
      <c r="E9" s="20">
        <f>'12月'!F9</f>
        <v/>
      </c>
      <c r="F9" s="20">
        <f>'12月'!G9</f>
        <v/>
      </c>
      <c r="G9" s="20">
        <f>'12月'!H9</f>
        <v/>
      </c>
      <c r="H9" s="20">
        <f>'12月'!I9</f>
        <v/>
      </c>
    </row>
    <row r="10" ht="21" customHeight="1" s="15">
      <c r="A10" s="21" t="inlineStr">
        <is>
          <t>砚滨牧业服务站</t>
        </is>
      </c>
      <c r="B10" s="22">
        <f>SUM(C10:H10)</f>
        <v/>
      </c>
      <c r="C10" s="22">
        <f>'12月'!D10</f>
        <v/>
      </c>
      <c r="D10" s="22">
        <f>'12月'!E10</f>
        <v/>
      </c>
      <c r="E10" s="22">
        <f>'12月'!F10</f>
        <v/>
      </c>
      <c r="F10" s="22">
        <f>'12月'!G10</f>
        <v/>
      </c>
      <c r="G10" s="22">
        <f>'12月'!H10</f>
        <v/>
      </c>
      <c r="H10" s="22">
        <f>'12月'!I10</f>
        <v/>
      </c>
    </row>
    <row r="11" ht="21" customHeight="1" s="15">
      <c r="A11" s="19" t="inlineStr">
        <is>
          <t>芜畴联合养殖场</t>
        </is>
      </c>
      <c r="B11" s="20">
        <f>SUM(C11:H11)</f>
        <v/>
      </c>
      <c r="C11" s="20">
        <f>'12月'!M5</f>
        <v/>
      </c>
      <c r="D11" s="20">
        <f>'12月'!N5</f>
        <v/>
      </c>
      <c r="E11" s="20">
        <f>'12月'!O5</f>
        <v/>
      </c>
      <c r="F11" s="20">
        <f>'12月'!P5</f>
        <v/>
      </c>
      <c r="G11" s="20">
        <f>'12月'!Q5</f>
        <v/>
      </c>
      <c r="H11" s="20">
        <f>'12月'!R5</f>
        <v/>
      </c>
    </row>
    <row r="12" ht="21" customHeight="1" s="15">
      <c r="A12" s="21" t="inlineStr">
        <is>
          <t>沧隅牧业合作社</t>
        </is>
      </c>
      <c r="B12" s="22">
        <f>SUM(C12:H12)</f>
        <v/>
      </c>
      <c r="C12" s="22">
        <f>'12月'!M6</f>
        <v/>
      </c>
      <c r="D12" s="22">
        <f>'12月'!N6</f>
        <v/>
      </c>
      <c r="E12" s="22">
        <f>'12月'!O6</f>
        <v/>
      </c>
      <c r="F12" s="22">
        <f>'12月'!P6</f>
        <v/>
      </c>
      <c r="G12" s="22">
        <f>'12月'!Q6</f>
        <v/>
      </c>
      <c r="H12" s="22">
        <f>'12月'!R6</f>
        <v/>
      </c>
    </row>
    <row r="13" ht="21" customHeight="1" s="15">
      <c r="A13" s="19" t="inlineStr">
        <is>
          <t>汀沿饲养中心</t>
        </is>
      </c>
      <c r="B13" s="20">
        <f>SUM(C13:H13)</f>
        <v/>
      </c>
      <c r="C13" s="20">
        <f>'12月'!M7</f>
        <v/>
      </c>
      <c r="D13" s="20">
        <f>'12月'!N7</f>
        <v/>
      </c>
      <c r="E13" s="20">
        <f>'12月'!O7</f>
        <v/>
      </c>
      <c r="F13" s="20">
        <f>'12月'!P7</f>
        <v/>
      </c>
      <c r="G13" s="20">
        <f>'12月'!Q7</f>
        <v/>
      </c>
      <c r="H13" s="20">
        <f>'12月'!R7</f>
        <v/>
      </c>
    </row>
    <row r="14" ht="21" customHeight="1" s="15">
      <c r="A14" s="21" t="inlineStr">
        <is>
          <t>星溯湾养殖场</t>
        </is>
      </c>
      <c r="B14" s="22">
        <f>SUM(C14:H14)</f>
        <v/>
      </c>
      <c r="C14" s="22">
        <f>'12月'!D19</f>
        <v/>
      </c>
      <c r="D14" s="22">
        <f>'12月'!E19</f>
        <v/>
      </c>
      <c r="E14" s="22">
        <f>'12月'!F19</f>
        <v/>
      </c>
      <c r="F14" s="22">
        <f>'12月'!G19</f>
        <v/>
      </c>
      <c r="G14" s="22">
        <f>'12月'!H19</f>
        <v/>
      </c>
      <c r="H14" s="22">
        <f>'12月'!I19</f>
        <v/>
      </c>
    </row>
    <row r="15" ht="21" customHeight="1" s="15">
      <c r="A15" s="19" t="inlineStr">
        <is>
          <t>镜渊农牧社</t>
        </is>
      </c>
      <c r="B15" s="20">
        <f>SUM(C15:H15)</f>
        <v/>
      </c>
      <c r="C15" s="20">
        <f>'12月'!D20</f>
        <v/>
      </c>
      <c r="D15" s="20">
        <f>'12月'!E20</f>
        <v/>
      </c>
      <c r="E15" s="20">
        <f>'12月'!F20</f>
        <v/>
      </c>
      <c r="F15" s="20">
        <f>'12月'!G20</f>
        <v/>
      </c>
      <c r="G15" s="20">
        <f>'12月'!H20</f>
        <v/>
      </c>
      <c r="H15" s="20">
        <f>'12月'!I20</f>
        <v/>
      </c>
    </row>
    <row r="16" ht="21" customHeight="1" s="15">
      <c r="A16" s="21" t="inlineStr">
        <is>
          <t>岫岩育养基地</t>
        </is>
      </c>
      <c r="B16" s="22">
        <f>SUM(C16:H16)</f>
        <v/>
      </c>
      <c r="C16" s="22">
        <f>'12月'!D21</f>
        <v/>
      </c>
      <c r="D16" s="22">
        <f>'12月'!E21</f>
        <v/>
      </c>
      <c r="E16" s="22">
        <f>'12月'!F21</f>
        <v/>
      </c>
      <c r="F16" s="22">
        <f>'12月'!G21</f>
        <v/>
      </c>
      <c r="G16" s="22">
        <f>'12月'!H21</f>
        <v/>
      </c>
      <c r="H16" s="22">
        <f>'12月'!I21</f>
        <v/>
      </c>
    </row>
    <row r="17" ht="21" customHeight="1" s="15">
      <c r="A17" s="19" t="inlineStr">
        <is>
          <t>渡川家庭农场</t>
        </is>
      </c>
      <c r="B17" s="20">
        <f>SUM(C17:H17)</f>
        <v/>
      </c>
      <c r="C17" s="20">
        <f>'12月'!D22</f>
        <v/>
      </c>
      <c r="D17" s="20">
        <f>'12月'!E22</f>
        <v/>
      </c>
      <c r="E17" s="20">
        <f>'12月'!F22</f>
        <v/>
      </c>
      <c r="F17" s="20">
        <f>'12月'!G22</f>
        <v/>
      </c>
      <c r="G17" s="20">
        <f>'12月'!H22</f>
        <v/>
      </c>
      <c r="H17" s="20">
        <f>'12月'!I22</f>
        <v/>
      </c>
    </row>
    <row r="18" ht="21" customHeight="1" s="15">
      <c r="A18" s="21" t="inlineStr">
        <is>
          <t>暮岑合作养殖点</t>
        </is>
      </c>
      <c r="B18" s="22">
        <f>SUM(C18:H18)</f>
        <v/>
      </c>
      <c r="C18" s="22">
        <f>'12月'!D23</f>
        <v/>
      </c>
      <c r="D18" s="22">
        <f>'12月'!E23</f>
        <v/>
      </c>
      <c r="E18" s="22">
        <f>'12月'!F23</f>
        <v/>
      </c>
      <c r="F18" s="22">
        <f>'12月'!G23</f>
        <v/>
      </c>
      <c r="G18" s="22">
        <f>'12月'!H23</f>
        <v/>
      </c>
      <c r="H18" s="22">
        <f>'12月'!I23</f>
        <v/>
      </c>
    </row>
    <row r="19" ht="21" customHeight="1" s="15">
      <c r="A19" s="19" t="inlineStr">
        <is>
          <t>涧埠饲养服务部</t>
        </is>
      </c>
      <c r="B19" s="20">
        <f>SUM(C19:H19)</f>
        <v/>
      </c>
      <c r="C19" s="20">
        <f>'12月'!D24</f>
        <v/>
      </c>
      <c r="D19" s="20">
        <f>'12月'!E24</f>
        <v/>
      </c>
      <c r="E19" s="20">
        <f>'12月'!F24</f>
        <v/>
      </c>
      <c r="F19" s="20">
        <f>'12月'!G24</f>
        <v/>
      </c>
      <c r="G19" s="20">
        <f>'12月'!H24</f>
        <v/>
      </c>
      <c r="H19" s="20">
        <f>'12月'!I24</f>
        <v/>
      </c>
    </row>
    <row r="20" ht="21" customHeight="1" s="15">
      <c r="A20" s="21" t="inlineStr">
        <is>
          <t>祁朔农牧场</t>
        </is>
      </c>
      <c r="B20" s="22">
        <f>SUM(C20:H20)</f>
        <v/>
      </c>
      <c r="C20" s="22">
        <f>'12月'!M19</f>
        <v/>
      </c>
      <c r="D20" s="22">
        <f>'12月'!N19</f>
        <v/>
      </c>
      <c r="E20" s="22">
        <f>'12月'!O19</f>
        <v/>
      </c>
      <c r="F20" s="22">
        <f>'12月'!P19</f>
        <v/>
      </c>
      <c r="G20" s="22">
        <f>'12月'!Q19</f>
        <v/>
      </c>
      <c r="H20" s="22">
        <f>'12月'!R19</f>
        <v/>
      </c>
    </row>
    <row r="21" ht="21" customHeight="1" s="15">
      <c r="A21" s="19" t="inlineStr">
        <is>
          <t>栀隅合作社</t>
        </is>
      </c>
      <c r="B21" s="20">
        <f>SUM(C21:H21)</f>
        <v/>
      </c>
      <c r="C21" s="20">
        <f>'12月'!M20</f>
        <v/>
      </c>
      <c r="D21" s="20">
        <f>'12月'!N20</f>
        <v/>
      </c>
      <c r="E21" s="20">
        <f>'12月'!O20</f>
        <v/>
      </c>
      <c r="F21" s="20">
        <f>'12月'!P20</f>
        <v/>
      </c>
      <c r="G21" s="20">
        <f>'12月'!Q20</f>
        <v/>
      </c>
      <c r="H21" s="20">
        <f>'12月'!R20</f>
        <v/>
      </c>
    </row>
    <row r="22" ht="21" customHeight="1" s="15">
      <c r="A22" s="21" t="inlineStr">
        <is>
          <t>阑渚养殖基地</t>
        </is>
      </c>
      <c r="B22" s="22">
        <f>SUM(C22:H22)</f>
        <v/>
      </c>
      <c r="C22" s="22">
        <f>'12月'!M21</f>
        <v/>
      </c>
      <c r="D22" s="22">
        <f>'12月'!N21</f>
        <v/>
      </c>
      <c r="E22" s="22">
        <f>'12月'!O21</f>
        <v/>
      </c>
      <c r="F22" s="22">
        <f>'12月'!P21</f>
        <v/>
      </c>
      <c r="G22" s="22">
        <f>'12月'!Q21</f>
        <v/>
      </c>
      <c r="H22" s="22">
        <f>'12月'!R21</f>
        <v/>
      </c>
    </row>
    <row r="23" ht="21" customHeight="1" s="15">
      <c r="A23" s="19" t="inlineStr">
        <is>
          <t>沧浔家庭农场</t>
        </is>
      </c>
      <c r="B23" s="20">
        <f>SUM(C23:H23)</f>
        <v/>
      </c>
      <c r="C23" s="20">
        <f>'12月'!M22</f>
        <v/>
      </c>
      <c r="D23" s="20">
        <f>'12月'!N22</f>
        <v/>
      </c>
      <c r="E23" s="20">
        <f>'12月'!O22</f>
        <v/>
      </c>
      <c r="F23" s="20">
        <f>'12月'!P22</f>
        <v/>
      </c>
      <c r="G23" s="20">
        <f>'12月'!Q22</f>
        <v/>
      </c>
      <c r="H23" s="20">
        <f>'12月'!R22</f>
        <v/>
      </c>
    </row>
    <row r="24" ht="21" customHeight="1" s="15">
      <c r="A24" s="21" t="inlineStr">
        <is>
          <t>苇汀育养中心</t>
        </is>
      </c>
      <c r="B24" s="22">
        <f>SUM(C24:H24)</f>
        <v/>
      </c>
      <c r="C24" s="22">
        <f>'12月'!M23</f>
        <v/>
      </c>
      <c r="D24" s="22">
        <f>'12月'!N23</f>
        <v/>
      </c>
      <c r="E24" s="22">
        <f>'12月'!O23</f>
        <v/>
      </c>
      <c r="F24" s="22">
        <f>'12月'!P23</f>
        <v/>
      </c>
      <c r="G24" s="22">
        <f>'12月'!Q23</f>
        <v/>
      </c>
      <c r="H24" s="22">
        <f>'12月'!R23</f>
        <v/>
      </c>
    </row>
    <row r="25" ht="21" customHeight="1" s="15">
      <c r="A25" s="19" t="inlineStr">
        <is>
          <t>泠漾农牧服务站</t>
        </is>
      </c>
      <c r="B25" s="20">
        <f>SUM(C25:H25)</f>
        <v/>
      </c>
      <c r="C25" s="20">
        <f>'12月'!M24</f>
        <v/>
      </c>
      <c r="D25" s="20">
        <f>'12月'!N24</f>
        <v/>
      </c>
      <c r="E25" s="20">
        <f>'12月'!O24</f>
        <v/>
      </c>
      <c r="F25" s="20">
        <f>'12月'!P24</f>
        <v/>
      </c>
      <c r="G25" s="20">
        <f>'12月'!Q24</f>
        <v/>
      </c>
      <c r="H25" s="20">
        <f>'12月'!R24</f>
        <v/>
      </c>
    </row>
    <row r="26" ht="21" customHeight="1" s="15">
      <c r="A26" s="21" t="inlineStr">
        <is>
          <t>茴湾饲养点</t>
        </is>
      </c>
      <c r="B26" s="22">
        <f>SUM(C26:H26)</f>
        <v/>
      </c>
      <c r="C26" s="22">
        <f>'12月'!M25</f>
        <v/>
      </c>
      <c r="D26" s="22">
        <f>'12月'!N25</f>
        <v/>
      </c>
      <c r="E26" s="22">
        <f>'12月'!O25</f>
        <v/>
      </c>
      <c r="F26" s="22">
        <f>'12月'!P25</f>
        <v/>
      </c>
      <c r="G26" s="22">
        <f>'12月'!Q25</f>
        <v/>
      </c>
      <c r="H26" s="22">
        <f>'12月'!R25</f>
        <v/>
      </c>
    </row>
    <row r="27" ht="21" customHeight="1" s="15">
      <c r="A27" s="19" t="inlineStr">
        <is>
          <t>峤南农牧场</t>
        </is>
      </c>
      <c r="B27" s="20">
        <f>SUM(C27:H27)</f>
        <v/>
      </c>
      <c r="C27" s="20">
        <f>'12月'!M26</f>
        <v/>
      </c>
      <c r="D27" s="20">
        <f>'12月'!N26</f>
        <v/>
      </c>
      <c r="E27" s="20">
        <f>'12月'!O26</f>
        <v/>
      </c>
      <c r="F27" s="20">
        <f>'12月'!P26</f>
        <v/>
      </c>
      <c r="G27" s="20">
        <f>'12月'!Q26</f>
        <v/>
      </c>
      <c r="H27" s="20">
        <f>'12月'!R26</f>
        <v/>
      </c>
    </row>
    <row r="28" ht="21" customHeight="1" s="15">
      <c r="A28" s="21" t="inlineStr">
        <is>
          <t>潇涧合作养殖场</t>
        </is>
      </c>
      <c r="B28" s="22">
        <f>SUM(C28:H28)</f>
        <v/>
      </c>
      <c r="C28" s="22">
        <f>'12月'!M27</f>
        <v/>
      </c>
      <c r="D28" s="22">
        <f>'12月'!N27</f>
        <v/>
      </c>
      <c r="E28" s="22">
        <f>'12月'!O27</f>
        <v/>
      </c>
      <c r="F28" s="22">
        <f>'12月'!P27</f>
        <v/>
      </c>
      <c r="G28" s="22">
        <f>'12月'!Q27</f>
        <v/>
      </c>
      <c r="H28" s="22">
        <f>'12月'!R27</f>
        <v/>
      </c>
    </row>
    <row r="29" ht="21" customHeight="1" s="15">
      <c r="A29" s="19" t="inlineStr">
        <is>
          <t>筠筱养殖社</t>
        </is>
      </c>
      <c r="B29" s="20">
        <f>SUM(C29:H29)</f>
        <v/>
      </c>
      <c r="C29" s="20">
        <f>'12月'!M28</f>
        <v/>
      </c>
      <c r="D29" s="20">
        <f>'12月'!N28</f>
        <v/>
      </c>
      <c r="E29" s="20">
        <f>'12月'!O28</f>
        <v/>
      </c>
      <c r="F29" s="20">
        <f>'12月'!P28</f>
        <v/>
      </c>
      <c r="G29" s="20">
        <f>'12月'!Q28</f>
        <v/>
      </c>
      <c r="H29" s="20">
        <f>'12月'!R28</f>
        <v/>
      </c>
    </row>
    <row r="30" ht="21" customHeight="1" s="15">
      <c r="A30" s="21" t="inlineStr">
        <is>
          <t>荞墟农牧基地</t>
        </is>
      </c>
      <c r="B30" s="22">
        <f>SUM(C30:H30)</f>
        <v/>
      </c>
      <c r="C30" s="22">
        <f>'12月'!M29</f>
        <v/>
      </c>
      <c r="D30" s="22">
        <f>'12月'!N29</f>
        <v/>
      </c>
      <c r="E30" s="22">
        <f>'12月'!O29</f>
        <v/>
      </c>
      <c r="F30" s="22">
        <f>'12月'!P29</f>
        <v/>
      </c>
      <c r="G30" s="22">
        <f>'12月'!Q29</f>
        <v/>
      </c>
      <c r="H30" s="22">
        <f>'12月'!R29</f>
        <v/>
      </c>
    </row>
    <row r="31" ht="21" customHeight="1" s="15">
      <c r="A31" s="19" t="inlineStr">
        <is>
          <t>芃洲饲养中心</t>
        </is>
      </c>
      <c r="B31" s="20">
        <f>SUM(C31:H31)</f>
        <v/>
      </c>
      <c r="C31" s="20">
        <f>'12月'!M30</f>
        <v/>
      </c>
      <c r="D31" s="20">
        <f>'12月'!N30</f>
        <v/>
      </c>
      <c r="E31" s="20">
        <f>'12月'!O30</f>
        <v/>
      </c>
      <c r="F31" s="20">
        <f>'12月'!P30</f>
        <v/>
      </c>
      <c r="G31" s="20">
        <f>'12月'!Q30</f>
        <v/>
      </c>
      <c r="H31" s="20">
        <f>'12月'!R30</f>
        <v/>
      </c>
    </row>
    <row r="32" ht="21" customHeight="1" s="15">
      <c r="A32" s="21" t="inlineStr">
        <is>
          <t>西墟联营农场</t>
        </is>
      </c>
      <c r="B32" s="22">
        <f>SUM(C32:H32)</f>
        <v/>
      </c>
      <c r="C32" s="22">
        <f>'12月'!M31</f>
        <v/>
      </c>
      <c r="D32" s="22">
        <f>'12月'!N31</f>
        <v/>
      </c>
      <c r="E32" s="22">
        <f>'12月'!O31</f>
        <v/>
      </c>
      <c r="F32" s="22">
        <f>'12月'!P31</f>
        <v/>
      </c>
      <c r="G32" s="22">
        <f>'12月'!Q31</f>
        <v/>
      </c>
      <c r="H32" s="22">
        <f>'12月'!R31</f>
        <v/>
      </c>
    </row>
    <row r="33" ht="21" customHeight="1" s="15">
      <c r="A33" s="19" t="inlineStr">
        <is>
          <t>檀汐家庭牧场</t>
        </is>
      </c>
      <c r="B33" s="20">
        <f>SUM(C33:H33)</f>
        <v/>
      </c>
      <c r="C33" s="20">
        <f>'12月'!M32</f>
        <v/>
      </c>
      <c r="D33" s="20">
        <f>'12月'!N32</f>
        <v/>
      </c>
      <c r="E33" s="20">
        <f>'12月'!O32</f>
        <v/>
      </c>
      <c r="F33" s="20">
        <f>'12月'!P32</f>
        <v/>
      </c>
      <c r="G33" s="20">
        <f>'12月'!Q32</f>
        <v/>
      </c>
      <c r="H33" s="20">
        <f>'12月'!R32</f>
        <v/>
      </c>
    </row>
    <row r="34" ht="21" customHeight="1" s="15">
      <c r="A34" s="21" t="inlineStr">
        <is>
          <t>漠汀生态养殖场</t>
        </is>
      </c>
      <c r="B34" s="22">
        <f>SUM(C34:H34)</f>
        <v/>
      </c>
      <c r="C34" s="22">
        <f>'12月'!M33</f>
        <v/>
      </c>
      <c r="D34" s="22">
        <f>'12月'!N33</f>
        <v/>
      </c>
      <c r="E34" s="22">
        <f>'12月'!O33</f>
        <v/>
      </c>
      <c r="F34" s="22">
        <f>'12月'!P33</f>
        <v/>
      </c>
      <c r="G34" s="22">
        <f>'12月'!Q33</f>
        <v/>
      </c>
      <c r="H34" s="22">
        <f>'12月'!R33</f>
        <v/>
      </c>
    </row>
    <row r="35" ht="21" customHeight="1" s="15">
      <c r="A35" s="19" t="inlineStr">
        <is>
          <t>沧漾农牧社</t>
        </is>
      </c>
      <c r="B35" s="20">
        <f>SUM(C35:H35)</f>
        <v/>
      </c>
      <c r="C35" s="20">
        <f>'12月'!M34</f>
        <v/>
      </c>
      <c r="D35" s="20">
        <f>'12月'!N34</f>
        <v/>
      </c>
      <c r="E35" s="20">
        <f>'12月'!O34</f>
        <v/>
      </c>
      <c r="F35" s="20">
        <f>'12月'!P34</f>
        <v/>
      </c>
      <c r="G35" s="20">
        <f>'12月'!Q34</f>
        <v/>
      </c>
      <c r="H35" s="20">
        <f>'12月'!R34</f>
        <v/>
      </c>
    </row>
    <row r="36" ht="21" customHeight="1" s="15">
      <c r="A36" s="21" t="inlineStr">
        <is>
          <t>岚川育养基地</t>
        </is>
      </c>
      <c r="B36" s="22">
        <f>SUM(C36:H36)</f>
        <v/>
      </c>
      <c r="C36" s="22">
        <f>'12月'!M35</f>
        <v/>
      </c>
      <c r="D36" s="22">
        <f>'12月'!N35</f>
        <v/>
      </c>
      <c r="E36" s="22">
        <f>'12月'!O35</f>
        <v/>
      </c>
      <c r="F36" s="22">
        <f>'12月'!P35</f>
        <v/>
      </c>
      <c r="G36" s="22">
        <f>'12月'!Q35</f>
        <v/>
      </c>
      <c r="H36" s="22">
        <f>'12月'!R35</f>
        <v/>
      </c>
    </row>
    <row r="37" ht="21" customHeight="1" s="15">
      <c r="A37" s="19" t="inlineStr">
        <is>
          <t>岑峦合作社</t>
        </is>
      </c>
      <c r="B37" s="20">
        <f>SUM(C37:H37)</f>
        <v/>
      </c>
      <c r="C37" s="20">
        <f>'12月'!M36</f>
        <v/>
      </c>
      <c r="D37" s="20">
        <f>'12月'!N36</f>
        <v/>
      </c>
      <c r="E37" s="20">
        <f>'12月'!O36</f>
        <v/>
      </c>
      <c r="F37" s="20">
        <f>'12月'!P36</f>
        <v/>
      </c>
      <c r="G37" s="20">
        <f>'12月'!Q36</f>
        <v/>
      </c>
      <c r="H37" s="20">
        <f>'12月'!R36</f>
        <v/>
      </c>
    </row>
    <row r="38" ht="21" customHeight="1" s="15">
      <c r="A38" s="21" t="inlineStr">
        <is>
          <t>桧杉养殖点</t>
        </is>
      </c>
      <c r="B38" s="22">
        <f>SUM(C38:H38)</f>
        <v/>
      </c>
      <c r="C38" s="22">
        <f>'12月'!M37</f>
        <v/>
      </c>
      <c r="D38" s="22">
        <f>'12月'!N37</f>
        <v/>
      </c>
      <c r="E38" s="22">
        <f>'12月'!O37</f>
        <v/>
      </c>
      <c r="F38" s="22">
        <f>'12月'!P37</f>
        <v/>
      </c>
      <c r="G38" s="22">
        <f>'12月'!Q37</f>
        <v/>
      </c>
      <c r="H38" s="22">
        <f>'12月'!R37</f>
        <v/>
      </c>
    </row>
    <row r="39" ht="21" customHeight="1" s="15">
      <c r="A39" s="19" t="inlineStr">
        <is>
          <t>缥涧农牧场</t>
        </is>
      </c>
      <c r="B39" s="20">
        <f>SUM(C39:H39)</f>
        <v/>
      </c>
      <c r="C39" s="20">
        <f>'12月'!M38</f>
        <v/>
      </c>
      <c r="D39" s="20">
        <f>'12月'!N38</f>
        <v/>
      </c>
      <c r="E39" s="20">
        <f>'12月'!O38</f>
        <v/>
      </c>
      <c r="F39" s="20">
        <f>'12月'!P38</f>
        <v/>
      </c>
      <c r="G39" s="20">
        <f>'12月'!Q38</f>
        <v/>
      </c>
      <c r="H39" s="20">
        <f>'12月'!R38</f>
        <v/>
      </c>
    </row>
    <row r="40" ht="21" customHeight="1" s="15">
      <c r="A40" s="21" t="inlineStr">
        <is>
          <t>西渚饲养中心</t>
        </is>
      </c>
      <c r="B40" s="22">
        <f>SUM(C40:H40)</f>
        <v/>
      </c>
      <c r="C40" s="22">
        <f>'12月'!M39</f>
        <v/>
      </c>
      <c r="D40" s="22">
        <f>'12月'!N39</f>
        <v/>
      </c>
      <c r="E40" s="22">
        <f>'12月'!O39</f>
        <v/>
      </c>
      <c r="F40" s="22">
        <f>'12月'!P39</f>
        <v/>
      </c>
      <c r="G40" s="22">
        <f>'12月'!Q39</f>
        <v/>
      </c>
      <c r="H40" s="22">
        <f>'12月'!R39</f>
        <v/>
      </c>
    </row>
    <row r="41" ht="21" customHeight="1" s="15">
      <c r="A41" s="19" t="inlineStr">
        <is>
          <t>玄径生态农场</t>
        </is>
      </c>
      <c r="B41" s="20">
        <f>SUM(C41:H41)</f>
        <v/>
      </c>
      <c r="C41" s="20">
        <f>'12月'!M40</f>
        <v/>
      </c>
      <c r="D41" s="20">
        <f>'12月'!N40</f>
        <v/>
      </c>
      <c r="E41" s="20">
        <f>'12月'!O40</f>
        <v/>
      </c>
      <c r="F41" s="20">
        <f>'12月'!P40</f>
        <v/>
      </c>
      <c r="G41" s="20">
        <f>'12月'!Q40</f>
        <v/>
      </c>
      <c r="H41" s="20">
        <f>'12月'!R40</f>
        <v/>
      </c>
    </row>
    <row r="42" ht="21" customHeight="1" s="15">
      <c r="A42" s="21" t="inlineStr">
        <is>
          <t>连塘合作养殖社</t>
        </is>
      </c>
      <c r="B42" s="22">
        <f>SUM(C42:H42)</f>
        <v/>
      </c>
      <c r="C42" s="22">
        <f>'12月'!M41</f>
        <v/>
      </c>
      <c r="D42" s="22">
        <f>'12月'!N41</f>
        <v/>
      </c>
      <c r="E42" s="22">
        <f>'12月'!O41</f>
        <v/>
      </c>
      <c r="F42" s="22">
        <f>'12月'!P41</f>
        <v/>
      </c>
      <c r="G42" s="22">
        <f>'12月'!Q41</f>
        <v/>
      </c>
      <c r="H42" s="22">
        <f>'12月'!R41</f>
        <v/>
      </c>
    </row>
    <row r="43" ht="21" customHeight="1" s="15">
      <c r="A43" s="19" t="inlineStr">
        <is>
          <t>汐野农牧基地</t>
        </is>
      </c>
      <c r="B43" s="20">
        <f>SUM(C43:H43)</f>
        <v/>
      </c>
      <c r="C43" s="20">
        <f>'12月'!M42</f>
        <v/>
      </c>
      <c r="D43" s="20">
        <f>'12月'!N42</f>
        <v/>
      </c>
      <c r="E43" s="20">
        <f>'12月'!O42</f>
        <v/>
      </c>
      <c r="F43" s="20">
        <f>'12月'!P42</f>
        <v/>
      </c>
      <c r="G43" s="20">
        <f>'12月'!Q42</f>
        <v/>
      </c>
      <c r="H43" s="20">
        <f>'12月'!R42</f>
        <v/>
      </c>
    </row>
    <row r="44" ht="21" customHeight="1" s="15">
      <c r="A44" s="21" t="inlineStr">
        <is>
          <t>琉湾牧业服务部</t>
        </is>
      </c>
      <c r="B44" s="22">
        <f>SUM(C44:H44)</f>
        <v/>
      </c>
      <c r="C44" s="22">
        <f>'12月'!M43</f>
        <v/>
      </c>
      <c r="D44" s="22">
        <f>'12月'!N43</f>
        <v/>
      </c>
      <c r="E44" s="22">
        <f>'12月'!O43</f>
        <v/>
      </c>
      <c r="F44" s="22">
        <f>'12月'!P43</f>
        <v/>
      </c>
      <c r="G44" s="22">
        <f>'12月'!Q43</f>
        <v/>
      </c>
      <c r="H44" s="22">
        <f>'12月'!R43</f>
        <v/>
      </c>
    </row>
    <row r="45" ht="21" customHeight="1" s="15">
      <c r="A45" s="19" t="inlineStr">
        <is>
          <t>湄洲家庭农场</t>
        </is>
      </c>
      <c r="B45" s="20">
        <f>SUM(C45:H45)</f>
        <v/>
      </c>
      <c r="C45" s="20">
        <f>'12月'!M44</f>
        <v/>
      </c>
      <c r="D45" s="20">
        <f>'12月'!N44</f>
        <v/>
      </c>
      <c r="E45" s="20">
        <f>'12月'!O44</f>
        <v/>
      </c>
      <c r="F45" s="20">
        <f>'12月'!P44</f>
        <v/>
      </c>
      <c r="G45" s="20">
        <f>'12月'!Q44</f>
        <v/>
      </c>
      <c r="H45" s="20">
        <f>'12月'!R44</f>
        <v/>
      </c>
    </row>
    <row r="46" ht="21" customHeight="1" s="15">
      <c r="A46" s="21" t="inlineStr">
        <is>
          <t>玦岩联合养殖场</t>
        </is>
      </c>
      <c r="B46" s="22">
        <f>SUM(C46:H46)</f>
        <v/>
      </c>
      <c r="C46" s="22">
        <f>'12月'!M45</f>
        <v/>
      </c>
      <c r="D46" s="22">
        <f>'12月'!N45</f>
        <v/>
      </c>
      <c r="E46" s="22">
        <f>'12月'!O45</f>
        <v/>
      </c>
      <c r="F46" s="22">
        <f>'12月'!P45</f>
        <v/>
      </c>
      <c r="G46" s="22">
        <f>'12月'!Q45</f>
        <v/>
      </c>
      <c r="H46" s="22">
        <f>'12月'!R45</f>
        <v/>
      </c>
    </row>
    <row r="47" ht="21" customHeight="1" s="15">
      <c r="A47" s="19" t="inlineStr">
        <is>
          <t>砚辞生态牧场</t>
        </is>
      </c>
      <c r="B47" s="20">
        <f>SUM(C47:H47)</f>
        <v/>
      </c>
      <c r="C47" s="20">
        <f>'12月'!M46</f>
        <v/>
      </c>
      <c r="D47" s="20">
        <f>'12月'!N46</f>
        <v/>
      </c>
      <c r="E47" s="20">
        <f>'12月'!O46</f>
        <v/>
      </c>
      <c r="F47" s="20">
        <f>'12月'!P46</f>
        <v/>
      </c>
      <c r="G47" s="20">
        <f>'12月'!Q46</f>
        <v/>
      </c>
      <c r="H47" s="20">
        <f>'12月'!R46</f>
        <v/>
      </c>
    </row>
    <row r="48" ht="21" customHeight="1" s="15">
      <c r="A48" s="21" t="inlineStr">
        <is>
          <t>峥峦合作社</t>
        </is>
      </c>
      <c r="B48" s="22">
        <f>SUM(C48:H48)</f>
        <v/>
      </c>
      <c r="C48" s="22">
        <f>'12月'!M47</f>
        <v/>
      </c>
      <c r="D48" s="22">
        <f>'12月'!N47</f>
        <v/>
      </c>
      <c r="E48" s="22">
        <f>'12月'!O47</f>
        <v/>
      </c>
      <c r="F48" s="22">
        <f>'12月'!P47</f>
        <v/>
      </c>
      <c r="G48" s="22">
        <f>'12月'!Q47</f>
        <v/>
      </c>
      <c r="H48" s="22">
        <f>'12月'!R47</f>
        <v/>
      </c>
    </row>
    <row r="49" ht="21" customHeight="1" s="15">
      <c r="A49" s="19" t="inlineStr">
        <is>
          <t>泫川农牧场</t>
        </is>
      </c>
      <c r="B49" s="20">
        <f>SUM(C49:H49)</f>
        <v/>
      </c>
      <c r="C49" s="20">
        <f>'12月'!M48</f>
        <v/>
      </c>
      <c r="D49" s="20">
        <f>'12月'!N48</f>
        <v/>
      </c>
      <c r="E49" s="20">
        <f>'12月'!O48</f>
        <v/>
      </c>
      <c r="F49" s="20">
        <f>'12月'!P48</f>
        <v/>
      </c>
      <c r="G49" s="20">
        <f>'12月'!Q48</f>
        <v/>
      </c>
      <c r="H49" s="20">
        <f>'12月'!R48</f>
        <v/>
      </c>
    </row>
    <row r="50" ht="21" customHeight="1" s="15">
      <c r="A50" s="21" t="inlineStr">
        <is>
          <t>曜津饲养点</t>
        </is>
      </c>
      <c r="B50" s="22">
        <f>SUM(C50:H50)</f>
        <v/>
      </c>
      <c r="C50" s="22">
        <f>'12月'!M49</f>
        <v/>
      </c>
      <c r="D50" s="22">
        <f>'12月'!N49</f>
        <v/>
      </c>
      <c r="E50" s="22">
        <f>'12月'!O49</f>
        <v/>
      </c>
      <c r="F50" s="22">
        <f>'12月'!P49</f>
        <v/>
      </c>
      <c r="G50" s="22">
        <f>'12月'!Q49</f>
        <v/>
      </c>
      <c r="H50" s="22">
        <f>'12月'!R49</f>
        <v/>
      </c>
    </row>
    <row r="51" ht="21" customHeight="1" s="15">
      <c r="A51" s="19" t="inlineStr">
        <is>
          <t>螭渊养殖基地</t>
        </is>
      </c>
      <c r="B51" s="20">
        <f>SUM(C51:H51)</f>
        <v/>
      </c>
      <c r="C51" s="20">
        <f>'12月'!M50</f>
        <v/>
      </c>
      <c r="D51" s="20">
        <f>'12月'!N50</f>
        <v/>
      </c>
      <c r="E51" s="20">
        <f>'12月'!O50</f>
        <v/>
      </c>
      <c r="F51" s="20">
        <f>'12月'!P50</f>
        <v/>
      </c>
      <c r="G51" s="20">
        <f>'12月'!Q50</f>
        <v/>
      </c>
      <c r="H51" s="20">
        <f>'12月'!R50</f>
        <v/>
      </c>
    </row>
    <row r="52" ht="21" customHeight="1" s="15">
      <c r="A52" s="21" t="inlineStr">
        <is>
          <t>安浔家庭农场</t>
        </is>
      </c>
      <c r="B52" s="22">
        <f>SUM(C52:H52)</f>
        <v/>
      </c>
      <c r="C52" s="22">
        <f>'12月'!M51</f>
        <v/>
      </c>
      <c r="D52" s="22">
        <f>'12月'!N51</f>
        <v/>
      </c>
      <c r="E52" s="22">
        <f>'12月'!O51</f>
        <v/>
      </c>
      <c r="F52" s="22">
        <f>'12月'!P51</f>
        <v/>
      </c>
      <c r="G52" s="22">
        <f>'12月'!Q51</f>
        <v/>
      </c>
      <c r="H52" s="22">
        <f>'12月'!R51</f>
        <v/>
      </c>
    </row>
    <row r="53" ht="21" customHeight="1" s="15">
      <c r="A53" s="19" t="inlineStr">
        <is>
          <t>聿辰农牧社</t>
        </is>
      </c>
      <c r="B53" s="20">
        <f>SUM(C53:H53)</f>
        <v/>
      </c>
      <c r="C53" s="20">
        <f>'12月'!M52</f>
        <v/>
      </c>
      <c r="D53" s="20">
        <f>'12月'!N52</f>
        <v/>
      </c>
      <c r="E53" s="20">
        <f>'12月'!O52</f>
        <v/>
      </c>
      <c r="F53" s="20">
        <f>'12月'!P52</f>
        <v/>
      </c>
      <c r="G53" s="20">
        <f>'12月'!Q52</f>
        <v/>
      </c>
      <c r="H53" s="20">
        <f>'12月'!R52</f>
        <v/>
      </c>
    </row>
    <row r="54" ht="21" customHeight="1" s="15">
      <c r="A54" s="21" t="inlineStr">
        <is>
          <t>砚漾合作养殖场</t>
        </is>
      </c>
      <c r="B54" s="22">
        <f>SUM(C54:H54)</f>
        <v/>
      </c>
      <c r="C54" s="22">
        <f>'12月'!M53</f>
        <v/>
      </c>
      <c r="D54" s="22">
        <f>'12月'!N53</f>
        <v/>
      </c>
      <c r="E54" s="22">
        <f>'12月'!O53</f>
        <v/>
      </c>
      <c r="F54" s="22">
        <f>'12月'!P53</f>
        <v/>
      </c>
      <c r="G54" s="22">
        <f>'12月'!Q53</f>
        <v/>
      </c>
      <c r="H54" s="22">
        <f>'12月'!R53</f>
        <v/>
      </c>
    </row>
    <row r="55" ht="21" customHeight="1" s="15">
      <c r="A55" s="19" t="inlineStr">
        <is>
          <t>泠溪养殖合作社</t>
        </is>
      </c>
      <c r="B55" s="20">
        <f>SUM(C55:H55)</f>
        <v/>
      </c>
      <c r="C55" s="20">
        <f>'12月'!D40</f>
        <v/>
      </c>
      <c r="D55" s="20">
        <f>'12月'!E40</f>
        <v/>
      </c>
      <c r="E55" s="20">
        <f>'12月'!F40</f>
        <v/>
      </c>
      <c r="F55" s="20">
        <f>'12月'!G40</f>
        <v/>
      </c>
      <c r="G55" s="20">
        <f>'12月'!H40</f>
        <v/>
      </c>
      <c r="H55" s="20">
        <f>'12月'!I40</f>
        <v/>
      </c>
    </row>
    <row r="56" ht="21" customHeight="1" s="15">
      <c r="A56" s="21" t="inlineStr">
        <is>
          <t>攸禾家庭农场</t>
        </is>
      </c>
      <c r="B56" s="22">
        <f>SUM(C56:H56)</f>
        <v/>
      </c>
      <c r="C56" s="22">
        <f>'12月'!D41</f>
        <v/>
      </c>
      <c r="D56" s="22">
        <f>'12月'!E41</f>
        <v/>
      </c>
      <c r="E56" s="22">
        <f>'12月'!F41</f>
        <v/>
      </c>
      <c r="F56" s="22">
        <f>'12月'!G41</f>
        <v/>
      </c>
      <c r="G56" s="22">
        <f>'12月'!H41</f>
        <v/>
      </c>
      <c r="H56" s="22">
        <f>'12月'!I41</f>
        <v/>
      </c>
    </row>
    <row r="57" ht="21" customHeight="1" s="15">
      <c r="A57" s="19" t="inlineStr">
        <is>
          <t>景隅农牧场</t>
        </is>
      </c>
      <c r="B57" s="20">
        <f>SUM(C57:H57)</f>
        <v/>
      </c>
      <c r="C57" s="20">
        <f>'12月'!D42</f>
        <v/>
      </c>
      <c r="D57" s="20">
        <f>'12月'!E42</f>
        <v/>
      </c>
      <c r="E57" s="20">
        <f>'12月'!F42</f>
        <v/>
      </c>
      <c r="F57" s="20">
        <f>'12月'!G42</f>
        <v/>
      </c>
      <c r="G57" s="20">
        <f>'12月'!H42</f>
        <v/>
      </c>
      <c r="H57" s="20">
        <f>'12月'!I42</f>
        <v/>
      </c>
    </row>
    <row r="58" ht="21" customHeight="1" s="15">
      <c r="A58" s="21" t="inlineStr">
        <is>
          <t>栖林生态养殖场</t>
        </is>
      </c>
      <c r="B58" s="22">
        <f>SUM(C58:H58)</f>
        <v/>
      </c>
      <c r="C58" s="22">
        <f>'12月'!D43</f>
        <v/>
      </c>
      <c r="D58" s="22">
        <f>'12月'!E43</f>
        <v/>
      </c>
      <c r="E58" s="22">
        <f>'12月'!F43</f>
        <v/>
      </c>
      <c r="F58" s="22">
        <f>'12月'!G43</f>
        <v/>
      </c>
      <c r="G58" s="22">
        <f>'12月'!H43</f>
        <v/>
      </c>
      <c r="H58" s="22">
        <f>'12月'!I43</f>
        <v/>
      </c>
    </row>
    <row r="59" ht="21" customHeight="1" s="15">
      <c r="A59" s="19" t="inlineStr">
        <is>
          <t>檀峰饲养中心</t>
        </is>
      </c>
      <c r="B59" s="20">
        <f>SUM(C59:H59)</f>
        <v/>
      </c>
      <c r="C59" s="20">
        <f>'12月'!D44</f>
        <v/>
      </c>
      <c r="D59" s="20">
        <f>'12月'!E44</f>
        <v/>
      </c>
      <c r="E59" s="20">
        <f>'12月'!F44</f>
        <v/>
      </c>
      <c r="F59" s="20">
        <f>'12月'!G44</f>
        <v/>
      </c>
      <c r="G59" s="20">
        <f>'12月'!H44</f>
        <v/>
      </c>
      <c r="H59" s="20">
        <f>'12月'!I44</f>
        <v/>
      </c>
    </row>
    <row r="60" ht="21" customHeight="1" s="15">
      <c r="A60" s="21" t="inlineStr">
        <is>
          <t>青岑合作养殖社</t>
        </is>
      </c>
      <c r="B60" s="22">
        <f>SUM(C60:H60)</f>
        <v/>
      </c>
      <c r="C60" s="22">
        <f>'12月'!D45</f>
        <v/>
      </c>
      <c r="D60" s="22">
        <f>'12月'!E45</f>
        <v/>
      </c>
      <c r="E60" s="22">
        <f>'12月'!F45</f>
        <v/>
      </c>
      <c r="F60" s="22">
        <f>'12月'!G45</f>
        <v/>
      </c>
      <c r="G60" s="22">
        <f>'12月'!H45</f>
        <v/>
      </c>
      <c r="H60" s="22">
        <f>'12月'!I45</f>
        <v/>
      </c>
    </row>
    <row r="61" ht="21" customHeight="1" s="15">
      <c r="A61" s="19" t="inlineStr">
        <is>
          <t>景言农牧基地</t>
        </is>
      </c>
      <c r="B61" s="20">
        <f>SUM(C61:H61)</f>
        <v/>
      </c>
      <c r="C61" s="20">
        <f>'12月'!D46</f>
        <v/>
      </c>
      <c r="D61" s="20">
        <f>'12月'!E46</f>
        <v/>
      </c>
      <c r="E61" s="20">
        <f>'12月'!F46</f>
        <v/>
      </c>
      <c r="F61" s="20">
        <f>'12月'!G46</f>
        <v/>
      </c>
      <c r="G61" s="20">
        <f>'12月'!H46</f>
        <v/>
      </c>
      <c r="H61" s="20">
        <f>'12月'!I46</f>
        <v/>
      </c>
    </row>
    <row r="62" ht="23" customHeight="1" s="15">
      <c r="A62" s="23" t="inlineStr">
        <is>
          <t>合计</t>
        </is>
      </c>
      <c r="B62" s="24">
        <f>SUM(B5:B61)</f>
        <v/>
      </c>
      <c r="C62" s="24">
        <f>SUM(C5:C61)</f>
        <v/>
      </c>
      <c r="D62" s="24">
        <f>SUM(D5:D61)</f>
        <v/>
      </c>
      <c r="E62" s="24">
        <f>SUM(E5:E61)</f>
        <v/>
      </c>
      <c r="F62" s="24">
        <f>SUM(F5:F61)</f>
        <v/>
      </c>
      <c r="G62" s="24">
        <f>SUM(G5:G61)</f>
        <v/>
      </c>
      <c r="H62" s="24">
        <f>SUM(H5:H61)</f>
        <v/>
      </c>
    </row>
  </sheetData>
  <autoFilter ref="A4:H61"/>
  <mergeCells count="2">
    <mergeCell ref="A2:H2"/>
    <mergeCell ref="A1:H1"/>
  </mergeCells>
  <pageMargins left="0.25" right="0.25" top="0.45" bottom="0.4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2026-08-23T20:47:05Z</dcterms:created>
  <dcterms:modified xmlns:dcterms="http://purl.org/dc/terms/" xmlns:xsi="http://www.w3.org/2001/XMLSchema-instance" xsi:type="dcterms:W3CDTF">2026-08-23T20:47:06Z</dcterms:modified>
</cp:coreProperties>
</file>