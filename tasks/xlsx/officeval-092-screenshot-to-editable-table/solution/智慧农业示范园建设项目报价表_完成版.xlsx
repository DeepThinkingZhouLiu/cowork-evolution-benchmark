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智慧农业报价表" sheetId="1" state="visible" r:id="rId1"/>
    <sheet xmlns:r="http://schemas.openxmlformats.org/officeDocument/2006/relationships" name="费用类别" sheetId="2" state="visible" r:id="rId2"/>
  </sheets>
  <definedNames>
    <definedName name="_xlnm.Print_Area" localSheetId="0">'智慧农业报价表'!$A$1:$J$124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.0%"/>
  </numFmts>
  <fonts count="37">
    <font>
      <name val="Carlito"/>
      <charset val="134"/>
      <sz val="11"/>
    </font>
    <font>
      <name val="微软雅黑"/>
      <charset val="134"/>
      <b val="1"/>
      <color rgb="FF111827"/>
      <sz val="10"/>
    </font>
    <font>
      <name val="微软雅黑"/>
      <charset val="134"/>
      <color rgb="FF111827"/>
      <sz val="10"/>
    </font>
    <font>
      <name val="微软雅黑"/>
      <charset val="134"/>
      <b val="1"/>
      <color rgb="FFFFFFFF"/>
      <sz val="18"/>
    </font>
    <font>
      <name val="微软雅黑"/>
      <charset val="134"/>
      <b val="1"/>
      <color rgb="FF1F4E3D"/>
      <sz val="10"/>
    </font>
    <font>
      <name val="微软雅黑"/>
      <charset val="134"/>
      <sz val="11"/>
    </font>
    <font>
      <name val="微软雅黑"/>
      <charset val="134"/>
      <b val="1"/>
      <color rgb="FF1F4E3D"/>
      <sz val="11"/>
    </font>
    <font>
      <name val="微软雅黑"/>
      <charset val="134"/>
      <b val="1"/>
      <color rgb="FFFFFFFF"/>
      <sz val="10"/>
    </font>
    <font>
      <name val="黑体"/>
      <charset val="134"/>
      <color rgb="FF111827"/>
      <sz val="10"/>
    </font>
    <font>
      <name val="Calibri"/>
      <charset val="134"/>
      <color rgb="FF111827"/>
      <sz val="10"/>
      <scheme val="major"/>
    </font>
    <font>
      <name val="等线 Light"/>
      <charset val="134"/>
      <color rgb="FF111827"/>
      <sz val="10"/>
    </font>
    <font>
      <name val="宋体"/>
      <charset val="134"/>
      <color rgb="FF111827"/>
      <sz val="10"/>
    </font>
    <font>
      <name val="微软雅黑"/>
      <charset val="134"/>
      <b val="1"/>
      <color rgb="FFFFFFFF"/>
      <sz val="11"/>
    </font>
    <font>
      <name val="Times New Roman"/>
      <charset val="134"/>
      <color rgb="FF111827"/>
      <sz val="10"/>
    </font>
    <font>
      <name val="Calibri"/>
      <charset val="134"/>
      <color theme="1"/>
      <sz val="11"/>
      <scheme val="minor"/>
    </font>
    <font>
      <name val="Times New Roman"/>
      <charset val="134"/>
      <b val="1"/>
      <color rgb="FF111827"/>
      <sz val="10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微软雅黑"/>
      <color rgb="00000000"/>
      <sz val="10"/>
    </font>
    <font>
      <name val="微软雅黑"/>
      <b val="1"/>
      <color rgb="00000000"/>
      <sz val="10"/>
    </font>
  </fonts>
  <fills count="40">
    <fill>
      <patternFill/>
    </fill>
    <fill>
      <patternFill patternType="gray125"/>
    </fill>
    <fill>
      <patternFill patternType="solid">
        <fgColor rgb="FF2F7D62"/>
        <bgColor indexed="64"/>
      </patternFill>
    </fill>
    <fill>
      <patternFill patternType="solid">
        <fgColor rgb="FF1F4E3D"/>
        <bgColor indexed="64"/>
      </patternFill>
    </fill>
    <fill>
      <patternFill patternType="solid">
        <fgColor rgb="FFF4FAF7"/>
        <bgColor indexed="64"/>
      </patternFill>
    </fill>
    <fill>
      <patternFill patternType="solid">
        <fgColor rgb="FFDDEF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1F4E3D"/>
      </left>
      <right style="thin">
        <color rgb="FF1F4E3D"/>
      </right>
      <top style="thin">
        <color rgb="FF1F4E3D"/>
      </top>
      <bottom style="thin">
        <color rgb="FF1F4E3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1F4E3D"/>
      </top>
      <bottom/>
      <diagonal/>
    </border>
    <border>
      <left/>
      <right style="thin">
        <color rgb="FF1F4E3D"/>
      </right>
      <top style="thin">
        <color rgb="FF1F4E3D"/>
      </top>
      <bottom/>
      <diagonal/>
    </border>
    <border>
      <left/>
      <right/>
      <top style="thin">
        <color rgb="FF1F4E3D"/>
      </top>
      <bottom style="thin">
        <color rgb="FF1F4E3D"/>
      </bottom>
      <diagonal/>
    </border>
    <border>
      <left/>
      <right style="thin">
        <color rgb="FF1F4E3D"/>
      </right>
      <top style="thin">
        <color rgb="FF1F4E3D"/>
      </top>
      <bottom style="thin">
        <color rgb="FF1F4E3D"/>
      </bottom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50">
    <xf numFmtId="0" fontId="14" fillId="0" borderId="0" applyAlignment="1">
      <alignment vertical="center"/>
    </xf>
    <xf numFmtId="43" fontId="14" fillId="0" borderId="0" applyAlignment="1">
      <alignment vertical="center"/>
    </xf>
    <xf numFmtId="44" fontId="14" fillId="0" borderId="0" applyAlignment="1">
      <alignment vertical="center"/>
    </xf>
    <xf numFmtId="9" fontId="14" fillId="0" borderId="0" applyAlignment="1">
      <alignment vertical="center"/>
    </xf>
    <xf numFmtId="41" fontId="14" fillId="0" borderId="0" applyAlignment="1">
      <alignment vertical="center"/>
    </xf>
    <xf numFmtId="42" fontId="14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4" fillId="9" borderId="4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5" applyAlignment="1">
      <alignment vertical="center"/>
    </xf>
    <xf numFmtId="0" fontId="22" fillId="0" borderId="5" applyAlignment="1">
      <alignment vertical="center"/>
    </xf>
    <xf numFmtId="0" fontId="23" fillId="0" borderId="6" applyAlignment="1">
      <alignment vertical="center"/>
    </xf>
    <xf numFmtId="0" fontId="23" fillId="0" borderId="0" applyAlignment="1">
      <alignment vertical="center"/>
    </xf>
    <xf numFmtId="0" fontId="24" fillId="10" borderId="7" applyAlignment="1">
      <alignment vertical="center"/>
    </xf>
    <xf numFmtId="0" fontId="25" fillId="11" borderId="8" applyAlignment="1">
      <alignment vertical="center"/>
    </xf>
    <xf numFmtId="0" fontId="26" fillId="11" borderId="7" applyAlignment="1">
      <alignment vertical="center"/>
    </xf>
    <xf numFmtId="0" fontId="27" fillId="12" borderId="9" applyAlignment="1">
      <alignment vertical="center"/>
    </xf>
    <xf numFmtId="0" fontId="28" fillId="0" borderId="10" applyAlignment="1">
      <alignment vertical="center"/>
    </xf>
    <xf numFmtId="0" fontId="29" fillId="0" borderId="11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2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33" fillId="36" borderId="0" applyAlignment="1">
      <alignment vertical="center"/>
    </xf>
    <xf numFmtId="0" fontId="34" fillId="37" borderId="0" applyAlignment="1">
      <alignment vertical="center"/>
    </xf>
    <xf numFmtId="0" fontId="34" fillId="38" borderId="0" applyAlignment="1">
      <alignment vertical="center"/>
    </xf>
    <xf numFmtId="0" fontId="33" fillId="39" borderId="0" applyAlignment="1">
      <alignment vertical="center"/>
    </xf>
    <xf numFmtId="0" fontId="0" fillId="0" borderId="0"/>
  </cellStyleXfs>
  <cellXfs count="85">
    <xf numFmtId="0" fontId="0" fillId="0" borderId="0" pivotButton="0" quotePrefix="0" xfId="49"/>
    <xf numFmtId="0" fontId="1" fillId="2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vertical="center" wrapText="1"/>
    </xf>
    <xf numFmtId="0" fontId="3" fillId="3" borderId="2" applyAlignment="1" pivotButton="0" quotePrefix="0" xfId="49">
      <alignment horizontal="center" vertical="center"/>
    </xf>
    <xf numFmtId="0" fontId="3" fillId="3" borderId="2" applyAlignment="1" pivotButton="0" quotePrefix="0" xfId="49">
      <alignment horizontal="left" vertical="center"/>
    </xf>
    <xf numFmtId="0" fontId="3" fillId="3" borderId="2" applyAlignment="1" pivotButton="0" quotePrefix="0" xfId="49">
      <alignment horizontal="right" vertical="center"/>
    </xf>
    <xf numFmtId="0" fontId="4" fillId="4" borderId="1" applyAlignment="1" pivotButton="0" quotePrefix="0" xfId="49">
      <alignment horizontal="center" vertical="center" wrapText="1"/>
    </xf>
    <xf numFmtId="0" fontId="2" fillId="4" borderId="1" applyAlignment="1" pivotButton="0" quotePrefix="0" xfId="49">
      <alignment horizontal="left" vertical="center" wrapText="1"/>
    </xf>
    <xf numFmtId="0" fontId="4" fillId="4" borderId="1" applyAlignment="1" pivotButton="0" quotePrefix="0" xfId="49">
      <alignment horizontal="left" vertical="center" wrapText="1"/>
    </xf>
    <xf numFmtId="0" fontId="2" fillId="4" borderId="1" applyAlignment="1" pivotButton="0" quotePrefix="0" xfId="49">
      <alignment horizontal="center" vertical="center" wrapText="1"/>
    </xf>
    <xf numFmtId="164" fontId="2" fillId="4" borderId="1" applyAlignment="1" pivotButton="0" quotePrefix="0" xfId="49">
      <alignment horizontal="right" vertical="center" wrapText="1"/>
    </xf>
    <xf numFmtId="0" fontId="4" fillId="4" borderId="1" applyAlignment="1" pivotButton="0" quotePrefix="0" xfId="49">
      <alignment horizontal="right" vertical="center" wrapText="1"/>
    </xf>
    <xf numFmtId="0" fontId="2" fillId="4" borderId="1" applyAlignment="1" pivotButton="0" quotePrefix="0" xfId="49">
      <alignment horizontal="right" vertical="center" wrapText="1"/>
    </xf>
    <xf numFmtId="0" fontId="5" fillId="0" borderId="0" applyAlignment="1" pivotButton="0" quotePrefix="0" xfId="49">
      <alignment horizontal="center"/>
    </xf>
    <xf numFmtId="0" fontId="5" fillId="0" borderId="0" applyAlignment="1" pivotButton="0" quotePrefix="0" xfId="49">
      <alignment horizontal="left"/>
    </xf>
    <xf numFmtId="0" fontId="5" fillId="0" borderId="0" applyAlignment="1" pivotButton="0" quotePrefix="0" xfId="49">
      <alignment horizontal="right"/>
    </xf>
    <xf numFmtId="0" fontId="6" fillId="5" borderId="1" applyAlignment="1" pivotButton="0" quotePrefix="0" xfId="49">
      <alignment horizontal="center" vertical="center" wrapText="1"/>
    </xf>
    <xf numFmtId="0" fontId="6" fillId="5" borderId="1" applyAlignment="1" pivotButton="0" quotePrefix="0" xfId="49">
      <alignment horizontal="left" vertical="center" wrapText="1"/>
    </xf>
    <xf numFmtId="0" fontId="6" fillId="5" borderId="1" applyAlignment="1" pivotButton="0" quotePrefix="0" xfId="49">
      <alignment horizontal="right" vertical="center" wrapText="1"/>
    </xf>
    <xf numFmtId="0" fontId="7" fillId="2" borderId="3" applyAlignment="1" pivotButton="0" quotePrefix="0" xfId="49">
      <alignment horizontal="center" vertical="center" wrapText="1"/>
    </xf>
    <xf numFmtId="0" fontId="7" fillId="2" borderId="3" applyAlignment="1" pivotButton="0" quotePrefix="0" xfId="49">
      <alignment horizontal="left" vertical="center" wrapText="1"/>
    </xf>
    <xf numFmtId="0" fontId="7" fillId="2" borderId="3" applyAlignment="1" pivotButton="0" quotePrefix="0" xfId="49">
      <alignment horizontal="right" vertical="center" wrapText="1"/>
    </xf>
    <xf numFmtId="0" fontId="2" fillId="0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4" fontId="2" fillId="0" borderId="1" applyAlignment="1" pivotButton="0" quotePrefix="0" xfId="49">
      <alignment horizontal="right" vertical="center" wrapText="1"/>
    </xf>
    <xf numFmtId="165" fontId="2" fillId="0" borderId="1" applyAlignment="1" pivotButton="0" quotePrefix="0" xfId="49">
      <alignment horizontal="right" vertical="center" wrapText="1"/>
    </xf>
    <xf numFmtId="0" fontId="1" fillId="6" borderId="1" applyAlignment="1" pivotButton="0" quotePrefix="0" xfId="49">
      <alignment horizontal="center" vertical="center" wrapText="1"/>
    </xf>
    <xf numFmtId="0" fontId="1" fillId="6" borderId="1" applyAlignment="1" pivotButton="0" quotePrefix="0" xfId="49">
      <alignment horizontal="left" vertical="center" wrapText="1"/>
    </xf>
    <xf numFmtId="4" fontId="1" fillId="6" borderId="1" applyAlignment="1" pivotButton="0" quotePrefix="0" xfId="49">
      <alignment horizontal="right" vertical="center" wrapText="1"/>
    </xf>
    <xf numFmtId="165" fontId="1" fillId="6" borderId="1" applyAlignment="1" pivotButton="0" quotePrefix="0" xfId="49">
      <alignment horizontal="right" vertical="center" wrapText="1"/>
    </xf>
    <xf numFmtId="0" fontId="2" fillId="7" borderId="1" applyAlignment="1" pivotButton="0" quotePrefix="0" xfId="49">
      <alignment horizontal="center" vertical="top" wrapText="1"/>
    </xf>
    <xf numFmtId="0" fontId="2" fillId="7" borderId="1" applyAlignment="1" pivotButton="0" quotePrefix="0" xfId="49">
      <alignment horizontal="left" vertical="top" wrapText="1"/>
    </xf>
    <xf numFmtId="0" fontId="2" fillId="7" borderId="1" applyAlignment="1" pivotButton="0" quotePrefix="0" xfId="49">
      <alignment horizontal="right" vertical="top" wrapText="1"/>
    </xf>
    <xf numFmtId="0" fontId="4" fillId="8" borderId="1" applyAlignment="1" pivotButton="0" quotePrefix="0" xfId="49">
      <alignment horizontal="center" vertical="center" wrapText="1"/>
    </xf>
    <xf numFmtId="0" fontId="4" fillId="8" borderId="1" applyAlignment="1" pivotButton="0" quotePrefix="0" xfId="49">
      <alignment horizontal="left" vertical="center" wrapText="1"/>
    </xf>
    <xf numFmtId="0" fontId="4" fillId="8" borderId="1" applyAlignment="1" pivotButton="0" quotePrefix="0" xfId="49">
      <alignment horizontal="right" vertical="center" wrapText="1"/>
    </xf>
    <xf numFmtId="0" fontId="8" fillId="0" borderId="1" applyAlignment="1" pivotButton="0" quotePrefix="0" xfId="49">
      <alignment horizontal="left" vertical="center" wrapText="1"/>
    </xf>
    <xf numFmtId="4" fontId="2" fillId="0" borderId="1" applyAlignment="1" pivotButton="0" quotePrefix="0" xfId="49">
      <alignment horizontal="center" vertical="center" wrapText="1"/>
    </xf>
    <xf numFmtId="0" fontId="2" fillId="0" borderId="1" applyAlignment="1" pivotButton="0" quotePrefix="0" xfId="49">
      <alignment horizontal="right" vertical="center" wrapText="1"/>
    </xf>
    <xf numFmtId="0" fontId="8" fillId="4" borderId="1" applyAlignment="1" pivotButton="0" quotePrefix="0" xfId="49">
      <alignment horizontal="left" vertical="center" wrapText="1"/>
    </xf>
    <xf numFmtId="4" fontId="2" fillId="4" borderId="1" applyAlignment="1" pivotButton="0" quotePrefix="0" xfId="49">
      <alignment horizontal="center" vertical="center" wrapText="1"/>
    </xf>
    <xf numFmtId="4" fontId="2" fillId="4" borderId="1" applyAlignment="1" pivotButton="0" quotePrefix="0" xfId="49">
      <alignment horizontal="right" vertical="center" wrapText="1"/>
    </xf>
    <xf numFmtId="0" fontId="1" fillId="6" borderId="1" applyAlignment="1" pivotButton="0" quotePrefix="0" xfId="49">
      <alignment horizontal="right" vertical="center" wrapText="1"/>
    </xf>
    <xf numFmtId="0" fontId="9" fillId="0" borderId="1" applyAlignment="1" pivotButton="0" quotePrefix="0" xfId="49">
      <alignment horizontal="left" vertical="center" wrapText="1"/>
    </xf>
    <xf numFmtId="0" fontId="9" fillId="4" borderId="1" applyAlignment="1" pivotButton="0" quotePrefix="0" xfId="49">
      <alignment horizontal="left" vertical="center" wrapText="1"/>
    </xf>
    <xf numFmtId="0" fontId="10" fillId="4" borderId="1" applyAlignment="1" pivotButton="0" quotePrefix="0" xfId="49">
      <alignment horizontal="left" vertical="center" wrapText="1"/>
    </xf>
    <xf numFmtId="0" fontId="10" fillId="0" borderId="1" applyAlignment="1" pivotButton="0" quotePrefix="0" xfId="49">
      <alignment horizontal="left" vertical="center" wrapText="1"/>
    </xf>
    <xf numFmtId="0" fontId="11" fillId="4" borderId="1" applyAlignment="1" pivotButton="0" quotePrefix="0" xfId="49">
      <alignment horizontal="left" vertical="center" wrapText="1"/>
    </xf>
    <xf numFmtId="0" fontId="11" fillId="0" borderId="1" applyAlignment="1" pivotButton="0" quotePrefix="0" xfId="49">
      <alignment horizontal="left" vertical="center" wrapText="1"/>
    </xf>
    <xf numFmtId="0" fontId="12" fillId="3" borderId="2" applyAlignment="1" pivotButton="0" quotePrefix="0" xfId="49">
      <alignment horizontal="center" vertical="center" wrapText="1"/>
    </xf>
    <xf numFmtId="0" fontId="12" fillId="3" borderId="2" applyAlignment="1" pivotButton="0" quotePrefix="0" xfId="49">
      <alignment horizontal="left" vertical="center" wrapText="1"/>
    </xf>
    <xf numFmtId="0" fontId="12" fillId="3" borderId="2" applyAlignment="1" pivotButton="0" quotePrefix="0" xfId="49">
      <alignment horizontal="right" vertical="center" wrapText="1"/>
    </xf>
    <xf numFmtId="4" fontId="12" fillId="3" borderId="2" applyAlignment="1" pivotButton="0" quotePrefix="0" xfId="49">
      <alignment horizontal="right" vertical="center" wrapText="1"/>
    </xf>
    <xf numFmtId="4" fontId="13" fillId="4" borderId="1" applyAlignment="1" pivotButton="0" quotePrefix="0" xfId="49">
      <alignment horizontal="center" vertical="center" wrapText="1"/>
    </xf>
    <xf numFmtId="4" fontId="9" fillId="4" borderId="1" applyAlignment="1" pivotButton="0" quotePrefix="0" xfId="49">
      <alignment horizontal="right" vertical="center" wrapText="1"/>
    </xf>
    <xf numFmtId="4" fontId="13" fillId="0" borderId="1" applyAlignment="1" pivotButton="0" quotePrefix="0" xfId="49">
      <alignment horizontal="center" vertical="center" wrapText="1"/>
    </xf>
    <xf numFmtId="4" fontId="9" fillId="0" borderId="1" applyAlignment="1" pivotButton="0" quotePrefix="0" xfId="49">
      <alignment horizontal="right" vertical="center" wrapText="1"/>
    </xf>
    <xf numFmtId="0" fontId="14" fillId="0" borderId="0" applyAlignment="1" pivotButton="0" quotePrefix="0" xfId="0">
      <alignment vertical="center"/>
    </xf>
    <xf numFmtId="4" fontId="13" fillId="0" borderId="1" applyAlignment="1" pivotButton="0" quotePrefix="0" xfId="49">
      <alignment horizontal="right" vertical="center" wrapText="1"/>
    </xf>
    <xf numFmtId="4" fontId="13" fillId="4" borderId="1" applyAlignment="1" pivotButton="0" quotePrefix="0" xfId="49">
      <alignment horizontal="right" vertical="center" wrapText="1"/>
    </xf>
    <xf numFmtId="4" fontId="15" fillId="6" borderId="1" applyAlignment="1" pivotButton="0" quotePrefix="0" xfId="49">
      <alignment horizontal="right" vertical="center" wrapText="1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164" fontId="2" fillId="4" borderId="1" applyAlignment="1" pivotButton="0" quotePrefix="0" xfId="49">
      <alignment horizontal="right" vertical="center" wrapText="1"/>
    </xf>
    <xf numFmtId="0" fontId="0" fillId="0" borderId="18" pivotButton="0" quotePrefix="0" xfId="0"/>
    <xf numFmtId="0" fontId="0" fillId="0" borderId="19" pivotButton="0" quotePrefix="0" xfId="0"/>
    <xf numFmtId="0" fontId="35" fillId="0" borderId="1" applyAlignment="1" pivotButton="0" quotePrefix="0" xfId="49">
      <alignment horizontal="center" vertical="center" wrapText="1"/>
    </xf>
    <xf numFmtId="0" fontId="35" fillId="0" borderId="1" applyAlignment="1" pivotButton="0" quotePrefix="0" xfId="49">
      <alignment horizontal="left" vertical="center" wrapText="1"/>
    </xf>
    <xf numFmtId="4" fontId="35" fillId="0" borderId="1" applyAlignment="1" pivotButton="0" quotePrefix="0" xfId="49">
      <alignment horizontal="right" vertical="center" wrapText="1"/>
    </xf>
    <xf numFmtId="165" fontId="35" fillId="0" borderId="1" applyAlignment="1" pivotButton="0" quotePrefix="0" xfId="49">
      <alignment horizontal="right" vertical="center" wrapText="1"/>
    </xf>
    <xf numFmtId="0" fontId="36" fillId="6" borderId="1" applyAlignment="1" pivotButton="0" quotePrefix="0" xfId="49">
      <alignment horizontal="center" vertical="center" wrapText="1"/>
    </xf>
    <xf numFmtId="0" fontId="36" fillId="6" borderId="1" applyAlignment="1" pivotButton="0" quotePrefix="0" xfId="49">
      <alignment horizontal="left" vertical="center" wrapText="1"/>
    </xf>
    <xf numFmtId="4" fontId="36" fillId="6" borderId="1" applyAlignment="1" pivotButton="0" quotePrefix="0" xfId="49">
      <alignment horizontal="right" vertical="center" wrapText="1"/>
    </xf>
    <xf numFmtId="165" fontId="36" fillId="6" borderId="1" applyAlignment="1" pivotButton="0" quotePrefix="0" xfId="49">
      <alignment horizontal="right" vertical="center" wrapText="1"/>
    </xf>
    <xf numFmtId="4" fontId="35" fillId="0" borderId="1" applyAlignment="1" pivotButton="0" quotePrefix="0" xfId="49">
      <alignment horizontal="center" vertical="center" wrapText="1"/>
    </xf>
    <xf numFmtId="0" fontId="35" fillId="0" borderId="1" applyAlignment="1" pivotButton="0" quotePrefix="0" xfId="49">
      <alignment horizontal="right" vertical="center" wrapText="1"/>
    </xf>
    <xf numFmtId="0" fontId="35" fillId="4" borderId="1" applyAlignment="1" pivotButton="0" quotePrefix="0" xfId="49">
      <alignment horizontal="center" vertical="center" wrapText="1"/>
    </xf>
    <xf numFmtId="0" fontId="35" fillId="4" borderId="1" applyAlignment="1" pivotButton="0" quotePrefix="0" xfId="49">
      <alignment horizontal="left" vertical="center" wrapText="1"/>
    </xf>
    <xf numFmtId="4" fontId="35" fillId="4" borderId="1" applyAlignment="1" pivotButton="0" quotePrefix="0" xfId="49">
      <alignment horizontal="center" vertical="center" wrapText="1"/>
    </xf>
    <xf numFmtId="4" fontId="35" fillId="4" borderId="1" applyAlignment="1" pivotButton="0" quotePrefix="0" xfId="49">
      <alignment horizontal="right" vertical="center" wrapText="1"/>
    </xf>
    <xf numFmtId="0" fontId="35" fillId="4" borderId="1" applyAlignment="1" pivotButton="0" quotePrefix="0" xfId="49">
      <alignment horizontal="right" vertical="center" wrapText="1"/>
    </xf>
    <xf numFmtId="0" fontId="36" fillId="2" borderId="3" applyAlignment="1" pivotButton="0" quotePrefix="0" xfId="49">
      <alignment horizontal="center" vertical="center" wrapText="1"/>
    </xf>
    <xf numFmtId="0" fontId="36" fillId="2" borderId="3" applyAlignment="1" pivotButton="0" quotePrefix="0" xfId="49">
      <alignment horizontal="left" vertical="center" wrapText="1"/>
    </xf>
    <xf numFmtId="0" fontId="36" fillId="2" borderId="3" applyAlignment="1" pivotButton="0" quotePrefix="0" xfId="49">
      <alignment horizontal="righ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J125"/>
  <sheetViews>
    <sheetView tabSelected="1" topLeftCell="A103" workbookViewId="0">
      <selection activeCell="A119" sqref="A119:J119"/>
    </sheetView>
  </sheetViews>
  <sheetFormatPr baseColWidth="8" defaultColWidth="9" defaultRowHeight="14.25"/>
  <cols>
    <col width="8" customWidth="1" style="61" min="1" max="1"/>
    <col width="18" customWidth="1" style="61" min="2" max="2"/>
    <col width="28" customWidth="1" style="61" min="3" max="3"/>
    <col width="10" customWidth="1" style="61" min="4" max="4"/>
    <col width="8" customWidth="1" style="61" min="5" max="5"/>
    <col width="14" customWidth="1" style="61" min="6" max="6"/>
    <col width="16" customWidth="1" style="61" min="7" max="7"/>
    <col width="16" customWidth="1" style="61" min="8" max="8"/>
    <col width="20" customWidth="1" style="61" min="9" max="9"/>
    <col width="24" customWidth="1" style="61" min="10" max="10"/>
  </cols>
  <sheetData>
    <row r="1" ht="36" customHeight="1" s="61">
      <c r="A1" s="3" t="inlineStr">
        <is>
          <t>云谷智慧农业示范园建设项目报价表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3" t="n"/>
    </row>
    <row r="2" ht="31" customHeight="1" s="61">
      <c r="A2" s="6" t="inlineStr">
        <is>
          <t>报价单位</t>
        </is>
      </c>
      <c r="B2" s="7" t="inlineStr">
        <is>
          <t>青禾智造工程服务有限公司</t>
        </is>
      </c>
      <c r="C2" s="8" t="inlineStr">
        <is>
          <t>项目地点</t>
        </is>
      </c>
      <c r="D2" s="9" t="inlineStr">
        <is>
          <t>川北现代农业园区</t>
        </is>
      </c>
      <c r="E2" s="6" t="inlineStr">
        <is>
          <t>报价日期</t>
        </is>
      </c>
      <c r="F2" s="64" t="n">
        <v>46167</v>
      </c>
      <c r="G2" s="11" t="inlineStr">
        <is>
          <t>币种</t>
        </is>
      </c>
      <c r="H2" s="12" t="inlineStr">
        <is>
          <t>人民币</t>
        </is>
      </c>
      <c r="I2" s="8" t="inlineStr">
        <is>
          <t>有效期</t>
        </is>
      </c>
      <c r="J2" s="7" t="inlineStr">
        <is>
          <t>30天</t>
        </is>
      </c>
    </row>
    <row r="3" ht="31" customHeight="1" s="61">
      <c r="A3" s="6" t="inlineStr">
        <is>
          <t>项目规模</t>
        </is>
      </c>
      <c r="B3" s="7" t="inlineStr">
        <is>
          <t>智能温室约 8,600㎡</t>
        </is>
      </c>
      <c r="C3" s="8" t="inlineStr">
        <is>
          <t>建设周期</t>
        </is>
      </c>
      <c r="D3" s="9" t="inlineStr">
        <is>
          <t>90日历天</t>
        </is>
      </c>
      <c r="E3" s="6" t="inlineStr">
        <is>
          <t>报价口径</t>
        </is>
      </c>
      <c r="F3" s="12" t="inlineStr">
        <is>
          <t>含材料、安装、调试</t>
        </is>
      </c>
      <c r="G3" s="11" t="inlineStr">
        <is>
          <t>版本</t>
        </is>
      </c>
      <c r="H3" s="12" t="inlineStr">
        <is>
          <t>V2.0</t>
        </is>
      </c>
      <c r="I3" s="8" t="inlineStr">
        <is>
          <t>联系人</t>
        </is>
      </c>
      <c r="J3" s="7" t="inlineStr">
        <is>
          <t>商务部</t>
        </is>
      </c>
    </row>
    <row r="4" ht="16.5" customHeight="1" s="61">
      <c r="A4" s="13" t="n"/>
      <c r="B4" s="14" t="n"/>
      <c r="C4" s="14" t="n"/>
      <c r="D4" s="13" t="n"/>
      <c r="E4" s="13" t="n"/>
      <c r="F4" s="15" t="n"/>
      <c r="G4" s="15" t="n"/>
      <c r="H4" s="15" t="n"/>
      <c r="I4" s="14" t="n"/>
      <c r="J4" s="14" t="n"/>
    </row>
    <row r="5" ht="28" customHeight="1" s="61">
      <c r="A5" s="16" t="inlineStr">
        <is>
          <t>一、项目报价汇总</t>
        </is>
      </c>
      <c r="B5" s="65" t="n"/>
      <c r="C5" s="65" t="n"/>
      <c r="D5" s="65" t="n"/>
      <c r="E5" s="65" t="n"/>
      <c r="F5" s="65" t="n"/>
      <c r="G5" s="65" t="n"/>
      <c r="H5" s="65" t="n"/>
      <c r="I5" s="65" t="n"/>
      <c r="J5" s="66" t="n"/>
    </row>
    <row r="6" ht="24" customHeight="1" s="61">
      <c r="A6" s="19" t="inlineStr">
        <is>
          <t>序号</t>
        </is>
      </c>
      <c r="B6" s="20" t="inlineStr">
        <is>
          <t>分类</t>
        </is>
      </c>
      <c r="C6" s="20" t="inlineStr">
        <is>
          <t>项目名称</t>
        </is>
      </c>
      <c r="D6" s="19" t="inlineStr">
        <is>
          <t>数量</t>
        </is>
      </c>
      <c r="E6" s="19" t="inlineStr">
        <is>
          <t>单位</t>
        </is>
      </c>
      <c r="F6" s="21" t="inlineStr">
        <is>
          <t>预算单价（元）</t>
        </is>
      </c>
      <c r="G6" s="21" t="inlineStr">
        <is>
          <t>合计（元）</t>
        </is>
      </c>
      <c r="H6" s="21" t="inlineStr">
        <is>
          <t>占比</t>
        </is>
      </c>
      <c r="I6" s="20" t="inlineStr">
        <is>
          <t>责任单位</t>
        </is>
      </c>
      <c r="J6" s="20" t="inlineStr">
        <is>
          <t>备注</t>
        </is>
      </c>
    </row>
    <row r="7" ht="18" customHeight="1" s="61">
      <c r="A7" s="67" t="inlineStr">
        <is>
          <t>一</t>
        </is>
      </c>
      <c r="B7" s="68" t="inlineStr">
        <is>
          <t>生产温室区</t>
        </is>
      </c>
      <c r="C7" s="68" t="inlineStr">
        <is>
          <t>连栋玻璃温室主体</t>
        </is>
      </c>
      <c r="D7" s="67" t="n">
        <v>2</v>
      </c>
      <c r="E7" s="67" t="inlineStr">
        <is>
          <t>栋</t>
        </is>
      </c>
      <c r="F7" s="69" t="n">
        <v>1600000</v>
      </c>
      <c r="G7" s="69">
        <f>D7*F7</f>
        <v/>
      </c>
      <c r="H7" s="70">
        <f>G7/$G$20</f>
        <v/>
      </c>
      <c r="I7" s="68" t="inlineStr">
        <is>
          <t>土建与钢构组</t>
        </is>
      </c>
      <c r="J7" s="68" t="inlineStr">
        <is>
          <t>含主体钢架、覆盖材料</t>
        </is>
      </c>
    </row>
    <row r="8" ht="18" customHeight="1" s="61">
      <c r="A8" s="67" t="inlineStr">
        <is>
          <t>(1)</t>
        </is>
      </c>
      <c r="B8" s="68" t="inlineStr">
        <is>
          <t>生产温室区</t>
        </is>
      </c>
      <c r="C8" s="68" t="inlineStr">
        <is>
          <t>育苗温室及苗床系统</t>
        </is>
      </c>
      <c r="D8" s="67" t="n">
        <v>1</v>
      </c>
      <c r="E8" s="67" t="inlineStr">
        <is>
          <t>套</t>
        </is>
      </c>
      <c r="F8" s="69" t="n">
        <v>620000</v>
      </c>
      <c r="G8" s="69">
        <f>D8*F8</f>
        <v/>
      </c>
      <c r="H8" s="70">
        <f>G8/$G$20</f>
        <v/>
      </c>
      <c r="I8" s="68" t="inlineStr">
        <is>
          <t>种植工程组</t>
        </is>
      </c>
      <c r="J8" s="68" t="inlineStr">
        <is>
          <t>含移动苗床、育苗盘</t>
        </is>
      </c>
    </row>
    <row r="9" ht="18" customHeight="1" s="61">
      <c r="A9" s="67" t="inlineStr">
        <is>
          <t>(2)</t>
        </is>
      </c>
      <c r="B9" s="68" t="inlineStr">
        <is>
          <t>生产温室区</t>
        </is>
      </c>
      <c r="C9" s="68" t="inlineStr">
        <is>
          <t>潮汐灌溉区改造</t>
        </is>
      </c>
      <c r="D9" s="67" t="n">
        <v>1</v>
      </c>
      <c r="E9" s="67" t="inlineStr">
        <is>
          <t>项</t>
        </is>
      </c>
      <c r="F9" s="69" t="n">
        <v>260000</v>
      </c>
      <c r="G9" s="69">
        <f>D9*F9</f>
        <v/>
      </c>
      <c r="H9" s="70">
        <f>G9/$G$20</f>
        <v/>
      </c>
      <c r="I9" s="68" t="inlineStr">
        <is>
          <t>水肥工程组</t>
        </is>
      </c>
      <c r="J9" s="68" t="inlineStr">
        <is>
          <t>含回水槽与过滤单元</t>
        </is>
      </c>
    </row>
    <row r="10" ht="18" customHeight="1" s="61">
      <c r="A10" s="67" t="inlineStr">
        <is>
          <t>二</t>
        </is>
      </c>
      <c r="B10" s="68" t="inlineStr">
        <is>
          <t>环控系统</t>
        </is>
      </c>
      <c r="C10" s="68" t="inlineStr">
        <is>
          <t>通风、遮阳与湿帘风机</t>
        </is>
      </c>
      <c r="D10" s="67" t="n">
        <v>1</v>
      </c>
      <c r="E10" s="67" t="inlineStr">
        <is>
          <t>套</t>
        </is>
      </c>
      <c r="F10" s="69" t="n">
        <v>850000</v>
      </c>
      <c r="G10" s="69">
        <f>D10*F10</f>
        <v/>
      </c>
      <c r="H10" s="70">
        <f>G10/$G$20</f>
        <v/>
      </c>
      <c r="I10" s="68" t="inlineStr">
        <is>
          <t>设备安装组</t>
        </is>
      </c>
      <c r="J10" s="68" t="inlineStr">
        <is>
          <t>含控制箱与执行机构</t>
        </is>
      </c>
    </row>
    <row r="11" ht="18" customHeight="1" s="61">
      <c r="A11" s="67" t="inlineStr">
        <is>
          <t>三</t>
        </is>
      </c>
      <c r="B11" s="68" t="inlineStr">
        <is>
          <t>水肥系统</t>
        </is>
      </c>
      <c r="C11" s="68" t="inlineStr">
        <is>
          <t>水肥一体化泵站</t>
        </is>
      </c>
      <c r="D11" s="67" t="n">
        <v>1</v>
      </c>
      <c r="E11" s="67" t="inlineStr">
        <is>
          <t>套</t>
        </is>
      </c>
      <c r="F11" s="69" t="n">
        <v>480000</v>
      </c>
      <c r="G11" s="69">
        <f>D11*F11</f>
        <v/>
      </c>
      <c r="H11" s="70">
        <f>G11/$G$20</f>
        <v/>
      </c>
      <c r="I11" s="68" t="inlineStr">
        <is>
          <t>水肥工程组</t>
        </is>
      </c>
      <c r="J11" s="68" t="inlineStr">
        <is>
          <t>含EC/pH自动调节</t>
        </is>
      </c>
    </row>
    <row r="12" ht="18" customHeight="1" s="61">
      <c r="A12" s="67" t="inlineStr">
        <is>
          <t>四</t>
        </is>
      </c>
      <c r="B12" s="68" t="inlineStr">
        <is>
          <t>物联网系统</t>
        </is>
      </c>
      <c r="C12" s="68" t="inlineStr">
        <is>
          <t>传感器、网关与可视化平台</t>
        </is>
      </c>
      <c r="D12" s="67" t="n">
        <v>1</v>
      </c>
      <c r="E12" s="67" t="inlineStr">
        <is>
          <t>套</t>
        </is>
      </c>
      <c r="F12" s="69" t="n">
        <v>520000</v>
      </c>
      <c r="G12" s="69">
        <f>D12*F12</f>
        <v/>
      </c>
      <c r="H12" s="70">
        <f>G12/$G$20</f>
        <v/>
      </c>
      <c r="I12" s="68" t="inlineStr">
        <is>
          <t>数字化组</t>
        </is>
      </c>
      <c r="J12" s="68" t="inlineStr">
        <is>
          <t>含一年平台服务</t>
        </is>
      </c>
    </row>
    <row r="13" ht="18" customHeight="1" s="61">
      <c r="A13" s="67" t="inlineStr">
        <is>
          <t>五</t>
        </is>
      </c>
      <c r="B13" s="68" t="inlineStr">
        <is>
          <t>供配电</t>
        </is>
      </c>
      <c r="C13" s="68" t="inlineStr">
        <is>
          <t>园区照明与动力配电</t>
        </is>
      </c>
      <c r="D13" s="67" t="n">
        <v>1</v>
      </c>
      <c r="E13" s="67" t="inlineStr">
        <is>
          <t>项</t>
        </is>
      </c>
      <c r="F13" s="69" t="n">
        <v>410000</v>
      </c>
      <c r="G13" s="69">
        <f>D13*F13</f>
        <v/>
      </c>
      <c r="H13" s="70">
        <f>G13/$G$20</f>
        <v/>
      </c>
      <c r="I13" s="68" t="inlineStr">
        <is>
          <t>电气工程组</t>
        </is>
      </c>
      <c r="J13" s="68" t="inlineStr">
        <is>
          <t>含电缆、桥架、配电箱</t>
        </is>
      </c>
    </row>
    <row r="14" ht="18" customHeight="1" s="61">
      <c r="A14" s="67" t="inlineStr">
        <is>
          <t>六</t>
        </is>
      </c>
      <c r="B14" s="68" t="inlineStr">
        <is>
          <t>分拣包装</t>
        </is>
      </c>
      <c r="C14" s="68" t="inlineStr">
        <is>
          <t>蔬果分拣包装线</t>
        </is>
      </c>
      <c r="D14" s="67" t="n">
        <v>1</v>
      </c>
      <c r="E14" s="67" t="inlineStr">
        <is>
          <t>套</t>
        </is>
      </c>
      <c r="F14" s="69" t="n">
        <v>860000</v>
      </c>
      <c r="G14" s="69">
        <f>D14*F14</f>
        <v/>
      </c>
      <c r="H14" s="70">
        <f>G14/$G$20</f>
        <v/>
      </c>
      <c r="I14" s="68" t="inlineStr">
        <is>
          <t>设备安装组</t>
        </is>
      </c>
      <c r="J14" s="68" t="inlineStr">
        <is>
          <t>含输送、称重与贴标</t>
        </is>
      </c>
    </row>
    <row r="15" ht="18" customHeight="1" s="61">
      <c r="A15" s="67" t="inlineStr">
        <is>
          <t>七</t>
        </is>
      </c>
      <c r="B15" s="68" t="inlineStr">
        <is>
          <t>冷链仓储</t>
        </is>
      </c>
      <c r="C15" s="68" t="inlineStr">
        <is>
          <t>预冷库与周转库设备</t>
        </is>
      </c>
      <c r="D15" s="67" t="n">
        <v>2</v>
      </c>
      <c r="E15" s="67" t="inlineStr">
        <is>
          <t>间</t>
        </is>
      </c>
      <c r="F15" s="69" t="n">
        <v>340000</v>
      </c>
      <c r="G15" s="69">
        <f>D15*F15</f>
        <v/>
      </c>
      <c r="H15" s="70">
        <f>G15/$G$20</f>
        <v/>
      </c>
      <c r="I15" s="68" t="inlineStr">
        <is>
          <t>制冷工程组</t>
        </is>
      </c>
      <c r="J15" s="68" t="inlineStr">
        <is>
          <t>含库板、机组、控制器</t>
        </is>
      </c>
    </row>
    <row r="16" ht="18" customHeight="1" s="61">
      <c r="A16" s="67" t="inlineStr">
        <is>
          <t>八</t>
        </is>
      </c>
      <c r="B16" s="68" t="inlineStr">
        <is>
          <t>运维配套</t>
        </is>
      </c>
      <c r="C16" s="68" t="inlineStr">
        <is>
          <t>工具间、办公与运维家具</t>
        </is>
      </c>
      <c r="D16" s="67" t="n">
        <v>1</v>
      </c>
      <c r="E16" s="67" t="inlineStr">
        <is>
          <t>批</t>
        </is>
      </c>
      <c r="F16" s="69" t="n">
        <v>708760</v>
      </c>
      <c r="G16" s="69">
        <f>D16*F16</f>
        <v/>
      </c>
      <c r="H16" s="70">
        <f>G16/$G$20</f>
        <v/>
      </c>
      <c r="I16" s="68" t="inlineStr">
        <is>
          <t>综合保障组</t>
        </is>
      </c>
      <c r="J16" s="68" t="inlineStr">
        <is>
          <t>含操作台、档案柜</t>
        </is>
      </c>
    </row>
    <row r="17" ht="18" customHeight="1" s="61">
      <c r="A17" s="71" t="inlineStr">
        <is>
          <t>A</t>
        </is>
      </c>
      <c r="B17" s="72" t="inlineStr">
        <is>
          <t>费用汇总</t>
        </is>
      </c>
      <c r="C17" s="72" t="inlineStr">
        <is>
          <t>直接费</t>
        </is>
      </c>
      <c r="D17" s="26" t="n"/>
      <c r="E17" s="26" t="n"/>
      <c r="F17" s="28" t="n"/>
      <c r="G17" s="73">
        <f>SUM(G7:G16)</f>
        <v/>
      </c>
      <c r="H17" s="74">
        <f>G17/$G$20</f>
        <v/>
      </c>
      <c r="I17" s="72" t="inlineStr">
        <is>
          <t>财务</t>
        </is>
      </c>
      <c r="J17" s="72" t="inlineStr">
        <is>
          <t>由上列分项汇总</t>
        </is>
      </c>
    </row>
    <row r="18" ht="18" customHeight="1" s="61">
      <c r="A18" s="71" t="inlineStr">
        <is>
          <t>B</t>
        </is>
      </c>
      <c r="B18" s="72" t="inlineStr">
        <is>
          <t>费用汇总</t>
        </is>
      </c>
      <c r="C18" s="72" t="inlineStr">
        <is>
          <t>现场管理费 3%</t>
        </is>
      </c>
      <c r="D18" s="26" t="n"/>
      <c r="E18" s="26" t="n"/>
      <c r="F18" s="28" t="n"/>
      <c r="G18" s="73">
        <f>G17*3%</f>
        <v/>
      </c>
      <c r="H18" s="74">
        <f>G18/$G$20</f>
        <v/>
      </c>
      <c r="I18" s="72" t="inlineStr">
        <is>
          <t>财务</t>
        </is>
      </c>
      <c r="J18" s="72" t="inlineStr">
        <is>
          <t>按直接费计取</t>
        </is>
      </c>
    </row>
    <row r="19" ht="18" customHeight="1" s="61">
      <c r="A19" s="71" t="inlineStr">
        <is>
          <t>C</t>
        </is>
      </c>
      <c r="B19" s="72" t="inlineStr">
        <is>
          <t>费用汇总</t>
        </is>
      </c>
      <c r="C19" s="72" t="inlineStr">
        <is>
          <t>税金 9%</t>
        </is>
      </c>
      <c r="D19" s="26" t="n"/>
      <c r="E19" s="26" t="n"/>
      <c r="F19" s="28" t="n"/>
      <c r="G19" s="73">
        <f>(G17+G18)*9%</f>
        <v/>
      </c>
      <c r="H19" s="74">
        <f>G19/$G$20</f>
        <v/>
      </c>
      <c r="I19" s="72" t="inlineStr">
        <is>
          <t>财务</t>
        </is>
      </c>
      <c r="J19" s="72" t="inlineStr">
        <is>
          <t>按直接费+管理费计取</t>
        </is>
      </c>
    </row>
    <row r="20" ht="18" customHeight="1" s="61">
      <c r="A20" s="71" t="inlineStr">
        <is>
          <t>D</t>
        </is>
      </c>
      <c r="B20" s="72" t="inlineStr">
        <is>
          <t>费用汇总</t>
        </is>
      </c>
      <c r="C20" s="72" t="inlineStr">
        <is>
          <t>含税总价</t>
        </is>
      </c>
      <c r="D20" s="26" t="n"/>
      <c r="E20" s="26" t="n"/>
      <c r="F20" s="28" t="n"/>
      <c r="G20" s="73">
        <f>SUM(G17:G19)</f>
        <v/>
      </c>
      <c r="H20" s="74">
        <f>G20/$G$20</f>
        <v/>
      </c>
      <c r="I20" s="72" t="inlineStr">
        <is>
          <t>财务</t>
        </is>
      </c>
      <c r="J20" s="72" t="inlineStr">
        <is>
          <t>最终报价金额</t>
        </is>
      </c>
    </row>
    <row r="21" ht="8" customHeight="1" s="61">
      <c r="A21" s="13" t="n"/>
      <c r="B21" s="14" t="n"/>
      <c r="C21" s="14" t="n"/>
      <c r="D21" s="13" t="n"/>
      <c r="E21" s="13" t="n"/>
      <c r="F21" s="15" t="n"/>
      <c r="G21" s="15" t="n"/>
      <c r="H21" s="15" t="n"/>
      <c r="I21" s="14" t="n"/>
      <c r="J21" s="14" t="n"/>
    </row>
    <row r="22" ht="85" customHeight="1" s="61">
      <c r="A22" s="30" t="inlineStr">
        <is>
          <t>二、报价说明：
1、本报价为智慧农业示范园建设综合预算，包含材料采购、运输、安装、系统调试与现场培训；
2、不包含项目立项审批、土地平整之外的地质处理、永久性市政接驳增容及第三方检测费用；
3、物联网平台按一年基础服务计入，后续年费按平台服务合同另行确认；
4、清单工程量为方案阶段测算，深化设计后可按实结算；
5、如需增加光伏供电、农产品溯源系统或冷链车辆接入，费用另计。</t>
        </is>
      </c>
      <c r="B22" s="65" t="n"/>
      <c r="C22" s="65" t="n"/>
      <c r="D22" s="65" t="n"/>
      <c r="E22" s="65" t="n"/>
      <c r="F22" s="65" t="n"/>
      <c r="G22" s="65" t="n"/>
      <c r="H22" s="65" t="n"/>
      <c r="I22" s="65" t="n"/>
      <c r="J22" s="66" t="n"/>
    </row>
    <row r="23" ht="8" customHeight="1" s="61">
      <c r="A23" s="13" t="n"/>
      <c r="B23" s="14" t="n"/>
      <c r="C23" s="14" t="n"/>
      <c r="D23" s="13" t="n"/>
      <c r="E23" s="13" t="n"/>
      <c r="F23" s="15" t="n"/>
      <c r="G23" s="15" t="n"/>
      <c r="H23" s="15" t="n"/>
      <c r="I23" s="14" t="n"/>
      <c r="J23" s="14" t="n"/>
    </row>
    <row r="24" ht="39.6" customHeight="1" s="61">
      <c r="A24" s="16" t="inlineStr">
        <is>
          <t>三、温室工程量清单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6" t="n"/>
    </row>
    <row r="25" ht="24" customHeight="1" s="61">
      <c r="A25" s="19" t="inlineStr">
        <is>
          <t>序号</t>
        </is>
      </c>
      <c r="B25" s="20" t="inlineStr">
        <is>
          <t>项目名称</t>
        </is>
      </c>
      <c r="C25" s="20" t="inlineStr">
        <is>
          <t>项目特征描述</t>
        </is>
      </c>
      <c r="D25" s="19" t="inlineStr">
        <is>
          <t>工程量</t>
        </is>
      </c>
      <c r="E25" s="19" t="inlineStr">
        <is>
          <t>单位</t>
        </is>
      </c>
      <c r="F25" s="21" t="inlineStr">
        <is>
          <t>综合单价（元）</t>
        </is>
      </c>
      <c r="G25" s="21" t="inlineStr">
        <is>
          <t>合价（元）</t>
        </is>
      </c>
      <c r="H25" s="21" t="inlineStr">
        <is>
          <t>施工/供应说明</t>
        </is>
      </c>
      <c r="I25" s="20" t="inlineStr">
        <is>
          <t>使用部位</t>
        </is>
      </c>
      <c r="J25" s="20" t="inlineStr">
        <is>
          <t>备注</t>
        </is>
      </c>
    </row>
    <row r="26" ht="36" customHeight="1" s="61">
      <c r="A26" s="33" t="inlineStr">
        <is>
          <t>1. 温室主体与基础</t>
        </is>
      </c>
      <c r="B26" s="65" t="n"/>
      <c r="C26" s="65" t="n"/>
      <c r="D26" s="65" t="n"/>
      <c r="E26" s="65" t="n"/>
      <c r="F26" s="65" t="n"/>
      <c r="G26" s="65" t="n"/>
      <c r="H26" s="65" t="n"/>
      <c r="I26" s="65" t="n"/>
      <c r="J26" s="66" t="n"/>
    </row>
    <row r="27" ht="31" customHeight="1" s="61">
      <c r="A27" s="67" t="n">
        <v>1</v>
      </c>
      <c r="B27" s="68" t="inlineStr">
        <is>
          <t>温室独立基础</t>
        </is>
      </c>
      <c r="C27" s="68" t="inlineStr">
        <is>
          <t>C30混凝土基础，含预埋件、防腐处理、基础养护</t>
        </is>
      </c>
      <c r="D27" s="75" t="n">
        <v>96</v>
      </c>
      <c r="E27" s="75" t="inlineStr">
        <is>
          <t>座</t>
        </is>
      </c>
      <c r="F27" s="69" t="n">
        <v>1180</v>
      </c>
      <c r="G27" s="69">
        <f>D27*F27</f>
        <v/>
      </c>
      <c r="H27" s="76" t="inlineStr">
        <is>
          <t>按定位轴线施工</t>
        </is>
      </c>
      <c r="I27" s="68" t="inlineStr">
        <is>
          <t>玻璃温室区</t>
        </is>
      </c>
      <c r="J27" s="68" t="inlineStr"/>
    </row>
    <row r="28" ht="24" customHeight="1" s="61">
      <c r="A28" s="77" t="n">
        <v>2</v>
      </c>
      <c r="B28" s="78" t="inlineStr">
        <is>
          <t>热镀锌钢结构骨架</t>
        </is>
      </c>
      <c r="C28" s="78" t="inlineStr">
        <is>
          <t>立柱、桁架、檩条及连接件，热镀锌防腐</t>
        </is>
      </c>
      <c r="D28" s="79" t="n">
        <v>8600</v>
      </c>
      <c r="E28" s="79" t="inlineStr">
        <is>
          <t>㎡</t>
        </is>
      </c>
      <c r="F28" s="80" t="n">
        <v>156</v>
      </c>
      <c r="G28" s="80">
        <f>D28*F28</f>
        <v/>
      </c>
      <c r="H28" s="81" t="inlineStr">
        <is>
          <t>含吊装与校正</t>
        </is>
      </c>
      <c r="I28" s="78" t="inlineStr">
        <is>
          <t>生产温室</t>
        </is>
      </c>
      <c r="J28" s="78" t="inlineStr"/>
    </row>
    <row r="29" ht="24" customHeight="1" s="61">
      <c r="A29" s="67" t="n">
        <v>3</v>
      </c>
      <c r="B29" s="68" t="inlineStr">
        <is>
          <t>顶部钢化玻璃覆盖</t>
        </is>
      </c>
      <c r="C29" s="68" t="inlineStr">
        <is>
          <t>4+9A+4中空钢化玻璃，含压条与密封胶</t>
        </is>
      </c>
      <c r="D29" s="75" t="n">
        <v>6200</v>
      </c>
      <c r="E29" s="75" t="inlineStr">
        <is>
          <t>㎡</t>
        </is>
      </c>
      <c r="F29" s="69" t="n">
        <v>188</v>
      </c>
      <c r="G29" s="69">
        <f>D29*F29</f>
        <v/>
      </c>
      <c r="H29" s="76" t="inlineStr">
        <is>
          <t>含防水节点</t>
        </is>
      </c>
      <c r="I29" s="68" t="inlineStr">
        <is>
          <t>温室屋面</t>
        </is>
      </c>
      <c r="J29" s="68" t="inlineStr"/>
    </row>
    <row r="30" ht="24" customHeight="1" s="61">
      <c r="A30" s="77" t="n">
        <v>4</v>
      </c>
      <c r="B30" s="78" t="inlineStr">
        <is>
          <t>侧墙PC阳光板</t>
        </is>
      </c>
      <c r="C30" s="78" t="inlineStr">
        <is>
          <t>8mm双层PC板，含铝合金收边及密封</t>
        </is>
      </c>
      <c r="D30" s="79" t="n">
        <v>2400</v>
      </c>
      <c r="E30" s="79" t="inlineStr">
        <is>
          <t>㎡</t>
        </is>
      </c>
      <c r="F30" s="80" t="n">
        <v>96</v>
      </c>
      <c r="G30" s="80">
        <f>D30*F30</f>
        <v/>
      </c>
      <c r="H30" s="81" t="inlineStr">
        <is>
          <t>分区安装</t>
        </is>
      </c>
      <c r="I30" s="78" t="inlineStr">
        <is>
          <t>温室侧墙</t>
        </is>
      </c>
      <c r="J30" s="78" t="inlineStr"/>
    </row>
    <row r="31" ht="48" customHeight="1" s="61">
      <c r="A31" s="71" t="inlineStr">
        <is>
          <t>1. 温室主体与基础 小计</t>
        </is>
      </c>
      <c r="B31" s="65" t="n"/>
      <c r="C31" s="65" t="n"/>
      <c r="D31" s="65" t="n"/>
      <c r="E31" s="65" t="n"/>
      <c r="F31" s="66" t="n"/>
      <c r="G31" s="73">
        <f>SUM(G27:G30)</f>
        <v/>
      </c>
      <c r="H31" s="42" t="n"/>
      <c r="I31" s="27" t="n"/>
      <c r="J31" s="27" t="n"/>
    </row>
    <row r="32" ht="8" customHeight="1" s="61">
      <c r="A32" s="13" t="n"/>
      <c r="B32" s="14" t="n"/>
      <c r="C32" s="14" t="n"/>
      <c r="D32" s="13" t="n"/>
      <c r="E32" s="13" t="n"/>
      <c r="F32" s="15" t="n"/>
      <c r="G32" s="15" t="n"/>
      <c r="H32" s="15" t="n"/>
      <c r="I32" s="14" t="n"/>
      <c r="J32" s="14" t="n"/>
    </row>
    <row r="33" ht="36" customHeight="1" s="61">
      <c r="A33" s="33" t="inlineStr">
        <is>
          <t>2. 地面、排水与道路</t>
        </is>
      </c>
      <c r="B33" s="65" t="n"/>
      <c r="C33" s="65" t="n"/>
      <c r="D33" s="65" t="n"/>
      <c r="E33" s="65" t="n"/>
      <c r="F33" s="65" t="n"/>
      <c r="G33" s="65" t="n"/>
      <c r="H33" s="65" t="n"/>
      <c r="I33" s="65" t="n"/>
      <c r="J33" s="66" t="n"/>
    </row>
    <row r="34" ht="24" customHeight="1" s="61">
      <c r="A34" s="67" t="n">
        <v>5</v>
      </c>
      <c r="B34" s="68" t="inlineStr">
        <is>
          <t>温室地面硬化</t>
        </is>
      </c>
      <c r="C34" s="68" t="inlineStr">
        <is>
          <t>碎石垫层+混凝土面层，表面防滑拉毛</t>
        </is>
      </c>
      <c r="D34" s="75" t="n">
        <v>5120</v>
      </c>
      <c r="E34" s="75" t="inlineStr">
        <is>
          <t>㎡</t>
        </is>
      </c>
      <c r="F34" s="69" t="n">
        <v>72</v>
      </c>
      <c r="G34" s="69">
        <f>D34*F34</f>
        <v/>
      </c>
      <c r="H34" s="76" t="inlineStr">
        <is>
          <t>含伸缩缝</t>
        </is>
      </c>
      <c r="I34" s="68" t="inlineStr">
        <is>
          <t>生产区通道</t>
        </is>
      </c>
      <c r="J34" s="68" t="inlineStr"/>
    </row>
    <row r="35" ht="18" customHeight="1" s="61">
      <c r="A35" s="77" t="n">
        <v>6</v>
      </c>
      <c r="B35" s="78" t="inlineStr">
        <is>
          <t>作业通道透水砖</t>
        </is>
      </c>
      <c r="C35" s="78" t="inlineStr">
        <is>
          <t>200×100透水砖，砂垫层铺设</t>
        </is>
      </c>
      <c r="D35" s="79" t="n">
        <v>1260</v>
      </c>
      <c r="E35" s="79" t="inlineStr">
        <is>
          <t>㎡</t>
        </is>
      </c>
      <c r="F35" s="80" t="n">
        <v>88</v>
      </c>
      <c r="G35" s="80">
        <f>D35*F35</f>
        <v/>
      </c>
      <c r="H35" s="81" t="inlineStr">
        <is>
          <t>含收边</t>
        </is>
      </c>
      <c r="I35" s="78" t="inlineStr">
        <is>
          <t>主通道</t>
        </is>
      </c>
      <c r="J35" s="78" t="inlineStr"/>
    </row>
    <row r="36" ht="18" customHeight="1" s="61">
      <c r="A36" s="67" t="n">
        <v>7</v>
      </c>
      <c r="B36" s="68" t="inlineStr">
        <is>
          <t>排水沟及集水井</t>
        </is>
      </c>
      <c r="C36" s="68" t="inlineStr">
        <is>
          <t>成品盖板沟，含坡度找平及集水井</t>
        </is>
      </c>
      <c r="D36" s="75" t="n">
        <v>680</v>
      </c>
      <c r="E36" s="75" t="inlineStr">
        <is>
          <t>m</t>
        </is>
      </c>
      <c r="F36" s="69" t="n">
        <v>135</v>
      </c>
      <c r="G36" s="69">
        <f>D36*F36</f>
        <v/>
      </c>
      <c r="H36" s="76" t="inlineStr">
        <is>
          <t>含沟盖板</t>
        </is>
      </c>
      <c r="I36" s="68" t="inlineStr">
        <is>
          <t>温室周边</t>
        </is>
      </c>
      <c r="J36" s="68" t="inlineStr"/>
    </row>
    <row r="37" ht="18" customHeight="1" s="61">
      <c r="A37" s="77" t="n">
        <v>8</v>
      </c>
      <c r="B37" s="78" t="inlineStr">
        <is>
          <t>雨水回收管线</t>
        </is>
      </c>
      <c r="C37" s="78" t="inlineStr">
        <is>
          <t>UPVC排水管及检查口，接入蓄水池</t>
        </is>
      </c>
      <c r="D37" s="79" t="n">
        <v>520</v>
      </c>
      <c r="E37" s="79" t="inlineStr">
        <is>
          <t>m</t>
        </is>
      </c>
      <c r="F37" s="80" t="n">
        <v>64</v>
      </c>
      <c r="G37" s="80">
        <f>D37*F37</f>
        <v/>
      </c>
      <c r="H37" s="81" t="inlineStr">
        <is>
          <t>含试水</t>
        </is>
      </c>
      <c r="I37" s="78" t="inlineStr">
        <is>
          <t>屋面排水</t>
        </is>
      </c>
      <c r="J37" s="78" t="inlineStr"/>
    </row>
    <row r="38" ht="48" customHeight="1" s="61">
      <c r="A38" s="71" t="inlineStr">
        <is>
          <t>2. 地面、排水与道路 小计</t>
        </is>
      </c>
      <c r="B38" s="65" t="n"/>
      <c r="C38" s="65" t="n"/>
      <c r="D38" s="65" t="n"/>
      <c r="E38" s="65" t="n"/>
      <c r="F38" s="66" t="n"/>
      <c r="G38" s="73">
        <f>SUM(G34:G37)</f>
        <v/>
      </c>
      <c r="H38" s="42" t="n"/>
      <c r="I38" s="27" t="n"/>
      <c r="J38" s="27" t="n"/>
    </row>
    <row r="39" ht="8" customHeight="1" s="61">
      <c r="A39" s="13" t="n"/>
      <c r="B39" s="14" t="n"/>
      <c r="C39" s="14" t="n"/>
      <c r="D39" s="13" t="n"/>
      <c r="E39" s="13" t="n"/>
      <c r="F39" s="15" t="n"/>
      <c r="G39" s="15" t="n"/>
      <c r="H39" s="15" t="n"/>
      <c r="I39" s="14" t="n"/>
      <c r="J39" s="14" t="n"/>
    </row>
    <row r="40" ht="36" customHeight="1" s="61">
      <c r="A40" s="33" t="inlineStr">
        <is>
          <t>3. 环控、水肥与电气</t>
        </is>
      </c>
      <c r="B40" s="65" t="n"/>
      <c r="C40" s="65" t="n"/>
      <c r="D40" s="65" t="n"/>
      <c r="E40" s="65" t="n"/>
      <c r="F40" s="65" t="n"/>
      <c r="G40" s="65" t="n"/>
      <c r="H40" s="65" t="n"/>
      <c r="I40" s="65" t="n"/>
      <c r="J40" s="66" t="n"/>
    </row>
    <row r="41" ht="24" customHeight="1" s="61">
      <c r="A41" s="67" t="n">
        <v>9</v>
      </c>
      <c r="B41" s="68" t="inlineStr">
        <is>
          <t>顶部内遮阳系统</t>
        </is>
      </c>
      <c r="C41" s="68" t="inlineStr">
        <is>
          <t>齿轮齿条传动，遮阳率65%，含减速电机</t>
        </is>
      </c>
      <c r="D41" s="75" t="n">
        <v>8600</v>
      </c>
      <c r="E41" s="75" t="inlineStr">
        <is>
          <t>㎡</t>
        </is>
      </c>
      <c r="F41" s="69" t="n">
        <v>46</v>
      </c>
      <c r="G41" s="69">
        <f>D41*F41</f>
        <v/>
      </c>
      <c r="H41" s="76" t="inlineStr">
        <is>
          <t>含行程限位</t>
        </is>
      </c>
      <c r="I41" s="68" t="inlineStr">
        <is>
          <t>温室顶部</t>
        </is>
      </c>
      <c r="J41" s="68" t="inlineStr"/>
    </row>
    <row r="42" ht="18" customHeight="1" s="61">
      <c r="A42" s="77" t="n">
        <v>10</v>
      </c>
      <c r="B42" s="78" t="inlineStr">
        <is>
          <t>湿帘风机降温系统</t>
        </is>
      </c>
      <c r="C42" s="78" t="inlineStr">
        <is>
          <t>1.5m湿帘墙、轴流风机、循环水泵及管路</t>
        </is>
      </c>
      <c r="D42" s="79" t="n">
        <v>1</v>
      </c>
      <c r="E42" s="79" t="inlineStr">
        <is>
          <t>套</t>
        </is>
      </c>
      <c r="F42" s="80" t="n">
        <v>238000</v>
      </c>
      <c r="G42" s="80">
        <f>D42*F42</f>
        <v/>
      </c>
      <c r="H42" s="81" t="inlineStr">
        <is>
          <t>含联动调试</t>
        </is>
      </c>
      <c r="I42" s="78" t="inlineStr">
        <is>
          <t>环控机房</t>
        </is>
      </c>
      <c r="J42" s="78" t="inlineStr"/>
    </row>
    <row r="43" ht="24" customHeight="1" s="61">
      <c r="A43" s="67" t="n">
        <v>11</v>
      </c>
      <c r="B43" s="68" t="inlineStr">
        <is>
          <t>水肥一体化机</t>
        </is>
      </c>
      <c r="C43" s="68" t="inlineStr">
        <is>
          <t>双通道施肥，EC/pH在线监测，触屏控制</t>
        </is>
      </c>
      <c r="D43" s="75" t="n">
        <v>2</v>
      </c>
      <c r="E43" s="75" t="inlineStr">
        <is>
          <t>套</t>
        </is>
      </c>
      <c r="F43" s="69" t="n">
        <v>73500</v>
      </c>
      <c r="G43" s="69">
        <f>D43*F43</f>
        <v/>
      </c>
      <c r="H43" s="76" t="inlineStr">
        <is>
          <t>含过滤器</t>
        </is>
      </c>
      <c r="I43" s="68" t="inlineStr">
        <is>
          <t>水肥间</t>
        </is>
      </c>
      <c r="J43" s="68" t="inlineStr"/>
    </row>
    <row r="44" ht="18" customHeight="1" s="61">
      <c r="A44" s="77" t="n">
        <v>12</v>
      </c>
      <c r="B44" s="78" t="inlineStr">
        <is>
          <t>滴灌主管与支管</t>
        </is>
      </c>
      <c r="C44" s="78" t="inlineStr">
        <is>
          <t>PE主管、滴灌带、阀门组及压力表</t>
        </is>
      </c>
      <c r="D44" s="79" t="n">
        <v>8600</v>
      </c>
      <c r="E44" s="79" t="inlineStr">
        <is>
          <t>㎡</t>
        </is>
      </c>
      <c r="F44" s="80" t="n">
        <v>18.5</v>
      </c>
      <c r="G44" s="80">
        <f>D44*F44</f>
        <v/>
      </c>
      <c r="H44" s="81" t="inlineStr">
        <is>
          <t>按种植区分区</t>
        </is>
      </c>
      <c r="I44" s="78" t="inlineStr">
        <is>
          <t>栽培区</t>
        </is>
      </c>
      <c r="J44" s="78" t="inlineStr"/>
    </row>
    <row r="45" ht="18" customHeight="1" s="61">
      <c r="A45" s="67" t="n">
        <v>13</v>
      </c>
      <c r="B45" s="68" t="inlineStr">
        <is>
          <t>动力与照明配电</t>
        </is>
      </c>
      <c r="C45" s="68" t="inlineStr">
        <is>
          <t>配电箱、电缆桥架、低压电缆、LED防潮灯</t>
        </is>
      </c>
      <c r="D45" s="75" t="n">
        <v>1</v>
      </c>
      <c r="E45" s="75" t="inlineStr">
        <is>
          <t>项</t>
        </is>
      </c>
      <c r="F45" s="69" t="n">
        <v>182000</v>
      </c>
      <c r="G45" s="69">
        <f>D45*F45</f>
        <v/>
      </c>
      <c r="H45" s="76" t="inlineStr">
        <is>
          <t>含绝缘测试</t>
        </is>
      </c>
      <c r="I45" s="68" t="inlineStr">
        <is>
          <t>全园区</t>
        </is>
      </c>
      <c r="J45" s="68" t="inlineStr"/>
    </row>
    <row r="46" ht="48" customHeight="1" s="61">
      <c r="A46" s="71" t="inlineStr">
        <is>
          <t>3. 环控、水肥与电气 小计</t>
        </is>
      </c>
      <c r="B46" s="65" t="n"/>
      <c r="C46" s="65" t="n"/>
      <c r="D46" s="65" t="n"/>
      <c r="E46" s="65" t="n"/>
      <c r="F46" s="66" t="n"/>
      <c r="G46" s="73">
        <f>SUM(G41:G45)</f>
        <v/>
      </c>
      <c r="H46" s="42" t="n"/>
      <c r="I46" s="27" t="n"/>
      <c r="J46" s="27" t="n"/>
    </row>
    <row r="47" ht="8" customHeight="1" s="61">
      <c r="A47" s="13" t="n"/>
      <c r="B47" s="14" t="n"/>
      <c r="C47" s="14" t="n"/>
      <c r="D47" s="13" t="n"/>
      <c r="E47" s="13" t="n"/>
      <c r="F47" s="15" t="n"/>
      <c r="G47" s="15" t="n"/>
      <c r="H47" s="15" t="n"/>
      <c r="I47" s="14" t="n"/>
      <c r="J47" s="14" t="n"/>
    </row>
    <row r="48" ht="36" customHeight="1" s="61">
      <c r="A48" s="33" t="inlineStr">
        <is>
          <t>4. 物联网与分拣配套</t>
        </is>
      </c>
      <c r="B48" s="65" t="n"/>
      <c r="C48" s="65" t="n"/>
      <c r="D48" s="65" t="n"/>
      <c r="E48" s="65" t="n"/>
      <c r="F48" s="65" t="n"/>
      <c r="G48" s="65" t="n"/>
      <c r="H48" s="65" t="n"/>
      <c r="I48" s="65" t="n"/>
      <c r="J48" s="66" t="n"/>
    </row>
    <row r="49" ht="31" customHeight="1" s="61">
      <c r="A49" s="67" t="n">
        <v>14</v>
      </c>
      <c r="B49" s="68" t="inlineStr">
        <is>
          <t>环境传感器节点</t>
        </is>
      </c>
      <c r="C49" s="68" t="inlineStr">
        <is>
          <t>温湿度、CO₂、光照、基质水分一体化节点</t>
        </is>
      </c>
      <c r="D49" s="75" t="n">
        <v>42</v>
      </c>
      <c r="E49" s="75" t="inlineStr">
        <is>
          <t>套</t>
        </is>
      </c>
      <c r="F49" s="69" t="n">
        <v>2850</v>
      </c>
      <c r="G49" s="69">
        <f>D49*F49</f>
        <v/>
      </c>
      <c r="H49" s="76" t="inlineStr">
        <is>
          <t>LoRa组网</t>
        </is>
      </c>
      <c r="I49" s="68" t="inlineStr">
        <is>
          <t>各生产区</t>
        </is>
      </c>
      <c r="J49" s="68" t="inlineStr"/>
    </row>
    <row r="50" ht="31" customHeight="1" s="61">
      <c r="A50" s="77" t="n">
        <v>15</v>
      </c>
      <c r="B50" s="78" t="inlineStr">
        <is>
          <t>边缘网关与控制柜</t>
        </is>
      </c>
      <c r="C50" s="78" t="inlineStr">
        <is>
          <t>工业网关、PLC控制柜、UPS电源及网络机柜</t>
        </is>
      </c>
      <c r="D50" s="79" t="n">
        <v>6</v>
      </c>
      <c r="E50" s="79" t="inlineStr">
        <is>
          <t>套</t>
        </is>
      </c>
      <c r="F50" s="80" t="n">
        <v>16800</v>
      </c>
      <c r="G50" s="80">
        <f>D50*F50</f>
        <v/>
      </c>
      <c r="H50" s="81" t="inlineStr">
        <is>
          <t>含程序配置</t>
        </is>
      </c>
      <c r="I50" s="78" t="inlineStr">
        <is>
          <t>控制室</t>
        </is>
      </c>
      <c r="J50" s="78" t="inlineStr"/>
    </row>
    <row r="51" ht="31" customHeight="1" s="61">
      <c r="A51" s="67" t="n">
        <v>16</v>
      </c>
      <c r="B51" s="68" t="inlineStr">
        <is>
          <t>可视化管理平台</t>
        </is>
      </c>
      <c r="C51" s="68" t="inlineStr">
        <is>
          <t>生产看板、设备告警、数据报表及移动端访问</t>
        </is>
      </c>
      <c r="D51" s="75" t="n">
        <v>1</v>
      </c>
      <c r="E51" s="75" t="inlineStr">
        <is>
          <t>套</t>
        </is>
      </c>
      <c r="F51" s="69" t="n">
        <v>89000</v>
      </c>
      <c r="G51" s="69">
        <f>D51*F51</f>
        <v/>
      </c>
      <c r="H51" s="76" t="inlineStr">
        <is>
          <t>含一年服务</t>
        </is>
      </c>
      <c r="I51" s="68" t="inlineStr">
        <is>
          <t>运营中心</t>
        </is>
      </c>
      <c r="J51" s="68" t="inlineStr"/>
    </row>
    <row r="52" ht="31" customHeight="1" s="61">
      <c r="A52" s="77" t="n">
        <v>17</v>
      </c>
      <c r="B52" s="78" t="inlineStr">
        <is>
          <t>蔬果分拣输送线</t>
        </is>
      </c>
      <c r="C52" s="78" t="inlineStr">
        <is>
          <t>不锈钢输送、动态称重、分级道口及贴标台</t>
        </is>
      </c>
      <c r="D52" s="79" t="n">
        <v>1</v>
      </c>
      <c r="E52" s="79" t="inlineStr">
        <is>
          <t>套</t>
        </is>
      </c>
      <c r="F52" s="80" t="n">
        <v>620000</v>
      </c>
      <c r="G52" s="80">
        <f>D52*F52</f>
        <v/>
      </c>
      <c r="H52" s="81" t="inlineStr">
        <is>
          <t>含调试培训</t>
        </is>
      </c>
      <c r="I52" s="78" t="inlineStr">
        <is>
          <t>分拣包装区</t>
        </is>
      </c>
      <c r="J52" s="78" t="inlineStr"/>
    </row>
    <row r="53" ht="24" customHeight="1" s="61">
      <c r="A53" s="67" t="n">
        <v>18</v>
      </c>
      <c r="B53" s="68" t="inlineStr">
        <is>
          <t>预冷库设备</t>
        </is>
      </c>
      <c r="C53" s="68" t="inlineStr">
        <is>
          <t>冷库板、制冷机组、风幕机、温控系统</t>
        </is>
      </c>
      <c r="D53" s="75" t="n">
        <v>2</v>
      </c>
      <c r="E53" s="75" t="inlineStr">
        <is>
          <t>间</t>
        </is>
      </c>
      <c r="F53" s="69" t="n">
        <v>340000</v>
      </c>
      <c r="G53" s="69">
        <f>D53*F53</f>
        <v/>
      </c>
      <c r="H53" s="76" t="inlineStr">
        <is>
          <t>含试运行</t>
        </is>
      </c>
      <c r="I53" s="68" t="inlineStr">
        <is>
          <t>冷链仓储区</t>
        </is>
      </c>
      <c r="J53" s="68" t="inlineStr"/>
    </row>
    <row r="54" ht="48" customHeight="1" s="61">
      <c r="A54" s="71" t="inlineStr">
        <is>
          <t>4. 物联网与分拣配套 小计</t>
        </is>
      </c>
      <c r="B54" s="65" t="n"/>
      <c r="C54" s="65" t="n"/>
      <c r="D54" s="65" t="n"/>
      <c r="E54" s="65" t="n"/>
      <c r="F54" s="66" t="n"/>
      <c r="G54" s="73">
        <f>SUM(G49:G53)</f>
        <v/>
      </c>
      <c r="H54" s="42" t="n"/>
      <c r="I54" s="27" t="n"/>
      <c r="J54" s="27" t="n"/>
    </row>
    <row r="55" ht="8" customHeight="1" s="61">
      <c r="A55" s="13" t="n"/>
      <c r="B55" s="14" t="n"/>
      <c r="C55" s="14" t="n"/>
      <c r="D55" s="13" t="n"/>
      <c r="E55" s="13" t="n"/>
      <c r="F55" s="15" t="n"/>
      <c r="G55" s="15" t="n"/>
      <c r="H55" s="15" t="n"/>
      <c r="I55" s="14" t="n"/>
      <c r="J55" s="14" t="n"/>
    </row>
    <row r="56" ht="39.6" customHeight="1" s="61">
      <c r="A56" s="49" t="inlineStr">
        <is>
          <t>温室工程量清单合计</t>
        </is>
      </c>
      <c r="B56" s="62" t="n"/>
      <c r="C56" s="62" t="n"/>
      <c r="D56" s="62" t="n"/>
      <c r="E56" s="62" t="n"/>
      <c r="F56" s="63" t="n"/>
      <c r="G56" s="52">
        <f>G31+G38+G46+G54</f>
        <v/>
      </c>
      <c r="H56" s="51" t="n"/>
      <c r="I56" s="50" t="n"/>
      <c r="J56" s="50" t="n"/>
    </row>
    <row r="57" ht="8" customHeight="1" s="61">
      <c r="A57" s="13" t="n"/>
      <c r="B57" s="14" t="n"/>
      <c r="C57" s="14" t="n"/>
      <c r="D57" s="13" t="n"/>
      <c r="E57" s="13" t="n"/>
      <c r="F57" s="15" t="n"/>
      <c r="G57" s="15" t="n"/>
      <c r="H57" s="15" t="n"/>
      <c r="I57" s="14" t="n"/>
      <c r="J57" s="14" t="n"/>
    </row>
    <row r="58" ht="8" customHeight="1" s="61">
      <c r="A58" s="13" t="n"/>
      <c r="B58" s="14" t="n"/>
      <c r="C58" s="14" t="n"/>
      <c r="D58" s="13" t="n"/>
      <c r="E58" s="13" t="n"/>
      <c r="F58" s="15" t="n"/>
      <c r="G58" s="15" t="n"/>
      <c r="H58" s="15" t="n"/>
      <c r="I58" s="14" t="n"/>
      <c r="J58" s="14" t="n"/>
    </row>
    <row r="59" ht="39.6" customHeight="1" s="61">
      <c r="A59" s="16" t="inlineStr">
        <is>
          <t>四、温室主材预算清单</t>
        </is>
      </c>
      <c r="B59" s="65" t="n"/>
      <c r="C59" s="65" t="n"/>
      <c r="D59" s="65" t="n"/>
      <c r="E59" s="65" t="n"/>
      <c r="F59" s="65" t="n"/>
      <c r="G59" s="65" t="n"/>
      <c r="H59" s="65" t="n"/>
      <c r="I59" s="65" t="n"/>
      <c r="J59" s="66" t="n"/>
    </row>
    <row r="60" ht="24" customHeight="1" s="61">
      <c r="A60" s="19" t="inlineStr">
        <is>
          <t>序号</t>
        </is>
      </c>
      <c r="B60" s="20" t="inlineStr">
        <is>
          <t>项目名称</t>
        </is>
      </c>
      <c r="C60" s="20" t="inlineStr">
        <is>
          <t>项目特征描述</t>
        </is>
      </c>
      <c r="D60" s="19" t="inlineStr">
        <is>
          <t>工程量</t>
        </is>
      </c>
      <c r="E60" s="19" t="inlineStr">
        <is>
          <t>单位</t>
        </is>
      </c>
      <c r="F60" s="21" t="inlineStr">
        <is>
          <t>综合单价（元）</t>
        </is>
      </c>
      <c r="G60" s="21" t="inlineStr">
        <is>
          <t>合价（元）</t>
        </is>
      </c>
      <c r="H60" s="21" t="inlineStr">
        <is>
          <t>施工/供应说明</t>
        </is>
      </c>
      <c r="I60" s="20" t="inlineStr">
        <is>
          <t>使用部位</t>
        </is>
      </c>
      <c r="J60" s="20" t="inlineStr">
        <is>
          <t>备注</t>
        </is>
      </c>
    </row>
    <row r="61" ht="18" customHeight="1" s="61">
      <c r="A61" s="67" t="n">
        <v>1</v>
      </c>
      <c r="B61" s="68" t="inlineStr">
        <is>
          <t>中空钢化玻璃</t>
        </is>
      </c>
      <c r="C61" s="68" t="inlineStr">
        <is>
          <t>4+9A+4，透光率高，边部密封处理</t>
        </is>
      </c>
      <c r="D61" s="75" t="n">
        <v>6200</v>
      </c>
      <c r="E61" s="75" t="inlineStr">
        <is>
          <t>㎡</t>
        </is>
      </c>
      <c r="F61" s="69" t="n">
        <v>132</v>
      </c>
      <c r="G61" s="69">
        <f>D61*F61</f>
        <v/>
      </c>
      <c r="H61" s="76" t="inlineStr">
        <is>
          <t>材料供应</t>
        </is>
      </c>
      <c r="I61" s="68" t="inlineStr">
        <is>
          <t>屋面覆盖</t>
        </is>
      </c>
      <c r="J61" s="68" t="inlineStr">
        <is>
          <t>按损耗3%计入</t>
        </is>
      </c>
    </row>
    <row r="62" ht="18" customHeight="1" s="61">
      <c r="A62" s="77" t="n">
        <v>2</v>
      </c>
      <c r="B62" s="78" t="inlineStr">
        <is>
          <t>PC阳光板</t>
        </is>
      </c>
      <c r="C62" s="78" t="inlineStr">
        <is>
          <t>8mm双层透明板，抗UV涂层</t>
        </is>
      </c>
      <c r="D62" s="79" t="n">
        <v>2400</v>
      </c>
      <c r="E62" s="79" t="inlineStr">
        <is>
          <t>㎡</t>
        </is>
      </c>
      <c r="F62" s="80" t="n">
        <v>58</v>
      </c>
      <c r="G62" s="80">
        <f>D62*F62</f>
        <v/>
      </c>
      <c r="H62" s="81" t="inlineStr">
        <is>
          <t>材料供应</t>
        </is>
      </c>
      <c r="I62" s="78" t="inlineStr">
        <is>
          <t>立面围护</t>
        </is>
      </c>
      <c r="J62" s="78" t="inlineStr"/>
    </row>
    <row r="63" ht="18" customHeight="1" s="61">
      <c r="A63" s="67" t="n">
        <v>3</v>
      </c>
      <c r="B63" s="68" t="inlineStr">
        <is>
          <t>热镀锌型材</t>
        </is>
      </c>
      <c r="C63" s="68" t="inlineStr">
        <is>
          <t>Q235B钢材，热镀锌层不低于65μm</t>
        </is>
      </c>
      <c r="D63" s="75" t="n">
        <v>126</v>
      </c>
      <c r="E63" s="75" t="inlineStr">
        <is>
          <t>t</t>
        </is>
      </c>
      <c r="F63" s="69" t="n">
        <v>6450</v>
      </c>
      <c r="G63" s="69">
        <f>D63*F63</f>
        <v/>
      </c>
      <c r="H63" s="76" t="inlineStr">
        <is>
          <t>材料供应</t>
        </is>
      </c>
      <c r="I63" s="68" t="inlineStr">
        <is>
          <t>主体钢构</t>
        </is>
      </c>
      <c r="J63" s="68" t="inlineStr"/>
    </row>
    <row r="64" ht="18" customHeight="1" s="61">
      <c r="A64" s="77" t="n">
        <v>4</v>
      </c>
      <c r="B64" s="78" t="inlineStr">
        <is>
          <t>铝合金收边型材</t>
        </is>
      </c>
      <c r="C64" s="78" t="inlineStr">
        <is>
          <t>专用压条、转角件、密封条</t>
        </is>
      </c>
      <c r="D64" s="79" t="n">
        <v>1</v>
      </c>
      <c r="E64" s="79" t="inlineStr">
        <is>
          <t>批</t>
        </is>
      </c>
      <c r="F64" s="80" t="n">
        <v>708760</v>
      </c>
      <c r="G64" s="80">
        <f>D64*F64</f>
        <v/>
      </c>
      <c r="H64" s="81" t="inlineStr">
        <is>
          <t>材料供应</t>
        </is>
      </c>
      <c r="I64" s="78" t="inlineStr">
        <is>
          <t>围护节点</t>
        </is>
      </c>
      <c r="J64" s="78" t="inlineStr"/>
    </row>
    <row r="65" ht="18" customHeight="1" s="61">
      <c r="A65" s="67" t="n">
        <v>5</v>
      </c>
      <c r="B65" s="68" t="inlineStr">
        <is>
          <t>防水密封胶</t>
        </is>
      </c>
      <c r="C65" s="68" t="inlineStr">
        <is>
          <t>耐候硅酮胶，配套底涂</t>
        </is>
      </c>
      <c r="D65" s="75" t="n">
        <v>1</v>
      </c>
      <c r="E65" s="75" t="inlineStr">
        <is>
          <t>批</t>
        </is>
      </c>
      <c r="F65" s="69" t="n">
        <v>24500</v>
      </c>
      <c r="G65" s="69">
        <f>D65*F65</f>
        <v/>
      </c>
      <c r="H65" s="76" t="inlineStr">
        <is>
          <t>材料供应</t>
        </is>
      </c>
      <c r="I65" s="68" t="inlineStr">
        <is>
          <t>玻璃节点</t>
        </is>
      </c>
      <c r="J65" s="68" t="inlineStr"/>
    </row>
    <row r="66" ht="48" customHeight="1" s="61">
      <c r="A66" s="71" t="inlineStr">
        <is>
          <t>四、温室主材预算清单 小计</t>
        </is>
      </c>
      <c r="B66" s="65" t="n"/>
      <c r="C66" s="65" t="n"/>
      <c r="D66" s="65" t="n"/>
      <c r="E66" s="65" t="n"/>
      <c r="F66" s="66" t="n"/>
      <c r="G66" s="73">
        <f>SUM(G61:G65)</f>
        <v/>
      </c>
      <c r="H66" s="42" t="n"/>
      <c r="I66" s="27" t="n"/>
      <c r="J66" s="27" t="n"/>
    </row>
    <row r="67" ht="8" customHeight="1" s="61">
      <c r="A67" s="13" t="n"/>
      <c r="B67" s="14" t="n"/>
      <c r="C67" s="14" t="n"/>
      <c r="D67" s="13" t="n"/>
      <c r="E67" s="13" t="n"/>
      <c r="F67" s="15" t="n"/>
      <c r="G67" s="15" t="n"/>
      <c r="H67" s="15" t="n"/>
      <c r="I67" s="14" t="n"/>
      <c r="J67" s="14" t="n"/>
    </row>
    <row r="68" ht="8" customHeight="1" s="61">
      <c r="A68" s="13" t="n"/>
      <c r="B68" s="14" t="n"/>
      <c r="C68" s="14" t="n"/>
      <c r="D68" s="13" t="n"/>
      <c r="E68" s="13" t="n"/>
      <c r="F68" s="15" t="n"/>
      <c r="G68" s="15" t="n"/>
      <c r="H68" s="15" t="n"/>
      <c r="I68" s="14" t="n"/>
      <c r="J68" s="14" t="n"/>
    </row>
    <row r="69" ht="39.6" customHeight="1" s="61">
      <c r="A69" s="16" t="inlineStr">
        <is>
          <t>五、环控与照明物资清单</t>
        </is>
      </c>
      <c r="B69" s="65" t="n"/>
      <c r="C69" s="65" t="n"/>
      <c r="D69" s="65" t="n"/>
      <c r="E69" s="65" t="n"/>
      <c r="F69" s="65" t="n"/>
      <c r="G69" s="65" t="n"/>
      <c r="H69" s="65" t="n"/>
      <c r="I69" s="65" t="n"/>
      <c r="J69" s="66" t="n"/>
    </row>
    <row r="70" ht="24" customHeight="1" s="61">
      <c r="A70" s="82" t="inlineStr">
        <is>
          <t>序号</t>
        </is>
      </c>
      <c r="B70" s="83" t="inlineStr">
        <is>
          <t>项目名称</t>
        </is>
      </c>
      <c r="C70" s="83" t="inlineStr">
        <is>
          <t>项目特征描述</t>
        </is>
      </c>
      <c r="D70" s="82" t="inlineStr">
        <is>
          <t>工程量</t>
        </is>
      </c>
      <c r="E70" s="82" t="inlineStr">
        <is>
          <t>单位</t>
        </is>
      </c>
      <c r="F70" s="84" t="inlineStr">
        <is>
          <t>综合单价（元）</t>
        </is>
      </c>
      <c r="G70" s="84" t="inlineStr">
        <is>
          <t>合价（元）</t>
        </is>
      </c>
      <c r="H70" s="84" t="inlineStr">
        <is>
          <t>施工/供应说明</t>
        </is>
      </c>
      <c r="I70" s="83" t="inlineStr">
        <is>
          <t>使用部位</t>
        </is>
      </c>
      <c r="J70" s="83" t="inlineStr">
        <is>
          <t>备注</t>
        </is>
      </c>
    </row>
    <row r="71" ht="18" customHeight="1" s="61">
      <c r="A71" s="67" t="n">
        <v>1</v>
      </c>
      <c r="B71" s="68" t="inlineStr">
        <is>
          <t>环流风机</t>
        </is>
      </c>
      <c r="C71" s="68" t="inlineStr">
        <is>
          <t>低噪声轴流，防潮电机</t>
        </is>
      </c>
      <c r="D71" s="75" t="n">
        <v>36</v>
      </c>
      <c r="E71" s="75" t="inlineStr">
        <is>
          <t>台</t>
        </is>
      </c>
      <c r="F71" s="69" t="n">
        <v>1850</v>
      </c>
      <c r="G71" s="69">
        <f>D71*F71</f>
        <v/>
      </c>
      <c r="H71" s="76" t="inlineStr">
        <is>
          <t>设备供应</t>
        </is>
      </c>
      <c r="I71" s="68" t="inlineStr">
        <is>
          <t>温室内部</t>
        </is>
      </c>
      <c r="J71" s="68" t="inlineStr"/>
    </row>
    <row r="72" ht="18" customHeight="1" s="61">
      <c r="A72" s="77" t="n">
        <v>2</v>
      </c>
      <c r="B72" s="78" t="inlineStr">
        <is>
          <t>湿帘纸芯</t>
        </is>
      </c>
      <c r="C72" s="78" t="inlineStr">
        <is>
          <t>150mm厚高效蒸发湿帘</t>
        </is>
      </c>
      <c r="D72" s="79" t="n">
        <v>220</v>
      </c>
      <c r="E72" s="79" t="inlineStr">
        <is>
          <t>㎡</t>
        </is>
      </c>
      <c r="F72" s="80" t="n">
        <v>165</v>
      </c>
      <c r="G72" s="80">
        <f>D72*F72</f>
        <v/>
      </c>
      <c r="H72" s="81" t="inlineStr">
        <is>
          <t>设备供应</t>
        </is>
      </c>
      <c r="I72" s="78" t="inlineStr">
        <is>
          <t>湿帘墙</t>
        </is>
      </c>
      <c r="J72" s="78" t="inlineStr"/>
    </row>
    <row r="73" ht="18" customHeight="1" s="61">
      <c r="A73" s="67" t="n">
        <v>3</v>
      </c>
      <c r="B73" s="68" t="inlineStr">
        <is>
          <t>LED补光灯</t>
        </is>
      </c>
      <c r="C73" s="68" t="inlineStr">
        <is>
          <t>植物生长光谱，防水等级IP65</t>
        </is>
      </c>
      <c r="D73" s="75" t="n">
        <v>168</v>
      </c>
      <c r="E73" s="75" t="inlineStr">
        <is>
          <t>盏</t>
        </is>
      </c>
      <c r="F73" s="69" t="n">
        <v>680</v>
      </c>
      <c r="G73" s="69">
        <f>D73*F73</f>
        <v/>
      </c>
      <c r="H73" s="76" t="inlineStr">
        <is>
          <t>设备供应</t>
        </is>
      </c>
      <c r="I73" s="68" t="inlineStr">
        <is>
          <t>育苗区</t>
        </is>
      </c>
      <c r="J73" s="68" t="inlineStr"/>
    </row>
    <row r="74" ht="18" customHeight="1" s="61">
      <c r="A74" s="77" t="n">
        <v>4</v>
      </c>
      <c r="B74" s="78" t="inlineStr">
        <is>
          <t>遮阳幕布</t>
        </is>
      </c>
      <c r="C74" s="78" t="inlineStr">
        <is>
          <t>外白内黑节能幕，阻燃处理</t>
        </is>
      </c>
      <c r="D74" s="79" t="n">
        <v>8600</v>
      </c>
      <c r="E74" s="79" t="inlineStr">
        <is>
          <t>㎡</t>
        </is>
      </c>
      <c r="F74" s="80" t="n">
        <v>22</v>
      </c>
      <c r="G74" s="80">
        <f>D74*F74</f>
        <v/>
      </c>
      <c r="H74" s="81" t="inlineStr">
        <is>
          <t>设备供应</t>
        </is>
      </c>
      <c r="I74" s="78" t="inlineStr">
        <is>
          <t>顶部遮阳</t>
        </is>
      </c>
      <c r="J74" s="78" t="inlineStr"/>
    </row>
    <row r="75" ht="18" customHeight="1" s="61">
      <c r="A75" s="67" t="n">
        <v>5</v>
      </c>
      <c r="B75" s="68" t="inlineStr">
        <is>
          <t>电动卷膜器</t>
        </is>
      </c>
      <c r="C75" s="68" t="inlineStr">
        <is>
          <t>24V直流，带限位保护</t>
        </is>
      </c>
      <c r="D75" s="75" t="n">
        <v>44</v>
      </c>
      <c r="E75" s="75" t="inlineStr">
        <is>
          <t>套</t>
        </is>
      </c>
      <c r="F75" s="69" t="n">
        <v>960</v>
      </c>
      <c r="G75" s="69">
        <f>D75*F75</f>
        <v/>
      </c>
      <c r="H75" s="76" t="inlineStr">
        <is>
          <t>设备供应</t>
        </is>
      </c>
      <c r="I75" s="68" t="inlineStr">
        <is>
          <t>侧窗通风</t>
        </is>
      </c>
      <c r="J75" s="68" t="inlineStr"/>
    </row>
    <row r="76" ht="48" customHeight="1" s="61">
      <c r="A76" s="71" t="inlineStr">
        <is>
          <t>五、环控与照明物资清单 小计</t>
        </is>
      </c>
      <c r="B76" s="65" t="n"/>
      <c r="C76" s="65" t="n"/>
      <c r="D76" s="65" t="n"/>
      <c r="E76" s="65" t="n"/>
      <c r="F76" s="66" t="n"/>
      <c r="G76" s="73">
        <f>SUM(G71:G75)</f>
        <v/>
      </c>
      <c r="H76" s="42" t="n"/>
      <c r="I76" s="27" t="n"/>
      <c r="J76" s="27" t="n"/>
    </row>
    <row r="77" ht="8" customHeight="1" s="61">
      <c r="A77" s="57" t="n"/>
      <c r="B77" s="57" t="n"/>
      <c r="C77" s="57" t="n"/>
      <c r="D77" s="57" t="n"/>
      <c r="E77" s="57" t="n"/>
      <c r="F77" s="57" t="n"/>
      <c r="G77" s="57" t="n"/>
      <c r="H77" s="57" t="n"/>
      <c r="I77" s="57" t="n"/>
      <c r="J77" s="57" t="n"/>
    </row>
    <row r="78" ht="8" customHeight="1" s="61">
      <c r="A78" s="57" t="n"/>
      <c r="B78" s="57" t="n"/>
      <c r="C78" s="57" t="n"/>
      <c r="D78" s="57" t="n"/>
      <c r="E78" s="57" t="n"/>
      <c r="F78" s="57" t="n"/>
      <c r="G78" s="57" t="n"/>
      <c r="H78" s="57" t="n"/>
      <c r="I78" s="57" t="n"/>
      <c r="J78" s="57" t="n"/>
    </row>
    <row r="79" ht="39.6" customHeight="1" s="61">
      <c r="A79" s="16" t="inlineStr">
        <is>
          <t>六、物联网设备预算清单</t>
        </is>
      </c>
      <c r="B79" s="65" t="n"/>
      <c r="C79" s="65" t="n"/>
      <c r="D79" s="65" t="n"/>
      <c r="E79" s="65" t="n"/>
      <c r="F79" s="65" t="n"/>
      <c r="G79" s="65" t="n"/>
      <c r="H79" s="65" t="n"/>
      <c r="I79" s="65" t="n"/>
      <c r="J79" s="66" t="n"/>
    </row>
    <row r="80" ht="24" customHeight="1" s="61">
      <c r="A80" s="82" t="inlineStr">
        <is>
          <t>序号</t>
        </is>
      </c>
      <c r="B80" s="83" t="inlineStr">
        <is>
          <t>项目名称</t>
        </is>
      </c>
      <c r="C80" s="83" t="inlineStr">
        <is>
          <t>项目特征描述</t>
        </is>
      </c>
      <c r="D80" s="82" t="inlineStr">
        <is>
          <t>工程量</t>
        </is>
      </c>
      <c r="E80" s="82" t="inlineStr">
        <is>
          <t>单位</t>
        </is>
      </c>
      <c r="F80" s="84" t="inlineStr">
        <is>
          <t>综合单价（元）</t>
        </is>
      </c>
      <c r="G80" s="84" t="inlineStr">
        <is>
          <t>合价（元）</t>
        </is>
      </c>
      <c r="H80" s="84" t="inlineStr">
        <is>
          <t>施工/供应说明</t>
        </is>
      </c>
      <c r="I80" s="83" t="inlineStr">
        <is>
          <t>使用部位</t>
        </is>
      </c>
      <c r="J80" s="83" t="inlineStr">
        <is>
          <t>备注</t>
        </is>
      </c>
    </row>
    <row r="81" ht="18" customHeight="1" s="61">
      <c r="A81" s="67" t="n">
        <v>1</v>
      </c>
      <c r="B81" s="68" t="inlineStr">
        <is>
          <t>温湿度传感器</t>
        </is>
      </c>
      <c r="C81" s="68" t="inlineStr">
        <is>
          <t>温度、湿度双测点，防水外壳</t>
        </is>
      </c>
      <c r="D81" s="75" t="n">
        <v>28</v>
      </c>
      <c r="E81" s="75" t="inlineStr">
        <is>
          <t>支</t>
        </is>
      </c>
      <c r="F81" s="69" t="n">
        <v>520</v>
      </c>
      <c r="G81" s="69">
        <f>D81*F81</f>
        <v/>
      </c>
      <c r="H81" s="76" t="inlineStr">
        <is>
          <t>设备供应</t>
        </is>
      </c>
      <c r="I81" s="68" t="inlineStr">
        <is>
          <t>栽培区</t>
        </is>
      </c>
      <c r="J81" s="68" t="inlineStr"/>
    </row>
    <row r="82" ht="18" customHeight="1" s="61">
      <c r="A82" s="77" t="n">
        <v>2</v>
      </c>
      <c r="B82" s="78" t="inlineStr">
        <is>
          <t>CO₂传感器</t>
        </is>
      </c>
      <c r="C82" s="78" t="inlineStr">
        <is>
          <t>NDIR原理，量程0-5000ppm</t>
        </is>
      </c>
      <c r="D82" s="79" t="n">
        <v>12</v>
      </c>
      <c r="E82" s="79" t="inlineStr">
        <is>
          <t>支</t>
        </is>
      </c>
      <c r="F82" s="80" t="n">
        <v>1680</v>
      </c>
      <c r="G82" s="80">
        <f>D82*F82</f>
        <v/>
      </c>
      <c r="H82" s="81" t="inlineStr">
        <is>
          <t>设备供应</t>
        </is>
      </c>
      <c r="I82" s="78" t="inlineStr">
        <is>
          <t>生产区</t>
        </is>
      </c>
      <c r="J82" s="78" t="inlineStr"/>
    </row>
    <row r="83" ht="18" customHeight="1" s="61">
      <c r="A83" s="67" t="n">
        <v>3</v>
      </c>
      <c r="B83" s="68" t="inlineStr">
        <is>
          <t>土壤/基质水分传感器</t>
        </is>
      </c>
      <c r="C83" s="68" t="inlineStr">
        <is>
          <t>电容式，带温度补偿</t>
        </is>
      </c>
      <c r="D83" s="75" t="n">
        <v>24</v>
      </c>
      <c r="E83" s="75" t="inlineStr">
        <is>
          <t>支</t>
        </is>
      </c>
      <c r="F83" s="69" t="n">
        <v>780</v>
      </c>
      <c r="G83" s="69">
        <f>D83*F83</f>
        <v/>
      </c>
      <c r="H83" s="76" t="inlineStr">
        <is>
          <t>设备供应</t>
        </is>
      </c>
      <c r="I83" s="68" t="inlineStr">
        <is>
          <t>种植槽</t>
        </is>
      </c>
      <c r="J83" s="68" t="inlineStr"/>
    </row>
    <row r="84" ht="18" customHeight="1" s="61">
      <c r="A84" s="77" t="n">
        <v>4</v>
      </c>
      <c r="B84" s="78" t="inlineStr">
        <is>
          <t>LoRa采集网关</t>
        </is>
      </c>
      <c r="C84" s="78" t="inlineStr">
        <is>
          <t>工业级，支持断点续传</t>
        </is>
      </c>
      <c r="D84" s="79" t="n">
        <v>6</v>
      </c>
      <c r="E84" s="79" t="inlineStr">
        <is>
          <t>台</t>
        </is>
      </c>
      <c r="F84" s="80" t="n">
        <v>3900</v>
      </c>
      <c r="G84" s="80">
        <f>D84*F84</f>
        <v/>
      </c>
      <c r="H84" s="81" t="inlineStr">
        <is>
          <t>设备供应</t>
        </is>
      </c>
      <c r="I84" s="78" t="inlineStr">
        <is>
          <t>控制间</t>
        </is>
      </c>
      <c r="J84" s="78" t="inlineStr"/>
    </row>
    <row r="85" ht="18" customHeight="1" s="61">
      <c r="A85" s="67" t="n">
        <v>5</v>
      </c>
      <c r="B85" s="68" t="inlineStr">
        <is>
          <t>生产大屏看板</t>
        </is>
      </c>
      <c r="C85" s="68" t="inlineStr">
        <is>
          <t>55英寸显示屏，含支架与信号盒</t>
        </is>
      </c>
      <c r="D85" s="75" t="n">
        <v>2</v>
      </c>
      <c r="E85" s="75" t="inlineStr">
        <is>
          <t>套</t>
        </is>
      </c>
      <c r="F85" s="69" t="n">
        <v>6800</v>
      </c>
      <c r="G85" s="69">
        <f>D85*F85</f>
        <v/>
      </c>
      <c r="H85" s="76" t="inlineStr">
        <is>
          <t>设备供应</t>
        </is>
      </c>
      <c r="I85" s="68" t="inlineStr">
        <is>
          <t>运营中心</t>
        </is>
      </c>
      <c r="J85" s="68" t="inlineStr"/>
    </row>
    <row r="86" ht="48" customHeight="1" s="61">
      <c r="A86" s="71" t="inlineStr">
        <is>
          <t>六、物联网设备预算清单 小计</t>
        </is>
      </c>
      <c r="B86" s="65" t="n"/>
      <c r="C86" s="65" t="n"/>
      <c r="D86" s="65" t="n"/>
      <c r="E86" s="65" t="n"/>
      <c r="F86" s="66" t="n"/>
      <c r="G86" s="73">
        <f>SUM(G81:G85)</f>
        <v/>
      </c>
      <c r="H86" s="42" t="n"/>
      <c r="I86" s="27" t="n"/>
      <c r="J86" s="27" t="n"/>
    </row>
    <row r="87" ht="8" customHeight="1" s="61">
      <c r="A87" s="13" t="n"/>
      <c r="B87" s="14" t="n"/>
      <c r="C87" s="14" t="n"/>
      <c r="D87" s="13" t="n"/>
      <c r="E87" s="13" t="n"/>
      <c r="F87" s="15" t="n"/>
      <c r="G87" s="15" t="n"/>
      <c r="H87" s="15" t="n"/>
      <c r="I87" s="14" t="n"/>
      <c r="J87" s="14" t="n"/>
    </row>
    <row r="88" ht="8" customHeight="1" s="61">
      <c r="A88" s="13" t="n"/>
      <c r="B88" s="14" t="n"/>
      <c r="C88" s="14" t="n"/>
      <c r="D88" s="13" t="n"/>
      <c r="E88" s="13" t="n"/>
      <c r="F88" s="15" t="n"/>
      <c r="G88" s="15" t="n"/>
      <c r="H88" s="15" t="n"/>
      <c r="I88" s="14" t="n"/>
      <c r="J88" s="14" t="n"/>
    </row>
    <row r="89" ht="52.8" customHeight="1" s="61">
      <c r="A89" s="16" t="inlineStr">
        <is>
          <t>七、分拣包装与冷链设备清单</t>
        </is>
      </c>
      <c r="B89" s="65" t="n"/>
      <c r="C89" s="65" t="n"/>
      <c r="D89" s="65" t="n"/>
      <c r="E89" s="65" t="n"/>
      <c r="F89" s="65" t="n"/>
      <c r="G89" s="65" t="n"/>
      <c r="H89" s="65" t="n"/>
      <c r="I89" s="65" t="n"/>
      <c r="J89" s="66" t="n"/>
    </row>
    <row r="90" ht="24" customHeight="1" s="61">
      <c r="A90" s="82" t="inlineStr">
        <is>
          <t>序号</t>
        </is>
      </c>
      <c r="B90" s="83" t="inlineStr">
        <is>
          <t>项目名称</t>
        </is>
      </c>
      <c r="C90" s="83" t="inlineStr">
        <is>
          <t>项目特征描述</t>
        </is>
      </c>
      <c r="D90" s="82" t="inlineStr">
        <is>
          <t>工程量</t>
        </is>
      </c>
      <c r="E90" s="82" t="inlineStr">
        <is>
          <t>单位</t>
        </is>
      </c>
      <c r="F90" s="84" t="inlineStr">
        <is>
          <t>综合单价（元）</t>
        </is>
      </c>
      <c r="G90" s="84" t="inlineStr">
        <is>
          <t>合价（元）</t>
        </is>
      </c>
      <c r="H90" s="84" t="inlineStr">
        <is>
          <t>施工/供应说明</t>
        </is>
      </c>
      <c r="I90" s="83" t="inlineStr">
        <is>
          <t>使用部位</t>
        </is>
      </c>
      <c r="J90" s="83" t="inlineStr">
        <is>
          <t>备注</t>
        </is>
      </c>
    </row>
    <row r="91" ht="18" customHeight="1" s="61">
      <c r="A91" s="67" t="n">
        <v>1</v>
      </c>
      <c r="B91" s="68" t="inlineStr">
        <is>
          <t>不锈钢输送带</t>
        </is>
      </c>
      <c r="C91" s="68" t="inlineStr">
        <is>
          <t>食品级皮带，变频调速</t>
        </is>
      </c>
      <c r="D91" s="75" t="n">
        <v>34</v>
      </c>
      <c r="E91" s="75" t="inlineStr">
        <is>
          <t>m</t>
        </is>
      </c>
      <c r="F91" s="69" t="n">
        <v>4200</v>
      </c>
      <c r="G91" s="69">
        <f>D91*F91</f>
        <v/>
      </c>
      <c r="H91" s="76" t="inlineStr">
        <is>
          <t>设备供应</t>
        </is>
      </c>
      <c r="I91" s="68" t="inlineStr">
        <is>
          <t>分拣区</t>
        </is>
      </c>
      <c r="J91" s="68" t="inlineStr"/>
    </row>
    <row r="92" ht="18" customHeight="1" s="61">
      <c r="A92" s="77" t="n">
        <v>2</v>
      </c>
      <c r="B92" s="78" t="inlineStr">
        <is>
          <t>动态称重模块</t>
        </is>
      </c>
      <c r="C92" s="78" t="inlineStr">
        <is>
          <t>精度±5g，支持数据上传</t>
        </is>
      </c>
      <c r="D92" s="79" t="n">
        <v>6</v>
      </c>
      <c r="E92" s="79" t="inlineStr">
        <is>
          <t>套</t>
        </is>
      </c>
      <c r="F92" s="80" t="n">
        <v>13800</v>
      </c>
      <c r="G92" s="80">
        <f>D92*F92</f>
        <v/>
      </c>
      <c r="H92" s="81" t="inlineStr">
        <is>
          <t>设备供应</t>
        </is>
      </c>
      <c r="I92" s="78" t="inlineStr">
        <is>
          <t>分级工位</t>
        </is>
      </c>
      <c r="J92" s="78" t="inlineStr"/>
    </row>
    <row r="93" ht="18" customHeight="1" s="61">
      <c r="A93" s="67" t="n">
        <v>3</v>
      </c>
      <c r="B93" s="68" t="inlineStr">
        <is>
          <t>自动贴标机</t>
        </is>
      </c>
      <c r="C93" s="68" t="inlineStr">
        <is>
          <t>热敏打印，二维码标签</t>
        </is>
      </c>
      <c r="D93" s="75" t="n">
        <v>2</v>
      </c>
      <c r="E93" s="75" t="inlineStr">
        <is>
          <t>台</t>
        </is>
      </c>
      <c r="F93" s="69" t="n">
        <v>36500</v>
      </c>
      <c r="G93" s="69">
        <f>D93*F93</f>
        <v/>
      </c>
      <c r="H93" s="76" t="inlineStr">
        <is>
          <t>设备供应</t>
        </is>
      </c>
      <c r="I93" s="68" t="inlineStr">
        <is>
          <t>包装线</t>
        </is>
      </c>
      <c r="J93" s="68" t="inlineStr"/>
    </row>
    <row r="94" ht="18" customHeight="1" s="61">
      <c r="A94" s="77" t="n">
        <v>4</v>
      </c>
      <c r="B94" s="78" t="inlineStr">
        <is>
          <t>预冷库板材</t>
        </is>
      </c>
      <c r="C94" s="78" t="inlineStr">
        <is>
          <t>100mm聚氨酯库板，阻燃等级B1</t>
        </is>
      </c>
      <c r="D94" s="79" t="n">
        <v>480</v>
      </c>
      <c r="E94" s="79" t="inlineStr">
        <is>
          <t>㎡</t>
        </is>
      </c>
      <c r="F94" s="80" t="n">
        <v>228</v>
      </c>
      <c r="G94" s="80">
        <f>D94*F94</f>
        <v/>
      </c>
      <c r="H94" s="81" t="inlineStr">
        <is>
          <t>设备供应</t>
        </is>
      </c>
      <c r="I94" s="78" t="inlineStr">
        <is>
          <t>冷库</t>
        </is>
      </c>
      <c r="J94" s="78" t="inlineStr"/>
    </row>
    <row r="95" ht="18" customHeight="1" s="61">
      <c r="A95" s="67" t="n">
        <v>5</v>
      </c>
      <c r="B95" s="68" t="inlineStr">
        <is>
          <t>制冷机组</t>
        </is>
      </c>
      <c r="C95" s="68" t="inlineStr">
        <is>
          <t>中温冷库机组，远程监控</t>
        </is>
      </c>
      <c r="D95" s="75" t="n">
        <v>4</v>
      </c>
      <c r="E95" s="75" t="inlineStr">
        <is>
          <t>套</t>
        </is>
      </c>
      <c r="F95" s="69" t="n">
        <v>24600</v>
      </c>
      <c r="G95" s="69">
        <f>D95*F95</f>
        <v/>
      </c>
      <c r="H95" s="76" t="inlineStr">
        <is>
          <t>设备供应</t>
        </is>
      </c>
      <c r="I95" s="68" t="inlineStr">
        <is>
          <t>冷链区</t>
        </is>
      </c>
      <c r="J95" s="68" t="inlineStr"/>
    </row>
    <row r="96" ht="48" customHeight="1" s="61">
      <c r="A96" s="71" t="inlineStr">
        <is>
          <t>七、分拣包装与冷链设备清单 小计</t>
        </is>
      </c>
      <c r="B96" s="65" t="n"/>
      <c r="C96" s="65" t="n"/>
      <c r="D96" s="65" t="n"/>
      <c r="E96" s="65" t="n"/>
      <c r="F96" s="66" t="n"/>
      <c r="G96" s="73">
        <f>SUM(G91:G95)</f>
        <v/>
      </c>
      <c r="H96" s="42" t="n"/>
      <c r="I96" s="27" t="n"/>
      <c r="J96" s="27" t="n"/>
    </row>
    <row r="97" ht="8" customHeight="1" s="61">
      <c r="A97" s="13" t="n"/>
      <c r="B97" s="14" t="n"/>
      <c r="C97" s="14" t="n"/>
      <c r="D97" s="13" t="n"/>
      <c r="E97" s="13" t="n"/>
      <c r="F97" s="15" t="n"/>
      <c r="G97" s="15" t="n"/>
      <c r="H97" s="15" t="n"/>
      <c r="I97" s="14" t="n"/>
      <c r="J97" s="14" t="n"/>
    </row>
    <row r="98" ht="8" customHeight="1" s="61">
      <c r="A98" s="13" t="n"/>
      <c r="B98" s="14" t="n"/>
      <c r="C98" s="14" t="n"/>
      <c r="D98" s="13" t="n"/>
      <c r="E98" s="13" t="n"/>
      <c r="F98" s="15" t="n"/>
      <c r="G98" s="15" t="n"/>
      <c r="H98" s="15" t="n"/>
      <c r="I98" s="14" t="n"/>
      <c r="J98" s="14" t="n"/>
    </row>
    <row r="99" ht="39.6" customHeight="1" s="61">
      <c r="A99" s="16" t="inlineStr">
        <is>
          <t>八、运维家具与工具清单</t>
        </is>
      </c>
      <c r="B99" s="65" t="n"/>
      <c r="C99" s="65" t="n"/>
      <c r="D99" s="65" t="n"/>
      <c r="E99" s="65" t="n"/>
      <c r="F99" s="65" t="n"/>
      <c r="G99" s="65" t="n"/>
      <c r="H99" s="65" t="n"/>
      <c r="I99" s="65" t="n"/>
      <c r="J99" s="66" t="n"/>
    </row>
    <row r="100" ht="24" customHeight="1" s="61">
      <c r="A100" s="82" t="inlineStr">
        <is>
          <t>序号</t>
        </is>
      </c>
      <c r="B100" s="83" t="inlineStr">
        <is>
          <t>项目名称</t>
        </is>
      </c>
      <c r="C100" s="83" t="inlineStr">
        <is>
          <t>项目特征描述</t>
        </is>
      </c>
      <c r="D100" s="82" t="inlineStr">
        <is>
          <t>工程量</t>
        </is>
      </c>
      <c r="E100" s="82" t="inlineStr">
        <is>
          <t>单位</t>
        </is>
      </c>
      <c r="F100" s="84" t="inlineStr">
        <is>
          <t>综合单价（元）</t>
        </is>
      </c>
      <c r="G100" s="84" t="inlineStr">
        <is>
          <t>合价（元）</t>
        </is>
      </c>
      <c r="H100" s="84" t="inlineStr">
        <is>
          <t>施工/供应说明</t>
        </is>
      </c>
      <c r="I100" s="83" t="inlineStr">
        <is>
          <t>使用部位</t>
        </is>
      </c>
      <c r="J100" s="83" t="inlineStr">
        <is>
          <t>备注</t>
        </is>
      </c>
    </row>
    <row r="101" ht="18" customHeight="1" s="61">
      <c r="A101" s="67" t="n">
        <v>1</v>
      </c>
      <c r="B101" s="68" t="inlineStr">
        <is>
          <t>不锈钢操作台</t>
        </is>
      </c>
      <c r="C101" s="68" t="inlineStr">
        <is>
          <t>双层工作台，圆角边处理</t>
        </is>
      </c>
      <c r="D101" s="75" t="n">
        <v>8</v>
      </c>
      <c r="E101" s="75" t="inlineStr">
        <is>
          <t>张</t>
        </is>
      </c>
      <c r="F101" s="69" t="n">
        <v>1850</v>
      </c>
      <c r="G101" s="69">
        <f>D101*F101</f>
        <v/>
      </c>
      <c r="H101" s="76" t="inlineStr">
        <is>
          <t>物资供应</t>
        </is>
      </c>
      <c r="I101" s="68" t="inlineStr">
        <is>
          <t>分拣区</t>
        </is>
      </c>
      <c r="J101" s="68" t="inlineStr"/>
    </row>
    <row r="102" ht="18" customHeight="1" s="61">
      <c r="A102" s="77" t="n">
        <v>2</v>
      </c>
      <c r="B102" s="78" t="inlineStr">
        <is>
          <t>工具柜</t>
        </is>
      </c>
      <c r="C102" s="78" t="inlineStr">
        <is>
          <t>钢制对开门，带挂板</t>
        </is>
      </c>
      <c r="D102" s="79" t="n">
        <v>6</v>
      </c>
      <c r="E102" s="79" t="inlineStr">
        <is>
          <t>组</t>
        </is>
      </c>
      <c r="F102" s="80" t="n">
        <v>1260</v>
      </c>
      <c r="G102" s="80">
        <f>D102*F102</f>
        <v/>
      </c>
      <c r="H102" s="81" t="inlineStr">
        <is>
          <t>物资供应</t>
        </is>
      </c>
      <c r="I102" s="78" t="inlineStr">
        <is>
          <t>工具间</t>
        </is>
      </c>
      <c r="J102" s="78" t="inlineStr"/>
    </row>
    <row r="103" ht="18" customHeight="1" s="61">
      <c r="A103" s="67" t="n">
        <v>3</v>
      </c>
      <c r="B103" s="68" t="inlineStr">
        <is>
          <t>样品展示架</t>
        </is>
      </c>
      <c r="C103" s="68" t="inlineStr">
        <is>
          <t>烤漆金属架，可调层板</t>
        </is>
      </c>
      <c r="D103" s="75" t="n">
        <v>4</v>
      </c>
      <c r="E103" s="75" t="inlineStr">
        <is>
          <t>组</t>
        </is>
      </c>
      <c r="F103" s="69" t="n">
        <v>1680</v>
      </c>
      <c r="G103" s="69">
        <f>D103*F103</f>
        <v/>
      </c>
      <c r="H103" s="76" t="inlineStr">
        <is>
          <t>物资供应</t>
        </is>
      </c>
      <c r="I103" s="68" t="inlineStr">
        <is>
          <t>展示区</t>
        </is>
      </c>
      <c r="J103" s="68" t="inlineStr"/>
    </row>
    <row r="104" ht="18" customHeight="1" s="61">
      <c r="A104" s="77" t="n">
        <v>4</v>
      </c>
      <c r="B104" s="78" t="inlineStr">
        <is>
          <t>办公桌椅</t>
        </is>
      </c>
      <c r="C104" s="78" t="inlineStr">
        <is>
          <t>运营人员工位，含线槽</t>
        </is>
      </c>
      <c r="D104" s="79" t="n">
        <v>12</v>
      </c>
      <c r="E104" s="79" t="inlineStr">
        <is>
          <t>套</t>
        </is>
      </c>
      <c r="F104" s="80" t="n">
        <v>980</v>
      </c>
      <c r="G104" s="80">
        <f>D104*F104</f>
        <v/>
      </c>
      <c r="H104" s="81" t="inlineStr">
        <is>
          <t>物资供应</t>
        </is>
      </c>
      <c r="I104" s="78" t="inlineStr">
        <is>
          <t>运营中心</t>
        </is>
      </c>
      <c r="J104" s="78" t="inlineStr"/>
    </row>
    <row r="105" ht="18" customHeight="1" s="61">
      <c r="A105" s="67" t="n">
        <v>5</v>
      </c>
      <c r="B105" s="68" t="inlineStr">
        <is>
          <t>安全标识与制度牌</t>
        </is>
      </c>
      <c r="C105" s="68" t="inlineStr">
        <is>
          <t>亚克力面板，含安装</t>
        </is>
      </c>
      <c r="D105" s="75" t="n">
        <v>1</v>
      </c>
      <c r="E105" s="75" t="inlineStr">
        <is>
          <t>批</t>
        </is>
      </c>
      <c r="F105" s="69" t="n">
        <v>9200</v>
      </c>
      <c r="G105" s="69">
        <f>D105*F105</f>
        <v/>
      </c>
      <c r="H105" s="76" t="inlineStr">
        <is>
          <t>物资供应</t>
        </is>
      </c>
      <c r="I105" s="68" t="inlineStr">
        <is>
          <t>全园区</t>
        </is>
      </c>
      <c r="J105" s="68" t="inlineStr"/>
    </row>
    <row r="106" ht="48" customHeight="1" s="61">
      <c r="A106" s="71" t="inlineStr">
        <is>
          <t>八、运维家具与工具清单 小计</t>
        </is>
      </c>
      <c r="B106" s="65" t="n"/>
      <c r="C106" s="65" t="n"/>
      <c r="D106" s="65" t="n"/>
      <c r="E106" s="65" t="n"/>
      <c r="F106" s="66" t="n"/>
      <c r="G106" s="73">
        <f>SUM(G101:G105)</f>
        <v/>
      </c>
      <c r="H106" s="42" t="n"/>
      <c r="I106" s="27" t="n"/>
      <c r="J106" s="27" t="n"/>
    </row>
    <row r="107" ht="8" customHeight="1" s="61">
      <c r="A107" s="13" t="n"/>
      <c r="B107" s="14" t="n"/>
      <c r="C107" s="14" t="n"/>
      <c r="D107" s="13" t="n"/>
      <c r="E107" s="13" t="n"/>
      <c r="F107" s="15" t="n"/>
      <c r="G107" s="15" t="n"/>
      <c r="H107" s="15" t="n"/>
      <c r="I107" s="14" t="n"/>
      <c r="J107" s="14" t="n"/>
    </row>
    <row r="108" ht="8" customHeight="1" s="61">
      <c r="A108" s="13" t="n"/>
      <c r="B108" s="14" t="n"/>
      <c r="C108" s="14" t="n"/>
      <c r="D108" s="13" t="n"/>
      <c r="E108" s="13" t="n"/>
      <c r="F108" s="15" t="n"/>
      <c r="G108" s="15" t="n"/>
      <c r="H108" s="15" t="n"/>
      <c r="I108" s="14" t="n"/>
      <c r="J108" s="14" t="n"/>
    </row>
    <row r="109" ht="52.8" customHeight="1" s="61">
      <c r="A109" s="16" t="inlineStr">
        <is>
          <t>九、不锈钢玻璃与五金辅材清单</t>
        </is>
      </c>
      <c r="B109" s="65" t="n"/>
      <c r="C109" s="65" t="n"/>
      <c r="D109" s="65" t="n"/>
      <c r="E109" s="65" t="n"/>
      <c r="F109" s="65" t="n"/>
      <c r="G109" s="65" t="n"/>
      <c r="H109" s="65" t="n"/>
      <c r="I109" s="65" t="n"/>
      <c r="J109" s="66" t="n"/>
    </row>
    <row r="110" ht="24" customHeight="1" s="61">
      <c r="A110" s="82" t="inlineStr">
        <is>
          <t>序号</t>
        </is>
      </c>
      <c r="B110" s="83" t="inlineStr">
        <is>
          <t>项目名称</t>
        </is>
      </c>
      <c r="C110" s="83" t="inlineStr">
        <is>
          <t>项目特征描述</t>
        </is>
      </c>
      <c r="D110" s="82" t="inlineStr">
        <is>
          <t>工程量</t>
        </is>
      </c>
      <c r="E110" s="82" t="inlineStr">
        <is>
          <t>单位</t>
        </is>
      </c>
      <c r="F110" s="84" t="inlineStr">
        <is>
          <t>综合单价（元）</t>
        </is>
      </c>
      <c r="G110" s="84" t="inlineStr">
        <is>
          <t>合价（元）</t>
        </is>
      </c>
      <c r="H110" s="84" t="inlineStr">
        <is>
          <t>施工/供应说明</t>
        </is>
      </c>
      <c r="I110" s="83" t="inlineStr">
        <is>
          <t>使用部位</t>
        </is>
      </c>
      <c r="J110" s="83" t="inlineStr">
        <is>
          <t>备注</t>
        </is>
      </c>
    </row>
    <row r="111" ht="18" customHeight="1" s="61">
      <c r="A111" s="67" t="n">
        <v>1</v>
      </c>
      <c r="B111" s="68" t="inlineStr">
        <is>
          <t>观察窗钢化玻璃</t>
        </is>
      </c>
      <c r="C111" s="68" t="inlineStr">
        <is>
          <t>8mm钢化玻璃，磨边处理</t>
        </is>
      </c>
      <c r="D111" s="75" t="n">
        <v>72</v>
      </c>
      <c r="E111" s="75" t="inlineStr">
        <is>
          <t>㎡</t>
        </is>
      </c>
      <c r="F111" s="69" t="n">
        <v>210</v>
      </c>
      <c r="G111" s="69">
        <f>D111*F111</f>
        <v/>
      </c>
      <c r="H111" s="76" t="inlineStr">
        <is>
          <t>材料供应</t>
        </is>
      </c>
      <c r="I111" s="68" t="inlineStr">
        <is>
          <t>参观通道</t>
        </is>
      </c>
      <c r="J111" s="68" t="inlineStr"/>
    </row>
    <row r="112" ht="18" customHeight="1" s="61">
      <c r="A112" s="77" t="n">
        <v>2</v>
      </c>
      <c r="B112" s="78" t="inlineStr">
        <is>
          <t>不锈钢防护栏</t>
        </is>
      </c>
      <c r="C112" s="78" t="inlineStr">
        <is>
          <t>304不锈钢，拉丝面，含立柱</t>
        </is>
      </c>
      <c r="D112" s="79" t="n">
        <v>185</v>
      </c>
      <c r="E112" s="79" t="inlineStr">
        <is>
          <t>m</t>
        </is>
      </c>
      <c r="F112" s="80" t="n">
        <v>268</v>
      </c>
      <c r="G112" s="80">
        <f>D112*F112</f>
        <v/>
      </c>
      <c r="H112" s="81" t="inlineStr">
        <is>
          <t>材料供应</t>
        </is>
      </c>
      <c r="I112" s="78" t="inlineStr">
        <is>
          <t>通道边界</t>
        </is>
      </c>
      <c r="J112" s="78" t="inlineStr"/>
    </row>
    <row r="113" ht="18" customHeight="1" s="61">
      <c r="A113" s="67" t="n">
        <v>3</v>
      </c>
      <c r="B113" s="68" t="inlineStr">
        <is>
          <t>门体五金套件</t>
        </is>
      </c>
      <c r="C113" s="68" t="inlineStr">
        <is>
          <t>闭门器、合页、锁具、拉手</t>
        </is>
      </c>
      <c r="D113" s="75" t="n">
        <v>26</v>
      </c>
      <c r="E113" s="75" t="inlineStr">
        <is>
          <t>套</t>
        </is>
      </c>
      <c r="F113" s="69" t="n">
        <v>680</v>
      </c>
      <c r="G113" s="69">
        <f>D113*F113</f>
        <v/>
      </c>
      <c r="H113" s="76" t="inlineStr">
        <is>
          <t>材料供应</t>
        </is>
      </c>
      <c r="I113" s="68" t="inlineStr">
        <is>
          <t>设备间/库房</t>
        </is>
      </c>
      <c r="J113" s="68" t="inlineStr"/>
    </row>
    <row r="114" ht="18" customHeight="1" s="61">
      <c r="A114" s="77" t="n">
        <v>4</v>
      </c>
      <c r="B114" s="78" t="inlineStr">
        <is>
          <t>密封胶条</t>
        </is>
      </c>
      <c r="C114" s="78" t="inlineStr">
        <is>
          <t>EPDM耐候胶条，配套安装</t>
        </is>
      </c>
      <c r="D114" s="79" t="n">
        <v>1</v>
      </c>
      <c r="E114" s="79" t="inlineStr">
        <is>
          <t>批</t>
        </is>
      </c>
      <c r="F114" s="80" t="n">
        <v>12800</v>
      </c>
      <c r="G114" s="80">
        <f>D114*F114</f>
        <v/>
      </c>
      <c r="H114" s="81" t="inlineStr">
        <is>
          <t>材料供应</t>
        </is>
      </c>
      <c r="I114" s="78" t="inlineStr">
        <is>
          <t>门窗节点</t>
        </is>
      </c>
      <c r="J114" s="78" t="inlineStr"/>
    </row>
    <row r="115" ht="18" customHeight="1" s="61">
      <c r="A115" s="67" t="n">
        <v>5</v>
      </c>
      <c r="B115" s="68" t="inlineStr">
        <is>
          <t>安装辅材</t>
        </is>
      </c>
      <c r="C115" s="68" t="inlineStr">
        <is>
          <t>膨胀螺栓、钻孔、结构胶等</t>
        </is>
      </c>
      <c r="D115" s="75" t="n">
        <v>1</v>
      </c>
      <c r="E115" s="75" t="inlineStr">
        <is>
          <t>批</t>
        </is>
      </c>
      <c r="F115" s="69" t="n">
        <v>18600</v>
      </c>
      <c r="G115" s="69">
        <f>D115*F115</f>
        <v/>
      </c>
      <c r="H115" s="76" t="inlineStr">
        <is>
          <t>材料供应</t>
        </is>
      </c>
      <c r="I115" s="68" t="inlineStr">
        <is>
          <t>全园区</t>
        </is>
      </c>
      <c r="J115" s="68" t="inlineStr"/>
    </row>
    <row r="116" ht="48" customHeight="1" s="61">
      <c r="A116" s="71" t="inlineStr">
        <is>
          <t>九、不锈钢玻璃与五金辅材清单 小计</t>
        </is>
      </c>
      <c r="B116" s="65" t="n"/>
      <c r="C116" s="65" t="n"/>
      <c r="D116" s="65" t="n"/>
      <c r="E116" s="65" t="n"/>
      <c r="F116" s="66" t="n"/>
      <c r="G116" s="73">
        <f>SUM(G111:G115)</f>
        <v/>
      </c>
      <c r="H116" s="42" t="n"/>
      <c r="I116" s="27" t="n"/>
      <c r="J116" s="27" t="n"/>
    </row>
    <row r="117" ht="8" customHeight="1" s="61">
      <c r="A117" s="13" t="n"/>
      <c r="B117" s="14" t="n"/>
      <c r="C117" s="14" t="n"/>
      <c r="D117" s="13" t="n"/>
      <c r="E117" s="13" t="n"/>
      <c r="F117" s="15" t="n"/>
      <c r="G117" s="15" t="n"/>
      <c r="H117" s="15" t="n"/>
      <c r="I117" s="14" t="n"/>
      <c r="J117" s="14" t="n"/>
    </row>
    <row r="118" ht="8" customHeight="1" s="61">
      <c r="A118" s="13" t="n"/>
      <c r="B118" s="14" t="n"/>
      <c r="C118" s="14" t="n"/>
      <c r="D118" s="13" t="n"/>
      <c r="E118" s="13" t="n"/>
      <c r="F118" s="15" t="n"/>
      <c r="G118" s="15" t="n"/>
      <c r="H118" s="15" t="n"/>
      <c r="I118" s="14" t="n"/>
      <c r="J118" s="14" t="n"/>
    </row>
    <row r="119" ht="39.6" customHeight="1" s="61">
      <c r="A119" s="16" t="inlineStr">
        <is>
          <t>十、清单总计与核对</t>
        </is>
      </c>
      <c r="B119" s="65" t="n"/>
      <c r="C119" s="65" t="n"/>
      <c r="D119" s="65" t="n"/>
      <c r="E119" s="65" t="n"/>
      <c r="F119" s="65" t="n"/>
      <c r="G119" s="65" t="n"/>
      <c r="H119" s="65" t="n"/>
      <c r="I119" s="65" t="n"/>
      <c r="J119" s="66" t="n"/>
    </row>
    <row r="120" ht="24" customHeight="1" s="61">
      <c r="A120" s="82" t="inlineStr">
        <is>
          <t>序号</t>
        </is>
      </c>
      <c r="B120" s="83" t="inlineStr">
        <is>
          <t>核对项</t>
        </is>
      </c>
      <c r="C120" s="83" t="inlineStr">
        <is>
          <t>说明</t>
        </is>
      </c>
      <c r="D120" s="82" t="inlineStr">
        <is>
          <t>数量</t>
        </is>
      </c>
      <c r="E120" s="82" t="inlineStr">
        <is>
          <t>单位</t>
        </is>
      </c>
      <c r="F120" s="84" t="inlineStr">
        <is>
          <t>基准金额（元）</t>
        </is>
      </c>
      <c r="G120" s="84" t="inlineStr">
        <is>
          <t>测算金额（元）</t>
        </is>
      </c>
      <c r="H120" s="84" t="inlineStr">
        <is>
          <t>差异</t>
        </is>
      </c>
      <c r="I120" s="83" t="inlineStr">
        <is>
          <t>责任单位</t>
        </is>
      </c>
      <c r="J120" s="83" t="inlineStr">
        <is>
          <t>备注</t>
        </is>
      </c>
    </row>
    <row r="121" ht="18" customHeight="1" s="61">
      <c r="A121" s="67" t="n">
        <v>1</v>
      </c>
      <c r="B121" s="68" t="inlineStr">
        <is>
          <t>工程量清单合计</t>
        </is>
      </c>
      <c r="C121" s="68" t="inlineStr">
        <is>
          <t>对应温室工程量清单</t>
        </is>
      </c>
      <c r="D121" s="67" t="n">
        <v>1</v>
      </c>
      <c r="E121" s="67" t="inlineStr">
        <is>
          <t>项</t>
        </is>
      </c>
      <c r="F121" s="69">
        <f>G31+G38+G46+G54</f>
        <v/>
      </c>
      <c r="G121" s="69">
        <f>F121</f>
        <v/>
      </c>
      <c r="H121" s="69">
        <f>G121-F121</f>
        <v/>
      </c>
      <c r="I121" s="68" t="inlineStr">
        <is>
          <t>成本组</t>
        </is>
      </c>
      <c r="J121" s="68" t="inlineStr"/>
    </row>
    <row r="122" ht="18" customHeight="1" s="61">
      <c r="A122" s="67" t="n">
        <v>2</v>
      </c>
      <c r="B122" s="68" t="inlineStr">
        <is>
          <t>物资清单合计</t>
        </is>
      </c>
      <c r="C122" s="68" t="inlineStr">
        <is>
          <t>对应主材、设备、家具与辅材</t>
        </is>
      </c>
      <c r="D122" s="67" t="n">
        <v>1</v>
      </c>
      <c r="E122" s="67" t="inlineStr">
        <is>
          <t>项</t>
        </is>
      </c>
      <c r="F122" s="69">
        <f>G66+G76+G86+G96+G106+G116</f>
        <v/>
      </c>
      <c r="G122" s="69">
        <f>F122</f>
        <v/>
      </c>
      <c r="H122" s="69">
        <f>G122-F122</f>
        <v/>
      </c>
      <c r="I122" s="68" t="inlineStr">
        <is>
          <t>采购组</t>
        </is>
      </c>
      <c r="J122" s="68" t="inlineStr"/>
    </row>
    <row r="123" ht="18" customHeight="1" s="61">
      <c r="A123" s="67" t="n">
        <v>3</v>
      </c>
      <c r="B123" s="68" t="inlineStr">
        <is>
          <t>综合测算合计</t>
        </is>
      </c>
      <c r="C123" s="68" t="inlineStr">
        <is>
          <t>工程量+物资清单</t>
        </is>
      </c>
      <c r="D123" s="67" t="n">
        <v>1</v>
      </c>
      <c r="E123" s="67" t="inlineStr">
        <is>
          <t>项</t>
        </is>
      </c>
      <c r="F123" s="69">
        <f>SUM(F121:F122)</f>
        <v/>
      </c>
      <c r="G123" s="69">
        <f>SUM(G121:G122)</f>
        <v/>
      </c>
      <c r="H123" s="69">
        <f>G123-F123</f>
        <v/>
      </c>
      <c r="I123" s="68" t="inlineStr">
        <is>
          <t>财务</t>
        </is>
      </c>
      <c r="J123" s="68" t="inlineStr"/>
    </row>
    <row r="124" ht="18" customHeight="1" s="61">
      <c r="A124" s="71" t="n">
        <v>4</v>
      </c>
      <c r="B124" s="72" t="inlineStr">
        <is>
          <t>与报价汇总直接费差异</t>
        </is>
      </c>
      <c r="C124" s="72" t="inlineStr">
        <is>
          <t>用于复核报价汇总与清单测算</t>
        </is>
      </c>
      <c r="D124" s="71" t="n">
        <v>1</v>
      </c>
      <c r="E124" s="71" t="inlineStr">
        <is>
          <t>项</t>
        </is>
      </c>
      <c r="F124" s="73">
        <f>$G$17</f>
        <v/>
      </c>
      <c r="G124" s="73">
        <f>G123</f>
        <v/>
      </c>
      <c r="H124" s="73">
        <f>G124-F124</f>
        <v/>
      </c>
      <c r="I124" s="72" t="inlineStr">
        <is>
          <t>财务</t>
        </is>
      </c>
      <c r="J124" s="72" t="inlineStr">
        <is>
          <t>差异为0表示口径一致</t>
        </is>
      </c>
    </row>
    <row r="125" ht="16.5" customHeight="1" s="61">
      <c r="A125" s="13" t="n"/>
      <c r="B125" s="14" t="n"/>
      <c r="C125" s="14" t="n"/>
      <c r="D125" s="13" t="n"/>
      <c r="E125" s="13" t="n"/>
      <c r="F125" s="15" t="n"/>
      <c r="G125" s="15" t="n"/>
      <c r="H125" s="15" t="n"/>
      <c r="I125" s="14" t="n"/>
      <c r="J125" s="14" t="n"/>
    </row>
    <row r="126" ht="97.2" customHeight="1" s="61"/>
  </sheetData>
  <mergeCells count="26">
    <mergeCell ref="A54:F54"/>
    <mergeCell ref="A5:J5"/>
    <mergeCell ref="A46:F46"/>
    <mergeCell ref="A22:J22"/>
    <mergeCell ref="A66:F66"/>
    <mergeCell ref="A109:J109"/>
    <mergeCell ref="A56:F56"/>
    <mergeCell ref="A86:F86"/>
    <mergeCell ref="A76:F76"/>
    <mergeCell ref="A40:J40"/>
    <mergeCell ref="A116:F116"/>
    <mergeCell ref="A106:F106"/>
    <mergeCell ref="A59:J59"/>
    <mergeCell ref="A48:J48"/>
    <mergeCell ref="A24:J24"/>
    <mergeCell ref="A96:F96"/>
    <mergeCell ref="A38:F38"/>
    <mergeCell ref="A1:J1"/>
    <mergeCell ref="A79:J79"/>
    <mergeCell ref="A119:J119"/>
    <mergeCell ref="A31:F31"/>
    <mergeCell ref="A69:J69"/>
    <mergeCell ref="A99:J99"/>
    <mergeCell ref="A89:J89"/>
    <mergeCell ref="A26:J26"/>
    <mergeCell ref="A33:J33"/>
  </mergeCells>
  <conditionalFormatting sqref="G7:G20">
    <cfRule type="dataBar" priority="1">
      <dataBar>
        <cfvo type="min"/>
        <cfvo type="max"/>
        <color rgb="FF7FB99B"/>
      </dataBar>
    </cfRule>
  </conditionalFormatting>
  <printOptions horizontalCentered="1"/>
  <pageMargins left="0.25" right="0.25" top="0.4" bottom="0.4" header="0.2" footer="0.2"/>
  <pageSetup orientation="portrait" paperSize="9" fitToHeight="0" fitToWidth="1"/>
  <rowBreaks count="11" manualBreakCount="11">
    <brk id="23" min="0" max="16383" man="1"/>
    <brk id="32" min="0" max="16383" man="1"/>
    <brk id="39" min="0" max="16383" man="1"/>
    <brk id="47" min="0" max="16383" man="1"/>
    <brk id="58" min="0" max="16383" man="1"/>
    <brk id="68" min="0" max="16383" man="1"/>
    <brk id="78" min="0" max="16383" man="1"/>
    <brk id="88" min="0" max="16383" man="1"/>
    <brk id="98" min="0" max="16383" man="1"/>
    <brk id="108" min="0" max="16383" man="1"/>
    <brk id="118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ColWidth="9" defaultRowHeight="14.25"/>
  <cols>
    <col width="8.883333333333329" customWidth="1" style="61" min="1" max="1"/>
    <col width="21.4" customWidth="1" style="61" min="2" max="2"/>
    <col width="18" customWidth="1" style="61" min="3" max="3"/>
  </cols>
  <sheetData>
    <row r="1" ht="30" customHeight="1" s="61">
      <c r="A1" s="1" t="inlineStr">
        <is>
          <t>类别</t>
        </is>
      </c>
      <c r="B1" s="1" t="inlineStr">
        <is>
          <t>说明</t>
        </is>
      </c>
      <c r="C1" s="1" t="inlineStr">
        <is>
          <t>是否计入报价汇总</t>
        </is>
      </c>
    </row>
    <row r="2" ht="16.5" customHeight="1" s="61">
      <c r="A2" s="2" t="inlineStr">
        <is>
          <t>生产温室区</t>
        </is>
      </c>
      <c r="B2" s="2" t="inlineStr">
        <is>
          <t>主体温室、育苗区、栽培区</t>
        </is>
      </c>
      <c r="C2" s="2" t="inlineStr">
        <is>
          <t>是</t>
        </is>
      </c>
    </row>
    <row r="3" ht="16.5" customHeight="1" s="61">
      <c r="A3" s="2" t="inlineStr">
        <is>
          <t>环控系统</t>
        </is>
      </c>
      <c r="B3" s="2" t="inlineStr">
        <is>
          <t>通风、遮阳、湿帘风机</t>
        </is>
      </c>
      <c r="C3" s="2" t="inlineStr">
        <is>
          <t>是</t>
        </is>
      </c>
    </row>
    <row r="4" ht="16.5" customHeight="1" s="61">
      <c r="A4" s="2" t="inlineStr">
        <is>
          <t>水肥系统</t>
        </is>
      </c>
      <c r="B4" s="2" t="inlineStr">
        <is>
          <t>水肥一体化及灌溉管线</t>
        </is>
      </c>
      <c r="C4" s="2" t="inlineStr">
        <is>
          <t>是</t>
        </is>
      </c>
    </row>
    <row r="5" ht="16.5" customHeight="1" s="61">
      <c r="A5" s="2" t="inlineStr">
        <is>
          <t>物联网系统</t>
        </is>
      </c>
      <c r="B5" s="2" t="inlineStr">
        <is>
          <t>传感器、网关、平台</t>
        </is>
      </c>
      <c r="C5" s="2" t="inlineStr">
        <is>
          <t>是</t>
        </is>
      </c>
    </row>
    <row r="6" ht="16.5" customHeight="1" s="61">
      <c r="A6" s="2" t="inlineStr">
        <is>
          <t>供配电</t>
        </is>
      </c>
      <c r="B6" s="2" t="inlineStr">
        <is>
          <t>照明、动力配电、桥架</t>
        </is>
      </c>
      <c r="C6" s="2" t="inlineStr">
        <is>
          <t>是</t>
        </is>
      </c>
    </row>
    <row r="7" ht="16.5" customHeight="1" s="61">
      <c r="A7" s="2" t="inlineStr">
        <is>
          <t>分拣包装</t>
        </is>
      </c>
      <c r="B7" s="2" t="inlineStr">
        <is>
          <t>输送、称重、贴标</t>
        </is>
      </c>
      <c r="C7" s="2" t="inlineStr">
        <is>
          <t>是</t>
        </is>
      </c>
    </row>
    <row r="8" ht="16.5" customHeight="1" s="61">
      <c r="A8" s="2" t="inlineStr">
        <is>
          <t>冷链仓储</t>
        </is>
      </c>
      <c r="B8" s="2" t="inlineStr">
        <is>
          <t>预冷库与周转库</t>
        </is>
      </c>
      <c r="C8" s="2" t="inlineStr">
        <is>
          <t>是</t>
        </is>
      </c>
    </row>
    <row r="9" ht="16.5" customHeight="1" s="61">
      <c r="A9" s="2" t="inlineStr">
        <is>
          <t>运维配套</t>
        </is>
      </c>
      <c r="B9" s="2" t="inlineStr">
        <is>
          <t>家具、工具、标识</t>
        </is>
      </c>
      <c r="C9" s="2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2026-08-23T18:51:56Z</dcterms:created>
  <dcterms:modified xmlns:dcterms="http://purl.org/dc/terms/" xmlns:xsi="http://www.w3.org/2001/XMLSchema-instance" xsi:type="dcterms:W3CDTF">2026-08-23T18:51:56Z</dcterms:modified>
</cp:coreProperties>
</file>