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20" yWindow="1940" windowWidth="17320" windowHeight="15960" tabRatio="727" firstSheet="7" activeTab="1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Balance Sheet Schedules" sheetId="7" state="visible" r:id="rId7"/>
    <sheet xmlns:r="http://schemas.openxmlformats.org/officeDocument/2006/relationships" name="Ratio Analysis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Revenue Driver" sheetId="10" state="visible" r:id="rId10"/>
    <sheet xmlns:r="http://schemas.openxmlformats.org/officeDocument/2006/relationships" name="Cost Drivers" sheetId="11" state="visible" r:id="rId11"/>
    <sheet xmlns:r="http://schemas.openxmlformats.org/officeDocument/2006/relationships" name="Manpower Expenses" sheetId="12" state="visible" r:id="rId12"/>
  </sheets>
  <definedNames>
    <definedName name="Account_Name">#REF!</definedName>
    <definedName name="Account_Registration_License_No">#REF!</definedName>
    <definedName name="CIQWBGuid" hidden="1">"3106dadb-3647-4802-9c05-ef7be4d8a479"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"01/21/2026 04:34:34"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rel_Appointment_Date">#REF!</definedName>
    <definedName name="rel_Company_Registered_Address">#REF!</definedName>
    <definedName name="rel_Relationship_End_Date">#REF!</definedName>
    <definedName name="rel_Relationship_Name">#REF!</definedName>
    <definedName name="rel_Relationship_Nationality">#REF!</definedName>
    <definedName name="rel_Start">#REF!</definedName>
    <definedName name="_xlnm.Print_Area" localSheetId="0">'Cover'!$A$1:$D$23</definedName>
    <definedName name="_xlnm.Print_Area" localSheetId="1">'Summary'!$A$1:$AX$123</definedName>
    <definedName name="_xlnm.Print_Area" localSheetId="2">'DCF'!$A$1:$N$60</definedName>
    <definedName name="_xlnm.Print_Area" localSheetId="3">'Income Statement'!$A$1:$AX$43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Cashflow!$C$23</definedName>
    <definedName name="solver_typ" localSheetId="4" hidden="1">1</definedName>
    <definedName name="solver_val" localSheetId="4" hidden="1">0</definedName>
    <definedName name="solver_ver" localSheetId="4" hidden="1">3</definedName>
    <definedName name="_xlnm.Print_Area" localSheetId="4">'Cashflow'!$A$1:$AX$32</definedName>
    <definedName name="_xlnm.Print_Area" localSheetId="5">'Balance Sheet'!$A$1:$AY$34</definedName>
    <definedName name="_xlnm.Print_Area" localSheetId="6">'Balance Sheet Schedules'!$A$1:$AW$54</definedName>
    <definedName name="_xlnm.Print_Area" localSheetId="7">'Ratio Analysis'!$A$1:$AX$50</definedName>
    <definedName name="_xlnm.Print_Area" localSheetId="8">'Assumptions'!$A$1:$D$15</definedName>
    <definedName name="_xlnm.Print_Area" localSheetId="9">'Revenue Driver'!$A$1:$AX$224</definedName>
    <definedName name="_xlnm.Print_Area" localSheetId="10">'Cost Drivers'!$A$1:$AW$70</definedName>
    <definedName name="_xlnm.Print_Area" localSheetId="11">'Manpower Expenses'!$A$1:$AY$121</definedName>
  </definedNames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13">
    <numFmt numFmtId="164" formatCode="#,##0;\(#,##0\)"/>
    <numFmt numFmtId="165" formatCode="0%;\(0%\)"/>
    <numFmt numFmtId="166" formatCode="_(* #,##0_);_(* \(#,##0\);_(* &quot;-&quot;??_);_(@_)"/>
    <numFmt numFmtId="167" formatCode="0.0\x;\(0.0\x\)"/>
    <numFmt numFmtId="168" formatCode="0%_);\(0%\);0%_);@_)"/>
    <numFmt numFmtId="169" formatCode="_ * #,##0_ ;_ * \(#,##0\)_ ;_ * &quot;-&quot;??_ ;_ @_ "/>
    <numFmt numFmtId="170" formatCode="0.0%"/>
    <numFmt numFmtId="171" formatCode="_ * #,##0.00_ ;_ * \-#,##0.00_ ;_ * &quot;-&quot;??_ ;_ @_ "/>
    <numFmt numFmtId="172" formatCode="_ * #,##0_ ;_ * \-#,##0_ ;_ * &quot;-&quot;??_ ;_ @_ "/>
    <numFmt numFmtId="173" formatCode="_ * #,##0.00_ ;_ * \(#,##0.00\)_ ;_ * &quot;-&quot;??_ ;_ @_ "/>
    <numFmt numFmtId="174" formatCode="0.0%;\(0.0%\)"/>
    <numFmt numFmtId="175" formatCode="[$-F800]dddd\,\ mmmm\ dd\,\ yyyy"/>
    <numFmt numFmtId="176" formatCode="_(&quot;$&quot;* #,##0.00_);_(&quot;$&quot;* \(#,##0.00\);_(&quot;$&quot;* &quot;-&quot;??_);_(@_)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Times New Roman"/>
      <family val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FF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  <u val="single"/>
    </font>
    <font>
      <name val="Arial"/>
      <family val="2"/>
      <i val="1"/>
      <color theme="1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theme="2" tint="-0.749992370372631"/>
      <sz val="10"/>
    </font>
    <font>
      <name val="Arial"/>
      <family val="2"/>
      <color theme="0"/>
      <sz val="10"/>
    </font>
    <font>
      <name val="Arial"/>
      <family val="2"/>
      <b val="1"/>
      <color rgb="FF0000FF"/>
      <sz val="10"/>
    </font>
    <font>
      <name val="Arial"/>
      <family val="2"/>
      <color theme="1"/>
      <sz val="10"/>
      <u val="single"/>
    </font>
    <font>
      <name val="Arial"/>
      <family val="2"/>
      <color rgb="FF0070C0"/>
      <sz val="10"/>
    </font>
    <font>
      <name val="Arial"/>
      <family val="2"/>
      <color theme="10"/>
      <sz val="10"/>
      <u val="single"/>
    </font>
    <font>
      <name val="Arial"/>
      <family val="2"/>
      <i val="1"/>
      <color rgb="FFFF0000"/>
      <sz val="10"/>
    </font>
    <font>
      <name val="Arial"/>
      <family val="2"/>
      <color rgb="FFFF0000"/>
      <sz val="10"/>
    </font>
    <font>
      <name val="Arial"/>
      <family val="2"/>
      <i val="1"/>
      <color rgb="FF000000"/>
      <sz val="10"/>
    </font>
    <font>
      <name val="Arial"/>
      <family val="2"/>
      <b val="1"/>
      <i val="1"/>
      <color theme="1"/>
      <sz val="10"/>
      <u val="single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4">
    <xf numFmtId="0" fontId="2" fillId="0" borderId="0"/>
    <xf numFmtId="9" fontId="2" fillId="0" borderId="0"/>
    <xf numFmtId="171" fontId="2" fillId="0" borderId="0"/>
    <xf numFmtId="0" fontId="3" fillId="0" borderId="0"/>
    <xf numFmtId="0" fontId="4" fillId="0" borderId="0"/>
    <xf numFmtId="0" fontId="2" fillId="0" borderId="0"/>
    <xf numFmtId="0" fontId="4" fillId="0" borderId="0"/>
    <xf numFmtId="0" fontId="5" fillId="0" borderId="0"/>
    <xf numFmtId="176" fontId="5" fillId="0" borderId="0"/>
    <xf numFmtId="43" fontId="5" fillId="0" borderId="0"/>
    <xf numFmtId="43" fontId="4" fillId="0" borderId="0"/>
    <xf numFmtId="9" fontId="5" fillId="0" borderId="0"/>
    <xf numFmtId="9" fontId="6" fillId="0" borderId="0"/>
    <xf numFmtId="43" fontId="2" fillId="0" borderId="0"/>
  </cellStyleXfs>
  <cellXfs count="42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3" borderId="6" applyAlignment="1" pivotButton="0" quotePrefix="0" xfId="0">
      <alignment horizontal="center" vertical="center"/>
    </xf>
    <xf numFmtId="0" fontId="8" fillId="0" borderId="0" pivotButton="0" quotePrefix="0" xfId="6"/>
    <xf numFmtId="0" fontId="10" fillId="0" borderId="0" applyAlignment="1" pivotButton="0" quotePrefix="0" xfId="0">
      <alignment horizontal="center" vertical="center"/>
    </xf>
    <xf numFmtId="0" fontId="10" fillId="3" borderId="0" pivotButton="0" quotePrefix="0" xfId="0"/>
    <xf numFmtId="17" fontId="10" fillId="3" borderId="0" pivotButton="0" quotePrefix="0" xfId="0"/>
    <xf numFmtId="0" fontId="11" fillId="7" borderId="0" pivotButton="0" quotePrefix="0" xfId="0"/>
    <xf numFmtId="164" fontId="8" fillId="0" borderId="0" pivotButton="0" quotePrefix="0" xfId="0"/>
    <xf numFmtId="0" fontId="7" fillId="0" borderId="0" applyAlignment="1" pivotButton="0" quotePrefix="0" xfId="0">
      <alignment horizontal="left" indent="1"/>
    </xf>
    <xf numFmtId="41" fontId="7" fillId="0" borderId="0" applyAlignment="1" pivotButton="0" quotePrefix="0" xfId="2">
      <alignment horizontal="left" indent="1"/>
    </xf>
    <xf numFmtId="164" fontId="7" fillId="0" borderId="0" pivotButton="0" quotePrefix="0" xfId="0"/>
    <xf numFmtId="0" fontId="7" fillId="5" borderId="0" applyAlignment="1" pivotButton="0" quotePrefix="0" xfId="0">
      <alignment horizontal="left" indent="1"/>
    </xf>
    <xf numFmtId="41" fontId="7" fillId="5" borderId="0" applyAlignment="1" pivotButton="0" quotePrefix="0" xfId="2">
      <alignment horizontal="left" indent="1"/>
    </xf>
    <xf numFmtId="0" fontId="12" fillId="0" borderId="0" pivotButton="0" quotePrefix="0" xfId="0"/>
    <xf numFmtId="165" fontId="7" fillId="0" borderId="0" pivotButton="0" quotePrefix="0" xfId="1"/>
    <xf numFmtId="165" fontId="7" fillId="0" borderId="0" pivotButton="0" quotePrefix="0" xfId="1"/>
    <xf numFmtId="41" fontId="7" fillId="0" borderId="0" pivotButton="0" quotePrefix="0" xfId="0"/>
    <xf numFmtId="166" fontId="7" fillId="0" borderId="0" pivotButton="0" quotePrefix="0" xfId="0"/>
    <xf numFmtId="166" fontId="7" fillId="0" borderId="0" pivotButton="0" quotePrefix="0" xfId="13"/>
    <xf numFmtId="0" fontId="8" fillId="7" borderId="0" pivotButton="0" quotePrefix="0" xfId="0"/>
    <xf numFmtId="164" fontId="8" fillId="7" borderId="0" pivotButton="0" quotePrefix="0" xfId="0"/>
    <xf numFmtId="0" fontId="12" fillId="3" borderId="0" pivotButton="0" quotePrefix="0" xfId="0"/>
    <xf numFmtId="165" fontId="7" fillId="3" borderId="0" pivotButton="0" quotePrefix="0" xfId="1"/>
    <xf numFmtId="0" fontId="7" fillId="3" borderId="0" pivotButton="0" quotePrefix="0" xfId="0"/>
    <xf numFmtId="41" fontId="8" fillId="0" borderId="0" pivotButton="0" quotePrefix="0" xfId="0"/>
    <xf numFmtId="41" fontId="8" fillId="7" borderId="0" pivotButton="0" quotePrefix="0" xfId="0"/>
    <xf numFmtId="164" fontId="7" fillId="3" borderId="0" pivotButton="0" quotePrefix="0" xfId="0"/>
    <xf numFmtId="3" fontId="7" fillId="0" borderId="0" pivotButton="0" quotePrefix="0" xfId="0"/>
    <xf numFmtId="166" fontId="8" fillId="7" borderId="0" pivotButton="0" quotePrefix="0" xfId="0"/>
    <xf numFmtId="166" fontId="8" fillId="0" borderId="0" pivotButton="0" quotePrefix="0" xfId="0"/>
    <xf numFmtId="0" fontId="8" fillId="3" borderId="0" pivotButton="0" quotePrefix="0" xfId="0"/>
    <xf numFmtId="167" fontId="7" fillId="0" borderId="0" pivotButton="0" quotePrefix="0" xfId="0"/>
    <xf numFmtId="168" fontId="7" fillId="0" borderId="0" pivotButton="0" quotePrefix="0" xfId="1"/>
    <xf numFmtId="169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vertical="center"/>
    </xf>
    <xf numFmtId="0" fontId="17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166" fontId="14" fillId="0" borderId="0" applyAlignment="1" pivotButton="0" quotePrefix="0" xfId="2">
      <alignment vertical="center"/>
    </xf>
    <xf numFmtId="3" fontId="18" fillId="0" borderId="10" pivotButton="0" quotePrefix="0" xfId="0"/>
    <xf numFmtId="170" fontId="16" fillId="0" borderId="1" pivotButton="0" quotePrefix="0" xfId="5"/>
    <xf numFmtId="170" fontId="19" fillId="2" borderId="1" pivotButton="0" quotePrefix="0" xfId="5"/>
    <xf numFmtId="170" fontId="16" fillId="0" borderId="11" pivotButton="0" quotePrefix="0" xfId="5"/>
    <xf numFmtId="170" fontId="16" fillId="0" borderId="9" pivotButton="0" quotePrefix="0" xfId="5"/>
    <xf numFmtId="3" fontId="14" fillId="0" borderId="0" pivotButton="0" quotePrefix="0" xfId="5"/>
    <xf numFmtId="3" fontId="14" fillId="0" borderId="8" pivotButton="0" quotePrefix="0" xfId="5"/>
    <xf numFmtId="0" fontId="20" fillId="0" borderId="0" applyAlignment="1" pivotButton="0" quotePrefix="0" xfId="0">
      <alignment vertical="center"/>
    </xf>
    <xf numFmtId="166" fontId="7" fillId="0" borderId="0" applyAlignment="1" pivotButton="0" quotePrefix="0" xfId="2">
      <alignment vertical="center"/>
    </xf>
    <xf numFmtId="3" fontId="14" fillId="0" borderId="12" pivotButton="0" quotePrefix="0" xfId="5"/>
    <xf numFmtId="3" fontId="14" fillId="0" borderId="13" pivotButton="0" quotePrefix="0" xfId="5"/>
    <xf numFmtId="3" fontId="14" fillId="0" borderId="14" pivotButton="0" quotePrefix="0" xfId="5"/>
    <xf numFmtId="0" fontId="7" fillId="0" borderId="0" applyAlignment="1" pivotButton="0" quotePrefix="0" xfId="0">
      <alignment horizontal="left" vertical="center"/>
    </xf>
    <xf numFmtId="170" fontId="19" fillId="2" borderId="9" pivotButton="0" quotePrefix="0" xfId="5"/>
    <xf numFmtId="3" fontId="14" fillId="0" borderId="15" pivotButton="0" quotePrefix="0" xfId="5"/>
    <xf numFmtId="3" fontId="16" fillId="7" borderId="16" pivotButton="0" quotePrefix="0" xfId="5"/>
    <xf numFmtId="3" fontId="14" fillId="0" borderId="17" pivotButton="0" quotePrefix="0" xfId="5"/>
    <xf numFmtId="3" fontId="7" fillId="0" borderId="18" pivotButton="0" quotePrefix="0" xfId="0"/>
    <xf numFmtId="3" fontId="7" fillId="0" borderId="19" pivotButton="0" quotePrefix="0" xfId="0"/>
    <xf numFmtId="3" fontId="7" fillId="0" borderId="20" pivotButton="0" quotePrefix="0" xfId="0"/>
    <xf numFmtId="3" fontId="7" fillId="0" borderId="8" pivotButton="0" quotePrefix="0" xfId="0"/>
    <xf numFmtId="170" fontId="16" fillId="0" borderId="21" pivotButton="0" quotePrefix="0" xfId="5"/>
    <xf numFmtId="3" fontId="7" fillId="0" borderId="3" pivotButton="0" quotePrefix="0" xfId="5"/>
    <xf numFmtId="3" fontId="14" fillId="0" borderId="3" pivotButton="0" quotePrefix="0" xfId="5"/>
    <xf numFmtId="3" fontId="14" fillId="0" borderId="22" pivotButton="0" quotePrefix="0" xfId="5"/>
    <xf numFmtId="0" fontId="8" fillId="0" borderId="2" applyAlignment="1" pivotButton="0" quotePrefix="0" xfId="0">
      <alignment vertical="center"/>
    </xf>
    <xf numFmtId="166" fontId="8" fillId="0" borderId="2" applyAlignment="1" pivotButton="0" quotePrefix="0" xfId="2">
      <alignment vertical="center"/>
    </xf>
    <xf numFmtId="171" fontId="21" fillId="0" borderId="0" applyAlignment="1" pivotButton="0" quotePrefix="0" xfId="2">
      <alignment vertical="center"/>
    </xf>
    <xf numFmtId="2" fontId="8" fillId="0" borderId="0" pivotButton="0" quotePrefix="0" xfId="0"/>
    <xf numFmtId="171" fontId="21" fillId="2" borderId="0" applyAlignment="1" pivotButton="0" quotePrefix="0" xfId="2">
      <alignment vertical="center"/>
    </xf>
    <xf numFmtId="166" fontId="8" fillId="0" borderId="2" applyAlignment="1" pivotButton="0" quotePrefix="0" xfId="2">
      <alignment vertical="center"/>
    </xf>
    <xf numFmtId="171" fontId="7" fillId="0" borderId="0" applyAlignment="1" pivotButton="0" quotePrefix="0" xfId="2">
      <alignment vertical="center"/>
    </xf>
    <xf numFmtId="0" fontId="20" fillId="0" borderId="0" pivotButton="0" quotePrefix="0" xfId="0"/>
    <xf numFmtId="2" fontId="7" fillId="0" borderId="0" pivotButton="0" quotePrefix="0" xfId="0"/>
    <xf numFmtId="0" fontId="8" fillId="0" borderId="1" applyAlignment="1" pivotButton="0" quotePrefix="0" xfId="0">
      <alignment vertical="center"/>
    </xf>
    <xf numFmtId="166" fontId="8" fillId="0" borderId="1" applyAlignment="1" pivotButton="0" quotePrefix="0" xfId="2">
      <alignment vertical="center"/>
    </xf>
    <xf numFmtId="166" fontId="7" fillId="0" borderId="0" applyAlignment="1" pivotButton="0" quotePrefix="0" xfId="2">
      <alignment vertical="center"/>
    </xf>
    <xf numFmtId="0" fontId="8" fillId="2" borderId="0" applyAlignment="1" pivotButton="0" quotePrefix="0" xfId="0">
      <alignment vertical="center"/>
    </xf>
    <xf numFmtId="166" fontId="8" fillId="2" borderId="0" applyAlignment="1" pivotButton="0" quotePrefix="0" xfId="2">
      <alignment vertical="center"/>
    </xf>
    <xf numFmtId="166" fontId="7" fillId="0" borderId="0" applyAlignment="1" pivotButton="0" quotePrefix="0" xfId="2">
      <alignment vertical="center"/>
    </xf>
    <xf numFmtId="0" fontId="10" fillId="3" borderId="8" applyAlignment="1" pivotButton="0" quotePrefix="0" xfId="0">
      <alignment horizontal="right" vertical="center"/>
    </xf>
    <xf numFmtId="0" fontId="7" fillId="0" borderId="23" applyAlignment="1" pivotButton="0" quotePrefix="0" xfId="0">
      <alignment vertical="center"/>
    </xf>
    <xf numFmtId="167" fontId="7" fillId="0" borderId="23" applyAlignment="1" pivotButton="0" quotePrefix="0" xfId="0">
      <alignment vertical="center"/>
    </xf>
    <xf numFmtId="167" fontId="7" fillId="0" borderId="24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167" fontId="7" fillId="0" borderId="25" applyAlignment="1" pivotButton="0" quotePrefix="0" xfId="0">
      <alignment vertical="center"/>
    </xf>
    <xf numFmtId="167" fontId="7" fillId="0" borderId="26" applyAlignment="1" pivotButton="0" quotePrefix="0" xfId="0">
      <alignment vertical="center"/>
    </xf>
    <xf numFmtId="0" fontId="7" fillId="0" borderId="27" applyAlignment="1" pivotButton="0" quotePrefix="0" xfId="0">
      <alignment vertical="center"/>
    </xf>
    <xf numFmtId="167" fontId="7" fillId="0" borderId="27" applyAlignment="1" pivotButton="0" quotePrefix="0" xfId="0">
      <alignment vertical="center"/>
    </xf>
    <xf numFmtId="167" fontId="7" fillId="0" borderId="28" applyAlignment="1" pivotButton="0" quotePrefix="0" xfId="0">
      <alignment vertical="center"/>
    </xf>
    <xf numFmtId="0" fontId="11" fillId="0" borderId="0" pivotButton="0" quotePrefix="0" xfId="0"/>
    <xf numFmtId="166" fontId="7" fillId="0" borderId="0" pivotButton="0" quotePrefix="0" xfId="2"/>
    <xf numFmtId="10" fontId="9" fillId="2" borderId="0" pivotButton="0" quotePrefix="0" xfId="1"/>
    <xf numFmtId="166" fontId="22" fillId="0" borderId="0" pivotButton="0" quotePrefix="0" xfId="3"/>
    <xf numFmtId="0" fontId="22" fillId="0" borderId="0" applyAlignment="1" pivotButton="0" quotePrefix="0" xfId="3">
      <alignment vertical="center"/>
    </xf>
    <xf numFmtId="0" fontId="22" fillId="0" borderId="0" applyAlignment="1" pivotButton="0" quotePrefix="0" xfId="3">
      <alignment vertical="center"/>
    </xf>
    <xf numFmtId="171" fontId="14" fillId="0" borderId="0" pivotButton="0" quotePrefix="0" xfId="2"/>
    <xf numFmtId="10" fontId="8" fillId="0" borderId="0" pivotButton="0" quotePrefix="0" xfId="1"/>
    <xf numFmtId="10" fontId="9" fillId="2" borderId="0" pivotButton="0" quotePrefix="0" xfId="0"/>
    <xf numFmtId="10" fontId="9" fillId="0" borderId="0" pivotButton="0" quotePrefix="0" xfId="0"/>
    <xf numFmtId="0" fontId="8" fillId="0" borderId="5" pivotButton="0" quotePrefix="0" xfId="0"/>
    <xf numFmtId="10" fontId="8" fillId="0" borderId="5" applyAlignment="1" pivotButton="0" quotePrefix="0" xfId="1">
      <alignment horizontal="right"/>
    </xf>
    <xf numFmtId="9" fontId="9" fillId="0" borderId="0" pivotButton="0" quotePrefix="0" xfId="0"/>
    <xf numFmtId="0" fontId="11" fillId="0" borderId="0" applyAlignment="1" pivotButton="0" quotePrefix="0" xfId="0">
      <alignment horizontal="right"/>
    </xf>
    <xf numFmtId="10" fontId="7" fillId="0" borderId="0" applyAlignment="1" pivotButton="0" quotePrefix="0" xfId="1">
      <alignment horizontal="right"/>
    </xf>
    <xf numFmtId="166" fontId="8" fillId="0" borderId="0" pivotButton="0" quotePrefix="0" xfId="2"/>
    <xf numFmtId="10" fontId="8" fillId="0" borderId="0" pivotButton="0" quotePrefix="0" xfId="0"/>
    <xf numFmtId="0" fontId="7" fillId="5" borderId="0" pivotButton="0" quotePrefix="0" xfId="0"/>
    <xf numFmtId="169" fontId="7" fillId="0" borderId="0" pivotButton="0" quotePrefix="0" xfId="0"/>
    <xf numFmtId="169" fontId="7" fillId="5" borderId="0" pivotButton="0" quotePrefix="0" xfId="0"/>
    <xf numFmtId="0" fontId="8" fillId="0" borderId="2" pivotButton="0" quotePrefix="0" xfId="0"/>
    <xf numFmtId="169" fontId="8" fillId="0" borderId="2" pivotButton="0" quotePrefix="0" xfId="0"/>
    <xf numFmtId="169" fontId="8" fillId="5" borderId="0" pivotButton="0" quotePrefix="0" xfId="0"/>
    <xf numFmtId="3" fontId="8" fillId="0" borderId="0" pivotButton="0" quotePrefix="0" xfId="0"/>
    <xf numFmtId="3" fontId="8" fillId="5" borderId="0" pivotButton="0" quotePrefix="0" xfId="0"/>
    <xf numFmtId="0" fontId="7" fillId="0" borderId="0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169" fontId="7" fillId="0" borderId="2" pivotButton="0" quotePrefix="0" xfId="0"/>
    <xf numFmtId="169" fontId="7" fillId="0" borderId="0" pivotButton="0" quotePrefix="0" xfId="2"/>
    <xf numFmtId="169" fontId="7" fillId="5" borderId="0" pivotButton="0" quotePrefix="0" xfId="2"/>
    <xf numFmtId="169" fontId="7" fillId="0" borderId="0" pivotButton="0" quotePrefix="0" xfId="2"/>
    <xf numFmtId="169" fontId="7" fillId="0" borderId="0" pivotButton="0" quotePrefix="0" xfId="2"/>
    <xf numFmtId="169" fontId="8" fillId="0" borderId="5" pivotButton="0" quotePrefix="0" xfId="0"/>
    <xf numFmtId="0" fontId="8" fillId="0" borderId="1" pivotButton="0" quotePrefix="0" xfId="0"/>
    <xf numFmtId="169" fontId="8" fillId="0" borderId="1" pivotButton="0" quotePrefix="0" xfId="0"/>
    <xf numFmtId="169" fontId="8" fillId="0" borderId="1" pivotButton="0" quotePrefix="0" xfId="2"/>
    <xf numFmtId="169" fontId="8" fillId="0" borderId="0" pivotButton="0" quotePrefix="0" xfId="2"/>
    <xf numFmtId="169" fontId="9" fillId="2" borderId="0" pivotButton="0" quotePrefix="0" xfId="0"/>
    <xf numFmtId="0" fontId="23" fillId="0" borderId="0" pivotButton="0" quotePrefix="0" xfId="0"/>
    <xf numFmtId="171" fontId="23" fillId="0" borderId="0" pivotButton="0" quotePrefix="0" xfId="0"/>
    <xf numFmtId="172" fontId="23" fillId="0" borderId="0" pivotButton="0" quotePrefix="0" xfId="0"/>
    <xf numFmtId="169" fontId="8" fillId="0" borderId="0" pivotButton="0" quotePrefix="0" xfId="2"/>
    <xf numFmtId="169" fontId="8" fillId="5" borderId="0" pivotButton="0" quotePrefix="0" xfId="2"/>
    <xf numFmtId="169" fontId="9" fillId="0" borderId="0" pivotButton="0" quotePrefix="0" xfId="2"/>
    <xf numFmtId="169" fontId="9" fillId="0" borderId="0" pivotButton="0" quotePrefix="0" xfId="0"/>
    <xf numFmtId="169" fontId="8" fillId="0" borderId="0" pivotButton="0" quotePrefix="0" xfId="0"/>
    <xf numFmtId="0" fontId="8" fillId="0" borderId="4" pivotButton="0" quotePrefix="0" xfId="0"/>
    <xf numFmtId="169" fontId="8" fillId="0" borderId="4" pivotButton="0" quotePrefix="0" xfId="2"/>
    <xf numFmtId="169" fontId="8" fillId="0" borderId="0" pivotButton="0" quotePrefix="0" xfId="2"/>
    <xf numFmtId="169" fontId="8" fillId="0" borderId="0" pivotButton="0" quotePrefix="0" xfId="2"/>
    <xf numFmtId="169" fontId="8" fillId="0" borderId="4" pivotButton="0" quotePrefix="0" xfId="0"/>
    <xf numFmtId="169" fontId="23" fillId="0" borderId="0" pivotButton="0" quotePrefix="0" xfId="0"/>
    <xf numFmtId="169" fontId="23" fillId="5" borderId="0" pivotButton="0" quotePrefix="0" xfId="0"/>
    <xf numFmtId="0" fontId="24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169" fontId="9" fillId="2" borderId="0" pivotButton="0" quotePrefix="0" xfId="2"/>
    <xf numFmtId="0" fontId="15" fillId="0" borderId="1" pivotButton="0" quotePrefix="0" xfId="0"/>
    <xf numFmtId="0" fontId="15" fillId="0" borderId="0" pivotButton="0" quotePrefix="0" xfId="0"/>
    <xf numFmtId="9" fontId="9" fillId="2" borderId="0" pivotButton="0" quotePrefix="0" xfId="0"/>
    <xf numFmtId="0" fontId="13" fillId="0" borderId="0" pivotButton="0" quotePrefix="0" xfId="0"/>
    <xf numFmtId="169" fontId="7" fillId="2" borderId="0" pivotButton="0" quotePrefix="0" xfId="2"/>
    <xf numFmtId="169" fontId="7" fillId="0" borderId="0" applyAlignment="1" pivotButton="0" quotePrefix="0" xfId="2">
      <alignment horizontal="right"/>
    </xf>
    <xf numFmtId="3" fontId="7" fillId="0" borderId="0" applyAlignment="1" pivotButton="0" quotePrefix="0" xfId="0">
      <alignment horizontal="right"/>
    </xf>
    <xf numFmtId="172" fontId="7" fillId="0" borderId="0" pivotButton="0" quotePrefix="0" xfId="2"/>
    <xf numFmtId="172" fontId="7" fillId="5" borderId="0" pivotButton="0" quotePrefix="0" xfId="2"/>
    <xf numFmtId="172" fontId="7" fillId="0" borderId="0" pivotButton="0" quotePrefix="0" xfId="0"/>
    <xf numFmtId="0" fontId="9" fillId="0" borderId="0" pivotButton="0" quotePrefix="0" xfId="0"/>
    <xf numFmtId="0" fontId="7" fillId="0" borderId="2" pivotButton="0" quotePrefix="0" xfId="0"/>
    <xf numFmtId="166" fontId="7" fillId="0" borderId="2" pivotButton="0" quotePrefix="0" xfId="0"/>
    <xf numFmtId="166" fontId="18" fillId="0" borderId="2" pivotButton="0" quotePrefix="0" xfId="0"/>
    <xf numFmtId="166" fontId="9" fillId="0" borderId="0" pivotButton="0" quotePrefix="0" xfId="2"/>
    <xf numFmtId="166" fontId="7" fillId="0" borderId="0" pivotButton="0" quotePrefix="0" xfId="2"/>
    <xf numFmtId="166" fontId="7" fillId="0" borderId="0" applyAlignment="1" pivotButton="0" quotePrefix="0" xfId="2">
      <alignment horizontal="right"/>
    </xf>
    <xf numFmtId="166" fontId="9" fillId="0" borderId="0" pivotButton="0" quotePrefix="0" xfId="0"/>
    <xf numFmtId="166" fontId="8" fillId="0" borderId="1" pivotButton="0" quotePrefix="0" xfId="0"/>
    <xf numFmtId="166" fontId="8" fillId="0" borderId="1" pivotButton="0" quotePrefix="0" xfId="2"/>
    <xf numFmtId="0" fontId="16" fillId="0" borderId="0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168" fontId="7" fillId="0" borderId="2" pivotButton="0" quotePrefix="0" xfId="1"/>
    <xf numFmtId="168" fontId="7" fillId="0" borderId="0" pivotButton="0" quotePrefix="0" xfId="1"/>
    <xf numFmtId="0" fontId="14" fillId="0" borderId="0" applyAlignment="1" pivotButton="0" quotePrefix="0" xfId="0">
      <alignment vertical="center"/>
    </xf>
    <xf numFmtId="168" fontId="7" fillId="0" borderId="0" pivotButton="0" quotePrefix="0" xfId="0"/>
    <xf numFmtId="167" fontId="7" fillId="0" borderId="2" pivotButton="0" quotePrefix="0" xfId="2"/>
    <xf numFmtId="167" fontId="7" fillId="0" borderId="0" pivotButton="0" quotePrefix="0" xfId="2"/>
    <xf numFmtId="167" fontId="7" fillId="0" borderId="0" pivotButton="0" quotePrefix="0" xfId="2"/>
    <xf numFmtId="169" fontId="7" fillId="0" borderId="0" pivotButton="0" quotePrefix="0" xfId="2"/>
    <xf numFmtId="169" fontId="7" fillId="0" borderId="2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0" fontId="8" fillId="0" borderId="3" pivotButton="0" quotePrefix="0" xfId="0"/>
    <xf numFmtId="0" fontId="7" fillId="0" borderId="3" pivotButton="0" quotePrefix="0" xfId="0"/>
    <xf numFmtId="173" fontId="7" fillId="0" borderId="0" applyAlignment="1" pivotButton="0" quotePrefix="0" xfId="0">
      <alignment horizontal="right"/>
    </xf>
    <xf numFmtId="171" fontId="7" fillId="0" borderId="0" pivotButton="0" quotePrefix="0" xfId="2"/>
    <xf numFmtId="172" fontId="7" fillId="0" borderId="0" pivotButton="0" quotePrefix="0" xfId="2"/>
    <xf numFmtId="172" fontId="7" fillId="0" borderId="0" pivotButton="0" quotePrefix="0" xfId="2"/>
    <xf numFmtId="0" fontId="8" fillId="5" borderId="0" pivotButton="0" quotePrefix="0" xfId="0"/>
    <xf numFmtId="41" fontId="7" fillId="0" borderId="0" pivotButton="0" quotePrefix="0" xfId="2"/>
    <xf numFmtId="41" fontId="9" fillId="2" borderId="0" pivotButton="0" quotePrefix="0" xfId="0"/>
    <xf numFmtId="0" fontId="10" fillId="5" borderId="0" applyAlignment="1" pivotButton="0" quotePrefix="0" xfId="0">
      <alignment vertical="center"/>
    </xf>
    <xf numFmtId="0" fontId="7" fillId="0" borderId="6" pivotButton="0" quotePrefix="0" xfId="0"/>
    <xf numFmtId="9" fontId="9" fillId="2" borderId="6" pivotButton="0" quotePrefix="0" xfId="0"/>
    <xf numFmtId="0" fontId="5" fillId="0" borderId="0" pivotButton="0" quotePrefix="0" xfId="0"/>
    <xf numFmtId="0" fontId="7" fillId="0" borderId="6" applyAlignment="1" pivotButton="0" quotePrefix="0" xfId="0">
      <alignment vertical="center"/>
    </xf>
    <xf numFmtId="9" fontId="9" fillId="2" borderId="6" pivotButton="0" quotePrefix="0" xfId="1"/>
    <xf numFmtId="0" fontId="9" fillId="2" borderId="6" applyAlignment="1" pivotButton="0" quotePrefix="0" xfId="0">
      <alignment horizontal="left" vertical="center" indent="9"/>
    </xf>
    <xf numFmtId="172" fontId="9" fillId="2" borderId="6" applyAlignment="1" pivotButton="0" quotePrefix="0" xfId="2">
      <alignment horizontal="left" vertical="center"/>
    </xf>
    <xf numFmtId="17" fontId="19" fillId="2" borderId="0" applyAlignment="1" pivotButton="0" quotePrefix="0" xfId="0">
      <alignment horizontal="left"/>
    </xf>
    <xf numFmtId="0" fontId="18" fillId="5" borderId="0" pivotButton="0" quotePrefix="0" xfId="0"/>
    <xf numFmtId="0" fontId="18" fillId="3" borderId="0" pivotButton="0" quotePrefix="0" xfId="0"/>
    <xf numFmtId="0" fontId="10" fillId="5" borderId="0" pivotButton="0" quotePrefix="0" xfId="0"/>
    <xf numFmtId="0" fontId="18" fillId="0" borderId="0" pivotButton="0" quotePrefix="0" xfId="0"/>
    <xf numFmtId="17" fontId="10" fillId="0" borderId="0" pivotButton="0" quotePrefix="0" xfId="0"/>
    <xf numFmtId="0" fontId="7" fillId="0" borderId="0" applyAlignment="1" pivotButton="0" quotePrefix="0" xfId="0">
      <alignment horizontal="center"/>
    </xf>
    <xf numFmtId="0" fontId="18" fillId="4" borderId="0" applyAlignment="1" pivotButton="0" quotePrefix="0" xfId="0">
      <alignment horizontal="right"/>
    </xf>
    <xf numFmtId="0" fontId="18" fillId="4" borderId="0" pivotButton="0" quotePrefix="0" xfId="0"/>
    <xf numFmtId="0" fontId="7" fillId="0" borderId="0" applyAlignment="1" pivotButton="0" quotePrefix="0" xfId="0">
      <alignment horizontal="right"/>
    </xf>
    <xf numFmtId="9" fontId="12" fillId="0" borderId="0" applyAlignment="1" pivotButton="0" quotePrefix="0" xfId="1">
      <alignment horizontal="right"/>
    </xf>
    <xf numFmtId="165" fontId="7" fillId="0" borderId="0" applyAlignment="1" pivotButton="0" quotePrefix="0" xfId="1">
      <alignment horizontal="right"/>
    </xf>
    <xf numFmtId="165" fontId="7" fillId="5" borderId="0" pivotButton="0" quotePrefix="0" xfId="0"/>
    <xf numFmtId="165" fontId="9" fillId="2" borderId="0" pivotButton="0" quotePrefix="0" xfId="0"/>
    <xf numFmtId="9" fontId="7" fillId="0" borderId="0" applyAlignment="1" pivotButton="0" quotePrefix="0" xfId="1">
      <alignment horizontal="right"/>
    </xf>
    <xf numFmtId="170" fontId="9" fillId="0" borderId="0" pivotButton="0" quotePrefix="0" xfId="0"/>
    <xf numFmtId="0" fontId="8" fillId="0" borderId="0" applyAlignment="1" pivotButton="0" quotePrefix="0" xfId="0">
      <alignment horizontal="left"/>
    </xf>
    <xf numFmtId="169" fontId="19" fillId="2" borderId="0" pivotButton="0" quotePrefix="0" xfId="0"/>
    <xf numFmtId="0" fontId="8" fillId="5" borderId="1" pivotButton="0" quotePrefix="0" xfId="0"/>
    <xf numFmtId="169" fontId="8" fillId="5" borderId="1" applyAlignment="1" pivotButton="0" quotePrefix="0" xfId="0">
      <alignment horizontal="right"/>
    </xf>
    <xf numFmtId="169" fontId="8" fillId="5" borderId="1" pivotButton="0" quotePrefix="0" xfId="0"/>
    <xf numFmtId="3" fontId="8" fillId="0" borderId="0" applyAlignment="1" pivotButton="0" quotePrefix="0" xfId="0">
      <alignment horizontal="right"/>
    </xf>
    <xf numFmtId="165" fontId="12" fillId="0" borderId="0" applyAlignment="1" pivotButton="0" quotePrefix="0" xfId="1">
      <alignment horizontal="right"/>
    </xf>
    <xf numFmtId="0" fontId="12" fillId="0" borderId="0" applyAlignment="1" pivotButton="0" quotePrefix="0" xfId="0">
      <alignment horizontal="left" indent="1"/>
    </xf>
    <xf numFmtId="165" fontId="7" fillId="0" borderId="0" applyAlignment="1" pivotButton="0" quotePrefix="0" xfId="0">
      <alignment horizontal="right"/>
    </xf>
    <xf numFmtId="165" fontId="9" fillId="2" borderId="0" pivotButton="0" quotePrefix="0" xfId="1"/>
    <xf numFmtId="0" fontId="8" fillId="5" borderId="3" pivotButton="0" quotePrefix="0" xfId="0"/>
    <xf numFmtId="169" fontId="8" fillId="5" borderId="3" applyAlignment="1" pivotButton="0" quotePrefix="0" xfId="0">
      <alignment horizontal="right"/>
    </xf>
    <xf numFmtId="169" fontId="8" fillId="5" borderId="3" pivotButton="0" quotePrefix="0" xfId="0"/>
    <xf numFmtId="0" fontId="7" fillId="0" borderId="0" applyAlignment="1" pivotButton="0" quotePrefix="0" xfId="0">
      <alignment horizontal="left" indent="2"/>
    </xf>
    <xf numFmtId="0" fontId="8" fillId="0" borderId="0" applyAlignment="1" pivotButton="0" quotePrefix="0" xfId="0">
      <alignment horizontal="left" indent="1"/>
    </xf>
    <xf numFmtId="9" fontId="9" fillId="2" borderId="0" pivotButton="0" quotePrefix="0" xfId="1"/>
    <xf numFmtId="0" fontId="7" fillId="2" borderId="0" pivotButton="0" quotePrefix="0" xfId="0"/>
    <xf numFmtId="174" fontId="9" fillId="2" borderId="0" pivotButton="0" quotePrefix="0" xfId="0"/>
    <xf numFmtId="0" fontId="9" fillId="2" borderId="0" pivotButton="0" quotePrefix="0" xfId="0"/>
    <xf numFmtId="169" fontId="14" fillId="0" borderId="0" pivotButton="0" quotePrefix="0" xfId="0"/>
    <xf numFmtId="165" fontId="7" fillId="0" borderId="0" applyAlignment="1" pivotButton="0" quotePrefix="0" xfId="1">
      <alignment horizontal="right"/>
    </xf>
    <xf numFmtId="172" fontId="9" fillId="2" borderId="0" pivotButton="0" quotePrefix="0" xfId="2"/>
    <xf numFmtId="169" fontId="8" fillId="0" borderId="1" applyAlignment="1" pivotButton="0" quotePrefix="0" xfId="0">
      <alignment horizontal="right"/>
    </xf>
    <xf numFmtId="169" fontId="8" fillId="0" borderId="3" applyAlignment="1" pivotButton="0" quotePrefix="0" xfId="0">
      <alignment horizontal="right"/>
    </xf>
    <xf numFmtId="169" fontId="8" fillId="0" borderId="3" pivotButton="0" quotePrefix="0" xfId="0"/>
    <xf numFmtId="169" fontId="7" fillId="0" borderId="0" applyAlignment="1" pivotButton="0" quotePrefix="0" xfId="1">
      <alignment horizontal="right"/>
    </xf>
    <xf numFmtId="170" fontId="9" fillId="2" borderId="0" pivotButton="0" quotePrefix="0" xfId="0"/>
    <xf numFmtId="3" fontId="8" fillId="5" borderId="0" applyAlignment="1" pivotButton="0" quotePrefix="0" xfId="0">
      <alignment horizontal="right"/>
    </xf>
    <xf numFmtId="1" fontId="8" fillId="5" borderId="0" pivotButton="0" quotePrefix="0" xfId="0"/>
    <xf numFmtId="1" fontId="7" fillId="0" borderId="0" pivotButton="0" quotePrefix="0" xfId="0"/>
    <xf numFmtId="0" fontId="8" fillId="6" borderId="5" pivotButton="0" quotePrefix="0" xfId="0"/>
    <xf numFmtId="169" fontId="8" fillId="6" borderId="5" applyAlignment="1" pivotButton="0" quotePrefix="0" xfId="0">
      <alignment horizontal="right"/>
    </xf>
    <xf numFmtId="169" fontId="8" fillId="5" borderId="0" applyAlignment="1" pivotButton="0" quotePrefix="0" xfId="0">
      <alignment horizontal="right"/>
    </xf>
    <xf numFmtId="0" fontId="8" fillId="6" borderId="0" pivotButton="0" quotePrefix="0" xfId="0"/>
    <xf numFmtId="41" fontId="8" fillId="6" borderId="0" pivotButton="0" quotePrefix="0" xfId="0"/>
    <xf numFmtId="41" fontId="7" fillId="0" borderId="0" applyAlignment="1" pivotButton="0" quotePrefix="0" xfId="0">
      <alignment horizontal="right"/>
    </xf>
    <xf numFmtId="41" fontId="7" fillId="0" borderId="0" pivotButton="0" quotePrefix="0" xfId="2"/>
    <xf numFmtId="0" fontId="25" fillId="0" borderId="0" pivotButton="0" quotePrefix="0" xfId="0"/>
    <xf numFmtId="0" fontId="7" fillId="7" borderId="0" pivotButton="0" quotePrefix="0" xfId="0"/>
    <xf numFmtId="169" fontId="9" fillId="2" borderId="0" pivotButton="0" quotePrefix="0" xfId="2"/>
    <xf numFmtId="9" fontId="7" fillId="0" borderId="0" pivotButton="0" quotePrefix="0" xfId="1"/>
    <xf numFmtId="9" fontId="7" fillId="0" borderId="0" pivotButton="0" quotePrefix="0" xfId="0"/>
    <xf numFmtId="9" fontId="7" fillId="0" borderId="0" applyAlignment="1" pivotButton="0" quotePrefix="0" xfId="1">
      <alignment horizontal="right"/>
    </xf>
    <xf numFmtId="169" fontId="8" fillId="7" borderId="0" pivotButton="0" quotePrefix="0" xfId="0"/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26" fillId="0" borderId="0" pivotButton="0" quotePrefix="0" xfId="0"/>
    <xf numFmtId="41" fontId="9" fillId="2" borderId="0" pivotButton="0" quotePrefix="0" xfId="2"/>
    <xf numFmtId="41" fontId="9" fillId="0" borderId="0" pivotButton="0" quotePrefix="0" xfId="2"/>
    <xf numFmtId="3" fontId="8" fillId="0" borderId="1" applyAlignment="1" pivotButton="0" quotePrefix="0" xfId="0">
      <alignment horizontal="right"/>
    </xf>
    <xf numFmtId="41" fontId="8" fillId="0" borderId="1" applyAlignment="1" pivotButton="0" quotePrefix="0" xfId="0">
      <alignment horizontal="right"/>
    </xf>
    <xf numFmtId="41" fontId="8" fillId="0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3" fontId="8" fillId="0" borderId="5" pivotButton="0" quotePrefix="0" xfId="0"/>
    <xf numFmtId="41" fontId="8" fillId="0" borderId="5" pivotButton="0" quotePrefix="0" xfId="0"/>
    <xf numFmtId="0" fontId="7" fillId="0" borderId="1" pivotButton="0" quotePrefix="0" xfId="0"/>
    <xf numFmtId="41" fontId="8" fillId="0" borderId="1" pivotButton="0" quotePrefix="0" xfId="0"/>
    <xf numFmtId="41" fontId="8" fillId="0" borderId="1" pivotButton="0" quotePrefix="0" xfId="2"/>
    <xf numFmtId="0" fontId="8" fillId="0" borderId="1" applyAlignment="1" pivotButton="0" quotePrefix="0" xfId="0">
      <alignment horizontal="left"/>
    </xf>
    <xf numFmtId="0" fontId="19" fillId="2" borderId="1" pivotButton="0" quotePrefix="0" xfId="0"/>
    <xf numFmtId="9" fontId="19" fillId="2" borderId="1" pivotButton="0" quotePrefix="0" xfId="1"/>
    <xf numFmtId="0" fontId="8" fillId="8" borderId="4" pivotButton="0" quotePrefix="0" xfId="0"/>
    <xf numFmtId="172" fontId="8" fillId="8" borderId="4" pivotButton="0" quotePrefix="0" xfId="0"/>
    <xf numFmtId="41" fontId="8" fillId="8" borderId="4" pivotButton="0" quotePrefix="0" xfId="0"/>
    <xf numFmtId="0" fontId="3" fillId="9" borderId="6" pivotButton="0" quotePrefix="0" xfId="3"/>
    <xf numFmtId="0" fontId="3" fillId="9" borderId="6" pivotButton="0" quotePrefix="1" xfId="3"/>
    <xf numFmtId="2" fontId="9" fillId="2" borderId="0" pivotButton="0" quotePrefix="0" xfId="2"/>
    <xf numFmtId="14" fontId="7" fillId="0" borderId="0" pivotButton="0" quotePrefix="0" xfId="0"/>
    <xf numFmtId="175" fontId="7" fillId="0" borderId="0" applyAlignment="1" pivotButton="0" quotePrefix="0" xfId="0">
      <alignment horizontal="left" vertical="center"/>
    </xf>
    <xf numFmtId="0" fontId="7" fillId="0" borderId="10" applyAlignment="1" pivotButton="0" quotePrefix="0" xfId="0">
      <alignment horizontal="center"/>
    </xf>
    <xf numFmtId="0" fontId="7" fillId="0" borderId="29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3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164" fontId="16" fillId="0" borderId="9" applyAlignment="1" pivotButton="0" quotePrefix="0" xfId="5">
      <alignment horizontal="center" vertical="center" textRotation="90" wrapText="1"/>
    </xf>
    <xf numFmtId="164" fontId="16" fillId="0" borderId="21" applyAlignment="1" pivotButton="0" quotePrefix="0" xfId="5">
      <alignment horizontal="center" vertical="center" textRotation="90" wrapText="1"/>
    </xf>
    <xf numFmtId="0" fontId="10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wrapText="1"/>
    </xf>
    <xf numFmtId="0" fontId="10" fillId="3" borderId="0" applyAlignment="1" pivotButton="0" quotePrefix="0" xfId="0">
      <alignment vertical="center"/>
    </xf>
    <xf numFmtId="0" fontId="7" fillId="0" borderId="31" applyAlignment="1" pivotButton="0" quotePrefix="0" xfId="0">
      <alignment horizontal="center"/>
    </xf>
    <xf numFmtId="0" fontId="0" fillId="0" borderId="33" pivotButton="0" quotePrefix="0" xfId="0"/>
    <xf numFmtId="0" fontId="0" fillId="0" borderId="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22" pivotButton="0" quotePrefix="0" xfId="0"/>
    <xf numFmtId="175" fontId="7" fillId="0" borderId="0" applyAlignment="1" pivotButton="0" quotePrefix="0" xfId="0">
      <alignment horizontal="left" vertical="center"/>
    </xf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1"/>
    <xf numFmtId="166" fontId="7" fillId="0" borderId="0" pivotButton="0" quotePrefix="0" xfId="0"/>
    <xf numFmtId="166" fontId="7" fillId="0" borderId="0" pivotButton="0" quotePrefix="0" xfId="13"/>
    <xf numFmtId="164" fontId="8" fillId="7" borderId="0" pivotButton="0" quotePrefix="0" xfId="0"/>
    <xf numFmtId="165" fontId="7" fillId="3" borderId="0" pivotButton="0" quotePrefix="0" xfId="1"/>
    <xf numFmtId="164" fontId="7" fillId="3" borderId="0" pivotButton="0" quotePrefix="0" xfId="0"/>
    <xf numFmtId="166" fontId="8" fillId="7" borderId="0" pivotButton="0" quotePrefix="0" xfId="0"/>
    <xf numFmtId="166" fontId="8" fillId="0" borderId="0" pivotButton="0" quotePrefix="0" xfId="0"/>
    <xf numFmtId="167" fontId="7" fillId="0" borderId="0" pivotButton="0" quotePrefix="0" xfId="0"/>
    <xf numFmtId="168" fontId="7" fillId="0" borderId="0" pivotButton="0" quotePrefix="0" xfId="1"/>
    <xf numFmtId="169" fontId="7" fillId="0" borderId="0" applyAlignment="1" pivotButton="0" quotePrefix="0" xfId="0">
      <alignment horizontal="right"/>
    </xf>
    <xf numFmtId="0" fontId="8" fillId="0" borderId="36" applyAlignment="1" pivotButton="0" quotePrefix="0" xfId="0">
      <alignment horizontal="center"/>
    </xf>
    <xf numFmtId="0" fontId="0" fillId="0" borderId="8" pivotButton="0" quotePrefix="0" xfId="0"/>
    <xf numFmtId="166" fontId="14" fillId="0" borderId="0" applyAlignment="1" pivotButton="0" quotePrefix="0" xfId="2">
      <alignment vertical="center"/>
    </xf>
    <xf numFmtId="164" fontId="16" fillId="0" borderId="21" applyAlignment="1" pivotButton="0" quotePrefix="0" xfId="5">
      <alignment horizontal="center" vertical="center" textRotation="90" wrapText="1"/>
    </xf>
    <xf numFmtId="170" fontId="16" fillId="0" borderId="1" pivotButton="0" quotePrefix="0" xfId="5"/>
    <xf numFmtId="170" fontId="19" fillId="2" borderId="1" pivotButton="0" quotePrefix="0" xfId="5"/>
    <xf numFmtId="170" fontId="16" fillId="0" borderId="11" pivotButton="0" quotePrefix="0" xfId="5"/>
    <xf numFmtId="0" fontId="0" fillId="0" borderId="9" pivotButton="0" quotePrefix="0" xfId="0"/>
    <xf numFmtId="170" fontId="16" fillId="0" borderId="9" pivotButton="0" quotePrefix="0" xfId="5"/>
    <xf numFmtId="166" fontId="7" fillId="0" borderId="0" applyAlignment="1" pivotButton="0" quotePrefix="0" xfId="2">
      <alignment vertical="center"/>
    </xf>
    <xf numFmtId="170" fontId="19" fillId="2" borderId="9" pivotButton="0" quotePrefix="0" xfId="5"/>
    <xf numFmtId="0" fontId="0" fillId="0" borderId="21" pivotButton="0" quotePrefix="0" xfId="0"/>
    <xf numFmtId="170" fontId="16" fillId="0" borderId="21" pivotButton="0" quotePrefix="0" xfId="5"/>
    <xf numFmtId="166" fontId="8" fillId="0" borderId="2" applyAlignment="1" pivotButton="0" quotePrefix="0" xfId="2">
      <alignment vertical="center"/>
    </xf>
    <xf numFmtId="171" fontId="21" fillId="0" borderId="0" applyAlignment="1" pivotButton="0" quotePrefix="0" xfId="2">
      <alignment vertical="center"/>
    </xf>
    <xf numFmtId="171" fontId="21" fillId="2" borderId="0" applyAlignment="1" pivotButton="0" quotePrefix="0" xfId="2">
      <alignment vertical="center"/>
    </xf>
    <xf numFmtId="171" fontId="7" fillId="0" borderId="0" applyAlignment="1" pivotButton="0" quotePrefix="0" xfId="2">
      <alignment vertical="center"/>
    </xf>
    <xf numFmtId="166" fontId="8" fillId="0" borderId="1" applyAlignment="1" pivotButton="0" quotePrefix="0" xfId="2">
      <alignment vertical="center"/>
    </xf>
    <xf numFmtId="166" fontId="8" fillId="2" borderId="0" applyAlignment="1" pivotButton="0" quotePrefix="0" xfId="2">
      <alignment vertical="center"/>
    </xf>
    <xf numFmtId="167" fontId="7" fillId="0" borderId="23" applyAlignment="1" pivotButton="0" quotePrefix="0" xfId="0">
      <alignment vertical="center"/>
    </xf>
    <xf numFmtId="167" fontId="7" fillId="0" borderId="24" applyAlignment="1" pivotButton="0" quotePrefix="0" xfId="0">
      <alignment vertical="center"/>
    </xf>
    <xf numFmtId="167" fontId="7" fillId="0" borderId="25" applyAlignment="1" pivotButton="0" quotePrefix="0" xfId="0">
      <alignment vertical="center"/>
    </xf>
    <xf numFmtId="167" fontId="7" fillId="0" borderId="26" applyAlignment="1" pivotButton="0" quotePrefix="0" xfId="0">
      <alignment vertical="center"/>
    </xf>
    <xf numFmtId="167" fontId="7" fillId="0" borderId="27" applyAlignment="1" pivotButton="0" quotePrefix="0" xfId="0">
      <alignment vertical="center"/>
    </xf>
    <xf numFmtId="167" fontId="7" fillId="0" borderId="28" applyAlignment="1" pivotButton="0" quotePrefix="0" xfId="0">
      <alignment vertical="center"/>
    </xf>
    <xf numFmtId="166" fontId="7" fillId="0" borderId="0" pivotButton="0" quotePrefix="0" xfId="2"/>
    <xf numFmtId="166" fontId="22" fillId="0" borderId="0" pivotButton="0" quotePrefix="0" xfId="3"/>
    <xf numFmtId="171" fontId="14" fillId="0" borderId="0" pivotButton="0" quotePrefix="0" xfId="2"/>
    <xf numFmtId="166" fontId="8" fillId="0" borderId="0" pivotButton="0" quotePrefix="0" xfId="2"/>
    <xf numFmtId="169" fontId="7" fillId="0" borderId="0" pivotButton="0" quotePrefix="0" xfId="0"/>
    <xf numFmtId="169" fontId="7" fillId="5" borderId="0" pivotButton="0" quotePrefix="0" xfId="0"/>
    <xf numFmtId="169" fontId="8" fillId="0" borderId="2" pivotButton="0" quotePrefix="0" xfId="0"/>
    <xf numFmtId="169" fontId="8" fillId="5" borderId="0" pivotButton="0" quotePrefix="0" xfId="0"/>
    <xf numFmtId="169" fontId="7" fillId="0" borderId="2" pivotButton="0" quotePrefix="0" xfId="0"/>
    <xf numFmtId="169" fontId="7" fillId="0" borderId="0" pivotButton="0" quotePrefix="0" xfId="2"/>
    <xf numFmtId="169" fontId="7" fillId="5" borderId="0" pivotButton="0" quotePrefix="0" xfId="2"/>
    <xf numFmtId="169" fontId="8" fillId="0" borderId="5" pivotButton="0" quotePrefix="0" xfId="0"/>
    <xf numFmtId="169" fontId="8" fillId="0" borderId="1" pivotButton="0" quotePrefix="0" xfId="0"/>
    <xf numFmtId="169" fontId="8" fillId="0" borderId="1" pivotButton="0" quotePrefix="0" xfId="2"/>
    <xf numFmtId="169" fontId="8" fillId="0" borderId="0" pivotButton="0" quotePrefix="0" xfId="2"/>
    <xf numFmtId="169" fontId="9" fillId="2" borderId="0" pivotButton="0" quotePrefix="0" xfId="0"/>
    <xf numFmtId="171" fontId="23" fillId="0" borderId="0" pivotButton="0" quotePrefix="0" xfId="0"/>
    <xf numFmtId="172" fontId="23" fillId="0" borderId="0" pivotButton="0" quotePrefix="0" xfId="0"/>
    <xf numFmtId="169" fontId="8" fillId="5" borderId="0" pivotButton="0" quotePrefix="0" xfId="2"/>
    <xf numFmtId="169" fontId="9" fillId="0" borderId="0" pivotButton="0" quotePrefix="0" xfId="2"/>
    <xf numFmtId="169" fontId="9" fillId="0" borderId="0" pivotButton="0" quotePrefix="0" xfId="0"/>
    <xf numFmtId="169" fontId="8" fillId="0" borderId="0" pivotButton="0" quotePrefix="0" xfId="0"/>
    <xf numFmtId="169" fontId="8" fillId="0" borderId="4" pivotButton="0" quotePrefix="0" xfId="2"/>
    <xf numFmtId="169" fontId="8" fillId="0" borderId="4" pivotButton="0" quotePrefix="0" xfId="0"/>
    <xf numFmtId="169" fontId="23" fillId="0" borderId="0" pivotButton="0" quotePrefix="0" xfId="0"/>
    <xf numFmtId="169" fontId="23" fillId="5" borderId="0" pivotButton="0" quotePrefix="0" xfId="0"/>
    <xf numFmtId="169" fontId="9" fillId="2" borderId="0" pivotButton="0" quotePrefix="0" xfId="2"/>
    <xf numFmtId="169" fontId="7" fillId="2" borderId="0" pivotButton="0" quotePrefix="0" xfId="2"/>
    <xf numFmtId="169" fontId="7" fillId="0" borderId="0" applyAlignment="1" pivotButton="0" quotePrefix="0" xfId="2">
      <alignment horizontal="right"/>
    </xf>
    <xf numFmtId="172" fontId="7" fillId="0" borderId="0" pivotButton="0" quotePrefix="0" xfId="2"/>
    <xf numFmtId="172" fontId="7" fillId="5" borderId="0" pivotButton="0" quotePrefix="0" xfId="2"/>
    <xf numFmtId="172" fontId="7" fillId="0" borderId="0" pivotButton="0" quotePrefix="0" xfId="0"/>
    <xf numFmtId="166" fontId="7" fillId="0" borderId="2" pivotButton="0" quotePrefix="0" xfId="0"/>
    <xf numFmtId="166" fontId="18" fillId="0" borderId="2" pivotButton="0" quotePrefix="0" xfId="0"/>
    <xf numFmtId="166" fontId="9" fillId="0" borderId="0" pivotButton="0" quotePrefix="0" xfId="2"/>
    <xf numFmtId="166" fontId="7" fillId="0" borderId="0" applyAlignment="1" pivotButton="0" quotePrefix="0" xfId="2">
      <alignment horizontal="right"/>
    </xf>
    <xf numFmtId="166" fontId="9" fillId="0" borderId="0" pivotButton="0" quotePrefix="0" xfId="0"/>
    <xf numFmtId="166" fontId="8" fillId="0" borderId="1" pivotButton="0" quotePrefix="0" xfId="0"/>
    <xf numFmtId="166" fontId="8" fillId="0" borderId="1" pivotButton="0" quotePrefix="0" xfId="2"/>
    <xf numFmtId="168" fontId="7" fillId="0" borderId="2" pivotButton="0" quotePrefix="0" xfId="1"/>
    <xf numFmtId="168" fontId="7" fillId="0" borderId="0" pivotButton="0" quotePrefix="0" xfId="0"/>
    <xf numFmtId="167" fontId="7" fillId="0" borderId="2" pivotButton="0" quotePrefix="0" xfId="2"/>
    <xf numFmtId="167" fontId="7" fillId="0" borderId="0" pivotButton="0" quotePrefix="0" xfId="2"/>
    <xf numFmtId="169" fontId="7" fillId="0" borderId="2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173" fontId="7" fillId="0" borderId="0" applyAlignment="1" pivotButton="0" quotePrefix="0" xfId="0">
      <alignment horizontal="right"/>
    </xf>
    <xf numFmtId="171" fontId="7" fillId="0" borderId="0" pivotButton="0" quotePrefix="0" xfId="2"/>
    <xf numFmtId="172" fontId="9" fillId="2" borderId="6" applyAlignment="1" pivotButton="0" quotePrefix="0" xfId="2">
      <alignment horizontal="left" vertical="center"/>
    </xf>
    <xf numFmtId="165" fontId="7" fillId="0" borderId="0" applyAlignment="1" pivotButton="0" quotePrefix="0" xfId="1">
      <alignment horizontal="right"/>
    </xf>
    <xf numFmtId="165" fontId="7" fillId="5" borderId="0" pivotButton="0" quotePrefix="0" xfId="0"/>
    <xf numFmtId="165" fontId="9" fillId="2" borderId="0" pivotButton="0" quotePrefix="0" xfId="0"/>
    <xf numFmtId="170" fontId="9" fillId="0" borderId="0" pivotButton="0" quotePrefix="0" xfId="0"/>
    <xf numFmtId="169" fontId="19" fillId="2" borderId="0" pivotButton="0" quotePrefix="0" xfId="0"/>
    <xf numFmtId="169" fontId="8" fillId="5" borderId="1" applyAlignment="1" pivotButton="0" quotePrefix="0" xfId="0">
      <alignment horizontal="right"/>
    </xf>
    <xf numFmtId="169" fontId="8" fillId="5" borderId="1" pivotButton="0" quotePrefix="0" xfId="0"/>
    <xf numFmtId="165" fontId="12" fillId="0" borderId="0" applyAlignment="1" pivotButton="0" quotePrefix="0" xfId="1">
      <alignment horizontal="right"/>
    </xf>
    <xf numFmtId="165" fontId="7" fillId="0" borderId="0" applyAlignment="1" pivotButton="0" quotePrefix="0" xfId="0">
      <alignment horizontal="right"/>
    </xf>
    <xf numFmtId="165" fontId="9" fillId="2" borderId="0" pivotButton="0" quotePrefix="0" xfId="1"/>
    <xf numFmtId="169" fontId="8" fillId="5" borderId="3" applyAlignment="1" pivotButton="0" quotePrefix="0" xfId="0">
      <alignment horizontal="right"/>
    </xf>
    <xf numFmtId="169" fontId="8" fillId="5" borderId="3" pivotButton="0" quotePrefix="0" xfId="0"/>
    <xf numFmtId="169" fontId="14" fillId="0" borderId="0" pivotButton="0" quotePrefix="0" xfId="0"/>
    <xf numFmtId="172" fontId="9" fillId="2" borderId="0" pivotButton="0" quotePrefix="0" xfId="2"/>
    <xf numFmtId="169" fontId="8" fillId="0" borderId="1" applyAlignment="1" pivotButton="0" quotePrefix="0" xfId="0">
      <alignment horizontal="right"/>
    </xf>
    <xf numFmtId="169" fontId="8" fillId="0" borderId="3" applyAlignment="1" pivotButton="0" quotePrefix="0" xfId="0">
      <alignment horizontal="right"/>
    </xf>
    <xf numFmtId="169" fontId="8" fillId="0" borderId="3" pivotButton="0" quotePrefix="0" xfId="0"/>
    <xf numFmtId="169" fontId="7" fillId="0" borderId="0" applyAlignment="1" pivotButton="0" quotePrefix="0" xfId="1">
      <alignment horizontal="right"/>
    </xf>
    <xf numFmtId="170" fontId="9" fillId="2" borderId="0" pivotButton="0" quotePrefix="0" xfId="0"/>
    <xf numFmtId="169" fontId="8" fillId="6" borderId="5" applyAlignment="1" pivotButton="0" quotePrefix="0" xfId="0">
      <alignment horizontal="right"/>
    </xf>
    <xf numFmtId="169" fontId="8" fillId="5" borderId="0" applyAlignment="1" pivotButton="0" quotePrefix="0" xfId="0">
      <alignment horizontal="right"/>
    </xf>
    <xf numFmtId="169" fontId="8" fillId="7" borderId="0" pivotButton="0" quotePrefix="0" xfId="0"/>
    <xf numFmtId="172" fontId="8" fillId="8" borderId="4" pivotButton="0" quotePrefix="0" xfId="0"/>
  </cellXfs>
  <cellStyles count="14">
    <cellStyle name="Normal" xfId="0" builtinId="0"/>
    <cellStyle name="Per cent" xfId="1" builtinId="5"/>
    <cellStyle name="Comma" xfId="2" builtinId="3"/>
    <cellStyle name="Hyperlink" xfId="3" builtinId="8"/>
    <cellStyle name="Normal 2" xfId="4"/>
    <cellStyle name="Normal 5" xfId="5"/>
    <cellStyle name="Normal 2 2" xfId="6"/>
    <cellStyle name="Normal 3" xfId="7"/>
    <cellStyle name="Currency 2" xfId="8"/>
    <cellStyle name="Comma 2" xfId="9"/>
    <cellStyle name="Comma 2 2" xfId="10"/>
    <cellStyle name="Per cent 2" xfId="11"/>
    <cellStyle name="Percent 2" xfId="12"/>
    <cellStyle name="Comma 3" xfId="1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view="pageBreakPreview" zoomScaleNormal="85" zoomScaleSheetLayoutView="100" workbookViewId="0">
      <selection activeCell="A1" sqref="A1"/>
    </sheetView>
  </sheetViews>
  <sheetFormatPr baseColWidth="10" defaultColWidth="8.83203125" defaultRowHeight="13"/>
  <cols>
    <col width="4.5" customWidth="1" style="1" min="1" max="1"/>
    <col width="7" customWidth="1" style="1" min="2" max="2"/>
    <col width="24.5" customWidth="1" style="1" min="3" max="3"/>
    <col width="20" bestFit="1" customWidth="1" style="1" min="4" max="4"/>
    <col width="8.83203125" customWidth="1" style="1" min="5" max="16384"/>
  </cols>
  <sheetData>
    <row r="2">
      <c r="B2" s="308" t="n"/>
      <c r="C2" s="309" t="n"/>
    </row>
    <row r="3">
      <c r="B3" s="310" t="n"/>
      <c r="C3" s="311" t="n"/>
    </row>
    <row r="4">
      <c r="B4" s="312" t="n"/>
      <c r="C4" s="313" t="n"/>
    </row>
    <row r="7">
      <c r="B7" s="2" t="inlineStr">
        <is>
          <t>Name</t>
        </is>
      </c>
      <c r="C7" s="3" t="inlineStr">
        <is>
          <t>Project Fintech</t>
        </is>
      </c>
    </row>
    <row r="8">
      <c r="B8" s="2" t="inlineStr">
        <is>
          <t>Date</t>
        </is>
      </c>
      <c r="C8" s="314" t="n">
        <v>45497</v>
      </c>
      <c r="D8" s="284" t="n"/>
    </row>
    <row r="10">
      <c r="C10" s="4" t="inlineStr">
        <is>
          <t>TOC</t>
        </is>
      </c>
    </row>
    <row r="11" ht="15" customHeight="1">
      <c r="C11" s="281" t="inlineStr">
        <is>
          <t>Summary</t>
        </is>
      </c>
    </row>
    <row r="12" ht="15" customHeight="1">
      <c r="C12" s="281" t="inlineStr">
        <is>
          <t>DCF</t>
        </is>
      </c>
    </row>
    <row r="13" ht="15" customHeight="1">
      <c r="C13" s="281" t="inlineStr">
        <is>
          <t>Income Statement</t>
        </is>
      </c>
    </row>
    <row r="14" ht="15" customHeight="1">
      <c r="C14" s="281" t="inlineStr">
        <is>
          <t>Cashflow</t>
        </is>
      </c>
    </row>
    <row r="15" ht="15" customHeight="1">
      <c r="C15" s="282" t="inlineStr">
        <is>
          <t>Balance Sheet</t>
        </is>
      </c>
    </row>
    <row r="16" ht="15" customHeight="1">
      <c r="C16" s="282" t="inlineStr">
        <is>
          <t>Balance Sheet Schedules</t>
        </is>
      </c>
    </row>
    <row r="17" ht="15" customHeight="1">
      <c r="C17" s="281" t="inlineStr">
        <is>
          <t>Ratio Analysis</t>
        </is>
      </c>
    </row>
    <row r="18" ht="15" customHeight="1">
      <c r="C18" s="281" t="inlineStr">
        <is>
          <t>Assumptions</t>
        </is>
      </c>
    </row>
    <row r="19" ht="15" customHeight="1">
      <c r="C19" s="281" t="inlineStr">
        <is>
          <t>Revenue Driver</t>
        </is>
      </c>
    </row>
    <row r="20" ht="15" customHeight="1">
      <c r="C20" s="282" t="inlineStr">
        <is>
          <t>Cost Drivers</t>
        </is>
      </c>
    </row>
    <row r="21" ht="15" customHeight="1">
      <c r="C21" s="282" t="inlineStr">
        <is>
          <t>Manpower Expenses</t>
        </is>
      </c>
    </row>
  </sheetData>
  <mergeCells count="1">
    <mergeCell ref="B2:C4"/>
  </mergeCells>
  <hyperlinks>
    <hyperlink ref="C11" location="Summary!A1" display="Summary"/>
    <hyperlink ref="C12" location="DCF!A1" display="DCF"/>
    <hyperlink ref="C13" location="'Income Statement'!A1" display="Income Statement"/>
    <hyperlink ref="C14" location="Cashflow!A1" display="Cashflow"/>
    <hyperlink ref="C15" location="'Balance Sheet'!A1" display="Balance Sheet"/>
    <hyperlink ref="C16" location="'Balance Sheet Schedules'!A1" display="Balance Sheet Schedules"/>
    <hyperlink ref="C17" location="'Ratio Analysis'!A1" display="Ratio Analysis"/>
    <hyperlink ref="C18" location="Assumptions!A1" display="Assumptions"/>
    <hyperlink ref="C19" location="'Revenue Driver'!A1" display="Revenue Driver"/>
    <hyperlink ref="C20" location="'Cost Drivers'!A1" display="Cost Drivers"/>
    <hyperlink ref="C21" location="'Manpower Expenses'!A1" display="Manpower Expenses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X122"/>
  <sheetViews>
    <sheetView showGridLines="0" view="pageBreakPreview" topLeftCell="A2" zoomScaleNormal="100" zoomScaleSheetLayoutView="100" workbookViewId="0">
      <pane xSplit="2" ySplit="5" topLeftCell="C7" activePane="bottomRight" state="frozen"/>
      <selection activeCell="B5" sqref="B5:B6"/>
      <selection pane="topRight" activeCell="B5" sqref="B5:B6"/>
      <selection pane="bottomLeft" activeCell="B5" sqref="B5:B6"/>
      <selection pane="bottomRight" activeCell="A1" sqref="A1"/>
    </sheetView>
  </sheetViews>
  <sheetFormatPr baseColWidth="10" defaultColWidth="12.5" defaultRowHeight="13" outlineLevelRow="1"/>
  <cols>
    <col width="8.83203125" customWidth="1" style="1" min="1" max="1"/>
    <col width="33.1640625" customWidth="1" style="1" min="2" max="2"/>
    <col width="12.5" customWidth="1" style="1" min="3" max="6"/>
    <col width="3.83203125" customWidth="1" style="1" min="7" max="7"/>
    <col width="12.5" customWidth="1" style="1" min="8" max="16384"/>
  </cols>
  <sheetData>
    <row r="2">
      <c r="B2" s="5">
        <f>DCF!B2</f>
        <v/>
      </c>
    </row>
    <row r="3">
      <c r="B3" s="5" t="inlineStr">
        <is>
          <t>Summary</t>
        </is>
      </c>
    </row>
    <row r="5">
      <c r="B5" s="294">
        <f t="array" ref="B5:B6">'Revenue Driver'!B5:B6</f>
        <v/>
      </c>
      <c r="C5" s="295" t="n">
        <v>2024</v>
      </c>
      <c r="D5" s="295" t="n">
        <v>2025</v>
      </c>
      <c r="E5" s="295" t="n">
        <v>2026</v>
      </c>
      <c r="F5" s="295" t="n">
        <v>2027</v>
      </c>
      <c r="G5" s="292" t="n"/>
      <c r="H5" s="7" t="n">
        <v>2024</v>
      </c>
      <c r="I5" s="7" t="n">
        <v>2024</v>
      </c>
      <c r="J5" s="7" t="n">
        <v>2024</v>
      </c>
      <c r="K5" s="7" t="n">
        <v>2024</v>
      </c>
      <c r="L5" s="7" t="n">
        <v>2024</v>
      </c>
      <c r="M5" s="7" t="n">
        <v>2024</v>
      </c>
      <c r="N5" s="7" t="n">
        <v>2025</v>
      </c>
      <c r="O5" s="7" t="n">
        <v>2025</v>
      </c>
      <c r="P5" s="7" t="n">
        <v>2025</v>
      </c>
      <c r="Q5" s="7" t="n">
        <v>2025</v>
      </c>
      <c r="R5" s="7" t="n">
        <v>2025</v>
      </c>
      <c r="S5" s="7" t="n">
        <v>2025</v>
      </c>
      <c r="T5" s="7" t="n">
        <v>2025</v>
      </c>
      <c r="U5" s="7" t="n">
        <v>2025</v>
      </c>
      <c r="V5" s="7" t="n">
        <v>2025</v>
      </c>
      <c r="W5" s="7" t="n">
        <v>2025</v>
      </c>
      <c r="X5" s="7" t="n">
        <v>2025</v>
      </c>
      <c r="Y5" s="7" t="n">
        <v>2025</v>
      </c>
      <c r="Z5" s="7" t="n">
        <v>2026</v>
      </c>
      <c r="AA5" s="7" t="n">
        <v>2026</v>
      </c>
      <c r="AB5" s="7" t="n">
        <v>2026</v>
      </c>
      <c r="AC5" s="7" t="n">
        <v>2026</v>
      </c>
      <c r="AD5" s="7" t="n">
        <v>2026</v>
      </c>
      <c r="AE5" s="7" t="n">
        <v>2026</v>
      </c>
      <c r="AF5" s="7" t="n">
        <v>2026</v>
      </c>
      <c r="AG5" s="7" t="n">
        <v>2026</v>
      </c>
      <c r="AH5" s="7" t="n">
        <v>2026</v>
      </c>
      <c r="AI5" s="7" t="n">
        <v>2026</v>
      </c>
      <c r="AJ5" s="7" t="n">
        <v>2026</v>
      </c>
      <c r="AK5" s="7" t="n">
        <v>2026</v>
      </c>
      <c r="AL5" s="7" t="n">
        <v>2027</v>
      </c>
      <c r="AM5" s="7" t="n">
        <v>2027</v>
      </c>
      <c r="AN5" s="7" t="n">
        <v>2027</v>
      </c>
      <c r="AO5" s="7" t="n">
        <v>2027</v>
      </c>
      <c r="AP5" s="7" t="n">
        <v>2027</v>
      </c>
      <c r="AQ5" s="7" t="n">
        <v>2027</v>
      </c>
      <c r="AR5" s="7" t="n">
        <v>2027</v>
      </c>
      <c r="AS5" s="7" t="n">
        <v>2027</v>
      </c>
      <c r="AT5" s="7" t="n">
        <v>2027</v>
      </c>
      <c r="AU5" s="7" t="n">
        <v>2027</v>
      </c>
      <c r="AV5" s="7" t="n">
        <v>2027</v>
      </c>
      <c r="AW5" s="7" t="n">
        <v>2027</v>
      </c>
    </row>
    <row r="6">
      <c r="H6" s="8" t="n">
        <v>45497</v>
      </c>
      <c r="I6" s="8" t="n">
        <v>45535</v>
      </c>
      <c r="J6" s="8" t="n">
        <v>45565</v>
      </c>
      <c r="K6" s="8" t="n">
        <v>45596</v>
      </c>
      <c r="L6" s="8" t="n">
        <v>45626</v>
      </c>
      <c r="M6" s="8" t="n">
        <v>45657</v>
      </c>
      <c r="N6" s="8" t="n">
        <v>45688</v>
      </c>
      <c r="O6" s="8" t="n">
        <v>45716</v>
      </c>
      <c r="P6" s="8" t="n">
        <v>45747</v>
      </c>
      <c r="Q6" s="8" t="n">
        <v>45777</v>
      </c>
      <c r="R6" s="8" t="n">
        <v>45808</v>
      </c>
      <c r="S6" s="8" t="n">
        <v>45838</v>
      </c>
      <c r="T6" s="8" t="n">
        <v>45869</v>
      </c>
      <c r="U6" s="8" t="n">
        <v>45900</v>
      </c>
      <c r="V6" s="8" t="n">
        <v>45930</v>
      </c>
      <c r="W6" s="8" t="n">
        <v>45961</v>
      </c>
      <c r="X6" s="8" t="n">
        <v>45991</v>
      </c>
      <c r="Y6" s="8" t="n">
        <v>46022</v>
      </c>
      <c r="Z6" s="8" t="n">
        <v>46053</v>
      </c>
      <c r="AA6" s="8" t="n">
        <v>46081</v>
      </c>
      <c r="AB6" s="8" t="n">
        <v>46112</v>
      </c>
      <c r="AC6" s="8" t="n">
        <v>46142</v>
      </c>
      <c r="AD6" s="8" t="n">
        <v>46173</v>
      </c>
      <c r="AE6" s="8" t="n">
        <v>46203</v>
      </c>
      <c r="AF6" s="8" t="n">
        <v>46234</v>
      </c>
      <c r="AG6" s="8" t="n">
        <v>46265</v>
      </c>
      <c r="AH6" s="8" t="n">
        <v>46295</v>
      </c>
      <c r="AI6" s="8" t="n">
        <v>46326</v>
      </c>
      <c r="AJ6" s="8" t="n">
        <v>46356</v>
      </c>
      <c r="AK6" s="8" t="n">
        <v>46387</v>
      </c>
      <c r="AL6" s="8" t="n">
        <v>46418</v>
      </c>
      <c r="AM6" s="8" t="n">
        <v>46446</v>
      </c>
      <c r="AN6" s="8" t="n">
        <v>46477</v>
      </c>
      <c r="AO6" s="8" t="n">
        <v>46507</v>
      </c>
      <c r="AP6" s="8" t="n">
        <v>46538</v>
      </c>
      <c r="AQ6" s="8" t="n">
        <v>46568</v>
      </c>
      <c r="AR6" s="8" t="n">
        <v>46599</v>
      </c>
      <c r="AS6" s="8" t="n">
        <v>46630</v>
      </c>
      <c r="AT6" s="8" t="n">
        <v>46660</v>
      </c>
      <c r="AU6" s="8" t="n">
        <v>46691</v>
      </c>
      <c r="AV6" s="8" t="n">
        <v>46721</v>
      </c>
      <c r="AW6" s="8" t="n">
        <v>46752</v>
      </c>
    </row>
    <row r="7">
      <c r="B7" s="292" t="n"/>
    </row>
    <row r="8">
      <c r="B8" s="9" t="inlineStr">
        <is>
          <t>Income Statement</t>
        </is>
      </c>
    </row>
    <row r="9" customFormat="1" s="2">
      <c r="B9" s="2" t="inlineStr">
        <is>
          <t>Revenue</t>
        </is>
      </c>
      <c r="C9" s="315">
        <f>'Income Statement'!C8</f>
        <v/>
      </c>
      <c r="D9" s="315">
        <f>'Income Statement'!D8</f>
        <v/>
      </c>
      <c r="E9" s="315">
        <f>'Income Statement'!E8</f>
        <v/>
      </c>
      <c r="F9" s="315">
        <f>'Income Statement'!F8</f>
        <v/>
      </c>
      <c r="G9" s="315" t="n"/>
      <c r="H9" s="315">
        <f>'Income Statement'!H8</f>
        <v/>
      </c>
      <c r="I9" s="315">
        <f>'Income Statement'!I8</f>
        <v/>
      </c>
      <c r="J9" s="315">
        <f>'Income Statement'!J8</f>
        <v/>
      </c>
      <c r="K9" s="315">
        <f>'Income Statement'!K8</f>
        <v/>
      </c>
      <c r="L9" s="315">
        <f>'Income Statement'!L8</f>
        <v/>
      </c>
      <c r="M9" s="315">
        <f>'Income Statement'!M8</f>
        <v/>
      </c>
      <c r="N9" s="315">
        <f>'Income Statement'!N8</f>
        <v/>
      </c>
      <c r="O9" s="315">
        <f>'Income Statement'!O8</f>
        <v/>
      </c>
      <c r="P9" s="315">
        <f>'Income Statement'!P8</f>
        <v/>
      </c>
      <c r="Q9" s="315">
        <f>'Income Statement'!Q8</f>
        <v/>
      </c>
      <c r="R9" s="315">
        <f>'Income Statement'!R8</f>
        <v/>
      </c>
      <c r="S9" s="315">
        <f>'Income Statement'!S8</f>
        <v/>
      </c>
      <c r="T9" s="315">
        <f>'Income Statement'!T8</f>
        <v/>
      </c>
      <c r="U9" s="315">
        <f>'Income Statement'!U8</f>
        <v/>
      </c>
      <c r="V9" s="315">
        <f>'Income Statement'!V8</f>
        <v/>
      </c>
      <c r="W9" s="315">
        <f>'Income Statement'!W8</f>
        <v/>
      </c>
      <c r="X9" s="315">
        <f>'Income Statement'!X8</f>
        <v/>
      </c>
      <c r="Y9" s="315">
        <f>'Income Statement'!Y8</f>
        <v/>
      </c>
      <c r="Z9" s="315">
        <f>'Income Statement'!Z8</f>
        <v/>
      </c>
      <c r="AA9" s="315">
        <f>'Income Statement'!AA8</f>
        <v/>
      </c>
      <c r="AB9" s="315">
        <f>'Income Statement'!AB8</f>
        <v/>
      </c>
      <c r="AC9" s="315">
        <f>'Income Statement'!AC8</f>
        <v/>
      </c>
      <c r="AD9" s="315">
        <f>'Income Statement'!AD8</f>
        <v/>
      </c>
      <c r="AE9" s="315">
        <f>'Income Statement'!AE8</f>
        <v/>
      </c>
      <c r="AF9" s="315">
        <f>'Income Statement'!AF8</f>
        <v/>
      </c>
      <c r="AG9" s="315">
        <f>'Income Statement'!AG8</f>
        <v/>
      </c>
      <c r="AH9" s="315">
        <f>'Income Statement'!AH8</f>
        <v/>
      </c>
      <c r="AI9" s="315">
        <f>'Income Statement'!AI8</f>
        <v/>
      </c>
      <c r="AJ9" s="315">
        <f>'Income Statement'!AJ8</f>
        <v/>
      </c>
      <c r="AK9" s="315">
        <f>'Income Statement'!AK8</f>
        <v/>
      </c>
      <c r="AL9" s="315">
        <f>'Income Statement'!AL8</f>
        <v/>
      </c>
      <c r="AM9" s="315">
        <f>'Income Statement'!AM8</f>
        <v/>
      </c>
      <c r="AN9" s="315">
        <f>'Income Statement'!AN8</f>
        <v/>
      </c>
      <c r="AO9" s="315">
        <f>'Income Statement'!AO8</f>
        <v/>
      </c>
      <c r="AP9" s="315">
        <f>'Income Statement'!AP8</f>
        <v/>
      </c>
      <c r="AQ9" s="315">
        <f>'Income Statement'!AQ8</f>
        <v/>
      </c>
      <c r="AR9" s="315">
        <f>'Income Statement'!AR8</f>
        <v/>
      </c>
      <c r="AS9" s="315">
        <f>'Income Statement'!AS8</f>
        <v/>
      </c>
      <c r="AT9" s="315">
        <f>'Income Statement'!AT8</f>
        <v/>
      </c>
      <c r="AU9" s="315">
        <f>'Income Statement'!AU8</f>
        <v/>
      </c>
      <c r="AV9" s="315">
        <f>'Income Statement'!AV8</f>
        <v/>
      </c>
      <c r="AW9" s="315">
        <f>'Income Statement'!AW8</f>
        <v/>
      </c>
      <c r="AX9" s="315" t="n"/>
    </row>
    <row r="10" outlineLevel="1">
      <c r="B10" s="11">
        <f>'Revenue Driver'!B19</f>
        <v/>
      </c>
      <c r="C10" s="12">
        <f>'Revenue Driver'!C19</f>
        <v/>
      </c>
      <c r="D10" s="12">
        <f>'Revenue Driver'!D19</f>
        <v/>
      </c>
      <c r="E10" s="12">
        <f>'Revenue Driver'!E19</f>
        <v/>
      </c>
      <c r="F10" s="12">
        <f>'Revenue Driver'!F19</f>
        <v/>
      </c>
      <c r="G10" s="12" t="n"/>
      <c r="H10" s="12">
        <f>'Revenue Driver'!H19</f>
        <v/>
      </c>
      <c r="I10" s="12">
        <f>'Revenue Driver'!I19</f>
        <v/>
      </c>
      <c r="J10" s="12">
        <f>'Revenue Driver'!J19</f>
        <v/>
      </c>
      <c r="K10" s="12">
        <f>'Revenue Driver'!K19</f>
        <v/>
      </c>
      <c r="L10" s="12">
        <f>'Revenue Driver'!L19</f>
        <v/>
      </c>
      <c r="M10" s="12">
        <f>'Revenue Driver'!M19</f>
        <v/>
      </c>
      <c r="N10" s="12">
        <f>'Revenue Driver'!N19</f>
        <v/>
      </c>
      <c r="O10" s="12">
        <f>'Revenue Driver'!O19</f>
        <v/>
      </c>
      <c r="P10" s="12">
        <f>'Revenue Driver'!P19</f>
        <v/>
      </c>
      <c r="Q10" s="12">
        <f>'Revenue Driver'!Q19</f>
        <v/>
      </c>
      <c r="R10" s="12">
        <f>'Revenue Driver'!R19</f>
        <v/>
      </c>
      <c r="S10" s="12">
        <f>'Revenue Driver'!S19</f>
        <v/>
      </c>
      <c r="T10" s="12">
        <f>'Revenue Driver'!T19</f>
        <v/>
      </c>
      <c r="U10" s="12">
        <f>'Revenue Driver'!U19</f>
        <v/>
      </c>
      <c r="V10" s="12">
        <f>'Revenue Driver'!V19</f>
        <v/>
      </c>
      <c r="W10" s="12">
        <f>'Revenue Driver'!W19</f>
        <v/>
      </c>
      <c r="X10" s="12">
        <f>'Revenue Driver'!X19</f>
        <v/>
      </c>
      <c r="Y10" s="12">
        <f>'Revenue Driver'!Y19</f>
        <v/>
      </c>
      <c r="Z10" s="12">
        <f>'Revenue Driver'!Z19</f>
        <v/>
      </c>
      <c r="AA10" s="12">
        <f>'Revenue Driver'!AA19</f>
        <v/>
      </c>
      <c r="AB10" s="12">
        <f>'Revenue Driver'!AB19</f>
        <v/>
      </c>
      <c r="AC10" s="12">
        <f>'Revenue Driver'!AC19</f>
        <v/>
      </c>
      <c r="AD10" s="12">
        <f>'Revenue Driver'!AD19</f>
        <v/>
      </c>
      <c r="AE10" s="12">
        <f>'Revenue Driver'!AE19</f>
        <v/>
      </c>
      <c r="AF10" s="12">
        <f>'Revenue Driver'!AF19</f>
        <v/>
      </c>
      <c r="AG10" s="12">
        <f>'Revenue Driver'!AG19</f>
        <v/>
      </c>
      <c r="AH10" s="12">
        <f>'Revenue Driver'!AH19</f>
        <v/>
      </c>
      <c r="AI10" s="12">
        <f>'Revenue Driver'!AI19</f>
        <v/>
      </c>
      <c r="AJ10" s="12">
        <f>'Revenue Driver'!AJ19</f>
        <v/>
      </c>
      <c r="AK10" s="12">
        <f>'Revenue Driver'!AK19</f>
        <v/>
      </c>
      <c r="AL10" s="12">
        <f>'Revenue Driver'!AL19</f>
        <v/>
      </c>
      <c r="AM10" s="12">
        <f>'Revenue Driver'!AM19</f>
        <v/>
      </c>
      <c r="AN10" s="12">
        <f>'Revenue Driver'!AN19</f>
        <v/>
      </c>
      <c r="AO10" s="12">
        <f>'Revenue Driver'!AO19</f>
        <v/>
      </c>
      <c r="AP10" s="12">
        <f>'Revenue Driver'!AP19</f>
        <v/>
      </c>
      <c r="AQ10" s="12">
        <f>'Revenue Driver'!AQ19</f>
        <v/>
      </c>
      <c r="AR10" s="12">
        <f>'Revenue Driver'!AR19</f>
        <v/>
      </c>
      <c r="AS10" s="12">
        <f>'Revenue Driver'!AS19</f>
        <v/>
      </c>
      <c r="AT10" s="12">
        <f>'Revenue Driver'!AT19</f>
        <v/>
      </c>
      <c r="AU10" s="12">
        <f>'Revenue Driver'!AU19</f>
        <v/>
      </c>
      <c r="AV10" s="12">
        <f>'Revenue Driver'!AV19</f>
        <v/>
      </c>
      <c r="AW10" s="12">
        <f>'Revenue Driver'!AW19</f>
        <v/>
      </c>
      <c r="AX10" s="316" t="n"/>
    </row>
    <row r="11" outlineLevel="1">
      <c r="B11" s="14">
        <f>'Revenue Driver'!B67</f>
        <v/>
      </c>
      <c r="C11" s="15">
        <f>'Revenue Driver'!C67</f>
        <v/>
      </c>
      <c r="D11" s="15">
        <f>'Revenue Driver'!D67</f>
        <v/>
      </c>
      <c r="E11" s="15">
        <f>'Revenue Driver'!E67</f>
        <v/>
      </c>
      <c r="F11" s="15">
        <f>'Revenue Driver'!F67</f>
        <v/>
      </c>
      <c r="G11" s="15" t="n"/>
      <c r="H11" s="15">
        <f>'Revenue Driver'!H67</f>
        <v/>
      </c>
      <c r="I11" s="15">
        <f>'Revenue Driver'!I67</f>
        <v/>
      </c>
      <c r="J11" s="15">
        <f>'Revenue Driver'!J67</f>
        <v/>
      </c>
      <c r="K11" s="15">
        <f>'Revenue Driver'!K67</f>
        <v/>
      </c>
      <c r="L11" s="15">
        <f>'Revenue Driver'!L67</f>
        <v/>
      </c>
      <c r="M11" s="15">
        <f>'Revenue Driver'!M67</f>
        <v/>
      </c>
      <c r="N11" s="15">
        <f>'Revenue Driver'!N67</f>
        <v/>
      </c>
      <c r="O11" s="15">
        <f>'Revenue Driver'!O67</f>
        <v/>
      </c>
      <c r="P11" s="15">
        <f>'Revenue Driver'!P67</f>
        <v/>
      </c>
      <c r="Q11" s="15">
        <f>'Revenue Driver'!Q67</f>
        <v/>
      </c>
      <c r="R11" s="15">
        <f>'Revenue Driver'!R67</f>
        <v/>
      </c>
      <c r="S11" s="15">
        <f>'Revenue Driver'!S67</f>
        <v/>
      </c>
      <c r="T11" s="15">
        <f>'Revenue Driver'!T67</f>
        <v/>
      </c>
      <c r="U11" s="15">
        <f>'Revenue Driver'!U67</f>
        <v/>
      </c>
      <c r="V11" s="15">
        <f>'Revenue Driver'!V67</f>
        <v/>
      </c>
      <c r="W11" s="15">
        <f>'Revenue Driver'!W67</f>
        <v/>
      </c>
      <c r="X11" s="15">
        <f>'Revenue Driver'!X67</f>
        <v/>
      </c>
      <c r="Y11" s="15">
        <f>'Revenue Driver'!Y67</f>
        <v/>
      </c>
      <c r="Z11" s="15">
        <f>'Revenue Driver'!Z67</f>
        <v/>
      </c>
      <c r="AA11" s="15">
        <f>'Revenue Driver'!AA67</f>
        <v/>
      </c>
      <c r="AB11" s="15">
        <f>'Revenue Driver'!AB67</f>
        <v/>
      </c>
      <c r="AC11" s="15">
        <f>'Revenue Driver'!AC67</f>
        <v/>
      </c>
      <c r="AD11" s="15">
        <f>'Revenue Driver'!AD67</f>
        <v/>
      </c>
      <c r="AE11" s="15">
        <f>'Revenue Driver'!AE67</f>
        <v/>
      </c>
      <c r="AF11" s="15">
        <f>'Revenue Driver'!AF67</f>
        <v/>
      </c>
      <c r="AG11" s="15">
        <f>'Revenue Driver'!AG67</f>
        <v/>
      </c>
      <c r="AH11" s="15">
        <f>'Revenue Driver'!AH67</f>
        <v/>
      </c>
      <c r="AI11" s="15">
        <f>'Revenue Driver'!AI67</f>
        <v/>
      </c>
      <c r="AJ11" s="15">
        <f>'Revenue Driver'!AJ67</f>
        <v/>
      </c>
      <c r="AK11" s="15">
        <f>'Revenue Driver'!AK67</f>
        <v/>
      </c>
      <c r="AL11" s="15">
        <f>'Revenue Driver'!AL67</f>
        <v/>
      </c>
      <c r="AM11" s="15">
        <f>'Revenue Driver'!AM67</f>
        <v/>
      </c>
      <c r="AN11" s="15">
        <f>'Revenue Driver'!AN67</f>
        <v/>
      </c>
      <c r="AO11" s="15">
        <f>'Revenue Driver'!AO67</f>
        <v/>
      </c>
      <c r="AP11" s="15">
        <f>'Revenue Driver'!AP67</f>
        <v/>
      </c>
      <c r="AQ11" s="15">
        <f>'Revenue Driver'!AQ67</f>
        <v/>
      </c>
      <c r="AR11" s="15">
        <f>'Revenue Driver'!AR67</f>
        <v/>
      </c>
      <c r="AS11" s="15">
        <f>'Revenue Driver'!AS67</f>
        <v/>
      </c>
      <c r="AT11" s="15">
        <f>'Revenue Driver'!AT67</f>
        <v/>
      </c>
      <c r="AU11" s="15">
        <f>'Revenue Driver'!AU67</f>
        <v/>
      </c>
      <c r="AV11" s="15">
        <f>'Revenue Driver'!AV67</f>
        <v/>
      </c>
      <c r="AW11" s="15">
        <f>'Revenue Driver'!AW67</f>
        <v/>
      </c>
      <c r="AX11" s="316" t="n"/>
    </row>
    <row r="12" outlineLevel="1">
      <c r="B12" s="14">
        <f>'Revenue Driver'!B68</f>
        <v/>
      </c>
      <c r="C12" s="15">
        <f>'Revenue Driver'!C68</f>
        <v/>
      </c>
      <c r="D12" s="15">
        <f>'Revenue Driver'!D68</f>
        <v/>
      </c>
      <c r="E12" s="15">
        <f>'Revenue Driver'!E68</f>
        <v/>
      </c>
      <c r="F12" s="15">
        <f>'Revenue Driver'!F68</f>
        <v/>
      </c>
      <c r="G12" s="15" t="n"/>
      <c r="H12" s="15">
        <f>'Revenue Driver'!H68</f>
        <v/>
      </c>
      <c r="I12" s="15">
        <f>'Revenue Driver'!I68</f>
        <v/>
      </c>
      <c r="J12" s="15">
        <f>'Revenue Driver'!J68</f>
        <v/>
      </c>
      <c r="K12" s="15">
        <f>'Revenue Driver'!K68</f>
        <v/>
      </c>
      <c r="L12" s="15">
        <f>'Revenue Driver'!L68</f>
        <v/>
      </c>
      <c r="M12" s="15">
        <f>'Revenue Driver'!M68</f>
        <v/>
      </c>
      <c r="N12" s="15">
        <f>'Revenue Driver'!N68</f>
        <v/>
      </c>
      <c r="O12" s="15">
        <f>'Revenue Driver'!O68</f>
        <v/>
      </c>
      <c r="P12" s="15">
        <f>'Revenue Driver'!P68</f>
        <v/>
      </c>
      <c r="Q12" s="15">
        <f>'Revenue Driver'!Q68</f>
        <v/>
      </c>
      <c r="R12" s="15">
        <f>'Revenue Driver'!R68</f>
        <v/>
      </c>
      <c r="S12" s="15">
        <f>'Revenue Driver'!S68</f>
        <v/>
      </c>
      <c r="T12" s="15">
        <f>'Revenue Driver'!T68</f>
        <v/>
      </c>
      <c r="U12" s="15">
        <f>'Revenue Driver'!U68</f>
        <v/>
      </c>
      <c r="V12" s="15">
        <f>'Revenue Driver'!V68</f>
        <v/>
      </c>
      <c r="W12" s="15">
        <f>'Revenue Driver'!W68</f>
        <v/>
      </c>
      <c r="X12" s="15">
        <f>'Revenue Driver'!X68</f>
        <v/>
      </c>
      <c r="Y12" s="15">
        <f>'Revenue Driver'!Y68</f>
        <v/>
      </c>
      <c r="Z12" s="15">
        <f>'Revenue Driver'!Z68</f>
        <v/>
      </c>
      <c r="AA12" s="15">
        <f>'Revenue Driver'!AA68</f>
        <v/>
      </c>
      <c r="AB12" s="15">
        <f>'Revenue Driver'!AB68</f>
        <v/>
      </c>
      <c r="AC12" s="15">
        <f>'Revenue Driver'!AC68</f>
        <v/>
      </c>
      <c r="AD12" s="15">
        <f>'Revenue Driver'!AD68</f>
        <v/>
      </c>
      <c r="AE12" s="15">
        <f>'Revenue Driver'!AE68</f>
        <v/>
      </c>
      <c r="AF12" s="15">
        <f>'Revenue Driver'!AF68</f>
        <v/>
      </c>
      <c r="AG12" s="15">
        <f>'Revenue Driver'!AG68</f>
        <v/>
      </c>
      <c r="AH12" s="15">
        <f>'Revenue Driver'!AH68</f>
        <v/>
      </c>
      <c r="AI12" s="15">
        <f>'Revenue Driver'!AI68</f>
        <v/>
      </c>
      <c r="AJ12" s="15">
        <f>'Revenue Driver'!AJ68</f>
        <v/>
      </c>
      <c r="AK12" s="15">
        <f>'Revenue Driver'!AK68</f>
        <v/>
      </c>
      <c r="AL12" s="15">
        <f>'Revenue Driver'!AL68</f>
        <v/>
      </c>
      <c r="AM12" s="15">
        <f>'Revenue Driver'!AM68</f>
        <v/>
      </c>
      <c r="AN12" s="15">
        <f>'Revenue Driver'!AN68</f>
        <v/>
      </c>
      <c r="AO12" s="15">
        <f>'Revenue Driver'!AO68</f>
        <v/>
      </c>
      <c r="AP12" s="15">
        <f>'Revenue Driver'!AP68</f>
        <v/>
      </c>
      <c r="AQ12" s="15">
        <f>'Revenue Driver'!AQ68</f>
        <v/>
      </c>
      <c r="AR12" s="15">
        <f>'Revenue Driver'!AR68</f>
        <v/>
      </c>
      <c r="AS12" s="15">
        <f>'Revenue Driver'!AS68</f>
        <v/>
      </c>
      <c r="AT12" s="15">
        <f>'Revenue Driver'!AT68</f>
        <v/>
      </c>
      <c r="AU12" s="15">
        <f>'Revenue Driver'!AU68</f>
        <v/>
      </c>
      <c r="AV12" s="15">
        <f>'Revenue Driver'!AV68</f>
        <v/>
      </c>
      <c r="AW12" s="15">
        <f>'Revenue Driver'!AW68</f>
        <v/>
      </c>
      <c r="AX12" s="316" t="n"/>
    </row>
    <row r="13" outlineLevel="1">
      <c r="B13" s="14">
        <f>'Revenue Driver'!B69</f>
        <v/>
      </c>
      <c r="C13" s="15">
        <f>'Revenue Driver'!C69</f>
        <v/>
      </c>
      <c r="D13" s="15">
        <f>'Revenue Driver'!D69</f>
        <v/>
      </c>
      <c r="E13" s="15">
        <f>'Revenue Driver'!E69</f>
        <v/>
      </c>
      <c r="F13" s="15">
        <f>'Revenue Driver'!F69</f>
        <v/>
      </c>
      <c r="G13" s="15" t="n"/>
      <c r="H13" s="15">
        <f>'Revenue Driver'!H69</f>
        <v/>
      </c>
      <c r="I13" s="15">
        <f>'Revenue Driver'!I69</f>
        <v/>
      </c>
      <c r="J13" s="15">
        <f>'Revenue Driver'!J69</f>
        <v/>
      </c>
      <c r="K13" s="15">
        <f>'Revenue Driver'!K69</f>
        <v/>
      </c>
      <c r="L13" s="15">
        <f>'Revenue Driver'!L69</f>
        <v/>
      </c>
      <c r="M13" s="15">
        <f>'Revenue Driver'!M69</f>
        <v/>
      </c>
      <c r="N13" s="15">
        <f>'Revenue Driver'!N69</f>
        <v/>
      </c>
      <c r="O13" s="15">
        <f>'Revenue Driver'!O69</f>
        <v/>
      </c>
      <c r="P13" s="15">
        <f>'Revenue Driver'!P69</f>
        <v/>
      </c>
      <c r="Q13" s="15">
        <f>'Revenue Driver'!Q69</f>
        <v/>
      </c>
      <c r="R13" s="15">
        <f>'Revenue Driver'!R69</f>
        <v/>
      </c>
      <c r="S13" s="15">
        <f>'Revenue Driver'!S69</f>
        <v/>
      </c>
      <c r="T13" s="15">
        <f>'Revenue Driver'!T69</f>
        <v/>
      </c>
      <c r="U13" s="15">
        <f>'Revenue Driver'!U69</f>
        <v/>
      </c>
      <c r="V13" s="15">
        <f>'Revenue Driver'!V69</f>
        <v/>
      </c>
      <c r="W13" s="15">
        <f>'Revenue Driver'!W69</f>
        <v/>
      </c>
      <c r="X13" s="15">
        <f>'Revenue Driver'!X69</f>
        <v/>
      </c>
      <c r="Y13" s="15">
        <f>'Revenue Driver'!Y69</f>
        <v/>
      </c>
      <c r="Z13" s="15">
        <f>'Revenue Driver'!Z69</f>
        <v/>
      </c>
      <c r="AA13" s="15">
        <f>'Revenue Driver'!AA69</f>
        <v/>
      </c>
      <c r="AB13" s="15">
        <f>'Revenue Driver'!AB69</f>
        <v/>
      </c>
      <c r="AC13" s="15">
        <f>'Revenue Driver'!AC69</f>
        <v/>
      </c>
      <c r="AD13" s="15">
        <f>'Revenue Driver'!AD69</f>
        <v/>
      </c>
      <c r="AE13" s="15">
        <f>'Revenue Driver'!AE69</f>
        <v/>
      </c>
      <c r="AF13" s="15">
        <f>'Revenue Driver'!AF69</f>
        <v/>
      </c>
      <c r="AG13" s="15">
        <f>'Revenue Driver'!AG69</f>
        <v/>
      </c>
      <c r="AH13" s="15">
        <f>'Revenue Driver'!AH69</f>
        <v/>
      </c>
      <c r="AI13" s="15">
        <f>'Revenue Driver'!AI69</f>
        <v/>
      </c>
      <c r="AJ13" s="15">
        <f>'Revenue Driver'!AJ69</f>
        <v/>
      </c>
      <c r="AK13" s="15">
        <f>'Revenue Driver'!AK69</f>
        <v/>
      </c>
      <c r="AL13" s="15">
        <f>'Revenue Driver'!AL69</f>
        <v/>
      </c>
      <c r="AM13" s="15">
        <f>'Revenue Driver'!AM69</f>
        <v/>
      </c>
      <c r="AN13" s="15">
        <f>'Revenue Driver'!AN69</f>
        <v/>
      </c>
      <c r="AO13" s="15">
        <f>'Revenue Driver'!AO69</f>
        <v/>
      </c>
      <c r="AP13" s="15">
        <f>'Revenue Driver'!AP69</f>
        <v/>
      </c>
      <c r="AQ13" s="15">
        <f>'Revenue Driver'!AQ69</f>
        <v/>
      </c>
      <c r="AR13" s="15">
        <f>'Revenue Driver'!AR69</f>
        <v/>
      </c>
      <c r="AS13" s="15">
        <f>'Revenue Driver'!AS69</f>
        <v/>
      </c>
      <c r="AT13" s="15">
        <f>'Revenue Driver'!AT69</f>
        <v/>
      </c>
      <c r="AU13" s="15">
        <f>'Revenue Driver'!AU69</f>
        <v/>
      </c>
      <c r="AV13" s="15">
        <f>'Revenue Driver'!AV69</f>
        <v/>
      </c>
      <c r="AW13" s="15">
        <f>'Revenue Driver'!AW69</f>
        <v/>
      </c>
      <c r="AX13" s="316" t="n"/>
    </row>
    <row r="14" outlineLevel="1">
      <c r="B14" s="14">
        <f>'Revenue Driver'!B70</f>
        <v/>
      </c>
      <c r="C14" s="15">
        <f>'Revenue Driver'!C70</f>
        <v/>
      </c>
      <c r="D14" s="15">
        <f>'Revenue Driver'!D70</f>
        <v/>
      </c>
      <c r="E14" s="15">
        <f>'Revenue Driver'!E70</f>
        <v/>
      </c>
      <c r="F14" s="15">
        <f>'Revenue Driver'!F70</f>
        <v/>
      </c>
      <c r="G14" s="15" t="n"/>
      <c r="H14" s="15">
        <f>'Revenue Driver'!H70</f>
        <v/>
      </c>
      <c r="I14" s="15">
        <f>'Revenue Driver'!I70</f>
        <v/>
      </c>
      <c r="J14" s="15">
        <f>'Revenue Driver'!J70</f>
        <v/>
      </c>
      <c r="K14" s="15">
        <f>'Revenue Driver'!K70</f>
        <v/>
      </c>
      <c r="L14" s="15">
        <f>'Revenue Driver'!L70</f>
        <v/>
      </c>
      <c r="M14" s="15">
        <f>'Revenue Driver'!M70</f>
        <v/>
      </c>
      <c r="N14" s="15">
        <f>'Revenue Driver'!N70</f>
        <v/>
      </c>
      <c r="O14" s="15">
        <f>'Revenue Driver'!O70</f>
        <v/>
      </c>
      <c r="P14" s="15">
        <f>'Revenue Driver'!P70</f>
        <v/>
      </c>
      <c r="Q14" s="15">
        <f>'Revenue Driver'!Q70</f>
        <v/>
      </c>
      <c r="R14" s="15">
        <f>'Revenue Driver'!R70</f>
        <v/>
      </c>
      <c r="S14" s="15">
        <f>'Revenue Driver'!S70</f>
        <v/>
      </c>
      <c r="T14" s="15">
        <f>'Revenue Driver'!T70</f>
        <v/>
      </c>
      <c r="U14" s="15">
        <f>'Revenue Driver'!U70</f>
        <v/>
      </c>
      <c r="V14" s="15">
        <f>'Revenue Driver'!V70</f>
        <v/>
      </c>
      <c r="W14" s="15">
        <f>'Revenue Driver'!W70</f>
        <v/>
      </c>
      <c r="X14" s="15">
        <f>'Revenue Driver'!X70</f>
        <v/>
      </c>
      <c r="Y14" s="15">
        <f>'Revenue Driver'!Y70</f>
        <v/>
      </c>
      <c r="Z14" s="15">
        <f>'Revenue Driver'!Z70</f>
        <v/>
      </c>
      <c r="AA14" s="15">
        <f>'Revenue Driver'!AA70</f>
        <v/>
      </c>
      <c r="AB14" s="15">
        <f>'Revenue Driver'!AB70</f>
        <v/>
      </c>
      <c r="AC14" s="15">
        <f>'Revenue Driver'!AC70</f>
        <v/>
      </c>
      <c r="AD14" s="15">
        <f>'Revenue Driver'!AD70</f>
        <v/>
      </c>
      <c r="AE14" s="15">
        <f>'Revenue Driver'!AE70</f>
        <v/>
      </c>
      <c r="AF14" s="15">
        <f>'Revenue Driver'!AF70</f>
        <v/>
      </c>
      <c r="AG14" s="15">
        <f>'Revenue Driver'!AG70</f>
        <v/>
      </c>
      <c r="AH14" s="15">
        <f>'Revenue Driver'!AH70</f>
        <v/>
      </c>
      <c r="AI14" s="15">
        <f>'Revenue Driver'!AI70</f>
        <v/>
      </c>
      <c r="AJ14" s="15">
        <f>'Revenue Driver'!AJ70</f>
        <v/>
      </c>
      <c r="AK14" s="15">
        <f>'Revenue Driver'!AK70</f>
        <v/>
      </c>
      <c r="AL14" s="15">
        <f>'Revenue Driver'!AL70</f>
        <v/>
      </c>
      <c r="AM14" s="15">
        <f>'Revenue Driver'!AM70</f>
        <v/>
      </c>
      <c r="AN14" s="15">
        <f>'Revenue Driver'!AN70</f>
        <v/>
      </c>
      <c r="AO14" s="15">
        <f>'Revenue Driver'!AO70</f>
        <v/>
      </c>
      <c r="AP14" s="15">
        <f>'Revenue Driver'!AP70</f>
        <v/>
      </c>
      <c r="AQ14" s="15">
        <f>'Revenue Driver'!AQ70</f>
        <v/>
      </c>
      <c r="AR14" s="15">
        <f>'Revenue Driver'!AR70</f>
        <v/>
      </c>
      <c r="AS14" s="15">
        <f>'Revenue Driver'!AS70</f>
        <v/>
      </c>
      <c r="AT14" s="15">
        <f>'Revenue Driver'!AT70</f>
        <v/>
      </c>
      <c r="AU14" s="15">
        <f>'Revenue Driver'!AU70</f>
        <v/>
      </c>
      <c r="AV14" s="15">
        <f>'Revenue Driver'!AV70</f>
        <v/>
      </c>
      <c r="AW14" s="15">
        <f>'Revenue Driver'!AW70</f>
        <v/>
      </c>
      <c r="AX14" s="316" t="n"/>
    </row>
    <row r="15" outlineLevel="1">
      <c r="B15" s="14">
        <f>'Revenue Driver'!B71</f>
        <v/>
      </c>
      <c r="C15" s="15">
        <f>'Revenue Driver'!C71</f>
        <v/>
      </c>
      <c r="D15" s="15">
        <f>'Revenue Driver'!D71</f>
        <v/>
      </c>
      <c r="E15" s="15">
        <f>'Revenue Driver'!E71</f>
        <v/>
      </c>
      <c r="F15" s="15">
        <f>'Revenue Driver'!F71</f>
        <v/>
      </c>
      <c r="G15" s="15" t="n"/>
      <c r="H15" s="15">
        <f>'Revenue Driver'!H71</f>
        <v/>
      </c>
      <c r="I15" s="15">
        <f>'Revenue Driver'!I71</f>
        <v/>
      </c>
      <c r="J15" s="15">
        <f>'Revenue Driver'!J71</f>
        <v/>
      </c>
      <c r="K15" s="15">
        <f>'Revenue Driver'!K71</f>
        <v/>
      </c>
      <c r="L15" s="15">
        <f>'Revenue Driver'!L71</f>
        <v/>
      </c>
      <c r="M15" s="15">
        <f>'Revenue Driver'!M71</f>
        <v/>
      </c>
      <c r="N15" s="15">
        <f>'Revenue Driver'!N71</f>
        <v/>
      </c>
      <c r="O15" s="15">
        <f>'Revenue Driver'!O71</f>
        <v/>
      </c>
      <c r="P15" s="15">
        <f>'Revenue Driver'!P71</f>
        <v/>
      </c>
      <c r="Q15" s="15">
        <f>'Revenue Driver'!Q71</f>
        <v/>
      </c>
      <c r="R15" s="15">
        <f>'Revenue Driver'!R71</f>
        <v/>
      </c>
      <c r="S15" s="15">
        <f>'Revenue Driver'!S71</f>
        <v/>
      </c>
      <c r="T15" s="15">
        <f>'Revenue Driver'!T71</f>
        <v/>
      </c>
      <c r="U15" s="15">
        <f>'Revenue Driver'!U71</f>
        <v/>
      </c>
      <c r="V15" s="15">
        <f>'Revenue Driver'!V71</f>
        <v/>
      </c>
      <c r="W15" s="15">
        <f>'Revenue Driver'!W71</f>
        <v/>
      </c>
      <c r="X15" s="15">
        <f>'Revenue Driver'!X71</f>
        <v/>
      </c>
      <c r="Y15" s="15">
        <f>'Revenue Driver'!Y71</f>
        <v/>
      </c>
      <c r="Z15" s="15">
        <f>'Revenue Driver'!Z71</f>
        <v/>
      </c>
      <c r="AA15" s="15">
        <f>'Revenue Driver'!AA71</f>
        <v/>
      </c>
      <c r="AB15" s="15">
        <f>'Revenue Driver'!AB71</f>
        <v/>
      </c>
      <c r="AC15" s="15">
        <f>'Revenue Driver'!AC71</f>
        <v/>
      </c>
      <c r="AD15" s="15">
        <f>'Revenue Driver'!AD71</f>
        <v/>
      </c>
      <c r="AE15" s="15">
        <f>'Revenue Driver'!AE71</f>
        <v/>
      </c>
      <c r="AF15" s="15">
        <f>'Revenue Driver'!AF71</f>
        <v/>
      </c>
      <c r="AG15" s="15">
        <f>'Revenue Driver'!AG71</f>
        <v/>
      </c>
      <c r="AH15" s="15">
        <f>'Revenue Driver'!AH71</f>
        <v/>
      </c>
      <c r="AI15" s="15">
        <f>'Revenue Driver'!AI71</f>
        <v/>
      </c>
      <c r="AJ15" s="15">
        <f>'Revenue Driver'!AJ71</f>
        <v/>
      </c>
      <c r="AK15" s="15">
        <f>'Revenue Driver'!AK71</f>
        <v/>
      </c>
      <c r="AL15" s="15">
        <f>'Revenue Driver'!AL71</f>
        <v/>
      </c>
      <c r="AM15" s="15">
        <f>'Revenue Driver'!AM71</f>
        <v/>
      </c>
      <c r="AN15" s="15">
        <f>'Revenue Driver'!AN71</f>
        <v/>
      </c>
      <c r="AO15" s="15">
        <f>'Revenue Driver'!AO71</f>
        <v/>
      </c>
      <c r="AP15" s="15">
        <f>'Revenue Driver'!AP71</f>
        <v/>
      </c>
      <c r="AQ15" s="15">
        <f>'Revenue Driver'!AQ71</f>
        <v/>
      </c>
      <c r="AR15" s="15">
        <f>'Revenue Driver'!AR71</f>
        <v/>
      </c>
      <c r="AS15" s="15">
        <f>'Revenue Driver'!AS71</f>
        <v/>
      </c>
      <c r="AT15" s="15">
        <f>'Revenue Driver'!AT71</f>
        <v/>
      </c>
      <c r="AU15" s="15">
        <f>'Revenue Driver'!AU71</f>
        <v/>
      </c>
      <c r="AV15" s="15">
        <f>'Revenue Driver'!AV71</f>
        <v/>
      </c>
      <c r="AW15" s="15">
        <f>'Revenue Driver'!AW71</f>
        <v/>
      </c>
      <c r="AX15" s="316" t="n"/>
    </row>
    <row r="16" ht="7" customHeight="1">
      <c r="B16" s="16" t="n"/>
      <c r="C16" s="317" t="n"/>
      <c r="D16" s="317" t="n"/>
      <c r="E16" s="317" t="n"/>
      <c r="F16" s="317" t="n"/>
      <c r="G16" s="317" t="n"/>
      <c r="H16" s="317" t="n"/>
      <c r="I16" s="317" t="n"/>
      <c r="J16" s="317" t="n"/>
      <c r="K16" s="317" t="n"/>
      <c r="L16" s="317" t="n"/>
      <c r="M16" s="317" t="n"/>
      <c r="N16" s="317" t="n"/>
      <c r="O16" s="317" t="n"/>
      <c r="P16" s="317" t="n"/>
      <c r="Q16" s="317" t="n"/>
      <c r="R16" s="317" t="n"/>
      <c r="S16" s="317" t="n"/>
      <c r="T16" s="317" t="n"/>
      <c r="U16" s="317" t="n"/>
      <c r="V16" s="317" t="n"/>
      <c r="W16" s="317" t="n"/>
      <c r="X16" s="317" t="n"/>
      <c r="Y16" s="317" t="n"/>
      <c r="Z16" s="317" t="n"/>
      <c r="AA16" s="317" t="n"/>
      <c r="AB16" s="317" t="n"/>
      <c r="AC16" s="317" t="n"/>
      <c r="AD16" s="317" t="n"/>
      <c r="AE16" s="317" t="n"/>
      <c r="AF16" s="317" t="n"/>
      <c r="AG16" s="317" t="n"/>
      <c r="AH16" s="317" t="n"/>
      <c r="AI16" s="317" t="n"/>
      <c r="AJ16" s="317" t="n"/>
      <c r="AK16" s="317" t="n"/>
      <c r="AL16" s="317" t="n"/>
      <c r="AM16" s="317" t="n"/>
      <c r="AN16" s="317" t="n"/>
      <c r="AO16" s="317" t="n"/>
      <c r="AP16" s="317" t="n"/>
      <c r="AQ16" s="317" t="n"/>
      <c r="AR16" s="317" t="n"/>
      <c r="AS16" s="317" t="n"/>
      <c r="AT16" s="317" t="n"/>
      <c r="AU16" s="317" t="n"/>
      <c r="AV16" s="317" t="n"/>
      <c r="AW16" s="317" t="n"/>
      <c r="AX16" s="317" t="n"/>
    </row>
    <row r="17">
      <c r="B17" s="1" t="inlineStr">
        <is>
          <t>Cost of Service</t>
        </is>
      </c>
      <c r="C17" s="19">
        <f>'Income Statement'!C9</f>
        <v/>
      </c>
      <c r="D17" s="19">
        <f>'Income Statement'!D9</f>
        <v/>
      </c>
      <c r="E17" s="19">
        <f>'Income Statement'!E9</f>
        <v/>
      </c>
      <c r="F17" s="19">
        <f>'Income Statement'!F9</f>
        <v/>
      </c>
      <c r="G17" s="19" t="n"/>
      <c r="H17" s="19">
        <f>'Income Statement'!H9</f>
        <v/>
      </c>
      <c r="I17" s="19">
        <f>'Income Statement'!I9</f>
        <v/>
      </c>
      <c r="J17" s="19">
        <f>'Income Statement'!J9</f>
        <v/>
      </c>
      <c r="K17" s="19">
        <f>'Income Statement'!K9</f>
        <v/>
      </c>
      <c r="L17" s="19">
        <f>'Income Statement'!L9</f>
        <v/>
      </c>
      <c r="M17" s="19">
        <f>'Income Statement'!M9</f>
        <v/>
      </c>
      <c r="N17" s="19">
        <f>'Income Statement'!N9</f>
        <v/>
      </c>
      <c r="O17" s="19">
        <f>'Income Statement'!O9</f>
        <v/>
      </c>
      <c r="P17" s="19">
        <f>'Income Statement'!P9</f>
        <v/>
      </c>
      <c r="Q17" s="19">
        <f>'Income Statement'!Q9</f>
        <v/>
      </c>
      <c r="R17" s="19">
        <f>'Income Statement'!R9</f>
        <v/>
      </c>
      <c r="S17" s="19">
        <f>'Income Statement'!S9</f>
        <v/>
      </c>
      <c r="T17" s="19">
        <f>'Income Statement'!T9</f>
        <v/>
      </c>
      <c r="U17" s="19">
        <f>'Income Statement'!U9</f>
        <v/>
      </c>
      <c r="V17" s="19">
        <f>'Income Statement'!V9</f>
        <v/>
      </c>
      <c r="W17" s="19">
        <f>'Income Statement'!W9</f>
        <v/>
      </c>
      <c r="X17" s="19">
        <f>'Income Statement'!X9</f>
        <v/>
      </c>
      <c r="Y17" s="19">
        <f>'Income Statement'!Y9</f>
        <v/>
      </c>
      <c r="Z17" s="19">
        <f>'Income Statement'!Z9</f>
        <v/>
      </c>
      <c r="AA17" s="19">
        <f>'Income Statement'!AA9</f>
        <v/>
      </c>
      <c r="AB17" s="19">
        <f>'Income Statement'!AB9</f>
        <v/>
      </c>
      <c r="AC17" s="19">
        <f>'Income Statement'!AC9</f>
        <v/>
      </c>
      <c r="AD17" s="19">
        <f>'Income Statement'!AD9</f>
        <v/>
      </c>
      <c r="AE17" s="19">
        <f>'Income Statement'!AE9</f>
        <v/>
      </c>
      <c r="AF17" s="19">
        <f>'Income Statement'!AF9</f>
        <v/>
      </c>
      <c r="AG17" s="19">
        <f>'Income Statement'!AG9</f>
        <v/>
      </c>
      <c r="AH17" s="19">
        <f>'Income Statement'!AH9</f>
        <v/>
      </c>
      <c r="AI17" s="19">
        <f>'Income Statement'!AI9</f>
        <v/>
      </c>
      <c r="AJ17" s="19">
        <f>'Income Statement'!AJ9</f>
        <v/>
      </c>
      <c r="AK17" s="19">
        <f>'Income Statement'!AK9</f>
        <v/>
      </c>
      <c r="AL17" s="19">
        <f>'Income Statement'!AL9</f>
        <v/>
      </c>
      <c r="AM17" s="19">
        <f>'Income Statement'!AM9</f>
        <v/>
      </c>
      <c r="AN17" s="19">
        <f>'Income Statement'!AN9</f>
        <v/>
      </c>
      <c r="AO17" s="19">
        <f>'Income Statement'!AO9</f>
        <v/>
      </c>
      <c r="AP17" s="19">
        <f>'Income Statement'!AP9</f>
        <v/>
      </c>
      <c r="AQ17" s="19">
        <f>'Income Statement'!AQ9</f>
        <v/>
      </c>
      <c r="AR17" s="19">
        <f>'Income Statement'!AR9</f>
        <v/>
      </c>
      <c r="AS17" s="19">
        <f>'Income Statement'!AS9</f>
        <v/>
      </c>
      <c r="AT17" s="19">
        <f>'Income Statement'!AT9</f>
        <v/>
      </c>
      <c r="AU17" s="19">
        <f>'Income Statement'!AU9</f>
        <v/>
      </c>
      <c r="AV17" s="19">
        <f>'Income Statement'!AV9</f>
        <v/>
      </c>
      <c r="AW17" s="19">
        <f>'Income Statement'!AW9</f>
        <v/>
      </c>
    </row>
    <row r="18" customFormat="1" s="2">
      <c r="B18" s="2" t="inlineStr">
        <is>
          <t>Gross Profit</t>
        </is>
      </c>
      <c r="C18" s="315">
        <f>'Income Statement'!C10</f>
        <v/>
      </c>
      <c r="D18" s="315">
        <f>'Income Statement'!D10</f>
        <v/>
      </c>
      <c r="E18" s="315">
        <f>'Income Statement'!E10</f>
        <v/>
      </c>
      <c r="F18" s="315">
        <f>'Income Statement'!F10</f>
        <v/>
      </c>
      <c r="G18" s="315" t="n"/>
      <c r="H18" s="315">
        <f>'Income Statement'!H10</f>
        <v/>
      </c>
      <c r="I18" s="315">
        <f>'Income Statement'!I10</f>
        <v/>
      </c>
      <c r="J18" s="315">
        <f>'Income Statement'!J10</f>
        <v/>
      </c>
      <c r="K18" s="315">
        <f>'Income Statement'!K10</f>
        <v/>
      </c>
      <c r="L18" s="315">
        <f>'Income Statement'!L10</f>
        <v/>
      </c>
      <c r="M18" s="315">
        <f>'Income Statement'!M10</f>
        <v/>
      </c>
      <c r="N18" s="315">
        <f>'Income Statement'!N10</f>
        <v/>
      </c>
      <c r="O18" s="315">
        <f>'Income Statement'!O10</f>
        <v/>
      </c>
      <c r="P18" s="315">
        <f>'Income Statement'!P10</f>
        <v/>
      </c>
      <c r="Q18" s="315">
        <f>'Income Statement'!Q10</f>
        <v/>
      </c>
      <c r="R18" s="315">
        <f>'Income Statement'!R10</f>
        <v/>
      </c>
      <c r="S18" s="315">
        <f>'Income Statement'!S10</f>
        <v/>
      </c>
      <c r="T18" s="315">
        <f>'Income Statement'!T10</f>
        <v/>
      </c>
      <c r="U18" s="315">
        <f>'Income Statement'!U10</f>
        <v/>
      </c>
      <c r="V18" s="315">
        <f>'Income Statement'!V10</f>
        <v/>
      </c>
      <c r="W18" s="315">
        <f>'Income Statement'!W10</f>
        <v/>
      </c>
      <c r="X18" s="315">
        <f>'Income Statement'!X10</f>
        <v/>
      </c>
      <c r="Y18" s="315">
        <f>'Income Statement'!Y10</f>
        <v/>
      </c>
      <c r="Z18" s="315">
        <f>'Income Statement'!Z10</f>
        <v/>
      </c>
      <c r="AA18" s="315">
        <f>'Income Statement'!AA10</f>
        <v/>
      </c>
      <c r="AB18" s="315">
        <f>'Income Statement'!AB10</f>
        <v/>
      </c>
      <c r="AC18" s="315">
        <f>'Income Statement'!AC10</f>
        <v/>
      </c>
      <c r="AD18" s="315">
        <f>'Income Statement'!AD10</f>
        <v/>
      </c>
      <c r="AE18" s="315">
        <f>'Income Statement'!AE10</f>
        <v/>
      </c>
      <c r="AF18" s="315">
        <f>'Income Statement'!AF10</f>
        <v/>
      </c>
      <c r="AG18" s="315">
        <f>'Income Statement'!AG10</f>
        <v/>
      </c>
      <c r="AH18" s="315">
        <f>'Income Statement'!AH10</f>
        <v/>
      </c>
      <c r="AI18" s="315">
        <f>'Income Statement'!AI10</f>
        <v/>
      </c>
      <c r="AJ18" s="315">
        <f>'Income Statement'!AJ10</f>
        <v/>
      </c>
      <c r="AK18" s="315">
        <f>'Income Statement'!AK10</f>
        <v/>
      </c>
      <c r="AL18" s="315">
        <f>'Income Statement'!AL10</f>
        <v/>
      </c>
      <c r="AM18" s="315">
        <f>'Income Statement'!AM10</f>
        <v/>
      </c>
      <c r="AN18" s="315">
        <f>'Income Statement'!AN10</f>
        <v/>
      </c>
      <c r="AO18" s="315">
        <f>'Income Statement'!AO10</f>
        <v/>
      </c>
      <c r="AP18" s="315">
        <f>'Income Statement'!AP10</f>
        <v/>
      </c>
      <c r="AQ18" s="315">
        <f>'Income Statement'!AQ10</f>
        <v/>
      </c>
      <c r="AR18" s="315">
        <f>'Income Statement'!AR10</f>
        <v/>
      </c>
      <c r="AS18" s="315">
        <f>'Income Statement'!AS10</f>
        <v/>
      </c>
      <c r="AT18" s="315">
        <f>'Income Statement'!AT10</f>
        <v/>
      </c>
      <c r="AU18" s="315">
        <f>'Income Statement'!AU10</f>
        <v/>
      </c>
      <c r="AV18" s="315">
        <f>'Income Statement'!AV10</f>
        <v/>
      </c>
      <c r="AW18" s="315">
        <f>'Income Statement'!AW10</f>
        <v/>
      </c>
      <c r="AX18" s="315" t="n"/>
    </row>
    <row r="19" ht="7" customHeight="1">
      <c r="B19" s="16" t="n"/>
      <c r="C19" s="317" t="n"/>
      <c r="D19" s="317" t="n"/>
      <c r="E19" s="317" t="n"/>
      <c r="F19" s="317" t="n"/>
      <c r="G19" s="317" t="n"/>
      <c r="H19" s="317" t="n"/>
      <c r="I19" s="317" t="n"/>
      <c r="J19" s="317" t="n"/>
      <c r="K19" s="317" t="n"/>
      <c r="L19" s="317" t="n"/>
      <c r="M19" s="317" t="n"/>
      <c r="N19" s="317" t="n"/>
      <c r="O19" s="317" t="n"/>
      <c r="P19" s="317" t="n"/>
      <c r="Q19" s="317" t="n"/>
      <c r="R19" s="317" t="n"/>
      <c r="S19" s="317" t="n"/>
      <c r="T19" s="317" t="n"/>
      <c r="U19" s="317" t="n"/>
      <c r="V19" s="317" t="n"/>
      <c r="W19" s="317" t="n"/>
      <c r="X19" s="317" t="n"/>
      <c r="Y19" s="317" t="n"/>
      <c r="Z19" s="317" t="n"/>
      <c r="AA19" s="317" t="n"/>
      <c r="AB19" s="317" t="n"/>
      <c r="AC19" s="317" t="n"/>
      <c r="AD19" s="317" t="n"/>
      <c r="AE19" s="317" t="n"/>
      <c r="AF19" s="317" t="n"/>
      <c r="AG19" s="317" t="n"/>
      <c r="AH19" s="317" t="n"/>
      <c r="AI19" s="317" t="n"/>
      <c r="AJ19" s="317" t="n"/>
      <c r="AK19" s="317" t="n"/>
      <c r="AL19" s="317" t="n"/>
      <c r="AM19" s="317" t="n"/>
      <c r="AN19" s="317" t="n"/>
      <c r="AO19" s="317" t="n"/>
      <c r="AP19" s="317" t="n"/>
      <c r="AQ19" s="317" t="n"/>
      <c r="AR19" s="317" t="n"/>
      <c r="AS19" s="317" t="n"/>
      <c r="AT19" s="317" t="n"/>
      <c r="AU19" s="317" t="n"/>
      <c r="AV19" s="317" t="n"/>
      <c r="AW19" s="317" t="n"/>
      <c r="AX19" s="317" t="n"/>
    </row>
    <row r="20">
      <c r="B20" s="1" t="inlineStr">
        <is>
          <t>Variable Cost</t>
        </is>
      </c>
      <c r="C20" s="19">
        <f>SUM(C21:C28)</f>
        <v/>
      </c>
      <c r="D20" s="19">
        <f>SUM(D21:D28)</f>
        <v/>
      </c>
      <c r="E20" s="19">
        <f>SUM(E21:E28)</f>
        <v/>
      </c>
      <c r="F20" s="19">
        <f>SUM(F21:F28)</f>
        <v/>
      </c>
      <c r="H20" s="19">
        <f>SUM(H21:H28)</f>
        <v/>
      </c>
      <c r="I20" s="19">
        <f>SUM(I21:I28)</f>
        <v/>
      </c>
      <c r="J20" s="19">
        <f>SUM(J21:J28)</f>
        <v/>
      </c>
      <c r="K20" s="19">
        <f>SUM(K21:K28)</f>
        <v/>
      </c>
      <c r="L20" s="19">
        <f>SUM(L21:L28)</f>
        <v/>
      </c>
      <c r="M20" s="19">
        <f>SUM(M21:M28)</f>
        <v/>
      </c>
      <c r="N20" s="19">
        <f>SUM(N21:N28)</f>
        <v/>
      </c>
      <c r="O20" s="19">
        <f>SUM(O21:O28)</f>
        <v/>
      </c>
      <c r="P20" s="19">
        <f>SUM(P21:P28)</f>
        <v/>
      </c>
      <c r="Q20" s="19">
        <f>SUM(Q21:Q28)</f>
        <v/>
      </c>
      <c r="R20" s="19">
        <f>SUM(R21:R28)</f>
        <v/>
      </c>
      <c r="S20" s="19">
        <f>SUM(S21:S28)</f>
        <v/>
      </c>
      <c r="T20" s="19">
        <f>SUM(T21:T28)</f>
        <v/>
      </c>
      <c r="U20" s="19">
        <f>SUM(U21:U28)</f>
        <v/>
      </c>
      <c r="V20" s="19">
        <f>SUM(V21:V28)</f>
        <v/>
      </c>
      <c r="W20" s="19">
        <f>SUM(W21:W28)</f>
        <v/>
      </c>
      <c r="X20" s="19">
        <f>SUM(X21:X28)</f>
        <v/>
      </c>
      <c r="Y20" s="19">
        <f>SUM(Y21:Y28)</f>
        <v/>
      </c>
      <c r="Z20" s="19">
        <f>SUM(Z21:Z28)</f>
        <v/>
      </c>
      <c r="AA20" s="19">
        <f>SUM(AA21:AA28)</f>
        <v/>
      </c>
      <c r="AB20" s="19">
        <f>SUM(AB21:AB28)</f>
        <v/>
      </c>
      <c r="AC20" s="19">
        <f>SUM(AC21:AC28)</f>
        <v/>
      </c>
      <c r="AD20" s="19">
        <f>SUM(AD21:AD28)</f>
        <v/>
      </c>
      <c r="AE20" s="19">
        <f>SUM(AE21:AE28)</f>
        <v/>
      </c>
      <c r="AF20" s="19">
        <f>SUM(AF21:AF28)</f>
        <v/>
      </c>
      <c r="AG20" s="19">
        <f>SUM(AG21:AG28)</f>
        <v/>
      </c>
      <c r="AH20" s="19">
        <f>SUM(AH21:AH28)</f>
        <v/>
      </c>
      <c r="AI20" s="19">
        <f>SUM(AI21:AI28)</f>
        <v/>
      </c>
      <c r="AJ20" s="19">
        <f>SUM(AJ21:AJ28)</f>
        <v/>
      </c>
      <c r="AK20" s="19">
        <f>SUM(AK21:AK28)</f>
        <v/>
      </c>
      <c r="AL20" s="19">
        <f>SUM(AL21:AL28)</f>
        <v/>
      </c>
      <c r="AM20" s="19">
        <f>SUM(AM21:AM28)</f>
        <v/>
      </c>
      <c r="AN20" s="19">
        <f>SUM(AN21:AN28)</f>
        <v/>
      </c>
      <c r="AO20" s="19">
        <f>SUM(AO21:AO28)</f>
        <v/>
      </c>
      <c r="AP20" s="19">
        <f>SUM(AP21:AP28)</f>
        <v/>
      </c>
      <c r="AQ20" s="19">
        <f>SUM(AQ21:AQ28)</f>
        <v/>
      </c>
      <c r="AR20" s="19">
        <f>SUM(AR21:AR28)</f>
        <v/>
      </c>
      <c r="AS20" s="19">
        <f>SUM(AS21:AS28)</f>
        <v/>
      </c>
      <c r="AT20" s="19">
        <f>SUM(AT21:AT28)</f>
        <v/>
      </c>
      <c r="AU20" s="19">
        <f>SUM(AU21:AU28)</f>
        <v/>
      </c>
      <c r="AV20" s="19">
        <f>SUM(AV21:AV28)</f>
        <v/>
      </c>
      <c r="AW20" s="19">
        <f>SUM(AW21:AW28)</f>
        <v/>
      </c>
    </row>
    <row r="21" outlineLevel="1">
      <c r="B21" s="1">
        <f>'Cost Drivers'!B15</f>
        <v/>
      </c>
      <c r="C21" s="19">
        <f>'Cost Drivers'!C15</f>
        <v/>
      </c>
      <c r="D21" s="19">
        <f>'Cost Drivers'!D15</f>
        <v/>
      </c>
      <c r="E21" s="19">
        <f>'Cost Drivers'!E15</f>
        <v/>
      </c>
      <c r="F21" s="19">
        <f>'Cost Drivers'!F15</f>
        <v/>
      </c>
      <c r="H21" s="19">
        <f>'Cost Drivers'!H15</f>
        <v/>
      </c>
      <c r="I21" s="19">
        <f>'Cost Drivers'!I15</f>
        <v/>
      </c>
      <c r="J21" s="19">
        <f>'Cost Drivers'!J15</f>
        <v/>
      </c>
      <c r="K21" s="19">
        <f>'Cost Drivers'!K15</f>
        <v/>
      </c>
      <c r="L21" s="19">
        <f>'Cost Drivers'!L15</f>
        <v/>
      </c>
      <c r="M21" s="19">
        <f>'Cost Drivers'!M15</f>
        <v/>
      </c>
      <c r="N21" s="19">
        <f>'Cost Drivers'!N15</f>
        <v/>
      </c>
      <c r="O21" s="19">
        <f>'Cost Drivers'!O15</f>
        <v/>
      </c>
      <c r="P21" s="19">
        <f>'Cost Drivers'!P15</f>
        <v/>
      </c>
      <c r="Q21" s="19">
        <f>'Cost Drivers'!Q15</f>
        <v/>
      </c>
      <c r="R21" s="19">
        <f>'Cost Drivers'!R15</f>
        <v/>
      </c>
      <c r="S21" s="19">
        <f>'Cost Drivers'!S15</f>
        <v/>
      </c>
      <c r="T21" s="19">
        <f>'Cost Drivers'!T15</f>
        <v/>
      </c>
      <c r="U21" s="19">
        <f>'Cost Drivers'!U15</f>
        <v/>
      </c>
      <c r="V21" s="19">
        <f>'Cost Drivers'!V15</f>
        <v/>
      </c>
      <c r="W21" s="19">
        <f>'Cost Drivers'!W15</f>
        <v/>
      </c>
      <c r="X21" s="19">
        <f>'Cost Drivers'!X15</f>
        <v/>
      </c>
      <c r="Y21" s="19">
        <f>'Cost Drivers'!Y15</f>
        <v/>
      </c>
      <c r="Z21" s="19">
        <f>'Cost Drivers'!Z15</f>
        <v/>
      </c>
      <c r="AA21" s="19">
        <f>'Cost Drivers'!AA15</f>
        <v/>
      </c>
      <c r="AB21" s="19">
        <f>'Cost Drivers'!AB15</f>
        <v/>
      </c>
      <c r="AC21" s="19">
        <f>'Cost Drivers'!AC15</f>
        <v/>
      </c>
      <c r="AD21" s="19">
        <f>'Cost Drivers'!AD15</f>
        <v/>
      </c>
      <c r="AE21" s="19">
        <f>'Cost Drivers'!AE15</f>
        <v/>
      </c>
      <c r="AF21" s="19">
        <f>'Cost Drivers'!AF15</f>
        <v/>
      </c>
      <c r="AG21" s="19">
        <f>'Cost Drivers'!AG15</f>
        <v/>
      </c>
      <c r="AH21" s="19">
        <f>'Cost Drivers'!AH15</f>
        <v/>
      </c>
      <c r="AI21" s="19">
        <f>'Cost Drivers'!AI15</f>
        <v/>
      </c>
      <c r="AJ21" s="19">
        <f>'Cost Drivers'!AJ15</f>
        <v/>
      </c>
      <c r="AK21" s="19">
        <f>'Cost Drivers'!AK15</f>
        <v/>
      </c>
      <c r="AL21" s="19">
        <f>'Cost Drivers'!AL15</f>
        <v/>
      </c>
      <c r="AM21" s="19">
        <f>'Cost Drivers'!AM15</f>
        <v/>
      </c>
      <c r="AN21" s="19">
        <f>'Cost Drivers'!AN15</f>
        <v/>
      </c>
      <c r="AO21" s="19">
        <f>'Cost Drivers'!AO15</f>
        <v/>
      </c>
      <c r="AP21" s="19">
        <f>'Cost Drivers'!AP15</f>
        <v/>
      </c>
      <c r="AQ21" s="19">
        <f>'Cost Drivers'!AQ15</f>
        <v/>
      </c>
      <c r="AR21" s="19">
        <f>'Cost Drivers'!AR15</f>
        <v/>
      </c>
      <c r="AS21" s="19">
        <f>'Cost Drivers'!AS15</f>
        <v/>
      </c>
      <c r="AT21" s="19">
        <f>'Cost Drivers'!AT15</f>
        <v/>
      </c>
      <c r="AU21" s="19">
        <f>'Cost Drivers'!AU15</f>
        <v/>
      </c>
      <c r="AV21" s="19">
        <f>'Cost Drivers'!AV15</f>
        <v/>
      </c>
      <c r="AW21" s="19">
        <f>'Cost Drivers'!AW15</f>
        <v/>
      </c>
    </row>
    <row r="22" outlineLevel="1">
      <c r="B22" s="1">
        <f>'Cost Drivers'!B18</f>
        <v/>
      </c>
      <c r="C22" s="19">
        <f>'Cost Drivers'!C18</f>
        <v/>
      </c>
      <c r="D22" s="19">
        <f>'Cost Drivers'!D18</f>
        <v/>
      </c>
      <c r="E22" s="19">
        <f>'Cost Drivers'!E18</f>
        <v/>
      </c>
      <c r="F22" s="19">
        <f>'Cost Drivers'!F18</f>
        <v/>
      </c>
      <c r="H22" s="19">
        <f>'Cost Drivers'!H18</f>
        <v/>
      </c>
      <c r="I22" s="19">
        <f>'Cost Drivers'!I18</f>
        <v/>
      </c>
      <c r="J22" s="19">
        <f>'Cost Drivers'!J18</f>
        <v/>
      </c>
      <c r="K22" s="19">
        <f>'Cost Drivers'!K18</f>
        <v/>
      </c>
      <c r="L22" s="19">
        <f>'Cost Drivers'!L18</f>
        <v/>
      </c>
      <c r="M22" s="19">
        <f>'Cost Drivers'!M18</f>
        <v/>
      </c>
      <c r="N22" s="19">
        <f>'Cost Drivers'!N18</f>
        <v/>
      </c>
      <c r="O22" s="19">
        <f>'Cost Drivers'!O18</f>
        <v/>
      </c>
      <c r="P22" s="19">
        <f>'Cost Drivers'!P18</f>
        <v/>
      </c>
      <c r="Q22" s="19">
        <f>'Cost Drivers'!Q18</f>
        <v/>
      </c>
      <c r="R22" s="19">
        <f>'Cost Drivers'!R18</f>
        <v/>
      </c>
      <c r="S22" s="19">
        <f>'Cost Drivers'!S18</f>
        <v/>
      </c>
      <c r="T22" s="19">
        <f>'Cost Drivers'!T18</f>
        <v/>
      </c>
      <c r="U22" s="19">
        <f>'Cost Drivers'!U18</f>
        <v/>
      </c>
      <c r="V22" s="19">
        <f>'Cost Drivers'!V18</f>
        <v/>
      </c>
      <c r="W22" s="19">
        <f>'Cost Drivers'!W18</f>
        <v/>
      </c>
      <c r="X22" s="19">
        <f>'Cost Drivers'!X18</f>
        <v/>
      </c>
      <c r="Y22" s="19">
        <f>'Cost Drivers'!Y18</f>
        <v/>
      </c>
      <c r="Z22" s="19">
        <f>'Cost Drivers'!Z18</f>
        <v/>
      </c>
      <c r="AA22" s="19">
        <f>'Cost Drivers'!AA18</f>
        <v/>
      </c>
      <c r="AB22" s="19">
        <f>'Cost Drivers'!AB18</f>
        <v/>
      </c>
      <c r="AC22" s="19">
        <f>'Cost Drivers'!AC18</f>
        <v/>
      </c>
      <c r="AD22" s="19">
        <f>'Cost Drivers'!AD18</f>
        <v/>
      </c>
      <c r="AE22" s="19">
        <f>'Cost Drivers'!AE18</f>
        <v/>
      </c>
      <c r="AF22" s="19">
        <f>'Cost Drivers'!AF18</f>
        <v/>
      </c>
      <c r="AG22" s="19">
        <f>'Cost Drivers'!AG18</f>
        <v/>
      </c>
      <c r="AH22" s="19">
        <f>'Cost Drivers'!AH18</f>
        <v/>
      </c>
      <c r="AI22" s="19">
        <f>'Cost Drivers'!AI18</f>
        <v/>
      </c>
      <c r="AJ22" s="19">
        <f>'Cost Drivers'!AJ18</f>
        <v/>
      </c>
      <c r="AK22" s="19">
        <f>'Cost Drivers'!AK18</f>
        <v/>
      </c>
      <c r="AL22" s="19">
        <f>'Cost Drivers'!AL18</f>
        <v/>
      </c>
      <c r="AM22" s="19">
        <f>'Cost Drivers'!AM18</f>
        <v/>
      </c>
      <c r="AN22" s="19">
        <f>'Cost Drivers'!AN18</f>
        <v/>
      </c>
      <c r="AO22" s="19">
        <f>'Cost Drivers'!AO18</f>
        <v/>
      </c>
      <c r="AP22" s="19">
        <f>'Cost Drivers'!AP18</f>
        <v/>
      </c>
      <c r="AQ22" s="19">
        <f>'Cost Drivers'!AQ18</f>
        <v/>
      </c>
      <c r="AR22" s="19">
        <f>'Cost Drivers'!AR18</f>
        <v/>
      </c>
      <c r="AS22" s="19">
        <f>'Cost Drivers'!AS18</f>
        <v/>
      </c>
      <c r="AT22" s="19">
        <f>'Cost Drivers'!AT18</f>
        <v/>
      </c>
      <c r="AU22" s="19">
        <f>'Cost Drivers'!AU18</f>
        <v/>
      </c>
      <c r="AV22" s="19">
        <f>'Cost Drivers'!AV18</f>
        <v/>
      </c>
      <c r="AW22" s="19">
        <f>'Cost Drivers'!AW18</f>
        <v/>
      </c>
    </row>
    <row r="23" outlineLevel="1">
      <c r="B23" s="1">
        <f>'Cost Drivers'!B21</f>
        <v/>
      </c>
      <c r="C23" s="19">
        <f>'Cost Drivers'!C21</f>
        <v/>
      </c>
      <c r="D23" s="19">
        <f>'Cost Drivers'!D21</f>
        <v/>
      </c>
      <c r="E23" s="19">
        <f>'Cost Drivers'!E21</f>
        <v/>
      </c>
      <c r="F23" s="19">
        <f>'Cost Drivers'!F21</f>
        <v/>
      </c>
      <c r="H23" s="19">
        <f>'Cost Drivers'!H21</f>
        <v/>
      </c>
      <c r="I23" s="19">
        <f>'Cost Drivers'!I21</f>
        <v/>
      </c>
      <c r="J23" s="19">
        <f>'Cost Drivers'!J21</f>
        <v/>
      </c>
      <c r="K23" s="19">
        <f>'Cost Drivers'!K21</f>
        <v/>
      </c>
      <c r="L23" s="19">
        <f>'Cost Drivers'!L21</f>
        <v/>
      </c>
      <c r="M23" s="19">
        <f>'Cost Drivers'!M21</f>
        <v/>
      </c>
      <c r="N23" s="19">
        <f>'Cost Drivers'!N21</f>
        <v/>
      </c>
      <c r="O23" s="19">
        <f>'Cost Drivers'!O21</f>
        <v/>
      </c>
      <c r="P23" s="19">
        <f>'Cost Drivers'!P21</f>
        <v/>
      </c>
      <c r="Q23" s="19">
        <f>'Cost Drivers'!Q21</f>
        <v/>
      </c>
      <c r="R23" s="19">
        <f>'Cost Drivers'!R21</f>
        <v/>
      </c>
      <c r="S23" s="19">
        <f>'Cost Drivers'!S21</f>
        <v/>
      </c>
      <c r="T23" s="19">
        <f>'Cost Drivers'!T21</f>
        <v/>
      </c>
      <c r="U23" s="19">
        <f>'Cost Drivers'!U21</f>
        <v/>
      </c>
      <c r="V23" s="19">
        <f>'Cost Drivers'!V21</f>
        <v/>
      </c>
      <c r="W23" s="19">
        <f>'Cost Drivers'!W21</f>
        <v/>
      </c>
      <c r="X23" s="19">
        <f>'Cost Drivers'!X21</f>
        <v/>
      </c>
      <c r="Y23" s="19">
        <f>'Cost Drivers'!Y21</f>
        <v/>
      </c>
      <c r="Z23" s="19">
        <f>'Cost Drivers'!Z21</f>
        <v/>
      </c>
      <c r="AA23" s="19">
        <f>'Cost Drivers'!AA21</f>
        <v/>
      </c>
      <c r="AB23" s="19">
        <f>'Cost Drivers'!AB21</f>
        <v/>
      </c>
      <c r="AC23" s="19">
        <f>'Cost Drivers'!AC21</f>
        <v/>
      </c>
      <c r="AD23" s="19">
        <f>'Cost Drivers'!AD21</f>
        <v/>
      </c>
      <c r="AE23" s="19">
        <f>'Cost Drivers'!AE21</f>
        <v/>
      </c>
      <c r="AF23" s="19">
        <f>'Cost Drivers'!AF21</f>
        <v/>
      </c>
      <c r="AG23" s="19">
        <f>'Cost Drivers'!AG21</f>
        <v/>
      </c>
      <c r="AH23" s="19">
        <f>'Cost Drivers'!AH21</f>
        <v/>
      </c>
      <c r="AI23" s="19">
        <f>'Cost Drivers'!AI21</f>
        <v/>
      </c>
      <c r="AJ23" s="19">
        <f>'Cost Drivers'!AJ21</f>
        <v/>
      </c>
      <c r="AK23" s="19">
        <f>'Cost Drivers'!AK21</f>
        <v/>
      </c>
      <c r="AL23" s="19">
        <f>'Cost Drivers'!AL21</f>
        <v/>
      </c>
      <c r="AM23" s="19">
        <f>'Cost Drivers'!AM21</f>
        <v/>
      </c>
      <c r="AN23" s="19">
        <f>'Cost Drivers'!AN21</f>
        <v/>
      </c>
      <c r="AO23" s="19">
        <f>'Cost Drivers'!AO21</f>
        <v/>
      </c>
      <c r="AP23" s="19">
        <f>'Cost Drivers'!AP21</f>
        <v/>
      </c>
      <c r="AQ23" s="19">
        <f>'Cost Drivers'!AQ21</f>
        <v/>
      </c>
      <c r="AR23" s="19">
        <f>'Cost Drivers'!AR21</f>
        <v/>
      </c>
      <c r="AS23" s="19">
        <f>'Cost Drivers'!AS21</f>
        <v/>
      </c>
      <c r="AT23" s="19">
        <f>'Cost Drivers'!AT21</f>
        <v/>
      </c>
      <c r="AU23" s="19">
        <f>'Cost Drivers'!AU21</f>
        <v/>
      </c>
      <c r="AV23" s="19">
        <f>'Cost Drivers'!AV21</f>
        <v/>
      </c>
      <c r="AW23" s="19">
        <f>'Cost Drivers'!AW21</f>
        <v/>
      </c>
    </row>
    <row r="24" outlineLevel="1">
      <c r="B24" s="1">
        <f>'Cost Drivers'!B24</f>
        <v/>
      </c>
      <c r="C24" s="19">
        <f>'Cost Drivers'!C24</f>
        <v/>
      </c>
      <c r="D24" s="19">
        <f>'Cost Drivers'!D24</f>
        <v/>
      </c>
      <c r="E24" s="19">
        <f>'Cost Drivers'!E24</f>
        <v/>
      </c>
      <c r="F24" s="19">
        <f>'Cost Drivers'!F24</f>
        <v/>
      </c>
      <c r="H24" s="19">
        <f>'Cost Drivers'!H24</f>
        <v/>
      </c>
      <c r="I24" s="19">
        <f>'Cost Drivers'!I24</f>
        <v/>
      </c>
      <c r="J24" s="19">
        <f>'Cost Drivers'!J24</f>
        <v/>
      </c>
      <c r="K24" s="19">
        <f>'Cost Drivers'!K24</f>
        <v/>
      </c>
      <c r="L24" s="19">
        <f>'Cost Drivers'!L24</f>
        <v/>
      </c>
      <c r="M24" s="19">
        <f>'Cost Drivers'!M24</f>
        <v/>
      </c>
      <c r="N24" s="19">
        <f>'Cost Drivers'!N24</f>
        <v/>
      </c>
      <c r="O24" s="19">
        <f>'Cost Drivers'!O24</f>
        <v/>
      </c>
      <c r="P24" s="19">
        <f>'Cost Drivers'!P24</f>
        <v/>
      </c>
      <c r="Q24" s="19">
        <f>'Cost Drivers'!Q24</f>
        <v/>
      </c>
      <c r="R24" s="19">
        <f>'Cost Drivers'!R24</f>
        <v/>
      </c>
      <c r="S24" s="19">
        <f>'Cost Drivers'!S24</f>
        <v/>
      </c>
      <c r="T24" s="19">
        <f>'Cost Drivers'!T24</f>
        <v/>
      </c>
      <c r="U24" s="19">
        <f>'Cost Drivers'!U24</f>
        <v/>
      </c>
      <c r="V24" s="19">
        <f>'Cost Drivers'!V24</f>
        <v/>
      </c>
      <c r="W24" s="19">
        <f>'Cost Drivers'!W24</f>
        <v/>
      </c>
      <c r="X24" s="19">
        <f>'Cost Drivers'!X24</f>
        <v/>
      </c>
      <c r="Y24" s="19">
        <f>'Cost Drivers'!Y24</f>
        <v/>
      </c>
      <c r="Z24" s="19">
        <f>'Cost Drivers'!Z24</f>
        <v/>
      </c>
      <c r="AA24" s="19">
        <f>'Cost Drivers'!AA24</f>
        <v/>
      </c>
      <c r="AB24" s="19">
        <f>'Cost Drivers'!AB24</f>
        <v/>
      </c>
      <c r="AC24" s="19">
        <f>'Cost Drivers'!AC24</f>
        <v/>
      </c>
      <c r="AD24" s="19">
        <f>'Cost Drivers'!AD24</f>
        <v/>
      </c>
      <c r="AE24" s="19">
        <f>'Cost Drivers'!AE24</f>
        <v/>
      </c>
      <c r="AF24" s="19">
        <f>'Cost Drivers'!AF24</f>
        <v/>
      </c>
      <c r="AG24" s="19">
        <f>'Cost Drivers'!AG24</f>
        <v/>
      </c>
      <c r="AH24" s="19">
        <f>'Cost Drivers'!AH24</f>
        <v/>
      </c>
      <c r="AI24" s="19">
        <f>'Cost Drivers'!AI24</f>
        <v/>
      </c>
      <c r="AJ24" s="19">
        <f>'Cost Drivers'!AJ24</f>
        <v/>
      </c>
      <c r="AK24" s="19">
        <f>'Cost Drivers'!AK24</f>
        <v/>
      </c>
      <c r="AL24" s="19">
        <f>'Cost Drivers'!AL24</f>
        <v/>
      </c>
      <c r="AM24" s="19">
        <f>'Cost Drivers'!AM24</f>
        <v/>
      </c>
      <c r="AN24" s="19">
        <f>'Cost Drivers'!AN24</f>
        <v/>
      </c>
      <c r="AO24" s="19">
        <f>'Cost Drivers'!AO24</f>
        <v/>
      </c>
      <c r="AP24" s="19">
        <f>'Cost Drivers'!AP24</f>
        <v/>
      </c>
      <c r="AQ24" s="19">
        <f>'Cost Drivers'!AQ24</f>
        <v/>
      </c>
      <c r="AR24" s="19">
        <f>'Cost Drivers'!AR24</f>
        <v/>
      </c>
      <c r="AS24" s="19">
        <f>'Cost Drivers'!AS24</f>
        <v/>
      </c>
      <c r="AT24" s="19">
        <f>'Cost Drivers'!AT24</f>
        <v/>
      </c>
      <c r="AU24" s="19">
        <f>'Cost Drivers'!AU24</f>
        <v/>
      </c>
      <c r="AV24" s="19">
        <f>'Cost Drivers'!AV24</f>
        <v/>
      </c>
      <c r="AW24" s="19">
        <f>'Cost Drivers'!AW24</f>
        <v/>
      </c>
    </row>
    <row r="25" outlineLevel="1">
      <c r="B25" s="1">
        <f>'Cost Drivers'!B27</f>
        <v/>
      </c>
      <c r="C25" s="19">
        <f>'Cost Drivers'!C27</f>
        <v/>
      </c>
      <c r="D25" s="19">
        <f>'Cost Drivers'!D27</f>
        <v/>
      </c>
      <c r="E25" s="19">
        <f>'Cost Drivers'!E27</f>
        <v/>
      </c>
      <c r="F25" s="19">
        <f>'Cost Drivers'!F27</f>
        <v/>
      </c>
      <c r="H25" s="19">
        <f>'Cost Drivers'!H27</f>
        <v/>
      </c>
      <c r="I25" s="19">
        <f>'Cost Drivers'!I27</f>
        <v/>
      </c>
      <c r="J25" s="19">
        <f>'Cost Drivers'!J27</f>
        <v/>
      </c>
      <c r="K25" s="19">
        <f>'Cost Drivers'!K27</f>
        <v/>
      </c>
      <c r="L25" s="19">
        <f>'Cost Drivers'!L27</f>
        <v/>
      </c>
      <c r="M25" s="19">
        <f>'Cost Drivers'!M27</f>
        <v/>
      </c>
      <c r="N25" s="19">
        <f>'Cost Drivers'!N27</f>
        <v/>
      </c>
      <c r="O25" s="19">
        <f>'Cost Drivers'!O27</f>
        <v/>
      </c>
      <c r="P25" s="19">
        <f>'Cost Drivers'!P27</f>
        <v/>
      </c>
      <c r="Q25" s="19">
        <f>'Cost Drivers'!Q27</f>
        <v/>
      </c>
      <c r="R25" s="19">
        <f>'Cost Drivers'!R27</f>
        <v/>
      </c>
      <c r="S25" s="19">
        <f>'Cost Drivers'!S27</f>
        <v/>
      </c>
      <c r="T25" s="19">
        <f>'Cost Drivers'!T27</f>
        <v/>
      </c>
      <c r="U25" s="19">
        <f>'Cost Drivers'!U27</f>
        <v/>
      </c>
      <c r="V25" s="19">
        <f>'Cost Drivers'!V27</f>
        <v/>
      </c>
      <c r="W25" s="19">
        <f>'Cost Drivers'!W27</f>
        <v/>
      </c>
      <c r="X25" s="19">
        <f>'Cost Drivers'!X27</f>
        <v/>
      </c>
      <c r="Y25" s="19">
        <f>'Cost Drivers'!Y27</f>
        <v/>
      </c>
      <c r="Z25" s="19">
        <f>'Cost Drivers'!Z27</f>
        <v/>
      </c>
      <c r="AA25" s="19">
        <f>'Cost Drivers'!AA27</f>
        <v/>
      </c>
      <c r="AB25" s="19">
        <f>'Cost Drivers'!AB27</f>
        <v/>
      </c>
      <c r="AC25" s="19">
        <f>'Cost Drivers'!AC27</f>
        <v/>
      </c>
      <c r="AD25" s="19">
        <f>'Cost Drivers'!AD27</f>
        <v/>
      </c>
      <c r="AE25" s="19">
        <f>'Cost Drivers'!AE27</f>
        <v/>
      </c>
      <c r="AF25" s="19">
        <f>'Cost Drivers'!AF27</f>
        <v/>
      </c>
      <c r="AG25" s="19">
        <f>'Cost Drivers'!AG27</f>
        <v/>
      </c>
      <c r="AH25" s="19">
        <f>'Cost Drivers'!AH27</f>
        <v/>
      </c>
      <c r="AI25" s="19">
        <f>'Cost Drivers'!AI27</f>
        <v/>
      </c>
      <c r="AJ25" s="19">
        <f>'Cost Drivers'!AJ27</f>
        <v/>
      </c>
      <c r="AK25" s="19">
        <f>'Cost Drivers'!AK27</f>
        <v/>
      </c>
      <c r="AL25" s="19">
        <f>'Cost Drivers'!AL27</f>
        <v/>
      </c>
      <c r="AM25" s="19">
        <f>'Cost Drivers'!AM27</f>
        <v/>
      </c>
      <c r="AN25" s="19">
        <f>'Cost Drivers'!AN27</f>
        <v/>
      </c>
      <c r="AO25" s="19">
        <f>'Cost Drivers'!AO27</f>
        <v/>
      </c>
      <c r="AP25" s="19">
        <f>'Cost Drivers'!AP27</f>
        <v/>
      </c>
      <c r="AQ25" s="19">
        <f>'Cost Drivers'!AQ27</f>
        <v/>
      </c>
      <c r="AR25" s="19">
        <f>'Cost Drivers'!AR27</f>
        <v/>
      </c>
      <c r="AS25" s="19">
        <f>'Cost Drivers'!AS27</f>
        <v/>
      </c>
      <c r="AT25" s="19">
        <f>'Cost Drivers'!AT27</f>
        <v/>
      </c>
      <c r="AU25" s="19">
        <f>'Cost Drivers'!AU27</f>
        <v/>
      </c>
      <c r="AV25" s="19">
        <f>'Cost Drivers'!AV27</f>
        <v/>
      </c>
      <c r="AW25" s="19">
        <f>'Cost Drivers'!AW27</f>
        <v/>
      </c>
    </row>
    <row r="26" outlineLevel="1">
      <c r="B26" s="1">
        <f>'Cost Drivers'!B30</f>
        <v/>
      </c>
      <c r="C26" s="19">
        <f>'Cost Drivers'!C30</f>
        <v/>
      </c>
      <c r="D26" s="19">
        <f>'Cost Drivers'!D30</f>
        <v/>
      </c>
      <c r="E26" s="19">
        <f>'Cost Drivers'!E30</f>
        <v/>
      </c>
      <c r="F26" s="19">
        <f>'Cost Drivers'!F30</f>
        <v/>
      </c>
      <c r="H26" s="19">
        <f>'Cost Drivers'!H30</f>
        <v/>
      </c>
      <c r="I26" s="19">
        <f>'Cost Drivers'!I30</f>
        <v/>
      </c>
      <c r="J26" s="19">
        <f>'Cost Drivers'!J30</f>
        <v/>
      </c>
      <c r="K26" s="19">
        <f>'Cost Drivers'!K30</f>
        <v/>
      </c>
      <c r="L26" s="19">
        <f>'Cost Drivers'!L30</f>
        <v/>
      </c>
      <c r="M26" s="19">
        <f>'Cost Drivers'!M30</f>
        <v/>
      </c>
      <c r="N26" s="19">
        <f>'Cost Drivers'!N30</f>
        <v/>
      </c>
      <c r="O26" s="19">
        <f>'Cost Drivers'!O30</f>
        <v/>
      </c>
      <c r="P26" s="19">
        <f>'Cost Drivers'!P30</f>
        <v/>
      </c>
      <c r="Q26" s="19">
        <f>'Cost Drivers'!Q30</f>
        <v/>
      </c>
      <c r="R26" s="19">
        <f>'Cost Drivers'!R30</f>
        <v/>
      </c>
      <c r="S26" s="19">
        <f>'Cost Drivers'!S30</f>
        <v/>
      </c>
      <c r="T26" s="19">
        <f>'Cost Drivers'!T30</f>
        <v/>
      </c>
      <c r="U26" s="19">
        <f>'Cost Drivers'!U30</f>
        <v/>
      </c>
      <c r="V26" s="19">
        <f>'Cost Drivers'!V30</f>
        <v/>
      </c>
      <c r="W26" s="19">
        <f>'Cost Drivers'!W30</f>
        <v/>
      </c>
      <c r="X26" s="19">
        <f>'Cost Drivers'!X30</f>
        <v/>
      </c>
      <c r="Y26" s="19">
        <f>'Cost Drivers'!Y30</f>
        <v/>
      </c>
      <c r="Z26" s="19">
        <f>'Cost Drivers'!Z30</f>
        <v/>
      </c>
      <c r="AA26" s="19">
        <f>'Cost Drivers'!AA30</f>
        <v/>
      </c>
      <c r="AB26" s="19">
        <f>'Cost Drivers'!AB30</f>
        <v/>
      </c>
      <c r="AC26" s="19">
        <f>'Cost Drivers'!AC30</f>
        <v/>
      </c>
      <c r="AD26" s="19">
        <f>'Cost Drivers'!AD30</f>
        <v/>
      </c>
      <c r="AE26" s="19">
        <f>'Cost Drivers'!AE30</f>
        <v/>
      </c>
      <c r="AF26" s="19">
        <f>'Cost Drivers'!AF30</f>
        <v/>
      </c>
      <c r="AG26" s="19">
        <f>'Cost Drivers'!AG30</f>
        <v/>
      </c>
      <c r="AH26" s="19">
        <f>'Cost Drivers'!AH30</f>
        <v/>
      </c>
      <c r="AI26" s="19">
        <f>'Cost Drivers'!AI30</f>
        <v/>
      </c>
      <c r="AJ26" s="19">
        <f>'Cost Drivers'!AJ30</f>
        <v/>
      </c>
      <c r="AK26" s="19">
        <f>'Cost Drivers'!AK30</f>
        <v/>
      </c>
      <c r="AL26" s="19">
        <f>'Cost Drivers'!AL30</f>
        <v/>
      </c>
      <c r="AM26" s="19">
        <f>'Cost Drivers'!AM30</f>
        <v/>
      </c>
      <c r="AN26" s="19">
        <f>'Cost Drivers'!AN30</f>
        <v/>
      </c>
      <c r="AO26" s="19">
        <f>'Cost Drivers'!AO30</f>
        <v/>
      </c>
      <c r="AP26" s="19">
        <f>'Cost Drivers'!AP30</f>
        <v/>
      </c>
      <c r="AQ26" s="19">
        <f>'Cost Drivers'!AQ30</f>
        <v/>
      </c>
      <c r="AR26" s="19">
        <f>'Cost Drivers'!AR30</f>
        <v/>
      </c>
      <c r="AS26" s="19">
        <f>'Cost Drivers'!AS30</f>
        <v/>
      </c>
      <c r="AT26" s="19">
        <f>'Cost Drivers'!AT30</f>
        <v/>
      </c>
      <c r="AU26" s="19">
        <f>'Cost Drivers'!AU30</f>
        <v/>
      </c>
      <c r="AV26" s="19">
        <f>'Cost Drivers'!AV30</f>
        <v/>
      </c>
      <c r="AW26" s="19">
        <f>'Cost Drivers'!AW30</f>
        <v/>
      </c>
    </row>
    <row r="27" outlineLevel="1">
      <c r="B27" s="1">
        <f>'Cost Drivers'!B33</f>
        <v/>
      </c>
      <c r="C27" s="19">
        <f>'Cost Drivers'!C33</f>
        <v/>
      </c>
      <c r="D27" s="19">
        <f>'Cost Drivers'!D33</f>
        <v/>
      </c>
      <c r="E27" s="19">
        <f>'Cost Drivers'!E33</f>
        <v/>
      </c>
      <c r="F27" s="19">
        <f>'Cost Drivers'!F33</f>
        <v/>
      </c>
      <c r="H27" s="19">
        <f>'Cost Drivers'!H33</f>
        <v/>
      </c>
      <c r="I27" s="19">
        <f>'Cost Drivers'!I33</f>
        <v/>
      </c>
      <c r="J27" s="19">
        <f>'Cost Drivers'!J33</f>
        <v/>
      </c>
      <c r="K27" s="19">
        <f>'Cost Drivers'!K33</f>
        <v/>
      </c>
      <c r="L27" s="19">
        <f>'Cost Drivers'!L33</f>
        <v/>
      </c>
      <c r="M27" s="19">
        <f>'Cost Drivers'!M33</f>
        <v/>
      </c>
      <c r="N27" s="19">
        <f>'Cost Drivers'!N33</f>
        <v/>
      </c>
      <c r="O27" s="19">
        <f>'Cost Drivers'!O33</f>
        <v/>
      </c>
      <c r="P27" s="19">
        <f>'Cost Drivers'!P33</f>
        <v/>
      </c>
      <c r="Q27" s="19">
        <f>'Cost Drivers'!Q33</f>
        <v/>
      </c>
      <c r="R27" s="19">
        <f>'Cost Drivers'!R33</f>
        <v/>
      </c>
      <c r="S27" s="19">
        <f>'Cost Drivers'!S33</f>
        <v/>
      </c>
      <c r="T27" s="19">
        <f>'Cost Drivers'!T33</f>
        <v/>
      </c>
      <c r="U27" s="19">
        <f>'Cost Drivers'!U33</f>
        <v/>
      </c>
      <c r="V27" s="19">
        <f>'Cost Drivers'!V33</f>
        <v/>
      </c>
      <c r="W27" s="19">
        <f>'Cost Drivers'!W33</f>
        <v/>
      </c>
      <c r="X27" s="19">
        <f>'Cost Drivers'!X33</f>
        <v/>
      </c>
      <c r="Y27" s="19">
        <f>'Cost Drivers'!Y33</f>
        <v/>
      </c>
      <c r="Z27" s="19">
        <f>'Cost Drivers'!Z33</f>
        <v/>
      </c>
      <c r="AA27" s="19">
        <f>'Cost Drivers'!AA33</f>
        <v/>
      </c>
      <c r="AB27" s="19">
        <f>'Cost Drivers'!AB33</f>
        <v/>
      </c>
      <c r="AC27" s="19">
        <f>'Cost Drivers'!AC33</f>
        <v/>
      </c>
      <c r="AD27" s="19">
        <f>'Cost Drivers'!AD33</f>
        <v/>
      </c>
      <c r="AE27" s="19">
        <f>'Cost Drivers'!AE33</f>
        <v/>
      </c>
      <c r="AF27" s="19">
        <f>'Cost Drivers'!AF33</f>
        <v/>
      </c>
      <c r="AG27" s="19">
        <f>'Cost Drivers'!AG33</f>
        <v/>
      </c>
      <c r="AH27" s="19">
        <f>'Cost Drivers'!AH33</f>
        <v/>
      </c>
      <c r="AI27" s="19">
        <f>'Cost Drivers'!AI33</f>
        <v/>
      </c>
      <c r="AJ27" s="19">
        <f>'Cost Drivers'!AJ33</f>
        <v/>
      </c>
      <c r="AK27" s="19">
        <f>'Cost Drivers'!AK33</f>
        <v/>
      </c>
      <c r="AL27" s="19">
        <f>'Cost Drivers'!AL33</f>
        <v/>
      </c>
      <c r="AM27" s="19">
        <f>'Cost Drivers'!AM33</f>
        <v/>
      </c>
      <c r="AN27" s="19">
        <f>'Cost Drivers'!AN33</f>
        <v/>
      </c>
      <c r="AO27" s="19">
        <f>'Cost Drivers'!AO33</f>
        <v/>
      </c>
      <c r="AP27" s="19">
        <f>'Cost Drivers'!AP33</f>
        <v/>
      </c>
      <c r="AQ27" s="19">
        <f>'Cost Drivers'!AQ33</f>
        <v/>
      </c>
      <c r="AR27" s="19">
        <f>'Cost Drivers'!AR33</f>
        <v/>
      </c>
      <c r="AS27" s="19">
        <f>'Cost Drivers'!AS33</f>
        <v/>
      </c>
      <c r="AT27" s="19">
        <f>'Cost Drivers'!AT33</f>
        <v/>
      </c>
      <c r="AU27" s="19">
        <f>'Cost Drivers'!AU33</f>
        <v/>
      </c>
      <c r="AV27" s="19">
        <f>'Cost Drivers'!AV33</f>
        <v/>
      </c>
      <c r="AW27" s="19">
        <f>'Cost Drivers'!AW33</f>
        <v/>
      </c>
    </row>
    <row r="28" outlineLevel="1">
      <c r="B28" s="1">
        <f>'Cost Drivers'!B36</f>
        <v/>
      </c>
      <c r="C28" s="19">
        <f>'Cost Drivers'!C36</f>
        <v/>
      </c>
      <c r="D28" s="19">
        <f>'Cost Drivers'!D36</f>
        <v/>
      </c>
      <c r="E28" s="19">
        <f>'Cost Drivers'!E36</f>
        <v/>
      </c>
      <c r="F28" s="19">
        <f>'Cost Drivers'!F36</f>
        <v/>
      </c>
      <c r="H28" s="19">
        <f>'Cost Drivers'!H36</f>
        <v/>
      </c>
      <c r="I28" s="19">
        <f>'Cost Drivers'!I36</f>
        <v/>
      </c>
      <c r="J28" s="19">
        <f>'Cost Drivers'!J36</f>
        <v/>
      </c>
      <c r="K28" s="19">
        <f>'Cost Drivers'!K36</f>
        <v/>
      </c>
      <c r="L28" s="19">
        <f>'Cost Drivers'!L36</f>
        <v/>
      </c>
      <c r="M28" s="19">
        <f>'Cost Drivers'!M36</f>
        <v/>
      </c>
      <c r="N28" s="19">
        <f>'Cost Drivers'!N36</f>
        <v/>
      </c>
      <c r="O28" s="19">
        <f>'Cost Drivers'!O36</f>
        <v/>
      </c>
      <c r="P28" s="19">
        <f>'Cost Drivers'!P36</f>
        <v/>
      </c>
      <c r="Q28" s="19">
        <f>'Cost Drivers'!Q36</f>
        <v/>
      </c>
      <c r="R28" s="19">
        <f>'Cost Drivers'!R36</f>
        <v/>
      </c>
      <c r="S28" s="19">
        <f>'Cost Drivers'!S36</f>
        <v/>
      </c>
      <c r="T28" s="19">
        <f>'Cost Drivers'!T36</f>
        <v/>
      </c>
      <c r="U28" s="19">
        <f>'Cost Drivers'!U36</f>
        <v/>
      </c>
      <c r="V28" s="19">
        <f>'Cost Drivers'!V36</f>
        <v/>
      </c>
      <c r="W28" s="19">
        <f>'Cost Drivers'!W36</f>
        <v/>
      </c>
      <c r="X28" s="19">
        <f>'Cost Drivers'!X36</f>
        <v/>
      </c>
      <c r="Y28" s="19">
        <f>'Cost Drivers'!Y36</f>
        <v/>
      </c>
      <c r="Z28" s="19">
        <f>'Cost Drivers'!Z36</f>
        <v/>
      </c>
      <c r="AA28" s="19">
        <f>'Cost Drivers'!AA36</f>
        <v/>
      </c>
      <c r="AB28" s="19">
        <f>'Cost Drivers'!AB36</f>
        <v/>
      </c>
      <c r="AC28" s="19">
        <f>'Cost Drivers'!AC36</f>
        <v/>
      </c>
      <c r="AD28" s="19">
        <f>'Cost Drivers'!AD36</f>
        <v/>
      </c>
      <c r="AE28" s="19">
        <f>'Cost Drivers'!AE36</f>
        <v/>
      </c>
      <c r="AF28" s="19">
        <f>'Cost Drivers'!AF36</f>
        <v/>
      </c>
      <c r="AG28" s="19">
        <f>'Cost Drivers'!AG36</f>
        <v/>
      </c>
      <c r="AH28" s="19">
        <f>'Cost Drivers'!AH36</f>
        <v/>
      </c>
      <c r="AI28" s="19">
        <f>'Cost Drivers'!AI36</f>
        <v/>
      </c>
      <c r="AJ28" s="19">
        <f>'Cost Drivers'!AJ36</f>
        <v/>
      </c>
      <c r="AK28" s="19">
        <f>'Cost Drivers'!AK36</f>
        <v/>
      </c>
      <c r="AL28" s="19">
        <f>'Cost Drivers'!AL36</f>
        <v/>
      </c>
      <c r="AM28" s="19">
        <f>'Cost Drivers'!AM36</f>
        <v/>
      </c>
      <c r="AN28" s="19">
        <f>'Cost Drivers'!AN36</f>
        <v/>
      </c>
      <c r="AO28" s="19">
        <f>'Cost Drivers'!AO36</f>
        <v/>
      </c>
      <c r="AP28" s="19">
        <f>'Cost Drivers'!AP36</f>
        <v/>
      </c>
      <c r="AQ28" s="19">
        <f>'Cost Drivers'!AQ36</f>
        <v/>
      </c>
      <c r="AR28" s="19">
        <f>'Cost Drivers'!AR36</f>
        <v/>
      </c>
      <c r="AS28" s="19">
        <f>'Cost Drivers'!AS36</f>
        <v/>
      </c>
      <c r="AT28" s="19">
        <f>'Cost Drivers'!AT36</f>
        <v/>
      </c>
      <c r="AU28" s="19">
        <f>'Cost Drivers'!AU36</f>
        <v/>
      </c>
      <c r="AV28" s="19">
        <f>'Cost Drivers'!AV36</f>
        <v/>
      </c>
      <c r="AW28" s="19">
        <f>'Cost Drivers'!AW36</f>
        <v/>
      </c>
    </row>
    <row r="29">
      <c r="B29" s="1" t="inlineStr">
        <is>
          <t>Fixed Cost</t>
        </is>
      </c>
      <c r="C29" s="19">
        <f>SUM(C30:C37)</f>
        <v/>
      </c>
      <c r="D29" s="19">
        <f>SUM(D30:D37)</f>
        <v/>
      </c>
      <c r="E29" s="19">
        <f>SUM(E30:E37)</f>
        <v/>
      </c>
      <c r="F29" s="19">
        <f>SUM(F30:F37)</f>
        <v/>
      </c>
      <c r="H29" s="19">
        <f>SUM(H30:H37)</f>
        <v/>
      </c>
      <c r="I29" s="19">
        <f>SUM(I30:I37)</f>
        <v/>
      </c>
      <c r="J29" s="19">
        <f>SUM(J30:J37)</f>
        <v/>
      </c>
      <c r="K29" s="19">
        <f>SUM(K30:K37)</f>
        <v/>
      </c>
      <c r="L29" s="19">
        <f>SUM(L30:L37)</f>
        <v/>
      </c>
      <c r="M29" s="19">
        <f>SUM(M30:M37)</f>
        <v/>
      </c>
      <c r="N29" s="19">
        <f>SUM(N30:N37)</f>
        <v/>
      </c>
      <c r="O29" s="19">
        <f>SUM(O30:O37)</f>
        <v/>
      </c>
      <c r="P29" s="19">
        <f>SUM(P30:P37)</f>
        <v/>
      </c>
      <c r="Q29" s="19">
        <f>SUM(Q30:Q37)</f>
        <v/>
      </c>
      <c r="R29" s="19">
        <f>SUM(R30:R37)</f>
        <v/>
      </c>
      <c r="S29" s="19">
        <f>SUM(S30:S37)</f>
        <v/>
      </c>
      <c r="T29" s="19">
        <f>SUM(T30:T37)</f>
        <v/>
      </c>
      <c r="U29" s="19">
        <f>SUM(U30:U37)</f>
        <v/>
      </c>
      <c r="V29" s="19">
        <f>SUM(V30:V37)</f>
        <v/>
      </c>
      <c r="W29" s="19">
        <f>SUM(W30:W37)</f>
        <v/>
      </c>
      <c r="X29" s="19">
        <f>SUM(X30:X37)</f>
        <v/>
      </c>
      <c r="Y29" s="19">
        <f>SUM(Y30:Y37)</f>
        <v/>
      </c>
      <c r="Z29" s="19">
        <f>SUM(Z30:Z37)</f>
        <v/>
      </c>
      <c r="AA29" s="19">
        <f>SUM(AA30:AA37)</f>
        <v/>
      </c>
      <c r="AB29" s="19">
        <f>SUM(AB30:AB37)</f>
        <v/>
      </c>
      <c r="AC29" s="19">
        <f>SUM(AC30:AC37)</f>
        <v/>
      </c>
      <c r="AD29" s="19">
        <f>SUM(AD30:AD37)</f>
        <v/>
      </c>
      <c r="AE29" s="19">
        <f>SUM(AE30:AE37)</f>
        <v/>
      </c>
      <c r="AF29" s="19">
        <f>SUM(AF30:AF37)</f>
        <v/>
      </c>
      <c r="AG29" s="19">
        <f>SUM(AG30:AG37)</f>
        <v/>
      </c>
      <c r="AH29" s="19">
        <f>SUM(AH30:AH37)</f>
        <v/>
      </c>
      <c r="AI29" s="19">
        <f>SUM(AI30:AI37)</f>
        <v/>
      </c>
      <c r="AJ29" s="19">
        <f>SUM(AJ30:AJ37)</f>
        <v/>
      </c>
      <c r="AK29" s="19">
        <f>SUM(AK30:AK37)</f>
        <v/>
      </c>
      <c r="AL29" s="19">
        <f>SUM(AL30:AL37)</f>
        <v/>
      </c>
      <c r="AM29" s="19">
        <f>SUM(AM30:AM37)</f>
        <v/>
      </c>
      <c r="AN29" s="19">
        <f>SUM(AN30:AN37)</f>
        <v/>
      </c>
      <c r="AO29" s="19">
        <f>SUM(AO30:AO37)</f>
        <v/>
      </c>
      <c r="AP29" s="19">
        <f>SUM(AP30:AP37)</f>
        <v/>
      </c>
      <c r="AQ29" s="19">
        <f>SUM(AQ30:AQ37)</f>
        <v/>
      </c>
      <c r="AR29" s="19">
        <f>SUM(AR30:AR37)</f>
        <v/>
      </c>
      <c r="AS29" s="19">
        <f>SUM(AS30:AS37)</f>
        <v/>
      </c>
      <c r="AT29" s="19">
        <f>SUM(AT30:AT37)</f>
        <v/>
      </c>
      <c r="AU29" s="19">
        <f>SUM(AU30:AU37)</f>
        <v/>
      </c>
      <c r="AV29" s="19">
        <f>SUM(AV30:AV37)</f>
        <v/>
      </c>
      <c r="AW29" s="19">
        <f>SUM(AW30:AW37)</f>
        <v/>
      </c>
    </row>
    <row r="30" outlineLevel="1">
      <c r="B30" s="1">
        <f>'Cost Drivers'!B41</f>
        <v/>
      </c>
      <c r="C30" s="19">
        <f>'Cost Drivers'!C41</f>
        <v/>
      </c>
      <c r="D30" s="19">
        <f>'Cost Drivers'!D41</f>
        <v/>
      </c>
      <c r="E30" s="19">
        <f>'Cost Drivers'!E41</f>
        <v/>
      </c>
      <c r="F30" s="19">
        <f>'Cost Drivers'!F41</f>
        <v/>
      </c>
      <c r="H30" s="19">
        <f>'Cost Drivers'!H41</f>
        <v/>
      </c>
      <c r="I30" s="19">
        <f>'Cost Drivers'!I41</f>
        <v/>
      </c>
      <c r="J30" s="19">
        <f>'Cost Drivers'!J41</f>
        <v/>
      </c>
      <c r="K30" s="19">
        <f>'Cost Drivers'!K41</f>
        <v/>
      </c>
      <c r="L30" s="19">
        <f>'Cost Drivers'!L41</f>
        <v/>
      </c>
      <c r="M30" s="19">
        <f>'Cost Drivers'!M41</f>
        <v/>
      </c>
      <c r="N30" s="19">
        <f>'Cost Drivers'!N41</f>
        <v/>
      </c>
      <c r="O30" s="19">
        <f>'Cost Drivers'!O41</f>
        <v/>
      </c>
      <c r="P30" s="19">
        <f>'Cost Drivers'!P41</f>
        <v/>
      </c>
      <c r="Q30" s="19">
        <f>'Cost Drivers'!Q41</f>
        <v/>
      </c>
      <c r="R30" s="19">
        <f>'Cost Drivers'!R41</f>
        <v/>
      </c>
      <c r="S30" s="19">
        <f>'Cost Drivers'!S41</f>
        <v/>
      </c>
      <c r="T30" s="19">
        <f>'Cost Drivers'!T41</f>
        <v/>
      </c>
      <c r="U30" s="19">
        <f>'Cost Drivers'!U41</f>
        <v/>
      </c>
      <c r="V30" s="19">
        <f>'Cost Drivers'!V41</f>
        <v/>
      </c>
      <c r="W30" s="19">
        <f>'Cost Drivers'!W41</f>
        <v/>
      </c>
      <c r="X30" s="19">
        <f>'Cost Drivers'!X41</f>
        <v/>
      </c>
      <c r="Y30" s="19">
        <f>'Cost Drivers'!Y41</f>
        <v/>
      </c>
      <c r="Z30" s="19">
        <f>'Cost Drivers'!Z41</f>
        <v/>
      </c>
      <c r="AA30" s="19">
        <f>'Cost Drivers'!AA41</f>
        <v/>
      </c>
      <c r="AB30" s="19">
        <f>'Cost Drivers'!AB41</f>
        <v/>
      </c>
      <c r="AC30" s="19">
        <f>'Cost Drivers'!AC41</f>
        <v/>
      </c>
      <c r="AD30" s="19">
        <f>'Cost Drivers'!AD41</f>
        <v/>
      </c>
      <c r="AE30" s="19">
        <f>'Cost Drivers'!AE41</f>
        <v/>
      </c>
      <c r="AF30" s="19">
        <f>'Cost Drivers'!AF41</f>
        <v/>
      </c>
      <c r="AG30" s="19">
        <f>'Cost Drivers'!AG41</f>
        <v/>
      </c>
      <c r="AH30" s="19">
        <f>'Cost Drivers'!AH41</f>
        <v/>
      </c>
      <c r="AI30" s="19">
        <f>'Cost Drivers'!AI41</f>
        <v/>
      </c>
      <c r="AJ30" s="19">
        <f>'Cost Drivers'!AJ41</f>
        <v/>
      </c>
      <c r="AK30" s="19">
        <f>'Cost Drivers'!AK41</f>
        <v/>
      </c>
      <c r="AL30" s="19">
        <f>'Cost Drivers'!AL41</f>
        <v/>
      </c>
      <c r="AM30" s="19">
        <f>'Cost Drivers'!AM41</f>
        <v/>
      </c>
      <c r="AN30" s="19">
        <f>'Cost Drivers'!AN41</f>
        <v/>
      </c>
      <c r="AO30" s="19">
        <f>'Cost Drivers'!AO41</f>
        <v/>
      </c>
      <c r="AP30" s="19">
        <f>'Cost Drivers'!AP41</f>
        <v/>
      </c>
      <c r="AQ30" s="19">
        <f>'Cost Drivers'!AQ41</f>
        <v/>
      </c>
      <c r="AR30" s="19">
        <f>'Cost Drivers'!AR41</f>
        <v/>
      </c>
      <c r="AS30" s="19">
        <f>'Cost Drivers'!AS41</f>
        <v/>
      </c>
      <c r="AT30" s="19">
        <f>'Cost Drivers'!AT41</f>
        <v/>
      </c>
      <c r="AU30" s="19">
        <f>'Cost Drivers'!AU41</f>
        <v/>
      </c>
      <c r="AV30" s="19">
        <f>'Cost Drivers'!AV41</f>
        <v/>
      </c>
      <c r="AW30" s="19">
        <f>'Cost Drivers'!AW41</f>
        <v/>
      </c>
    </row>
    <row r="31" outlineLevel="1">
      <c r="B31" s="1">
        <f>'Cost Drivers'!B44</f>
        <v/>
      </c>
      <c r="C31" s="19">
        <f>'Cost Drivers'!C44</f>
        <v/>
      </c>
      <c r="D31" s="19">
        <f>'Cost Drivers'!D44</f>
        <v/>
      </c>
      <c r="E31" s="19">
        <f>'Cost Drivers'!E44</f>
        <v/>
      </c>
      <c r="F31" s="19">
        <f>'Cost Drivers'!F44</f>
        <v/>
      </c>
      <c r="H31" s="19">
        <f>'Cost Drivers'!H44</f>
        <v/>
      </c>
      <c r="I31" s="19">
        <f>'Cost Drivers'!I44</f>
        <v/>
      </c>
      <c r="J31" s="19">
        <f>'Cost Drivers'!J44</f>
        <v/>
      </c>
      <c r="K31" s="19">
        <f>'Cost Drivers'!K44</f>
        <v/>
      </c>
      <c r="L31" s="19">
        <f>'Cost Drivers'!L44</f>
        <v/>
      </c>
      <c r="M31" s="19">
        <f>'Cost Drivers'!M44</f>
        <v/>
      </c>
      <c r="N31" s="19">
        <f>'Cost Drivers'!N44</f>
        <v/>
      </c>
      <c r="O31" s="19">
        <f>'Cost Drivers'!O44</f>
        <v/>
      </c>
      <c r="P31" s="19">
        <f>'Cost Drivers'!P44</f>
        <v/>
      </c>
      <c r="Q31" s="19">
        <f>'Cost Drivers'!Q44</f>
        <v/>
      </c>
      <c r="R31" s="19">
        <f>'Cost Drivers'!R44</f>
        <v/>
      </c>
      <c r="S31" s="19">
        <f>'Cost Drivers'!S44</f>
        <v/>
      </c>
      <c r="T31" s="19">
        <f>'Cost Drivers'!T44</f>
        <v/>
      </c>
      <c r="U31" s="19">
        <f>'Cost Drivers'!U44</f>
        <v/>
      </c>
      <c r="V31" s="19">
        <f>'Cost Drivers'!V44</f>
        <v/>
      </c>
      <c r="W31" s="19">
        <f>'Cost Drivers'!W44</f>
        <v/>
      </c>
      <c r="X31" s="19">
        <f>'Cost Drivers'!X44</f>
        <v/>
      </c>
      <c r="Y31" s="19">
        <f>'Cost Drivers'!Y44</f>
        <v/>
      </c>
      <c r="Z31" s="19">
        <f>'Cost Drivers'!Z44</f>
        <v/>
      </c>
      <c r="AA31" s="19">
        <f>'Cost Drivers'!AA44</f>
        <v/>
      </c>
      <c r="AB31" s="19">
        <f>'Cost Drivers'!AB44</f>
        <v/>
      </c>
      <c r="AC31" s="19">
        <f>'Cost Drivers'!AC44</f>
        <v/>
      </c>
      <c r="AD31" s="19">
        <f>'Cost Drivers'!AD44</f>
        <v/>
      </c>
      <c r="AE31" s="19">
        <f>'Cost Drivers'!AE44</f>
        <v/>
      </c>
      <c r="AF31" s="19">
        <f>'Cost Drivers'!AF44</f>
        <v/>
      </c>
      <c r="AG31" s="19">
        <f>'Cost Drivers'!AG44</f>
        <v/>
      </c>
      <c r="AH31" s="19">
        <f>'Cost Drivers'!AH44</f>
        <v/>
      </c>
      <c r="AI31" s="19">
        <f>'Cost Drivers'!AI44</f>
        <v/>
      </c>
      <c r="AJ31" s="19">
        <f>'Cost Drivers'!AJ44</f>
        <v/>
      </c>
      <c r="AK31" s="19">
        <f>'Cost Drivers'!AK44</f>
        <v/>
      </c>
      <c r="AL31" s="19">
        <f>'Cost Drivers'!AL44</f>
        <v/>
      </c>
      <c r="AM31" s="19">
        <f>'Cost Drivers'!AM44</f>
        <v/>
      </c>
      <c r="AN31" s="19">
        <f>'Cost Drivers'!AN44</f>
        <v/>
      </c>
      <c r="AO31" s="19">
        <f>'Cost Drivers'!AO44</f>
        <v/>
      </c>
      <c r="AP31" s="19">
        <f>'Cost Drivers'!AP44</f>
        <v/>
      </c>
      <c r="AQ31" s="19">
        <f>'Cost Drivers'!AQ44</f>
        <v/>
      </c>
      <c r="AR31" s="19">
        <f>'Cost Drivers'!AR44</f>
        <v/>
      </c>
      <c r="AS31" s="19">
        <f>'Cost Drivers'!AS44</f>
        <v/>
      </c>
      <c r="AT31" s="19">
        <f>'Cost Drivers'!AT44</f>
        <v/>
      </c>
      <c r="AU31" s="19">
        <f>'Cost Drivers'!AU44</f>
        <v/>
      </c>
      <c r="AV31" s="19">
        <f>'Cost Drivers'!AV44</f>
        <v/>
      </c>
      <c r="AW31" s="19">
        <f>'Cost Drivers'!AW44</f>
        <v/>
      </c>
    </row>
    <row r="32" outlineLevel="1">
      <c r="B32" s="1">
        <f>'Cost Drivers'!B47</f>
        <v/>
      </c>
      <c r="C32" s="19">
        <f>'Cost Drivers'!C47</f>
        <v/>
      </c>
      <c r="D32" s="19">
        <f>'Cost Drivers'!D47</f>
        <v/>
      </c>
      <c r="E32" s="19">
        <f>'Cost Drivers'!E47</f>
        <v/>
      </c>
      <c r="F32" s="19">
        <f>'Cost Drivers'!F47</f>
        <v/>
      </c>
      <c r="H32" s="19">
        <f>'Cost Drivers'!H47</f>
        <v/>
      </c>
      <c r="I32" s="19">
        <f>'Cost Drivers'!I47</f>
        <v/>
      </c>
      <c r="J32" s="19">
        <f>'Cost Drivers'!J47</f>
        <v/>
      </c>
      <c r="K32" s="19">
        <f>'Cost Drivers'!K47</f>
        <v/>
      </c>
      <c r="L32" s="19">
        <f>'Cost Drivers'!L47</f>
        <v/>
      </c>
      <c r="M32" s="19">
        <f>'Cost Drivers'!M47</f>
        <v/>
      </c>
      <c r="N32" s="19">
        <f>'Cost Drivers'!N47</f>
        <v/>
      </c>
      <c r="O32" s="19">
        <f>'Cost Drivers'!O47</f>
        <v/>
      </c>
      <c r="P32" s="19">
        <f>'Cost Drivers'!P47</f>
        <v/>
      </c>
      <c r="Q32" s="19">
        <f>'Cost Drivers'!Q47</f>
        <v/>
      </c>
      <c r="R32" s="19">
        <f>'Cost Drivers'!R47</f>
        <v/>
      </c>
      <c r="S32" s="19">
        <f>'Cost Drivers'!S47</f>
        <v/>
      </c>
      <c r="T32" s="19">
        <f>'Cost Drivers'!T47</f>
        <v/>
      </c>
      <c r="U32" s="19">
        <f>'Cost Drivers'!U47</f>
        <v/>
      </c>
      <c r="V32" s="19">
        <f>'Cost Drivers'!V47</f>
        <v/>
      </c>
      <c r="W32" s="19">
        <f>'Cost Drivers'!W47</f>
        <v/>
      </c>
      <c r="X32" s="19">
        <f>'Cost Drivers'!X47</f>
        <v/>
      </c>
      <c r="Y32" s="19">
        <f>'Cost Drivers'!Y47</f>
        <v/>
      </c>
      <c r="Z32" s="19">
        <f>'Cost Drivers'!Z47</f>
        <v/>
      </c>
      <c r="AA32" s="19">
        <f>'Cost Drivers'!AA47</f>
        <v/>
      </c>
      <c r="AB32" s="19">
        <f>'Cost Drivers'!AB47</f>
        <v/>
      </c>
      <c r="AC32" s="19">
        <f>'Cost Drivers'!AC47</f>
        <v/>
      </c>
      <c r="AD32" s="19">
        <f>'Cost Drivers'!AD47</f>
        <v/>
      </c>
      <c r="AE32" s="19">
        <f>'Cost Drivers'!AE47</f>
        <v/>
      </c>
      <c r="AF32" s="19">
        <f>'Cost Drivers'!AF47</f>
        <v/>
      </c>
      <c r="AG32" s="19">
        <f>'Cost Drivers'!AG47</f>
        <v/>
      </c>
      <c r="AH32" s="19">
        <f>'Cost Drivers'!AH47</f>
        <v/>
      </c>
      <c r="AI32" s="19">
        <f>'Cost Drivers'!AI47</f>
        <v/>
      </c>
      <c r="AJ32" s="19">
        <f>'Cost Drivers'!AJ47</f>
        <v/>
      </c>
      <c r="AK32" s="19">
        <f>'Cost Drivers'!AK47</f>
        <v/>
      </c>
      <c r="AL32" s="19">
        <f>'Cost Drivers'!AL47</f>
        <v/>
      </c>
      <c r="AM32" s="19">
        <f>'Cost Drivers'!AM47</f>
        <v/>
      </c>
      <c r="AN32" s="19">
        <f>'Cost Drivers'!AN47</f>
        <v/>
      </c>
      <c r="AO32" s="19">
        <f>'Cost Drivers'!AO47</f>
        <v/>
      </c>
      <c r="AP32" s="19">
        <f>'Cost Drivers'!AP47</f>
        <v/>
      </c>
      <c r="AQ32" s="19">
        <f>'Cost Drivers'!AQ47</f>
        <v/>
      </c>
      <c r="AR32" s="19">
        <f>'Cost Drivers'!AR47</f>
        <v/>
      </c>
      <c r="AS32" s="19">
        <f>'Cost Drivers'!AS47</f>
        <v/>
      </c>
      <c r="AT32" s="19">
        <f>'Cost Drivers'!AT47</f>
        <v/>
      </c>
      <c r="AU32" s="19">
        <f>'Cost Drivers'!AU47</f>
        <v/>
      </c>
      <c r="AV32" s="19">
        <f>'Cost Drivers'!AV47</f>
        <v/>
      </c>
      <c r="AW32" s="19">
        <f>'Cost Drivers'!AW47</f>
        <v/>
      </c>
    </row>
    <row r="33" outlineLevel="1">
      <c r="B33" s="1">
        <f>'Cost Drivers'!B50</f>
        <v/>
      </c>
      <c r="C33" s="19">
        <f>'Cost Drivers'!C50</f>
        <v/>
      </c>
      <c r="D33" s="19">
        <f>'Cost Drivers'!D50</f>
        <v/>
      </c>
      <c r="E33" s="19">
        <f>'Cost Drivers'!E50</f>
        <v/>
      </c>
      <c r="F33" s="19">
        <f>'Cost Drivers'!F50</f>
        <v/>
      </c>
      <c r="H33" s="19">
        <f>'Cost Drivers'!H50</f>
        <v/>
      </c>
      <c r="I33" s="19">
        <f>'Cost Drivers'!I50</f>
        <v/>
      </c>
      <c r="J33" s="19">
        <f>'Cost Drivers'!J50</f>
        <v/>
      </c>
      <c r="K33" s="19">
        <f>'Cost Drivers'!K50</f>
        <v/>
      </c>
      <c r="L33" s="19">
        <f>'Cost Drivers'!L50</f>
        <v/>
      </c>
      <c r="M33" s="19">
        <f>'Cost Drivers'!M50</f>
        <v/>
      </c>
      <c r="N33" s="19">
        <f>'Cost Drivers'!N50</f>
        <v/>
      </c>
      <c r="O33" s="19">
        <f>'Cost Drivers'!O50</f>
        <v/>
      </c>
      <c r="P33" s="19">
        <f>'Cost Drivers'!P50</f>
        <v/>
      </c>
      <c r="Q33" s="19">
        <f>'Cost Drivers'!Q50</f>
        <v/>
      </c>
      <c r="R33" s="19">
        <f>'Cost Drivers'!R50</f>
        <v/>
      </c>
      <c r="S33" s="19">
        <f>'Cost Drivers'!S50</f>
        <v/>
      </c>
      <c r="T33" s="19">
        <f>'Cost Drivers'!T50</f>
        <v/>
      </c>
      <c r="U33" s="19">
        <f>'Cost Drivers'!U50</f>
        <v/>
      </c>
      <c r="V33" s="19">
        <f>'Cost Drivers'!V50</f>
        <v/>
      </c>
      <c r="W33" s="19">
        <f>'Cost Drivers'!W50</f>
        <v/>
      </c>
      <c r="X33" s="19">
        <f>'Cost Drivers'!X50</f>
        <v/>
      </c>
      <c r="Y33" s="19">
        <f>'Cost Drivers'!Y50</f>
        <v/>
      </c>
      <c r="Z33" s="19">
        <f>'Cost Drivers'!Z50</f>
        <v/>
      </c>
      <c r="AA33" s="19">
        <f>'Cost Drivers'!AA50</f>
        <v/>
      </c>
      <c r="AB33" s="19">
        <f>'Cost Drivers'!AB50</f>
        <v/>
      </c>
      <c r="AC33" s="19">
        <f>'Cost Drivers'!AC50</f>
        <v/>
      </c>
      <c r="AD33" s="19">
        <f>'Cost Drivers'!AD50</f>
        <v/>
      </c>
      <c r="AE33" s="19">
        <f>'Cost Drivers'!AE50</f>
        <v/>
      </c>
      <c r="AF33" s="19">
        <f>'Cost Drivers'!AF50</f>
        <v/>
      </c>
      <c r="AG33" s="19">
        <f>'Cost Drivers'!AG50</f>
        <v/>
      </c>
      <c r="AH33" s="19">
        <f>'Cost Drivers'!AH50</f>
        <v/>
      </c>
      <c r="AI33" s="19">
        <f>'Cost Drivers'!AI50</f>
        <v/>
      </c>
      <c r="AJ33" s="19">
        <f>'Cost Drivers'!AJ50</f>
        <v/>
      </c>
      <c r="AK33" s="19">
        <f>'Cost Drivers'!AK50</f>
        <v/>
      </c>
      <c r="AL33" s="19">
        <f>'Cost Drivers'!AL50</f>
        <v/>
      </c>
      <c r="AM33" s="19">
        <f>'Cost Drivers'!AM50</f>
        <v/>
      </c>
      <c r="AN33" s="19">
        <f>'Cost Drivers'!AN50</f>
        <v/>
      </c>
      <c r="AO33" s="19">
        <f>'Cost Drivers'!AO50</f>
        <v/>
      </c>
      <c r="AP33" s="19">
        <f>'Cost Drivers'!AP50</f>
        <v/>
      </c>
      <c r="AQ33" s="19">
        <f>'Cost Drivers'!AQ50</f>
        <v/>
      </c>
      <c r="AR33" s="19">
        <f>'Cost Drivers'!AR50</f>
        <v/>
      </c>
      <c r="AS33" s="19">
        <f>'Cost Drivers'!AS50</f>
        <v/>
      </c>
      <c r="AT33" s="19">
        <f>'Cost Drivers'!AT50</f>
        <v/>
      </c>
      <c r="AU33" s="19">
        <f>'Cost Drivers'!AU50</f>
        <v/>
      </c>
      <c r="AV33" s="19">
        <f>'Cost Drivers'!AV50</f>
        <v/>
      </c>
      <c r="AW33" s="19">
        <f>'Cost Drivers'!AW50</f>
        <v/>
      </c>
    </row>
    <row r="34" outlineLevel="1">
      <c r="B34" s="1">
        <f>'Cost Drivers'!B53</f>
        <v/>
      </c>
      <c r="C34" s="19">
        <f>'Cost Drivers'!C53</f>
        <v/>
      </c>
      <c r="D34" s="19">
        <f>'Cost Drivers'!D53</f>
        <v/>
      </c>
      <c r="E34" s="19">
        <f>'Cost Drivers'!E53</f>
        <v/>
      </c>
      <c r="F34" s="19">
        <f>'Cost Drivers'!F53</f>
        <v/>
      </c>
      <c r="H34" s="19">
        <f>'Cost Drivers'!H53</f>
        <v/>
      </c>
      <c r="I34" s="19">
        <f>'Cost Drivers'!I53</f>
        <v/>
      </c>
      <c r="J34" s="19">
        <f>'Cost Drivers'!J53</f>
        <v/>
      </c>
      <c r="K34" s="19">
        <f>'Cost Drivers'!K53</f>
        <v/>
      </c>
      <c r="L34" s="19">
        <f>'Cost Drivers'!L53</f>
        <v/>
      </c>
      <c r="M34" s="19">
        <f>'Cost Drivers'!M53</f>
        <v/>
      </c>
      <c r="N34" s="19">
        <f>'Cost Drivers'!N53</f>
        <v/>
      </c>
      <c r="O34" s="19">
        <f>'Cost Drivers'!O53</f>
        <v/>
      </c>
      <c r="P34" s="19">
        <f>'Cost Drivers'!P53</f>
        <v/>
      </c>
      <c r="Q34" s="19">
        <f>'Cost Drivers'!Q53</f>
        <v/>
      </c>
      <c r="R34" s="19">
        <f>'Cost Drivers'!R53</f>
        <v/>
      </c>
      <c r="S34" s="19">
        <f>'Cost Drivers'!S53</f>
        <v/>
      </c>
      <c r="T34" s="19">
        <f>'Cost Drivers'!T53</f>
        <v/>
      </c>
      <c r="U34" s="19">
        <f>'Cost Drivers'!U53</f>
        <v/>
      </c>
      <c r="V34" s="19">
        <f>'Cost Drivers'!V53</f>
        <v/>
      </c>
      <c r="W34" s="19">
        <f>'Cost Drivers'!W53</f>
        <v/>
      </c>
      <c r="X34" s="19">
        <f>'Cost Drivers'!X53</f>
        <v/>
      </c>
      <c r="Y34" s="19">
        <f>'Cost Drivers'!Y53</f>
        <v/>
      </c>
      <c r="Z34" s="19">
        <f>'Cost Drivers'!Z53</f>
        <v/>
      </c>
      <c r="AA34" s="19">
        <f>'Cost Drivers'!AA53</f>
        <v/>
      </c>
      <c r="AB34" s="19">
        <f>'Cost Drivers'!AB53</f>
        <v/>
      </c>
      <c r="AC34" s="19">
        <f>'Cost Drivers'!AC53</f>
        <v/>
      </c>
      <c r="AD34" s="19">
        <f>'Cost Drivers'!AD53</f>
        <v/>
      </c>
      <c r="AE34" s="19">
        <f>'Cost Drivers'!AE53</f>
        <v/>
      </c>
      <c r="AF34" s="19">
        <f>'Cost Drivers'!AF53</f>
        <v/>
      </c>
      <c r="AG34" s="19">
        <f>'Cost Drivers'!AG53</f>
        <v/>
      </c>
      <c r="AH34" s="19">
        <f>'Cost Drivers'!AH53</f>
        <v/>
      </c>
      <c r="AI34" s="19">
        <f>'Cost Drivers'!AI53</f>
        <v/>
      </c>
      <c r="AJ34" s="19">
        <f>'Cost Drivers'!AJ53</f>
        <v/>
      </c>
      <c r="AK34" s="19">
        <f>'Cost Drivers'!AK53</f>
        <v/>
      </c>
      <c r="AL34" s="19">
        <f>'Cost Drivers'!AL53</f>
        <v/>
      </c>
      <c r="AM34" s="19">
        <f>'Cost Drivers'!AM53</f>
        <v/>
      </c>
      <c r="AN34" s="19">
        <f>'Cost Drivers'!AN53</f>
        <v/>
      </c>
      <c r="AO34" s="19">
        <f>'Cost Drivers'!AO53</f>
        <v/>
      </c>
      <c r="AP34" s="19">
        <f>'Cost Drivers'!AP53</f>
        <v/>
      </c>
      <c r="AQ34" s="19">
        <f>'Cost Drivers'!AQ53</f>
        <v/>
      </c>
      <c r="AR34" s="19">
        <f>'Cost Drivers'!AR53</f>
        <v/>
      </c>
      <c r="AS34" s="19">
        <f>'Cost Drivers'!AS53</f>
        <v/>
      </c>
      <c r="AT34" s="19">
        <f>'Cost Drivers'!AT53</f>
        <v/>
      </c>
      <c r="AU34" s="19">
        <f>'Cost Drivers'!AU53</f>
        <v/>
      </c>
      <c r="AV34" s="19">
        <f>'Cost Drivers'!AV53</f>
        <v/>
      </c>
      <c r="AW34" s="19">
        <f>'Cost Drivers'!AW53</f>
        <v/>
      </c>
    </row>
    <row r="35" outlineLevel="1">
      <c r="B35" s="1">
        <f>'Cost Drivers'!B56</f>
        <v/>
      </c>
      <c r="C35" s="19">
        <f>'Cost Drivers'!C56</f>
        <v/>
      </c>
      <c r="D35" s="19">
        <f>'Cost Drivers'!D56</f>
        <v/>
      </c>
      <c r="E35" s="19">
        <f>'Cost Drivers'!E56</f>
        <v/>
      </c>
      <c r="F35" s="19">
        <f>'Cost Drivers'!F56</f>
        <v/>
      </c>
      <c r="H35" s="19">
        <f>'Cost Drivers'!H56</f>
        <v/>
      </c>
      <c r="I35" s="19">
        <f>'Cost Drivers'!I56</f>
        <v/>
      </c>
      <c r="J35" s="19">
        <f>'Cost Drivers'!J56</f>
        <v/>
      </c>
      <c r="K35" s="19">
        <f>'Cost Drivers'!K56</f>
        <v/>
      </c>
      <c r="L35" s="19">
        <f>'Cost Drivers'!L56</f>
        <v/>
      </c>
      <c r="M35" s="19">
        <f>'Cost Drivers'!M56</f>
        <v/>
      </c>
      <c r="N35" s="19">
        <f>'Cost Drivers'!N56</f>
        <v/>
      </c>
      <c r="O35" s="19">
        <f>'Cost Drivers'!O56</f>
        <v/>
      </c>
      <c r="P35" s="19">
        <f>'Cost Drivers'!P56</f>
        <v/>
      </c>
      <c r="Q35" s="19">
        <f>'Cost Drivers'!Q56</f>
        <v/>
      </c>
      <c r="R35" s="19">
        <f>'Cost Drivers'!R56</f>
        <v/>
      </c>
      <c r="S35" s="19">
        <f>'Cost Drivers'!S56</f>
        <v/>
      </c>
      <c r="T35" s="19">
        <f>'Cost Drivers'!T56</f>
        <v/>
      </c>
      <c r="U35" s="19">
        <f>'Cost Drivers'!U56</f>
        <v/>
      </c>
      <c r="V35" s="19">
        <f>'Cost Drivers'!V56</f>
        <v/>
      </c>
      <c r="W35" s="19">
        <f>'Cost Drivers'!W56</f>
        <v/>
      </c>
      <c r="X35" s="19">
        <f>'Cost Drivers'!X56</f>
        <v/>
      </c>
      <c r="Y35" s="19">
        <f>'Cost Drivers'!Y56</f>
        <v/>
      </c>
      <c r="Z35" s="19">
        <f>'Cost Drivers'!Z56</f>
        <v/>
      </c>
      <c r="AA35" s="19">
        <f>'Cost Drivers'!AA56</f>
        <v/>
      </c>
      <c r="AB35" s="19">
        <f>'Cost Drivers'!AB56</f>
        <v/>
      </c>
      <c r="AC35" s="19">
        <f>'Cost Drivers'!AC56</f>
        <v/>
      </c>
      <c r="AD35" s="19">
        <f>'Cost Drivers'!AD56</f>
        <v/>
      </c>
      <c r="AE35" s="19">
        <f>'Cost Drivers'!AE56</f>
        <v/>
      </c>
      <c r="AF35" s="19">
        <f>'Cost Drivers'!AF56</f>
        <v/>
      </c>
      <c r="AG35" s="19">
        <f>'Cost Drivers'!AG56</f>
        <v/>
      </c>
      <c r="AH35" s="19">
        <f>'Cost Drivers'!AH56</f>
        <v/>
      </c>
      <c r="AI35" s="19">
        <f>'Cost Drivers'!AI56</f>
        <v/>
      </c>
      <c r="AJ35" s="19">
        <f>'Cost Drivers'!AJ56</f>
        <v/>
      </c>
      <c r="AK35" s="19">
        <f>'Cost Drivers'!AK56</f>
        <v/>
      </c>
      <c r="AL35" s="19">
        <f>'Cost Drivers'!AL56</f>
        <v/>
      </c>
      <c r="AM35" s="19">
        <f>'Cost Drivers'!AM56</f>
        <v/>
      </c>
      <c r="AN35" s="19">
        <f>'Cost Drivers'!AN56</f>
        <v/>
      </c>
      <c r="AO35" s="19">
        <f>'Cost Drivers'!AO56</f>
        <v/>
      </c>
      <c r="AP35" s="19">
        <f>'Cost Drivers'!AP56</f>
        <v/>
      </c>
      <c r="AQ35" s="19">
        <f>'Cost Drivers'!AQ56</f>
        <v/>
      </c>
      <c r="AR35" s="19">
        <f>'Cost Drivers'!AR56</f>
        <v/>
      </c>
      <c r="AS35" s="19">
        <f>'Cost Drivers'!AS56</f>
        <v/>
      </c>
      <c r="AT35" s="19">
        <f>'Cost Drivers'!AT56</f>
        <v/>
      </c>
      <c r="AU35" s="19">
        <f>'Cost Drivers'!AU56</f>
        <v/>
      </c>
      <c r="AV35" s="19">
        <f>'Cost Drivers'!AV56</f>
        <v/>
      </c>
      <c r="AW35" s="19">
        <f>'Cost Drivers'!AW56</f>
        <v/>
      </c>
    </row>
    <row r="36" outlineLevel="1">
      <c r="B36" s="1">
        <f>'Cost Drivers'!B59</f>
        <v/>
      </c>
      <c r="C36" s="19">
        <f>'Cost Drivers'!C59</f>
        <v/>
      </c>
      <c r="D36" s="19">
        <f>'Cost Drivers'!D59</f>
        <v/>
      </c>
      <c r="E36" s="19">
        <f>'Cost Drivers'!E59</f>
        <v/>
      </c>
      <c r="F36" s="19">
        <f>'Cost Drivers'!F59</f>
        <v/>
      </c>
      <c r="H36" s="19">
        <f>'Cost Drivers'!H59</f>
        <v/>
      </c>
      <c r="I36" s="19">
        <f>'Cost Drivers'!I59</f>
        <v/>
      </c>
      <c r="J36" s="19">
        <f>'Cost Drivers'!J59</f>
        <v/>
      </c>
      <c r="K36" s="19">
        <f>'Cost Drivers'!K59</f>
        <v/>
      </c>
      <c r="L36" s="19">
        <f>'Cost Drivers'!L59</f>
        <v/>
      </c>
      <c r="M36" s="19">
        <f>'Cost Drivers'!M59</f>
        <v/>
      </c>
      <c r="N36" s="19">
        <f>'Cost Drivers'!N59</f>
        <v/>
      </c>
      <c r="O36" s="19">
        <f>'Cost Drivers'!O59</f>
        <v/>
      </c>
      <c r="P36" s="19">
        <f>'Cost Drivers'!P59</f>
        <v/>
      </c>
      <c r="Q36" s="19">
        <f>'Cost Drivers'!Q59</f>
        <v/>
      </c>
      <c r="R36" s="19">
        <f>'Cost Drivers'!R59</f>
        <v/>
      </c>
      <c r="S36" s="19">
        <f>'Cost Drivers'!S59</f>
        <v/>
      </c>
      <c r="T36" s="19">
        <f>'Cost Drivers'!T59</f>
        <v/>
      </c>
      <c r="U36" s="19">
        <f>'Cost Drivers'!U59</f>
        <v/>
      </c>
      <c r="V36" s="19">
        <f>'Cost Drivers'!V59</f>
        <v/>
      </c>
      <c r="W36" s="19">
        <f>'Cost Drivers'!W59</f>
        <v/>
      </c>
      <c r="X36" s="19">
        <f>'Cost Drivers'!X59</f>
        <v/>
      </c>
      <c r="Y36" s="19">
        <f>'Cost Drivers'!Y59</f>
        <v/>
      </c>
      <c r="Z36" s="19">
        <f>'Cost Drivers'!Z59</f>
        <v/>
      </c>
      <c r="AA36" s="19">
        <f>'Cost Drivers'!AA59</f>
        <v/>
      </c>
      <c r="AB36" s="19">
        <f>'Cost Drivers'!AB59</f>
        <v/>
      </c>
      <c r="AC36" s="19">
        <f>'Cost Drivers'!AC59</f>
        <v/>
      </c>
      <c r="AD36" s="19">
        <f>'Cost Drivers'!AD59</f>
        <v/>
      </c>
      <c r="AE36" s="19">
        <f>'Cost Drivers'!AE59</f>
        <v/>
      </c>
      <c r="AF36" s="19">
        <f>'Cost Drivers'!AF59</f>
        <v/>
      </c>
      <c r="AG36" s="19">
        <f>'Cost Drivers'!AG59</f>
        <v/>
      </c>
      <c r="AH36" s="19">
        <f>'Cost Drivers'!AH59</f>
        <v/>
      </c>
      <c r="AI36" s="19">
        <f>'Cost Drivers'!AI59</f>
        <v/>
      </c>
      <c r="AJ36" s="19">
        <f>'Cost Drivers'!AJ59</f>
        <v/>
      </c>
      <c r="AK36" s="19">
        <f>'Cost Drivers'!AK59</f>
        <v/>
      </c>
      <c r="AL36" s="19">
        <f>'Cost Drivers'!AL59</f>
        <v/>
      </c>
      <c r="AM36" s="19">
        <f>'Cost Drivers'!AM59</f>
        <v/>
      </c>
      <c r="AN36" s="19">
        <f>'Cost Drivers'!AN59</f>
        <v/>
      </c>
      <c r="AO36" s="19">
        <f>'Cost Drivers'!AO59</f>
        <v/>
      </c>
      <c r="AP36" s="19">
        <f>'Cost Drivers'!AP59</f>
        <v/>
      </c>
      <c r="AQ36" s="19">
        <f>'Cost Drivers'!AQ59</f>
        <v/>
      </c>
      <c r="AR36" s="19">
        <f>'Cost Drivers'!AR59</f>
        <v/>
      </c>
      <c r="AS36" s="19">
        <f>'Cost Drivers'!AS59</f>
        <v/>
      </c>
      <c r="AT36" s="19">
        <f>'Cost Drivers'!AT59</f>
        <v/>
      </c>
      <c r="AU36" s="19">
        <f>'Cost Drivers'!AU59</f>
        <v/>
      </c>
      <c r="AV36" s="19">
        <f>'Cost Drivers'!AV59</f>
        <v/>
      </c>
      <c r="AW36" s="19">
        <f>'Cost Drivers'!AW59</f>
        <v/>
      </c>
    </row>
    <row r="37" outlineLevel="1">
      <c r="B37" s="1">
        <f>'Cost Drivers'!B62</f>
        <v/>
      </c>
      <c r="C37" s="19">
        <f>'Cost Drivers'!C62</f>
        <v/>
      </c>
      <c r="D37" s="19">
        <f>'Cost Drivers'!D62</f>
        <v/>
      </c>
      <c r="E37" s="19">
        <f>'Cost Drivers'!E62</f>
        <v/>
      </c>
      <c r="F37" s="19">
        <f>'Cost Drivers'!F62</f>
        <v/>
      </c>
      <c r="H37" s="19">
        <f>'Cost Drivers'!H62</f>
        <v/>
      </c>
      <c r="I37" s="19">
        <f>'Cost Drivers'!I62</f>
        <v/>
      </c>
      <c r="J37" s="19">
        <f>'Cost Drivers'!J62</f>
        <v/>
      </c>
      <c r="K37" s="19">
        <f>'Cost Drivers'!K62</f>
        <v/>
      </c>
      <c r="L37" s="19">
        <f>'Cost Drivers'!L62</f>
        <v/>
      </c>
      <c r="M37" s="19">
        <f>'Cost Drivers'!M62</f>
        <v/>
      </c>
      <c r="N37" s="19">
        <f>'Cost Drivers'!N62</f>
        <v/>
      </c>
      <c r="O37" s="19">
        <f>'Cost Drivers'!O62</f>
        <v/>
      </c>
      <c r="P37" s="19">
        <f>'Cost Drivers'!P62</f>
        <v/>
      </c>
      <c r="Q37" s="19">
        <f>'Cost Drivers'!Q62</f>
        <v/>
      </c>
      <c r="R37" s="19">
        <f>'Cost Drivers'!R62</f>
        <v/>
      </c>
      <c r="S37" s="19">
        <f>'Cost Drivers'!S62</f>
        <v/>
      </c>
      <c r="T37" s="19">
        <f>'Cost Drivers'!T62</f>
        <v/>
      </c>
      <c r="U37" s="19">
        <f>'Cost Drivers'!U62</f>
        <v/>
      </c>
      <c r="V37" s="19">
        <f>'Cost Drivers'!V62</f>
        <v/>
      </c>
      <c r="W37" s="19">
        <f>'Cost Drivers'!W62</f>
        <v/>
      </c>
      <c r="X37" s="19">
        <f>'Cost Drivers'!X62</f>
        <v/>
      </c>
      <c r="Y37" s="19">
        <f>'Cost Drivers'!Y62</f>
        <v/>
      </c>
      <c r="Z37" s="19">
        <f>'Cost Drivers'!Z62</f>
        <v/>
      </c>
      <c r="AA37" s="19">
        <f>'Cost Drivers'!AA62</f>
        <v/>
      </c>
      <c r="AB37" s="19">
        <f>'Cost Drivers'!AB62</f>
        <v/>
      </c>
      <c r="AC37" s="19">
        <f>'Cost Drivers'!AC62</f>
        <v/>
      </c>
      <c r="AD37" s="19">
        <f>'Cost Drivers'!AD62</f>
        <v/>
      </c>
      <c r="AE37" s="19">
        <f>'Cost Drivers'!AE62</f>
        <v/>
      </c>
      <c r="AF37" s="19">
        <f>'Cost Drivers'!AF62</f>
        <v/>
      </c>
      <c r="AG37" s="19">
        <f>'Cost Drivers'!AG62</f>
        <v/>
      </c>
      <c r="AH37" s="19">
        <f>'Cost Drivers'!AH62</f>
        <v/>
      </c>
      <c r="AI37" s="19">
        <f>'Cost Drivers'!AI62</f>
        <v/>
      </c>
      <c r="AJ37" s="19">
        <f>'Cost Drivers'!AJ62</f>
        <v/>
      </c>
      <c r="AK37" s="19">
        <f>'Cost Drivers'!AK62</f>
        <v/>
      </c>
      <c r="AL37" s="19">
        <f>'Cost Drivers'!AL62</f>
        <v/>
      </c>
      <c r="AM37" s="19">
        <f>'Cost Drivers'!AM62</f>
        <v/>
      </c>
      <c r="AN37" s="19">
        <f>'Cost Drivers'!AN62</f>
        <v/>
      </c>
      <c r="AO37" s="19">
        <f>'Cost Drivers'!AO62</f>
        <v/>
      </c>
      <c r="AP37" s="19">
        <f>'Cost Drivers'!AP62</f>
        <v/>
      </c>
      <c r="AQ37" s="19">
        <f>'Cost Drivers'!AQ62</f>
        <v/>
      </c>
      <c r="AR37" s="19">
        <f>'Cost Drivers'!AR62</f>
        <v/>
      </c>
      <c r="AS37" s="19">
        <f>'Cost Drivers'!AS62</f>
        <v/>
      </c>
      <c r="AT37" s="19">
        <f>'Cost Drivers'!AT62</f>
        <v/>
      </c>
      <c r="AU37" s="19">
        <f>'Cost Drivers'!AU62</f>
        <v/>
      </c>
      <c r="AV37" s="19">
        <f>'Cost Drivers'!AV62</f>
        <v/>
      </c>
      <c r="AW37" s="19">
        <f>'Cost Drivers'!AW62</f>
        <v/>
      </c>
    </row>
    <row r="38" customFormat="1" s="2">
      <c r="B38" s="2" t="inlineStr">
        <is>
          <t>Adjusted EBITDA</t>
        </is>
      </c>
      <c r="C38" s="315">
        <f>'Income Statement'!C32</f>
        <v/>
      </c>
      <c r="D38" s="315">
        <f>'Income Statement'!D32</f>
        <v/>
      </c>
      <c r="E38" s="315">
        <f>'Income Statement'!E32</f>
        <v/>
      </c>
      <c r="F38" s="315">
        <f>'Income Statement'!F32</f>
        <v/>
      </c>
      <c r="G38" s="315" t="n"/>
      <c r="H38" s="315">
        <f>'Income Statement'!H32</f>
        <v/>
      </c>
      <c r="I38" s="315">
        <f>'Income Statement'!I32</f>
        <v/>
      </c>
      <c r="J38" s="315">
        <f>'Income Statement'!J32</f>
        <v/>
      </c>
      <c r="K38" s="315">
        <f>'Income Statement'!K32</f>
        <v/>
      </c>
      <c r="L38" s="315">
        <f>'Income Statement'!L32</f>
        <v/>
      </c>
      <c r="M38" s="315">
        <f>'Income Statement'!M32</f>
        <v/>
      </c>
      <c r="N38" s="315">
        <f>'Income Statement'!N32</f>
        <v/>
      </c>
      <c r="O38" s="315">
        <f>'Income Statement'!O32</f>
        <v/>
      </c>
      <c r="P38" s="315">
        <f>'Income Statement'!P32</f>
        <v/>
      </c>
      <c r="Q38" s="315">
        <f>'Income Statement'!Q32</f>
        <v/>
      </c>
      <c r="R38" s="315">
        <f>'Income Statement'!R32</f>
        <v/>
      </c>
      <c r="S38" s="315">
        <f>'Income Statement'!S32</f>
        <v/>
      </c>
      <c r="T38" s="315">
        <f>'Income Statement'!T32</f>
        <v/>
      </c>
      <c r="U38" s="315">
        <f>'Income Statement'!U32</f>
        <v/>
      </c>
      <c r="V38" s="315">
        <f>'Income Statement'!V32</f>
        <v/>
      </c>
      <c r="W38" s="315">
        <f>'Income Statement'!W32</f>
        <v/>
      </c>
      <c r="X38" s="315">
        <f>'Income Statement'!X32</f>
        <v/>
      </c>
      <c r="Y38" s="315">
        <f>'Income Statement'!Y32</f>
        <v/>
      </c>
      <c r="Z38" s="315">
        <f>'Income Statement'!Z32</f>
        <v/>
      </c>
      <c r="AA38" s="315">
        <f>'Income Statement'!AA32</f>
        <v/>
      </c>
      <c r="AB38" s="315">
        <f>'Income Statement'!AB32</f>
        <v/>
      </c>
      <c r="AC38" s="315">
        <f>'Income Statement'!AC32</f>
        <v/>
      </c>
      <c r="AD38" s="315">
        <f>'Income Statement'!AD32</f>
        <v/>
      </c>
      <c r="AE38" s="315">
        <f>'Income Statement'!AE32</f>
        <v/>
      </c>
      <c r="AF38" s="315">
        <f>'Income Statement'!AF32</f>
        <v/>
      </c>
      <c r="AG38" s="315">
        <f>'Income Statement'!AG32</f>
        <v/>
      </c>
      <c r="AH38" s="315">
        <f>'Income Statement'!AH32</f>
        <v/>
      </c>
      <c r="AI38" s="315">
        <f>'Income Statement'!AI32</f>
        <v/>
      </c>
      <c r="AJ38" s="315">
        <f>'Income Statement'!AJ32</f>
        <v/>
      </c>
      <c r="AK38" s="315">
        <f>'Income Statement'!AK32</f>
        <v/>
      </c>
      <c r="AL38" s="315">
        <f>'Income Statement'!AL32</f>
        <v/>
      </c>
      <c r="AM38" s="315">
        <f>'Income Statement'!AM32</f>
        <v/>
      </c>
      <c r="AN38" s="315">
        <f>'Income Statement'!AN32</f>
        <v/>
      </c>
      <c r="AO38" s="315">
        <f>'Income Statement'!AO32</f>
        <v/>
      </c>
      <c r="AP38" s="315">
        <f>'Income Statement'!AP32</f>
        <v/>
      </c>
      <c r="AQ38" s="315">
        <f>'Income Statement'!AQ32</f>
        <v/>
      </c>
      <c r="AR38" s="315">
        <f>'Income Statement'!AR32</f>
        <v/>
      </c>
      <c r="AS38" s="315">
        <f>'Income Statement'!AS32</f>
        <v/>
      </c>
      <c r="AT38" s="315">
        <f>'Income Statement'!AT32</f>
        <v/>
      </c>
      <c r="AU38" s="315">
        <f>'Income Statement'!AU32</f>
        <v/>
      </c>
      <c r="AV38" s="315">
        <f>'Income Statement'!AV32</f>
        <v/>
      </c>
      <c r="AW38" s="315">
        <f>'Income Statement'!AW32</f>
        <v/>
      </c>
      <c r="AX38" s="315" t="n"/>
    </row>
    <row r="39" ht="7" customHeight="1">
      <c r="B39" s="16" t="n"/>
      <c r="C39" s="317" t="n"/>
      <c r="D39" s="317" t="n"/>
      <c r="E39" s="317" t="n"/>
      <c r="F39" s="317" t="n"/>
      <c r="G39" s="317" t="n"/>
      <c r="H39" s="317" t="n"/>
      <c r="I39" s="317" t="n"/>
      <c r="J39" s="317" t="n"/>
      <c r="K39" s="317" t="n"/>
      <c r="L39" s="317" t="n"/>
      <c r="M39" s="317" t="n"/>
      <c r="N39" s="317" t="n"/>
      <c r="O39" s="317" t="n"/>
      <c r="P39" s="317" t="n"/>
      <c r="Q39" s="317" t="n"/>
      <c r="R39" s="317" t="n"/>
      <c r="S39" s="317" t="n"/>
      <c r="T39" s="317" t="n"/>
      <c r="U39" s="317" t="n"/>
      <c r="V39" s="317" t="n"/>
      <c r="W39" s="317" t="n"/>
      <c r="X39" s="317" t="n"/>
      <c r="Y39" s="317" t="n"/>
      <c r="Z39" s="317" t="n"/>
      <c r="AA39" s="317" t="n"/>
      <c r="AB39" s="317" t="n"/>
      <c r="AC39" s="317" t="n"/>
      <c r="AD39" s="317" t="n"/>
      <c r="AE39" s="317" t="n"/>
      <c r="AF39" s="317" t="n"/>
      <c r="AG39" s="317" t="n"/>
      <c r="AH39" s="317" t="n"/>
      <c r="AI39" s="317" t="n"/>
      <c r="AJ39" s="317" t="n"/>
      <c r="AK39" s="317" t="n"/>
      <c r="AL39" s="317" t="n"/>
      <c r="AM39" s="317" t="n"/>
      <c r="AN39" s="317" t="n"/>
      <c r="AO39" s="317" t="n"/>
      <c r="AP39" s="317" t="n"/>
      <c r="AQ39" s="317" t="n"/>
      <c r="AR39" s="317" t="n"/>
      <c r="AS39" s="317" t="n"/>
      <c r="AT39" s="317" t="n"/>
      <c r="AU39" s="317" t="n"/>
      <c r="AV39" s="317" t="n"/>
      <c r="AW39" s="317" t="n"/>
      <c r="AX39" s="317" t="n"/>
    </row>
    <row r="40">
      <c r="B40" s="1">
        <f>'Income Statement'!B33</f>
        <v/>
      </c>
      <c r="C40" s="318">
        <f>'Income Statement'!C33</f>
        <v/>
      </c>
      <c r="D40" s="318">
        <f>'Income Statement'!D33</f>
        <v/>
      </c>
      <c r="E40" s="318">
        <f>'Income Statement'!E33</f>
        <v/>
      </c>
      <c r="F40" s="318">
        <f>'Income Statement'!F33</f>
        <v/>
      </c>
      <c r="G40" s="317" t="n"/>
      <c r="H40" s="318">
        <f>'Income Statement'!H33</f>
        <v/>
      </c>
      <c r="I40" s="318">
        <f>'Income Statement'!I33</f>
        <v/>
      </c>
      <c r="J40" s="318">
        <f>'Income Statement'!J33</f>
        <v/>
      </c>
      <c r="K40" s="318">
        <f>'Income Statement'!K33</f>
        <v/>
      </c>
      <c r="L40" s="318">
        <f>'Income Statement'!L33</f>
        <v/>
      </c>
      <c r="M40" s="318">
        <f>'Income Statement'!M33</f>
        <v/>
      </c>
      <c r="N40" s="318">
        <f>'Income Statement'!N33</f>
        <v/>
      </c>
      <c r="O40" s="318">
        <f>'Income Statement'!O33</f>
        <v/>
      </c>
      <c r="P40" s="318">
        <f>'Income Statement'!P33</f>
        <v/>
      </c>
      <c r="Q40" s="318">
        <f>'Income Statement'!Q33</f>
        <v/>
      </c>
      <c r="R40" s="318">
        <f>'Income Statement'!R33</f>
        <v/>
      </c>
      <c r="S40" s="318">
        <f>'Income Statement'!S33</f>
        <v/>
      </c>
      <c r="T40" s="318">
        <f>'Income Statement'!T33</f>
        <v/>
      </c>
      <c r="U40" s="318">
        <f>'Income Statement'!U33</f>
        <v/>
      </c>
      <c r="V40" s="318">
        <f>'Income Statement'!V33</f>
        <v/>
      </c>
      <c r="W40" s="318">
        <f>'Income Statement'!W33</f>
        <v/>
      </c>
      <c r="X40" s="318">
        <f>'Income Statement'!X33</f>
        <v/>
      </c>
      <c r="Y40" s="318">
        <f>'Income Statement'!Y33</f>
        <v/>
      </c>
      <c r="Z40" s="318">
        <f>'Income Statement'!Z33</f>
        <v/>
      </c>
      <c r="AA40" s="318">
        <f>'Income Statement'!AA33</f>
        <v/>
      </c>
      <c r="AB40" s="318">
        <f>'Income Statement'!AB33</f>
        <v/>
      </c>
      <c r="AC40" s="318">
        <f>'Income Statement'!AC33</f>
        <v/>
      </c>
      <c r="AD40" s="318">
        <f>'Income Statement'!AD33</f>
        <v/>
      </c>
      <c r="AE40" s="318">
        <f>'Income Statement'!AE33</f>
        <v/>
      </c>
      <c r="AF40" s="318">
        <f>'Income Statement'!AF33</f>
        <v/>
      </c>
      <c r="AG40" s="318">
        <f>'Income Statement'!AG33</f>
        <v/>
      </c>
      <c r="AH40" s="318">
        <f>'Income Statement'!AH33</f>
        <v/>
      </c>
      <c r="AI40" s="318">
        <f>'Income Statement'!AI33</f>
        <v/>
      </c>
      <c r="AJ40" s="318">
        <f>'Income Statement'!AJ33</f>
        <v/>
      </c>
      <c r="AK40" s="318">
        <f>'Income Statement'!AK33</f>
        <v/>
      </c>
      <c r="AL40" s="318">
        <f>'Income Statement'!AL33</f>
        <v/>
      </c>
      <c r="AM40" s="318">
        <f>'Income Statement'!AM33</f>
        <v/>
      </c>
      <c r="AN40" s="318">
        <f>'Income Statement'!AN33</f>
        <v/>
      </c>
      <c r="AO40" s="318">
        <f>'Income Statement'!AO33</f>
        <v/>
      </c>
      <c r="AP40" s="318">
        <f>'Income Statement'!AP33</f>
        <v/>
      </c>
      <c r="AQ40" s="318">
        <f>'Income Statement'!AQ33</f>
        <v/>
      </c>
      <c r="AR40" s="318">
        <f>'Income Statement'!AR33</f>
        <v/>
      </c>
      <c r="AS40" s="318">
        <f>'Income Statement'!AS33</f>
        <v/>
      </c>
      <c r="AT40" s="318">
        <f>'Income Statement'!AT33</f>
        <v/>
      </c>
      <c r="AU40" s="318">
        <f>'Income Statement'!AU33</f>
        <v/>
      </c>
      <c r="AV40" s="318">
        <f>'Income Statement'!AV33</f>
        <v/>
      </c>
      <c r="AW40" s="318">
        <f>'Income Statement'!AW33</f>
        <v/>
      </c>
      <c r="AX40" s="317" t="n"/>
    </row>
    <row r="41">
      <c r="B41" s="1">
        <f>'Income Statement'!B34</f>
        <v/>
      </c>
      <c r="C41" s="318">
        <f>'Income Statement'!C34</f>
        <v/>
      </c>
      <c r="D41" s="318">
        <f>'Income Statement'!D34</f>
        <v/>
      </c>
      <c r="E41" s="318">
        <f>'Income Statement'!E34</f>
        <v/>
      </c>
      <c r="F41" s="318">
        <f>'Income Statement'!F34</f>
        <v/>
      </c>
      <c r="H41" s="318">
        <f>'Income Statement'!H34</f>
        <v/>
      </c>
      <c r="I41" s="318">
        <f>'Income Statement'!I34</f>
        <v/>
      </c>
      <c r="J41" s="318">
        <f>'Income Statement'!J34</f>
        <v/>
      </c>
      <c r="K41" s="318">
        <f>'Income Statement'!K34</f>
        <v/>
      </c>
      <c r="L41" s="318">
        <f>'Income Statement'!L34</f>
        <v/>
      </c>
      <c r="M41" s="318">
        <f>'Income Statement'!M34</f>
        <v/>
      </c>
      <c r="N41" s="318">
        <f>'Income Statement'!N34</f>
        <v/>
      </c>
      <c r="O41" s="318">
        <f>'Income Statement'!O34</f>
        <v/>
      </c>
      <c r="P41" s="318">
        <f>'Income Statement'!P34</f>
        <v/>
      </c>
      <c r="Q41" s="318">
        <f>'Income Statement'!Q34</f>
        <v/>
      </c>
      <c r="R41" s="318">
        <f>'Income Statement'!R34</f>
        <v/>
      </c>
      <c r="S41" s="318">
        <f>'Income Statement'!S34</f>
        <v/>
      </c>
      <c r="T41" s="318">
        <f>'Income Statement'!T34</f>
        <v/>
      </c>
      <c r="U41" s="318">
        <f>'Income Statement'!U34</f>
        <v/>
      </c>
      <c r="V41" s="318">
        <f>'Income Statement'!V34</f>
        <v/>
      </c>
      <c r="W41" s="318">
        <f>'Income Statement'!W34</f>
        <v/>
      </c>
      <c r="X41" s="318">
        <f>'Income Statement'!X34</f>
        <v/>
      </c>
      <c r="Y41" s="318">
        <f>'Income Statement'!Y34</f>
        <v/>
      </c>
      <c r="Z41" s="318">
        <f>'Income Statement'!Z34</f>
        <v/>
      </c>
      <c r="AA41" s="318">
        <f>'Income Statement'!AA34</f>
        <v/>
      </c>
      <c r="AB41" s="318">
        <f>'Income Statement'!AB34</f>
        <v/>
      </c>
      <c r="AC41" s="318">
        <f>'Income Statement'!AC34</f>
        <v/>
      </c>
      <c r="AD41" s="318">
        <f>'Income Statement'!AD34</f>
        <v/>
      </c>
      <c r="AE41" s="318">
        <f>'Income Statement'!AE34</f>
        <v/>
      </c>
      <c r="AF41" s="318">
        <f>'Income Statement'!AF34</f>
        <v/>
      </c>
      <c r="AG41" s="318">
        <f>'Income Statement'!AG34</f>
        <v/>
      </c>
      <c r="AH41" s="318">
        <f>'Income Statement'!AH34</f>
        <v/>
      </c>
      <c r="AI41" s="318">
        <f>'Income Statement'!AI34</f>
        <v/>
      </c>
      <c r="AJ41" s="318">
        <f>'Income Statement'!AJ34</f>
        <v/>
      </c>
      <c r="AK41" s="318">
        <f>'Income Statement'!AK34</f>
        <v/>
      </c>
      <c r="AL41" s="318">
        <f>'Income Statement'!AL34</f>
        <v/>
      </c>
      <c r="AM41" s="318">
        <f>'Income Statement'!AM34</f>
        <v/>
      </c>
      <c r="AN41" s="318">
        <f>'Income Statement'!AN34</f>
        <v/>
      </c>
      <c r="AO41" s="318">
        <f>'Income Statement'!AO34</f>
        <v/>
      </c>
      <c r="AP41" s="318">
        <f>'Income Statement'!AP34</f>
        <v/>
      </c>
      <c r="AQ41" s="318">
        <f>'Income Statement'!AQ34</f>
        <v/>
      </c>
      <c r="AR41" s="318">
        <f>'Income Statement'!AR34</f>
        <v/>
      </c>
      <c r="AS41" s="318">
        <f>'Income Statement'!AS34</f>
        <v/>
      </c>
      <c r="AT41" s="318">
        <f>'Income Statement'!AT34</f>
        <v/>
      </c>
      <c r="AU41" s="318">
        <f>'Income Statement'!AU34</f>
        <v/>
      </c>
      <c r="AV41" s="318">
        <f>'Income Statement'!AV34</f>
        <v/>
      </c>
      <c r="AW41" s="318">
        <f>'Income Statement'!AW34</f>
        <v/>
      </c>
    </row>
    <row r="42" customFormat="1" s="2">
      <c r="B42" s="2" t="inlineStr">
        <is>
          <t>Operating Profit</t>
        </is>
      </c>
      <c r="C42" s="315">
        <f>'Income Statement'!C36</f>
        <v/>
      </c>
      <c r="D42" s="315">
        <f>'Income Statement'!D36</f>
        <v/>
      </c>
      <c r="E42" s="315">
        <f>'Income Statement'!E36</f>
        <v/>
      </c>
      <c r="F42" s="315">
        <f>'Income Statement'!F36</f>
        <v/>
      </c>
      <c r="G42" s="315" t="n"/>
      <c r="H42" s="315">
        <f>'Income Statement'!H36</f>
        <v/>
      </c>
      <c r="I42" s="315">
        <f>'Income Statement'!I36</f>
        <v/>
      </c>
      <c r="J42" s="315">
        <f>'Income Statement'!J36</f>
        <v/>
      </c>
      <c r="K42" s="315">
        <f>'Income Statement'!K36</f>
        <v/>
      </c>
      <c r="L42" s="315">
        <f>'Income Statement'!L36</f>
        <v/>
      </c>
      <c r="M42" s="315">
        <f>'Income Statement'!M36</f>
        <v/>
      </c>
      <c r="N42" s="315">
        <f>'Income Statement'!N36</f>
        <v/>
      </c>
      <c r="O42" s="315">
        <f>'Income Statement'!O36</f>
        <v/>
      </c>
      <c r="P42" s="315">
        <f>'Income Statement'!P36</f>
        <v/>
      </c>
      <c r="Q42" s="315">
        <f>'Income Statement'!Q36</f>
        <v/>
      </c>
      <c r="R42" s="315">
        <f>'Income Statement'!R36</f>
        <v/>
      </c>
      <c r="S42" s="315">
        <f>'Income Statement'!S36</f>
        <v/>
      </c>
      <c r="T42" s="315">
        <f>'Income Statement'!T36</f>
        <v/>
      </c>
      <c r="U42" s="315">
        <f>'Income Statement'!U36</f>
        <v/>
      </c>
      <c r="V42" s="315">
        <f>'Income Statement'!V36</f>
        <v/>
      </c>
      <c r="W42" s="315">
        <f>'Income Statement'!W36</f>
        <v/>
      </c>
      <c r="X42" s="315">
        <f>'Income Statement'!X36</f>
        <v/>
      </c>
      <c r="Y42" s="315">
        <f>'Income Statement'!Y36</f>
        <v/>
      </c>
      <c r="Z42" s="315">
        <f>'Income Statement'!Z36</f>
        <v/>
      </c>
      <c r="AA42" s="315">
        <f>'Income Statement'!AA36</f>
        <v/>
      </c>
      <c r="AB42" s="315">
        <f>'Income Statement'!AB36</f>
        <v/>
      </c>
      <c r="AC42" s="315">
        <f>'Income Statement'!AC36</f>
        <v/>
      </c>
      <c r="AD42" s="315">
        <f>'Income Statement'!AD36</f>
        <v/>
      </c>
      <c r="AE42" s="315">
        <f>'Income Statement'!AE36</f>
        <v/>
      </c>
      <c r="AF42" s="315">
        <f>'Income Statement'!AF36</f>
        <v/>
      </c>
      <c r="AG42" s="315">
        <f>'Income Statement'!AG36</f>
        <v/>
      </c>
      <c r="AH42" s="315">
        <f>'Income Statement'!AH36</f>
        <v/>
      </c>
      <c r="AI42" s="315">
        <f>'Income Statement'!AI36</f>
        <v/>
      </c>
      <c r="AJ42" s="315">
        <f>'Income Statement'!AJ36</f>
        <v/>
      </c>
      <c r="AK42" s="315">
        <f>'Income Statement'!AK36</f>
        <v/>
      </c>
      <c r="AL42" s="315">
        <f>'Income Statement'!AL36</f>
        <v/>
      </c>
      <c r="AM42" s="315">
        <f>'Income Statement'!AM36</f>
        <v/>
      </c>
      <c r="AN42" s="315">
        <f>'Income Statement'!AN36</f>
        <v/>
      </c>
      <c r="AO42" s="315">
        <f>'Income Statement'!AO36</f>
        <v/>
      </c>
      <c r="AP42" s="315">
        <f>'Income Statement'!AP36</f>
        <v/>
      </c>
      <c r="AQ42" s="315">
        <f>'Income Statement'!AQ36</f>
        <v/>
      </c>
      <c r="AR42" s="315">
        <f>'Income Statement'!AR36</f>
        <v/>
      </c>
      <c r="AS42" s="315">
        <f>'Income Statement'!AS36</f>
        <v/>
      </c>
      <c r="AT42" s="315">
        <f>'Income Statement'!AT36</f>
        <v/>
      </c>
      <c r="AU42" s="315">
        <f>'Income Statement'!AU36</f>
        <v/>
      </c>
      <c r="AV42" s="315">
        <f>'Income Statement'!AV36</f>
        <v/>
      </c>
      <c r="AW42" s="315">
        <f>'Income Statement'!AW36</f>
        <v/>
      </c>
      <c r="AX42" s="315" t="n"/>
    </row>
    <row r="43" ht="7" customHeight="1">
      <c r="B43" s="16" t="n"/>
      <c r="C43" s="317" t="n"/>
      <c r="D43" s="317" t="n"/>
      <c r="E43" s="317" t="n"/>
      <c r="F43" s="317" t="n"/>
      <c r="G43" s="317" t="n"/>
      <c r="H43" s="317" t="n"/>
      <c r="I43" s="317" t="n"/>
      <c r="J43" s="317" t="n"/>
      <c r="K43" s="317" t="n"/>
      <c r="L43" s="317" t="n"/>
      <c r="M43" s="317" t="n"/>
      <c r="N43" s="317" t="n"/>
      <c r="O43" s="317" t="n"/>
      <c r="P43" s="317" t="n"/>
      <c r="Q43" s="317" t="n"/>
      <c r="R43" s="317" t="n"/>
      <c r="S43" s="317" t="n"/>
      <c r="T43" s="317" t="n"/>
      <c r="U43" s="317" t="n"/>
      <c r="V43" s="317" t="n"/>
      <c r="W43" s="317" t="n"/>
      <c r="X43" s="317" t="n"/>
      <c r="Y43" s="317" t="n"/>
      <c r="Z43" s="317" t="n"/>
      <c r="AA43" s="317" t="n"/>
      <c r="AB43" s="317" t="n"/>
      <c r="AC43" s="317" t="n"/>
      <c r="AD43" s="317" t="n"/>
      <c r="AE43" s="317" t="n"/>
      <c r="AF43" s="317" t="n"/>
      <c r="AG43" s="317" t="n"/>
      <c r="AH43" s="317" t="n"/>
      <c r="AI43" s="317" t="n"/>
      <c r="AJ43" s="317" t="n"/>
      <c r="AK43" s="317" t="n"/>
      <c r="AL43" s="317" t="n"/>
      <c r="AM43" s="317" t="n"/>
      <c r="AN43" s="317" t="n"/>
      <c r="AO43" s="317" t="n"/>
      <c r="AP43" s="317" t="n"/>
      <c r="AQ43" s="317" t="n"/>
      <c r="AR43" s="317" t="n"/>
      <c r="AS43" s="317" t="n"/>
      <c r="AT43" s="317" t="n"/>
      <c r="AU43" s="317" t="n"/>
      <c r="AV43" s="317" t="n"/>
      <c r="AW43" s="317" t="n"/>
      <c r="AX43" s="317" t="n"/>
    </row>
    <row r="44">
      <c r="B44" s="1">
        <f>'Income Statement'!B37</f>
        <v/>
      </c>
      <c r="C44" s="319">
        <f>'Income Statement'!C37</f>
        <v/>
      </c>
      <c r="D44" s="319">
        <f>'Income Statement'!D37</f>
        <v/>
      </c>
      <c r="E44" s="319">
        <f>'Income Statement'!E37</f>
        <v/>
      </c>
      <c r="F44" s="319">
        <f>'Income Statement'!F37</f>
        <v/>
      </c>
      <c r="G44" s="317" t="n"/>
      <c r="H44" s="319">
        <f>'Income Statement'!H37</f>
        <v/>
      </c>
      <c r="I44" s="319">
        <f>'Income Statement'!I37</f>
        <v/>
      </c>
      <c r="J44" s="319">
        <f>'Income Statement'!J37</f>
        <v/>
      </c>
      <c r="K44" s="319">
        <f>'Income Statement'!K37</f>
        <v/>
      </c>
      <c r="L44" s="319">
        <f>'Income Statement'!L37</f>
        <v/>
      </c>
      <c r="M44" s="319">
        <f>'Income Statement'!M37</f>
        <v/>
      </c>
      <c r="N44" s="319">
        <f>'Income Statement'!N37</f>
        <v/>
      </c>
      <c r="O44" s="319">
        <f>'Income Statement'!O37</f>
        <v/>
      </c>
      <c r="P44" s="319">
        <f>'Income Statement'!P37</f>
        <v/>
      </c>
      <c r="Q44" s="319">
        <f>'Income Statement'!Q37</f>
        <v/>
      </c>
      <c r="R44" s="319">
        <f>'Income Statement'!R37</f>
        <v/>
      </c>
      <c r="S44" s="319">
        <f>'Income Statement'!S37</f>
        <v/>
      </c>
      <c r="T44" s="319">
        <f>'Income Statement'!T37</f>
        <v/>
      </c>
      <c r="U44" s="319">
        <f>'Income Statement'!U37</f>
        <v/>
      </c>
      <c r="V44" s="319">
        <f>'Income Statement'!V37</f>
        <v/>
      </c>
      <c r="W44" s="319">
        <f>'Income Statement'!W37</f>
        <v/>
      </c>
      <c r="X44" s="319">
        <f>'Income Statement'!X37</f>
        <v/>
      </c>
      <c r="Y44" s="319">
        <f>'Income Statement'!Y37</f>
        <v/>
      </c>
      <c r="Z44" s="319">
        <f>'Income Statement'!Z37</f>
        <v/>
      </c>
      <c r="AA44" s="319">
        <f>'Income Statement'!AA37</f>
        <v/>
      </c>
      <c r="AB44" s="319">
        <f>'Income Statement'!AB37</f>
        <v/>
      </c>
      <c r="AC44" s="319">
        <f>'Income Statement'!AC37</f>
        <v/>
      </c>
      <c r="AD44" s="319">
        <f>'Income Statement'!AD37</f>
        <v/>
      </c>
      <c r="AE44" s="319">
        <f>'Income Statement'!AE37</f>
        <v/>
      </c>
      <c r="AF44" s="319">
        <f>'Income Statement'!AF37</f>
        <v/>
      </c>
      <c r="AG44" s="319">
        <f>'Income Statement'!AG37</f>
        <v/>
      </c>
      <c r="AH44" s="319">
        <f>'Income Statement'!AH37</f>
        <v/>
      </c>
      <c r="AI44" s="319">
        <f>'Income Statement'!AI37</f>
        <v/>
      </c>
      <c r="AJ44" s="319">
        <f>'Income Statement'!AJ37</f>
        <v/>
      </c>
      <c r="AK44" s="319">
        <f>'Income Statement'!AK37</f>
        <v/>
      </c>
      <c r="AL44" s="319">
        <f>'Income Statement'!AL37</f>
        <v/>
      </c>
      <c r="AM44" s="319">
        <f>'Income Statement'!AM37</f>
        <v/>
      </c>
      <c r="AN44" s="319">
        <f>'Income Statement'!AN37</f>
        <v/>
      </c>
      <c r="AO44" s="319">
        <f>'Income Statement'!AO37</f>
        <v/>
      </c>
      <c r="AP44" s="319">
        <f>'Income Statement'!AP37</f>
        <v/>
      </c>
      <c r="AQ44" s="319">
        <f>'Income Statement'!AQ37</f>
        <v/>
      </c>
      <c r="AR44" s="319">
        <f>'Income Statement'!AR37</f>
        <v/>
      </c>
      <c r="AS44" s="319">
        <f>'Income Statement'!AS37</f>
        <v/>
      </c>
      <c r="AT44" s="319">
        <f>'Income Statement'!AT37</f>
        <v/>
      </c>
      <c r="AU44" s="319">
        <f>'Income Statement'!AU37</f>
        <v/>
      </c>
      <c r="AV44" s="319">
        <f>'Income Statement'!AV37</f>
        <v/>
      </c>
      <c r="AW44" s="319">
        <f>'Income Statement'!AW37</f>
        <v/>
      </c>
      <c r="AX44" s="317" t="n"/>
    </row>
    <row r="45">
      <c r="B45" s="1">
        <f>'Income Statement'!B40</f>
        <v/>
      </c>
      <c r="C45" s="319">
        <f>'Income Statement'!C40</f>
        <v/>
      </c>
      <c r="D45" s="319">
        <f>'Income Statement'!D40</f>
        <v/>
      </c>
      <c r="E45" s="319">
        <f>'Income Statement'!E40</f>
        <v/>
      </c>
      <c r="F45" s="319">
        <f>'Income Statement'!F40</f>
        <v/>
      </c>
      <c r="H45" s="319">
        <f>'Income Statement'!H40</f>
        <v/>
      </c>
      <c r="I45" s="319">
        <f>'Income Statement'!I40</f>
        <v/>
      </c>
      <c r="J45" s="319">
        <f>'Income Statement'!J40</f>
        <v/>
      </c>
      <c r="K45" s="319">
        <f>'Income Statement'!K40</f>
        <v/>
      </c>
      <c r="L45" s="319">
        <f>'Income Statement'!L40</f>
        <v/>
      </c>
      <c r="M45" s="319">
        <f>'Income Statement'!M40</f>
        <v/>
      </c>
      <c r="N45" s="319">
        <f>'Income Statement'!N40</f>
        <v/>
      </c>
      <c r="O45" s="319">
        <f>'Income Statement'!O40</f>
        <v/>
      </c>
      <c r="P45" s="319">
        <f>'Income Statement'!P40</f>
        <v/>
      </c>
      <c r="Q45" s="319">
        <f>'Income Statement'!Q40</f>
        <v/>
      </c>
      <c r="R45" s="319">
        <f>'Income Statement'!R40</f>
        <v/>
      </c>
      <c r="S45" s="319">
        <f>'Income Statement'!S40</f>
        <v/>
      </c>
      <c r="T45" s="319">
        <f>'Income Statement'!T40</f>
        <v/>
      </c>
      <c r="U45" s="319">
        <f>'Income Statement'!U40</f>
        <v/>
      </c>
      <c r="V45" s="319">
        <f>'Income Statement'!V40</f>
        <v/>
      </c>
      <c r="W45" s="319">
        <f>'Income Statement'!W40</f>
        <v/>
      </c>
      <c r="X45" s="319">
        <f>'Income Statement'!X40</f>
        <v/>
      </c>
      <c r="Y45" s="319">
        <f>'Income Statement'!Y40</f>
        <v/>
      </c>
      <c r="Z45" s="319">
        <f>'Income Statement'!Z40</f>
        <v/>
      </c>
      <c r="AA45" s="319">
        <f>'Income Statement'!AA40</f>
        <v/>
      </c>
      <c r="AB45" s="319">
        <f>'Income Statement'!AB40</f>
        <v/>
      </c>
      <c r="AC45" s="319">
        <f>'Income Statement'!AC40</f>
        <v/>
      </c>
      <c r="AD45" s="319">
        <f>'Income Statement'!AD40</f>
        <v/>
      </c>
      <c r="AE45" s="319">
        <f>'Income Statement'!AE40</f>
        <v/>
      </c>
      <c r="AF45" s="319">
        <f>'Income Statement'!AF40</f>
        <v/>
      </c>
      <c r="AG45" s="319">
        <f>'Income Statement'!AG40</f>
        <v/>
      </c>
      <c r="AH45" s="319">
        <f>'Income Statement'!AH40</f>
        <v/>
      </c>
      <c r="AI45" s="319">
        <f>'Income Statement'!AI40</f>
        <v/>
      </c>
      <c r="AJ45" s="319">
        <f>'Income Statement'!AJ40</f>
        <v/>
      </c>
      <c r="AK45" s="319">
        <f>'Income Statement'!AK40</f>
        <v/>
      </c>
      <c r="AL45" s="319">
        <f>'Income Statement'!AL40</f>
        <v/>
      </c>
      <c r="AM45" s="319">
        <f>'Income Statement'!AM40</f>
        <v/>
      </c>
      <c r="AN45" s="319">
        <f>'Income Statement'!AN40</f>
        <v/>
      </c>
      <c r="AO45" s="319">
        <f>'Income Statement'!AO40</f>
        <v/>
      </c>
      <c r="AP45" s="319">
        <f>'Income Statement'!AP40</f>
        <v/>
      </c>
      <c r="AQ45" s="319">
        <f>'Income Statement'!AQ40</f>
        <v/>
      </c>
      <c r="AR45" s="319">
        <f>'Income Statement'!AR40</f>
        <v/>
      </c>
      <c r="AS45" s="319">
        <f>'Income Statement'!AS40</f>
        <v/>
      </c>
      <c r="AT45" s="319">
        <f>'Income Statement'!AT40</f>
        <v/>
      </c>
      <c r="AU45" s="319">
        <f>'Income Statement'!AU40</f>
        <v/>
      </c>
      <c r="AV45" s="319">
        <f>'Income Statement'!AV40</f>
        <v/>
      </c>
      <c r="AW45" s="319">
        <f>'Income Statement'!AW40</f>
        <v/>
      </c>
    </row>
    <row r="46" customFormat="1" s="2">
      <c r="B46" s="22" t="inlineStr">
        <is>
          <t>Net Income</t>
        </is>
      </c>
      <c r="C46" s="320">
        <f>'Income Statement'!C42</f>
        <v/>
      </c>
      <c r="D46" s="320">
        <f>'Income Statement'!D42</f>
        <v/>
      </c>
      <c r="E46" s="320">
        <f>'Income Statement'!E42</f>
        <v/>
      </c>
      <c r="F46" s="320">
        <f>'Income Statement'!F42</f>
        <v/>
      </c>
      <c r="G46" s="315" t="n"/>
      <c r="H46" s="320">
        <f>'Income Statement'!H42</f>
        <v/>
      </c>
      <c r="I46" s="320">
        <f>'Income Statement'!I42</f>
        <v/>
      </c>
      <c r="J46" s="320">
        <f>'Income Statement'!J42</f>
        <v/>
      </c>
      <c r="K46" s="320">
        <f>'Income Statement'!K42</f>
        <v/>
      </c>
      <c r="L46" s="320">
        <f>'Income Statement'!L42</f>
        <v/>
      </c>
      <c r="M46" s="320">
        <f>'Income Statement'!M42</f>
        <v/>
      </c>
      <c r="N46" s="320">
        <f>'Income Statement'!N42</f>
        <v/>
      </c>
      <c r="O46" s="320">
        <f>'Income Statement'!O42</f>
        <v/>
      </c>
      <c r="P46" s="320">
        <f>'Income Statement'!P42</f>
        <v/>
      </c>
      <c r="Q46" s="320">
        <f>'Income Statement'!Q42</f>
        <v/>
      </c>
      <c r="R46" s="320">
        <f>'Income Statement'!R42</f>
        <v/>
      </c>
      <c r="S46" s="320">
        <f>'Income Statement'!S42</f>
        <v/>
      </c>
      <c r="T46" s="320">
        <f>'Income Statement'!T42</f>
        <v/>
      </c>
      <c r="U46" s="320">
        <f>'Income Statement'!U42</f>
        <v/>
      </c>
      <c r="V46" s="320">
        <f>'Income Statement'!V42</f>
        <v/>
      </c>
      <c r="W46" s="320">
        <f>'Income Statement'!W42</f>
        <v/>
      </c>
      <c r="X46" s="320">
        <f>'Income Statement'!X42</f>
        <v/>
      </c>
      <c r="Y46" s="320">
        <f>'Income Statement'!Y42</f>
        <v/>
      </c>
      <c r="Z46" s="320">
        <f>'Income Statement'!Z42</f>
        <v/>
      </c>
      <c r="AA46" s="320">
        <f>'Income Statement'!AA42</f>
        <v/>
      </c>
      <c r="AB46" s="320">
        <f>'Income Statement'!AB42</f>
        <v/>
      </c>
      <c r="AC46" s="320">
        <f>'Income Statement'!AC42</f>
        <v/>
      </c>
      <c r="AD46" s="320">
        <f>'Income Statement'!AD42</f>
        <v/>
      </c>
      <c r="AE46" s="320">
        <f>'Income Statement'!AE42</f>
        <v/>
      </c>
      <c r="AF46" s="320">
        <f>'Income Statement'!AF42</f>
        <v/>
      </c>
      <c r="AG46" s="320">
        <f>'Income Statement'!AG42</f>
        <v/>
      </c>
      <c r="AH46" s="320">
        <f>'Income Statement'!AH42</f>
        <v/>
      </c>
      <c r="AI46" s="320">
        <f>'Income Statement'!AI42</f>
        <v/>
      </c>
      <c r="AJ46" s="320">
        <f>'Income Statement'!AJ42</f>
        <v/>
      </c>
      <c r="AK46" s="320">
        <f>'Income Statement'!AK42</f>
        <v/>
      </c>
      <c r="AL46" s="320">
        <f>'Income Statement'!AL42</f>
        <v/>
      </c>
      <c r="AM46" s="320">
        <f>'Income Statement'!AM42</f>
        <v/>
      </c>
      <c r="AN46" s="320">
        <f>'Income Statement'!AN42</f>
        <v/>
      </c>
      <c r="AO46" s="320">
        <f>'Income Statement'!AO42</f>
        <v/>
      </c>
      <c r="AP46" s="320">
        <f>'Income Statement'!AP42</f>
        <v/>
      </c>
      <c r="AQ46" s="320">
        <f>'Income Statement'!AQ42</f>
        <v/>
      </c>
      <c r="AR46" s="320">
        <f>'Income Statement'!AR42</f>
        <v/>
      </c>
      <c r="AS46" s="320">
        <f>'Income Statement'!AS42</f>
        <v/>
      </c>
      <c r="AT46" s="320">
        <f>'Income Statement'!AT42</f>
        <v/>
      </c>
      <c r="AU46" s="320">
        <f>'Income Statement'!AU42</f>
        <v/>
      </c>
      <c r="AV46" s="320">
        <f>'Income Statement'!AV42</f>
        <v/>
      </c>
      <c r="AW46" s="320">
        <f>'Income Statement'!AW42</f>
        <v/>
      </c>
      <c r="AX46" s="315" t="n"/>
    </row>
    <row r="47">
      <c r="B47" s="16" t="n"/>
      <c r="C47" s="317" t="n"/>
      <c r="D47" s="317" t="n"/>
      <c r="E47" s="317" t="n"/>
      <c r="F47" s="317" t="n"/>
      <c r="G47" s="317" t="n"/>
      <c r="H47" s="317" t="n"/>
      <c r="I47" s="317" t="n"/>
      <c r="J47" s="317" t="n"/>
      <c r="K47" s="317" t="n"/>
      <c r="L47" s="317" t="n"/>
      <c r="M47" s="317" t="n"/>
      <c r="N47" s="317" t="n"/>
      <c r="O47" s="317" t="n"/>
      <c r="P47" s="317" t="n"/>
      <c r="Q47" s="317" t="n"/>
      <c r="R47" s="317" t="n"/>
      <c r="S47" s="317" t="n"/>
      <c r="T47" s="317" t="n"/>
      <c r="U47" s="317" t="n"/>
      <c r="V47" s="317" t="n"/>
      <c r="W47" s="317" t="n"/>
      <c r="X47" s="317" t="n"/>
      <c r="Y47" s="317" t="n"/>
      <c r="Z47" s="317" t="n"/>
      <c r="AA47" s="317" t="n"/>
      <c r="AB47" s="317" t="n"/>
      <c r="AC47" s="317" t="n"/>
      <c r="AD47" s="317" t="n"/>
      <c r="AE47" s="317" t="n"/>
      <c r="AF47" s="317" t="n"/>
      <c r="AG47" s="317" t="n"/>
      <c r="AH47" s="317" t="n"/>
      <c r="AI47" s="317" t="n"/>
      <c r="AJ47" s="317" t="n"/>
      <c r="AK47" s="317" t="n"/>
      <c r="AL47" s="317" t="n"/>
      <c r="AM47" s="317" t="n"/>
      <c r="AN47" s="317" t="n"/>
      <c r="AO47" s="317" t="n"/>
      <c r="AP47" s="317" t="n"/>
      <c r="AQ47" s="317" t="n"/>
      <c r="AR47" s="317" t="n"/>
      <c r="AS47" s="317" t="n"/>
      <c r="AT47" s="317" t="n"/>
      <c r="AU47" s="317" t="n"/>
      <c r="AV47" s="317" t="n"/>
      <c r="AW47" s="317" t="n"/>
      <c r="AX47" s="317" t="n"/>
    </row>
    <row r="48" ht="2" customFormat="1" customHeight="1" s="26">
      <c r="B48" s="24" t="n"/>
      <c r="C48" s="321" t="n"/>
      <c r="D48" s="321" t="n"/>
      <c r="E48" s="321" t="n"/>
      <c r="F48" s="321" t="n"/>
      <c r="G48" s="321" t="n"/>
      <c r="H48" s="321" t="n"/>
      <c r="I48" s="321" t="n"/>
      <c r="J48" s="321" t="n"/>
      <c r="K48" s="321" t="n"/>
      <c r="L48" s="321" t="n"/>
      <c r="M48" s="321" t="n"/>
      <c r="N48" s="321" t="n"/>
      <c r="O48" s="321" t="n"/>
      <c r="P48" s="321" t="n"/>
      <c r="Q48" s="321" t="n"/>
      <c r="R48" s="321" t="n"/>
      <c r="S48" s="321" t="n"/>
      <c r="T48" s="321" t="n"/>
      <c r="U48" s="321" t="n"/>
      <c r="V48" s="321" t="n"/>
      <c r="W48" s="321" t="n"/>
      <c r="X48" s="321" t="n"/>
      <c r="Y48" s="321" t="n"/>
      <c r="Z48" s="321" t="n"/>
      <c r="AA48" s="321" t="n"/>
      <c r="AB48" s="321" t="n"/>
      <c r="AC48" s="321" t="n"/>
      <c r="AD48" s="321" t="n"/>
      <c r="AE48" s="321" t="n"/>
      <c r="AF48" s="321" t="n"/>
      <c r="AG48" s="321" t="n"/>
      <c r="AH48" s="321" t="n"/>
      <c r="AI48" s="321" t="n"/>
      <c r="AJ48" s="321" t="n"/>
      <c r="AK48" s="321" t="n"/>
      <c r="AL48" s="321" t="n"/>
      <c r="AM48" s="321" t="n"/>
      <c r="AN48" s="321" t="n"/>
      <c r="AO48" s="321" t="n"/>
      <c r="AP48" s="321" t="n"/>
      <c r="AQ48" s="321" t="n"/>
      <c r="AR48" s="321" t="n"/>
      <c r="AS48" s="321" t="n"/>
      <c r="AT48" s="321" t="n"/>
      <c r="AU48" s="321" t="n"/>
      <c r="AV48" s="321" t="n"/>
      <c r="AW48" s="321" t="n"/>
      <c r="AX48" s="321" t="n"/>
    </row>
    <row r="49">
      <c r="B49" s="16" t="n"/>
      <c r="C49" s="317" t="n"/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7" t="n"/>
      <c r="P49" s="317" t="n"/>
      <c r="Q49" s="317" t="n"/>
      <c r="R49" s="317" t="n"/>
      <c r="S49" s="317" t="n"/>
      <c r="T49" s="317" t="n"/>
      <c r="U49" s="317" t="n"/>
      <c r="V49" s="317" t="n"/>
      <c r="W49" s="317" t="n"/>
      <c r="X49" s="317" t="n"/>
      <c r="Y49" s="317" t="n"/>
      <c r="Z49" s="317" t="n"/>
      <c r="AA49" s="317" t="n"/>
      <c r="AB49" s="317" t="n"/>
      <c r="AC49" s="317" t="n"/>
      <c r="AD49" s="317" t="n"/>
      <c r="AE49" s="317" t="n"/>
      <c r="AF49" s="317" t="n"/>
      <c r="AG49" s="317" t="n"/>
      <c r="AH49" s="317" t="n"/>
      <c r="AI49" s="317" t="n"/>
      <c r="AJ49" s="317" t="n"/>
      <c r="AK49" s="317" t="n"/>
      <c r="AL49" s="317" t="n"/>
      <c r="AM49" s="317" t="n"/>
      <c r="AN49" s="317" t="n"/>
      <c r="AO49" s="317" t="n"/>
      <c r="AP49" s="317" t="n"/>
      <c r="AQ49" s="317" t="n"/>
      <c r="AR49" s="317" t="n"/>
      <c r="AS49" s="317" t="n"/>
      <c r="AT49" s="317" t="n"/>
      <c r="AU49" s="317" t="n"/>
      <c r="AV49" s="317" t="n"/>
      <c r="AW49" s="317" t="n"/>
      <c r="AX49" s="317" t="n"/>
    </row>
    <row r="50">
      <c r="B50" s="9" t="inlineStr">
        <is>
          <t>Cash Flow Statement</t>
        </is>
      </c>
    </row>
    <row r="51" customFormat="1" s="2">
      <c r="B51" s="2" t="inlineStr">
        <is>
          <t xml:space="preserve">Cash flow from operating activities </t>
        </is>
      </c>
      <c r="C51" s="315">
        <f>Cashflow!C14</f>
        <v/>
      </c>
      <c r="D51" s="315">
        <f>Cashflow!D14</f>
        <v/>
      </c>
      <c r="E51" s="315">
        <f>Cashflow!E14</f>
        <v/>
      </c>
      <c r="F51" s="315">
        <f>Cashflow!F14</f>
        <v/>
      </c>
      <c r="G51" s="315" t="n"/>
      <c r="H51" s="315">
        <f>Cashflow!H14</f>
        <v/>
      </c>
      <c r="I51" s="315">
        <f>Cashflow!I14</f>
        <v/>
      </c>
      <c r="J51" s="315">
        <f>Cashflow!J14</f>
        <v/>
      </c>
      <c r="K51" s="315">
        <f>Cashflow!K14</f>
        <v/>
      </c>
      <c r="L51" s="315">
        <f>Cashflow!L14</f>
        <v/>
      </c>
      <c r="M51" s="315">
        <f>Cashflow!M14</f>
        <v/>
      </c>
      <c r="N51" s="315">
        <f>Cashflow!N14</f>
        <v/>
      </c>
      <c r="O51" s="315">
        <f>Cashflow!O14</f>
        <v/>
      </c>
      <c r="P51" s="315">
        <f>Cashflow!P14</f>
        <v/>
      </c>
      <c r="Q51" s="315">
        <f>Cashflow!Q14</f>
        <v/>
      </c>
      <c r="R51" s="315">
        <f>Cashflow!R14</f>
        <v/>
      </c>
      <c r="S51" s="315">
        <f>Cashflow!S14</f>
        <v/>
      </c>
      <c r="T51" s="315">
        <f>Cashflow!T14</f>
        <v/>
      </c>
      <c r="U51" s="315">
        <f>Cashflow!U14</f>
        <v/>
      </c>
      <c r="V51" s="315">
        <f>Cashflow!V14</f>
        <v/>
      </c>
      <c r="W51" s="315">
        <f>Cashflow!W14</f>
        <v/>
      </c>
      <c r="X51" s="315">
        <f>Cashflow!X14</f>
        <v/>
      </c>
      <c r="Y51" s="315">
        <f>Cashflow!Y14</f>
        <v/>
      </c>
      <c r="Z51" s="315">
        <f>Cashflow!Z14</f>
        <v/>
      </c>
      <c r="AA51" s="315">
        <f>Cashflow!AA14</f>
        <v/>
      </c>
      <c r="AB51" s="315">
        <f>Cashflow!AB14</f>
        <v/>
      </c>
      <c r="AC51" s="315">
        <f>Cashflow!AC14</f>
        <v/>
      </c>
      <c r="AD51" s="315">
        <f>Cashflow!AD14</f>
        <v/>
      </c>
      <c r="AE51" s="315">
        <f>Cashflow!AE14</f>
        <v/>
      </c>
      <c r="AF51" s="315">
        <f>Cashflow!AF14</f>
        <v/>
      </c>
      <c r="AG51" s="315">
        <f>Cashflow!AG14</f>
        <v/>
      </c>
      <c r="AH51" s="315">
        <f>Cashflow!AH14</f>
        <v/>
      </c>
      <c r="AI51" s="315">
        <f>Cashflow!AI14</f>
        <v/>
      </c>
      <c r="AJ51" s="315">
        <f>Cashflow!AJ14</f>
        <v/>
      </c>
      <c r="AK51" s="315">
        <f>Cashflow!AK14</f>
        <v/>
      </c>
      <c r="AL51" s="315">
        <f>Cashflow!AL14</f>
        <v/>
      </c>
      <c r="AM51" s="315">
        <f>Cashflow!AM14</f>
        <v/>
      </c>
      <c r="AN51" s="315">
        <f>Cashflow!AN14</f>
        <v/>
      </c>
      <c r="AO51" s="315">
        <f>Cashflow!AO14</f>
        <v/>
      </c>
      <c r="AP51" s="315">
        <f>Cashflow!AP14</f>
        <v/>
      </c>
      <c r="AQ51" s="315">
        <f>Cashflow!AQ14</f>
        <v/>
      </c>
      <c r="AR51" s="315">
        <f>Cashflow!AR14</f>
        <v/>
      </c>
      <c r="AS51" s="315">
        <f>Cashflow!AS14</f>
        <v/>
      </c>
      <c r="AT51" s="315">
        <f>Cashflow!AT14</f>
        <v/>
      </c>
      <c r="AU51" s="315">
        <f>Cashflow!AU14</f>
        <v/>
      </c>
      <c r="AV51" s="315">
        <f>Cashflow!AV14</f>
        <v/>
      </c>
      <c r="AW51" s="315">
        <f>Cashflow!AW14</f>
        <v/>
      </c>
      <c r="AX51" s="315" t="n"/>
    </row>
    <row r="52" outlineLevel="1">
      <c r="B52" s="1">
        <f>Cashflow!B8</f>
        <v/>
      </c>
      <c r="C52" s="19">
        <f>Cashflow!C8</f>
        <v/>
      </c>
      <c r="D52" s="19">
        <f>Cashflow!D8</f>
        <v/>
      </c>
      <c r="E52" s="19">
        <f>Cashflow!E8</f>
        <v/>
      </c>
      <c r="F52" s="19">
        <f>Cashflow!F8</f>
        <v/>
      </c>
      <c r="G52" s="19" t="n"/>
      <c r="H52" s="19">
        <f>Cashflow!H8</f>
        <v/>
      </c>
      <c r="I52" s="19">
        <f>Cashflow!I8</f>
        <v/>
      </c>
      <c r="J52" s="19">
        <f>Cashflow!J8</f>
        <v/>
      </c>
      <c r="K52" s="19">
        <f>Cashflow!K8</f>
        <v/>
      </c>
      <c r="L52" s="19">
        <f>Cashflow!L8</f>
        <v/>
      </c>
      <c r="M52" s="19">
        <f>Cashflow!M8</f>
        <v/>
      </c>
      <c r="N52" s="19">
        <f>Cashflow!N8</f>
        <v/>
      </c>
      <c r="O52" s="19">
        <f>Cashflow!O8</f>
        <v/>
      </c>
      <c r="P52" s="19">
        <f>Cashflow!P8</f>
        <v/>
      </c>
      <c r="Q52" s="19">
        <f>Cashflow!Q8</f>
        <v/>
      </c>
      <c r="R52" s="19">
        <f>Cashflow!R8</f>
        <v/>
      </c>
      <c r="S52" s="19">
        <f>Cashflow!S8</f>
        <v/>
      </c>
      <c r="T52" s="19">
        <f>Cashflow!T8</f>
        <v/>
      </c>
      <c r="U52" s="19">
        <f>Cashflow!U8</f>
        <v/>
      </c>
      <c r="V52" s="19">
        <f>Cashflow!V8</f>
        <v/>
      </c>
      <c r="W52" s="19">
        <f>Cashflow!W8</f>
        <v/>
      </c>
      <c r="X52" s="19">
        <f>Cashflow!X8</f>
        <v/>
      </c>
      <c r="Y52" s="19">
        <f>Cashflow!Y8</f>
        <v/>
      </c>
      <c r="Z52" s="19">
        <f>Cashflow!Z8</f>
        <v/>
      </c>
      <c r="AA52" s="19">
        <f>Cashflow!AA8</f>
        <v/>
      </c>
      <c r="AB52" s="19">
        <f>Cashflow!AB8</f>
        <v/>
      </c>
      <c r="AC52" s="19">
        <f>Cashflow!AC8</f>
        <v/>
      </c>
      <c r="AD52" s="19">
        <f>Cashflow!AD8</f>
        <v/>
      </c>
      <c r="AE52" s="19">
        <f>Cashflow!AE8</f>
        <v/>
      </c>
      <c r="AF52" s="19">
        <f>Cashflow!AF8</f>
        <v/>
      </c>
      <c r="AG52" s="19">
        <f>Cashflow!AG8</f>
        <v/>
      </c>
      <c r="AH52" s="19">
        <f>Cashflow!AH8</f>
        <v/>
      </c>
      <c r="AI52" s="19">
        <f>Cashflow!AI8</f>
        <v/>
      </c>
      <c r="AJ52" s="19">
        <f>Cashflow!AJ8</f>
        <v/>
      </c>
      <c r="AK52" s="19">
        <f>Cashflow!AK8</f>
        <v/>
      </c>
      <c r="AL52" s="19">
        <f>Cashflow!AL8</f>
        <v/>
      </c>
      <c r="AM52" s="19">
        <f>Cashflow!AM8</f>
        <v/>
      </c>
      <c r="AN52" s="19">
        <f>Cashflow!AN8</f>
        <v/>
      </c>
      <c r="AO52" s="19">
        <f>Cashflow!AO8</f>
        <v/>
      </c>
      <c r="AP52" s="19">
        <f>Cashflow!AP8</f>
        <v/>
      </c>
      <c r="AQ52" s="19">
        <f>Cashflow!AQ8</f>
        <v/>
      </c>
      <c r="AR52" s="19">
        <f>Cashflow!AR8</f>
        <v/>
      </c>
      <c r="AS52" s="19">
        <f>Cashflow!AS8</f>
        <v/>
      </c>
      <c r="AT52" s="19">
        <f>Cashflow!AT8</f>
        <v/>
      </c>
      <c r="AU52" s="19">
        <f>Cashflow!AU8</f>
        <v/>
      </c>
      <c r="AV52" s="19">
        <f>Cashflow!AV8</f>
        <v/>
      </c>
      <c r="AW52" s="19">
        <f>Cashflow!AW8</f>
        <v/>
      </c>
      <c r="AX52" s="316" t="n"/>
    </row>
    <row r="53" outlineLevel="1">
      <c r="B53" s="1">
        <f>Cashflow!B9</f>
        <v/>
      </c>
      <c r="C53" s="19">
        <f>Cashflow!C9</f>
        <v/>
      </c>
      <c r="D53" s="19">
        <f>Cashflow!D9</f>
        <v/>
      </c>
      <c r="E53" s="19">
        <f>Cashflow!E9</f>
        <v/>
      </c>
      <c r="F53" s="19">
        <f>Cashflow!F9</f>
        <v/>
      </c>
      <c r="G53" s="19" t="n"/>
      <c r="H53" s="19">
        <f>Cashflow!H9</f>
        <v/>
      </c>
      <c r="I53" s="19">
        <f>Cashflow!I9</f>
        <v/>
      </c>
      <c r="J53" s="19">
        <f>Cashflow!J9</f>
        <v/>
      </c>
      <c r="K53" s="19">
        <f>Cashflow!K9</f>
        <v/>
      </c>
      <c r="L53" s="19">
        <f>Cashflow!L9</f>
        <v/>
      </c>
      <c r="M53" s="19">
        <f>Cashflow!M9</f>
        <v/>
      </c>
      <c r="N53" s="19">
        <f>Cashflow!N9</f>
        <v/>
      </c>
      <c r="O53" s="19">
        <f>Cashflow!O9</f>
        <v/>
      </c>
      <c r="P53" s="19">
        <f>Cashflow!P9</f>
        <v/>
      </c>
      <c r="Q53" s="19">
        <f>Cashflow!Q9</f>
        <v/>
      </c>
      <c r="R53" s="19">
        <f>Cashflow!R9</f>
        <v/>
      </c>
      <c r="S53" s="19">
        <f>Cashflow!S9</f>
        <v/>
      </c>
      <c r="T53" s="19">
        <f>Cashflow!T9</f>
        <v/>
      </c>
      <c r="U53" s="19">
        <f>Cashflow!U9</f>
        <v/>
      </c>
      <c r="V53" s="19">
        <f>Cashflow!V9</f>
        <v/>
      </c>
      <c r="W53" s="19">
        <f>Cashflow!W9</f>
        <v/>
      </c>
      <c r="X53" s="19">
        <f>Cashflow!X9</f>
        <v/>
      </c>
      <c r="Y53" s="19">
        <f>Cashflow!Y9</f>
        <v/>
      </c>
      <c r="Z53" s="19">
        <f>Cashflow!Z9</f>
        <v/>
      </c>
      <c r="AA53" s="19">
        <f>Cashflow!AA9</f>
        <v/>
      </c>
      <c r="AB53" s="19">
        <f>Cashflow!AB9</f>
        <v/>
      </c>
      <c r="AC53" s="19">
        <f>Cashflow!AC9</f>
        <v/>
      </c>
      <c r="AD53" s="19">
        <f>Cashflow!AD9</f>
        <v/>
      </c>
      <c r="AE53" s="19">
        <f>Cashflow!AE9</f>
        <v/>
      </c>
      <c r="AF53" s="19">
        <f>Cashflow!AF9</f>
        <v/>
      </c>
      <c r="AG53" s="19">
        <f>Cashflow!AG9</f>
        <v/>
      </c>
      <c r="AH53" s="19">
        <f>Cashflow!AH9</f>
        <v/>
      </c>
      <c r="AI53" s="19">
        <f>Cashflow!AI9</f>
        <v/>
      </c>
      <c r="AJ53" s="19">
        <f>Cashflow!AJ9</f>
        <v/>
      </c>
      <c r="AK53" s="19">
        <f>Cashflow!AK9</f>
        <v/>
      </c>
      <c r="AL53" s="19">
        <f>Cashflow!AL9</f>
        <v/>
      </c>
      <c r="AM53" s="19">
        <f>Cashflow!AM9</f>
        <v/>
      </c>
      <c r="AN53" s="19">
        <f>Cashflow!AN9</f>
        <v/>
      </c>
      <c r="AO53" s="19">
        <f>Cashflow!AO9</f>
        <v/>
      </c>
      <c r="AP53" s="19">
        <f>Cashflow!AP9</f>
        <v/>
      </c>
      <c r="AQ53" s="19">
        <f>Cashflow!AQ9</f>
        <v/>
      </c>
      <c r="AR53" s="19">
        <f>Cashflow!AR9</f>
        <v/>
      </c>
      <c r="AS53" s="19">
        <f>Cashflow!AS9</f>
        <v/>
      </c>
      <c r="AT53" s="19">
        <f>Cashflow!AT9</f>
        <v/>
      </c>
      <c r="AU53" s="19">
        <f>Cashflow!AU9</f>
        <v/>
      </c>
      <c r="AV53" s="19">
        <f>Cashflow!AV9</f>
        <v/>
      </c>
      <c r="AW53" s="19">
        <f>Cashflow!AW9</f>
        <v/>
      </c>
      <c r="AX53" s="316" t="n"/>
    </row>
    <row r="54" outlineLevel="1">
      <c r="B54" s="1">
        <f>Cashflow!B10</f>
        <v/>
      </c>
      <c r="C54" s="19">
        <f>Cashflow!C10</f>
        <v/>
      </c>
      <c r="D54" s="19">
        <f>Cashflow!D10</f>
        <v/>
      </c>
      <c r="E54" s="19">
        <f>Cashflow!E10</f>
        <v/>
      </c>
      <c r="F54" s="19">
        <f>Cashflow!F10</f>
        <v/>
      </c>
      <c r="G54" s="19" t="n"/>
      <c r="H54" s="19">
        <f>Cashflow!H10</f>
        <v/>
      </c>
      <c r="I54" s="19">
        <f>Cashflow!I10</f>
        <v/>
      </c>
      <c r="J54" s="19">
        <f>Cashflow!J10</f>
        <v/>
      </c>
      <c r="K54" s="19">
        <f>Cashflow!K10</f>
        <v/>
      </c>
      <c r="L54" s="19">
        <f>Cashflow!L10</f>
        <v/>
      </c>
      <c r="M54" s="19">
        <f>Cashflow!M10</f>
        <v/>
      </c>
      <c r="N54" s="19">
        <f>Cashflow!N10</f>
        <v/>
      </c>
      <c r="O54" s="19">
        <f>Cashflow!O10</f>
        <v/>
      </c>
      <c r="P54" s="19">
        <f>Cashflow!P10</f>
        <v/>
      </c>
      <c r="Q54" s="19">
        <f>Cashflow!Q10</f>
        <v/>
      </c>
      <c r="R54" s="19">
        <f>Cashflow!R10</f>
        <v/>
      </c>
      <c r="S54" s="19">
        <f>Cashflow!S10</f>
        <v/>
      </c>
      <c r="T54" s="19">
        <f>Cashflow!T10</f>
        <v/>
      </c>
      <c r="U54" s="19">
        <f>Cashflow!U10</f>
        <v/>
      </c>
      <c r="V54" s="19">
        <f>Cashflow!V10</f>
        <v/>
      </c>
      <c r="W54" s="19">
        <f>Cashflow!W10</f>
        <v/>
      </c>
      <c r="X54" s="19">
        <f>Cashflow!X10</f>
        <v/>
      </c>
      <c r="Y54" s="19">
        <f>Cashflow!Y10</f>
        <v/>
      </c>
      <c r="Z54" s="19">
        <f>Cashflow!Z10</f>
        <v/>
      </c>
      <c r="AA54" s="19">
        <f>Cashflow!AA10</f>
        <v/>
      </c>
      <c r="AB54" s="19">
        <f>Cashflow!AB10</f>
        <v/>
      </c>
      <c r="AC54" s="19">
        <f>Cashflow!AC10</f>
        <v/>
      </c>
      <c r="AD54" s="19">
        <f>Cashflow!AD10</f>
        <v/>
      </c>
      <c r="AE54" s="19">
        <f>Cashflow!AE10</f>
        <v/>
      </c>
      <c r="AF54" s="19">
        <f>Cashflow!AF10</f>
        <v/>
      </c>
      <c r="AG54" s="19">
        <f>Cashflow!AG10</f>
        <v/>
      </c>
      <c r="AH54" s="19">
        <f>Cashflow!AH10</f>
        <v/>
      </c>
      <c r="AI54" s="19">
        <f>Cashflow!AI10</f>
        <v/>
      </c>
      <c r="AJ54" s="19">
        <f>Cashflow!AJ10</f>
        <v/>
      </c>
      <c r="AK54" s="19">
        <f>Cashflow!AK10</f>
        <v/>
      </c>
      <c r="AL54" s="19">
        <f>Cashflow!AL10</f>
        <v/>
      </c>
      <c r="AM54" s="19">
        <f>Cashflow!AM10</f>
        <v/>
      </c>
      <c r="AN54" s="19">
        <f>Cashflow!AN10</f>
        <v/>
      </c>
      <c r="AO54" s="19">
        <f>Cashflow!AO10</f>
        <v/>
      </c>
      <c r="AP54" s="19">
        <f>Cashflow!AP10</f>
        <v/>
      </c>
      <c r="AQ54" s="19">
        <f>Cashflow!AQ10</f>
        <v/>
      </c>
      <c r="AR54" s="19">
        <f>Cashflow!AR10</f>
        <v/>
      </c>
      <c r="AS54" s="19">
        <f>Cashflow!AS10</f>
        <v/>
      </c>
      <c r="AT54" s="19">
        <f>Cashflow!AT10</f>
        <v/>
      </c>
      <c r="AU54" s="19">
        <f>Cashflow!AU10</f>
        <v/>
      </c>
      <c r="AV54" s="19">
        <f>Cashflow!AV10</f>
        <v/>
      </c>
      <c r="AW54" s="19">
        <f>Cashflow!AW10</f>
        <v/>
      </c>
      <c r="AX54" s="316" t="n"/>
    </row>
    <row r="55" outlineLevel="1">
      <c r="B55" s="2">
        <f>Cashflow!B11</f>
        <v/>
      </c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  <c r="AU55" s="27" t="n"/>
      <c r="AV55" s="27" t="n"/>
      <c r="AW55" s="27" t="n"/>
      <c r="AX55" s="316" t="n"/>
    </row>
    <row r="56" outlineLevel="1">
      <c r="B56" s="1">
        <f>Cashflow!B12</f>
        <v/>
      </c>
      <c r="C56" s="19">
        <f>Cashflow!C12</f>
        <v/>
      </c>
      <c r="D56" s="19">
        <f>Cashflow!D12</f>
        <v/>
      </c>
      <c r="E56" s="19">
        <f>Cashflow!E12</f>
        <v/>
      </c>
      <c r="F56" s="19">
        <f>Cashflow!F12</f>
        <v/>
      </c>
      <c r="G56" s="19" t="n"/>
      <c r="H56" s="19">
        <f>Cashflow!H12</f>
        <v/>
      </c>
      <c r="I56" s="19">
        <f>Cashflow!I12</f>
        <v/>
      </c>
      <c r="J56" s="19">
        <f>Cashflow!J12</f>
        <v/>
      </c>
      <c r="K56" s="19">
        <f>Cashflow!K12</f>
        <v/>
      </c>
      <c r="L56" s="19">
        <f>Cashflow!L12</f>
        <v/>
      </c>
      <c r="M56" s="19">
        <f>Cashflow!M12</f>
        <v/>
      </c>
      <c r="N56" s="19">
        <f>Cashflow!N12</f>
        <v/>
      </c>
      <c r="O56" s="19">
        <f>Cashflow!O12</f>
        <v/>
      </c>
      <c r="P56" s="19">
        <f>Cashflow!P12</f>
        <v/>
      </c>
      <c r="Q56" s="19">
        <f>Cashflow!Q12</f>
        <v/>
      </c>
      <c r="R56" s="19">
        <f>Cashflow!R12</f>
        <v/>
      </c>
      <c r="S56" s="19">
        <f>Cashflow!S12</f>
        <v/>
      </c>
      <c r="T56" s="19">
        <f>Cashflow!T12</f>
        <v/>
      </c>
      <c r="U56" s="19">
        <f>Cashflow!U12</f>
        <v/>
      </c>
      <c r="V56" s="19">
        <f>Cashflow!V12</f>
        <v/>
      </c>
      <c r="W56" s="19">
        <f>Cashflow!W12</f>
        <v/>
      </c>
      <c r="X56" s="19">
        <f>Cashflow!X12</f>
        <v/>
      </c>
      <c r="Y56" s="19">
        <f>Cashflow!Y12</f>
        <v/>
      </c>
      <c r="Z56" s="19">
        <f>Cashflow!Z12</f>
        <v/>
      </c>
      <c r="AA56" s="19">
        <f>Cashflow!AA12</f>
        <v/>
      </c>
      <c r="AB56" s="19">
        <f>Cashflow!AB12</f>
        <v/>
      </c>
      <c r="AC56" s="19">
        <f>Cashflow!AC12</f>
        <v/>
      </c>
      <c r="AD56" s="19">
        <f>Cashflow!AD12</f>
        <v/>
      </c>
      <c r="AE56" s="19">
        <f>Cashflow!AE12</f>
        <v/>
      </c>
      <c r="AF56" s="19">
        <f>Cashflow!AF12</f>
        <v/>
      </c>
      <c r="AG56" s="19">
        <f>Cashflow!AG12</f>
        <v/>
      </c>
      <c r="AH56" s="19">
        <f>Cashflow!AH12</f>
        <v/>
      </c>
      <c r="AI56" s="19">
        <f>Cashflow!AI12</f>
        <v/>
      </c>
      <c r="AJ56" s="19">
        <f>Cashflow!AJ12</f>
        <v/>
      </c>
      <c r="AK56" s="19">
        <f>Cashflow!AK12</f>
        <v/>
      </c>
      <c r="AL56" s="19">
        <f>Cashflow!AL12</f>
        <v/>
      </c>
      <c r="AM56" s="19">
        <f>Cashflow!AM12</f>
        <v/>
      </c>
      <c r="AN56" s="19">
        <f>Cashflow!AN12</f>
        <v/>
      </c>
      <c r="AO56" s="19">
        <f>Cashflow!AO12</f>
        <v/>
      </c>
      <c r="AP56" s="19">
        <f>Cashflow!AP12</f>
        <v/>
      </c>
      <c r="AQ56" s="19">
        <f>Cashflow!AQ12</f>
        <v/>
      </c>
      <c r="AR56" s="19">
        <f>Cashflow!AR12</f>
        <v/>
      </c>
      <c r="AS56" s="19">
        <f>Cashflow!AS12</f>
        <v/>
      </c>
      <c r="AT56" s="19">
        <f>Cashflow!AT12</f>
        <v/>
      </c>
      <c r="AU56" s="19">
        <f>Cashflow!AU12</f>
        <v/>
      </c>
      <c r="AV56" s="19">
        <f>Cashflow!AV12</f>
        <v/>
      </c>
      <c r="AW56" s="19">
        <f>Cashflow!AW12</f>
        <v/>
      </c>
      <c r="AX56" s="316" t="n"/>
    </row>
    <row r="57" outlineLevel="1">
      <c r="B57" s="1">
        <f>Cashflow!B13</f>
        <v/>
      </c>
      <c r="C57" s="19">
        <f>Cashflow!C13</f>
        <v/>
      </c>
      <c r="D57" s="19">
        <f>Cashflow!D13</f>
        <v/>
      </c>
      <c r="E57" s="19">
        <f>Cashflow!E13</f>
        <v/>
      </c>
      <c r="F57" s="19">
        <f>Cashflow!F13</f>
        <v/>
      </c>
      <c r="G57" s="19" t="n"/>
      <c r="H57" s="19">
        <f>Cashflow!H13</f>
        <v/>
      </c>
      <c r="I57" s="19">
        <f>Cashflow!I13</f>
        <v/>
      </c>
      <c r="J57" s="19">
        <f>Cashflow!J13</f>
        <v/>
      </c>
      <c r="K57" s="19">
        <f>Cashflow!K13</f>
        <v/>
      </c>
      <c r="L57" s="19">
        <f>Cashflow!L13</f>
        <v/>
      </c>
      <c r="M57" s="19">
        <f>Cashflow!M13</f>
        <v/>
      </c>
      <c r="N57" s="19">
        <f>Cashflow!N13</f>
        <v/>
      </c>
      <c r="O57" s="19">
        <f>Cashflow!O13</f>
        <v/>
      </c>
      <c r="P57" s="19">
        <f>Cashflow!P13</f>
        <v/>
      </c>
      <c r="Q57" s="19">
        <f>Cashflow!Q13</f>
        <v/>
      </c>
      <c r="R57" s="19">
        <f>Cashflow!R13</f>
        <v/>
      </c>
      <c r="S57" s="19">
        <f>Cashflow!S13</f>
        <v/>
      </c>
      <c r="T57" s="19">
        <f>Cashflow!T13</f>
        <v/>
      </c>
      <c r="U57" s="19">
        <f>Cashflow!U13</f>
        <v/>
      </c>
      <c r="V57" s="19">
        <f>Cashflow!V13</f>
        <v/>
      </c>
      <c r="W57" s="19">
        <f>Cashflow!W13</f>
        <v/>
      </c>
      <c r="X57" s="19">
        <f>Cashflow!X13</f>
        <v/>
      </c>
      <c r="Y57" s="19">
        <f>Cashflow!Y13</f>
        <v/>
      </c>
      <c r="Z57" s="19">
        <f>Cashflow!Z13</f>
        <v/>
      </c>
      <c r="AA57" s="19">
        <f>Cashflow!AA13</f>
        <v/>
      </c>
      <c r="AB57" s="19">
        <f>Cashflow!AB13</f>
        <v/>
      </c>
      <c r="AC57" s="19">
        <f>Cashflow!AC13</f>
        <v/>
      </c>
      <c r="AD57" s="19">
        <f>Cashflow!AD13</f>
        <v/>
      </c>
      <c r="AE57" s="19">
        <f>Cashflow!AE13</f>
        <v/>
      </c>
      <c r="AF57" s="19">
        <f>Cashflow!AF13</f>
        <v/>
      </c>
      <c r="AG57" s="19">
        <f>Cashflow!AG13</f>
        <v/>
      </c>
      <c r="AH57" s="19">
        <f>Cashflow!AH13</f>
        <v/>
      </c>
      <c r="AI57" s="19">
        <f>Cashflow!AI13</f>
        <v/>
      </c>
      <c r="AJ57" s="19">
        <f>Cashflow!AJ13</f>
        <v/>
      </c>
      <c r="AK57" s="19">
        <f>Cashflow!AK13</f>
        <v/>
      </c>
      <c r="AL57" s="19">
        <f>Cashflow!AL13</f>
        <v/>
      </c>
      <c r="AM57" s="19">
        <f>Cashflow!AM13</f>
        <v/>
      </c>
      <c r="AN57" s="19">
        <f>Cashflow!AN13</f>
        <v/>
      </c>
      <c r="AO57" s="19">
        <f>Cashflow!AO13</f>
        <v/>
      </c>
      <c r="AP57" s="19">
        <f>Cashflow!AP13</f>
        <v/>
      </c>
      <c r="AQ57" s="19">
        <f>Cashflow!AQ13</f>
        <v/>
      </c>
      <c r="AR57" s="19">
        <f>Cashflow!AR13</f>
        <v/>
      </c>
      <c r="AS57" s="19">
        <f>Cashflow!AS13</f>
        <v/>
      </c>
      <c r="AT57" s="19">
        <f>Cashflow!AT13</f>
        <v/>
      </c>
      <c r="AU57" s="19">
        <f>Cashflow!AU13</f>
        <v/>
      </c>
      <c r="AV57" s="19">
        <f>Cashflow!AV13</f>
        <v/>
      </c>
      <c r="AW57" s="19">
        <f>Cashflow!AW13</f>
        <v/>
      </c>
      <c r="AX57" s="316" t="n"/>
    </row>
    <row r="58" ht="7" customHeight="1">
      <c r="C58" s="316" t="n"/>
      <c r="D58" s="316" t="n"/>
      <c r="E58" s="316" t="n"/>
      <c r="F58" s="316" t="n"/>
      <c r="G58" s="316" t="n"/>
      <c r="H58" s="316" t="n"/>
      <c r="I58" s="316" t="n"/>
      <c r="J58" s="316" t="n"/>
      <c r="K58" s="316" t="n"/>
      <c r="L58" s="316" t="n"/>
      <c r="M58" s="316" t="n"/>
      <c r="N58" s="316" t="n"/>
      <c r="O58" s="316" t="n"/>
      <c r="P58" s="316" t="n"/>
      <c r="Q58" s="316" t="n"/>
      <c r="R58" s="316" t="n"/>
      <c r="S58" s="316" t="n"/>
      <c r="T58" s="316" t="n"/>
      <c r="U58" s="316" t="n"/>
      <c r="V58" s="316" t="n"/>
      <c r="W58" s="316" t="n"/>
      <c r="X58" s="316" t="n"/>
      <c r="Y58" s="316" t="n"/>
      <c r="Z58" s="316" t="n"/>
      <c r="AA58" s="316" t="n"/>
      <c r="AB58" s="316" t="n"/>
      <c r="AC58" s="316" t="n"/>
      <c r="AD58" s="316" t="n"/>
      <c r="AE58" s="316" t="n"/>
      <c r="AF58" s="316" t="n"/>
      <c r="AG58" s="316" t="n"/>
      <c r="AH58" s="316" t="n"/>
      <c r="AI58" s="316" t="n"/>
      <c r="AJ58" s="316" t="n"/>
      <c r="AK58" s="316" t="n"/>
      <c r="AL58" s="316" t="n"/>
      <c r="AM58" s="316" t="n"/>
      <c r="AN58" s="316" t="n"/>
      <c r="AO58" s="316" t="n"/>
      <c r="AP58" s="316" t="n"/>
      <c r="AQ58" s="316" t="n"/>
      <c r="AR58" s="316" t="n"/>
      <c r="AS58" s="316" t="n"/>
      <c r="AT58" s="316" t="n"/>
      <c r="AU58" s="316" t="n"/>
      <c r="AV58" s="316" t="n"/>
      <c r="AW58" s="316" t="n"/>
      <c r="AX58" s="316" t="n"/>
    </row>
    <row r="59">
      <c r="B59" s="2" t="inlineStr">
        <is>
          <t xml:space="preserve">Cash flow from investing activities </t>
        </is>
      </c>
      <c r="C59" s="315">
        <f>Cashflow!C18</f>
        <v/>
      </c>
      <c r="D59" s="315">
        <f>Cashflow!D18</f>
        <v/>
      </c>
      <c r="E59" s="315">
        <f>Cashflow!E18</f>
        <v/>
      </c>
      <c r="F59" s="315">
        <f>Cashflow!F18</f>
        <v/>
      </c>
      <c r="G59" s="315" t="n"/>
      <c r="H59" s="315">
        <f>Cashflow!H18</f>
        <v/>
      </c>
      <c r="I59" s="315">
        <f>Cashflow!I18</f>
        <v/>
      </c>
      <c r="J59" s="315">
        <f>Cashflow!J18</f>
        <v/>
      </c>
      <c r="K59" s="315">
        <f>Cashflow!K18</f>
        <v/>
      </c>
      <c r="L59" s="315">
        <f>Cashflow!L18</f>
        <v/>
      </c>
      <c r="M59" s="315">
        <f>Cashflow!M18</f>
        <v/>
      </c>
      <c r="N59" s="315">
        <f>Cashflow!N18</f>
        <v/>
      </c>
      <c r="O59" s="315">
        <f>Cashflow!O18</f>
        <v/>
      </c>
      <c r="P59" s="315">
        <f>Cashflow!P18</f>
        <v/>
      </c>
      <c r="Q59" s="315">
        <f>Cashflow!Q18</f>
        <v/>
      </c>
      <c r="R59" s="315">
        <f>Cashflow!R18</f>
        <v/>
      </c>
      <c r="S59" s="315">
        <f>Cashflow!S18</f>
        <v/>
      </c>
      <c r="T59" s="315">
        <f>Cashflow!T18</f>
        <v/>
      </c>
      <c r="U59" s="315">
        <f>Cashflow!U18</f>
        <v/>
      </c>
      <c r="V59" s="315">
        <f>Cashflow!V18</f>
        <v/>
      </c>
      <c r="W59" s="315">
        <f>Cashflow!W18</f>
        <v/>
      </c>
      <c r="X59" s="315">
        <f>Cashflow!X18</f>
        <v/>
      </c>
      <c r="Y59" s="315">
        <f>Cashflow!Y18</f>
        <v/>
      </c>
      <c r="Z59" s="315">
        <f>Cashflow!Z18</f>
        <v/>
      </c>
      <c r="AA59" s="315">
        <f>Cashflow!AA18</f>
        <v/>
      </c>
      <c r="AB59" s="315">
        <f>Cashflow!AB18</f>
        <v/>
      </c>
      <c r="AC59" s="315">
        <f>Cashflow!AC18</f>
        <v/>
      </c>
      <c r="AD59" s="315">
        <f>Cashflow!AD18</f>
        <v/>
      </c>
      <c r="AE59" s="315">
        <f>Cashflow!AE18</f>
        <v/>
      </c>
      <c r="AF59" s="315">
        <f>Cashflow!AF18</f>
        <v/>
      </c>
      <c r="AG59" s="315">
        <f>Cashflow!AG18</f>
        <v/>
      </c>
      <c r="AH59" s="315">
        <f>Cashflow!AH18</f>
        <v/>
      </c>
      <c r="AI59" s="315">
        <f>Cashflow!AI18</f>
        <v/>
      </c>
      <c r="AJ59" s="315">
        <f>Cashflow!AJ18</f>
        <v/>
      </c>
      <c r="AK59" s="315">
        <f>Cashflow!AK18</f>
        <v/>
      </c>
      <c r="AL59" s="315">
        <f>Cashflow!AL18</f>
        <v/>
      </c>
      <c r="AM59" s="315">
        <f>Cashflow!AM18</f>
        <v/>
      </c>
      <c r="AN59" s="315">
        <f>Cashflow!AN18</f>
        <v/>
      </c>
      <c r="AO59" s="315">
        <f>Cashflow!AO18</f>
        <v/>
      </c>
      <c r="AP59" s="315">
        <f>Cashflow!AP18</f>
        <v/>
      </c>
      <c r="AQ59" s="315">
        <f>Cashflow!AQ18</f>
        <v/>
      </c>
      <c r="AR59" s="315">
        <f>Cashflow!AR18</f>
        <v/>
      </c>
      <c r="AS59" s="315">
        <f>Cashflow!AS18</f>
        <v/>
      </c>
      <c r="AT59" s="315">
        <f>Cashflow!AT18</f>
        <v/>
      </c>
      <c r="AU59" s="315">
        <f>Cashflow!AU18</f>
        <v/>
      </c>
      <c r="AV59" s="315">
        <f>Cashflow!AV18</f>
        <v/>
      </c>
      <c r="AW59" s="315">
        <f>Cashflow!AW18</f>
        <v/>
      </c>
      <c r="AX59" s="316" t="n"/>
    </row>
    <row r="60" outlineLevel="1">
      <c r="B60" s="1">
        <f>Cashflow!B17</f>
        <v/>
      </c>
      <c r="C60" s="318">
        <f>Cashflow!C17</f>
        <v/>
      </c>
      <c r="D60" s="318">
        <f>Cashflow!D17</f>
        <v/>
      </c>
      <c r="E60" s="318">
        <f>Cashflow!E17</f>
        <v/>
      </c>
      <c r="F60" s="318">
        <f>Cashflow!F17</f>
        <v/>
      </c>
      <c r="G60" s="318" t="n"/>
      <c r="H60" s="318">
        <f>Cashflow!H17</f>
        <v/>
      </c>
      <c r="I60" s="318">
        <f>Cashflow!I17</f>
        <v/>
      </c>
      <c r="J60" s="318">
        <f>Cashflow!J17</f>
        <v/>
      </c>
      <c r="K60" s="318">
        <f>Cashflow!K17</f>
        <v/>
      </c>
      <c r="L60" s="318">
        <f>Cashflow!L17</f>
        <v/>
      </c>
      <c r="M60" s="318">
        <f>Cashflow!M17</f>
        <v/>
      </c>
      <c r="N60" s="318">
        <f>Cashflow!N17</f>
        <v/>
      </c>
      <c r="O60" s="318">
        <f>Cashflow!O17</f>
        <v/>
      </c>
      <c r="P60" s="318">
        <f>Cashflow!P17</f>
        <v/>
      </c>
      <c r="Q60" s="318">
        <f>Cashflow!Q17</f>
        <v/>
      </c>
      <c r="R60" s="318">
        <f>Cashflow!R17</f>
        <v/>
      </c>
      <c r="S60" s="318">
        <f>Cashflow!S17</f>
        <v/>
      </c>
      <c r="T60" s="318">
        <f>Cashflow!T17</f>
        <v/>
      </c>
      <c r="U60" s="318">
        <f>Cashflow!U17</f>
        <v/>
      </c>
      <c r="V60" s="318">
        <f>Cashflow!V17</f>
        <v/>
      </c>
      <c r="W60" s="318">
        <f>Cashflow!W17</f>
        <v/>
      </c>
      <c r="X60" s="318">
        <f>Cashflow!X17</f>
        <v/>
      </c>
      <c r="Y60" s="318">
        <f>Cashflow!Y17</f>
        <v/>
      </c>
      <c r="Z60" s="318">
        <f>Cashflow!Z17</f>
        <v/>
      </c>
      <c r="AA60" s="318">
        <f>Cashflow!AA17</f>
        <v/>
      </c>
      <c r="AB60" s="318">
        <f>Cashflow!AB17</f>
        <v/>
      </c>
      <c r="AC60" s="318">
        <f>Cashflow!AC17</f>
        <v/>
      </c>
      <c r="AD60" s="318">
        <f>Cashflow!AD17</f>
        <v/>
      </c>
      <c r="AE60" s="318">
        <f>Cashflow!AE17</f>
        <v/>
      </c>
      <c r="AF60" s="318">
        <f>Cashflow!AF17</f>
        <v/>
      </c>
      <c r="AG60" s="318">
        <f>Cashflow!AG17</f>
        <v/>
      </c>
      <c r="AH60" s="318">
        <f>Cashflow!AH17</f>
        <v/>
      </c>
      <c r="AI60" s="318">
        <f>Cashflow!AI17</f>
        <v/>
      </c>
      <c r="AJ60" s="318">
        <f>Cashflow!AJ17</f>
        <v/>
      </c>
      <c r="AK60" s="318">
        <f>Cashflow!AK17</f>
        <v/>
      </c>
      <c r="AL60" s="318">
        <f>Cashflow!AL17</f>
        <v/>
      </c>
      <c r="AM60" s="318">
        <f>Cashflow!AM17</f>
        <v/>
      </c>
      <c r="AN60" s="318">
        <f>Cashflow!AN17</f>
        <v/>
      </c>
      <c r="AO60" s="318">
        <f>Cashflow!AO17</f>
        <v/>
      </c>
      <c r="AP60" s="318">
        <f>Cashflow!AP17</f>
        <v/>
      </c>
      <c r="AQ60" s="318">
        <f>Cashflow!AQ17</f>
        <v/>
      </c>
      <c r="AR60" s="318">
        <f>Cashflow!AR17</f>
        <v/>
      </c>
      <c r="AS60" s="318">
        <f>Cashflow!AS17</f>
        <v/>
      </c>
      <c r="AT60" s="318">
        <f>Cashflow!AT17</f>
        <v/>
      </c>
      <c r="AU60" s="318">
        <f>Cashflow!AU17</f>
        <v/>
      </c>
      <c r="AV60" s="318">
        <f>Cashflow!AV17</f>
        <v/>
      </c>
      <c r="AW60" s="318">
        <f>Cashflow!AW17</f>
        <v/>
      </c>
      <c r="AX60" s="316" t="n"/>
    </row>
    <row r="61" ht="7" customHeight="1">
      <c r="C61" s="316" t="n"/>
      <c r="D61" s="316" t="n"/>
      <c r="E61" s="316" t="n"/>
      <c r="F61" s="316" t="n"/>
      <c r="G61" s="316" t="n"/>
      <c r="H61" s="316" t="n"/>
      <c r="I61" s="316" t="n"/>
      <c r="J61" s="316" t="n"/>
      <c r="K61" s="316" t="n"/>
      <c r="L61" s="316" t="n"/>
      <c r="M61" s="316" t="n"/>
      <c r="N61" s="316" t="n"/>
      <c r="O61" s="316" t="n"/>
      <c r="P61" s="316" t="n"/>
      <c r="Q61" s="316" t="n"/>
      <c r="R61" s="316" t="n"/>
      <c r="S61" s="316" t="n"/>
      <c r="T61" s="316" t="n"/>
      <c r="U61" s="316" t="n"/>
      <c r="V61" s="316" t="n"/>
      <c r="W61" s="316" t="n"/>
      <c r="X61" s="316" t="n"/>
      <c r="Y61" s="316" t="n"/>
      <c r="Z61" s="316" t="n"/>
      <c r="AA61" s="316" t="n"/>
      <c r="AB61" s="316" t="n"/>
      <c r="AC61" s="316" t="n"/>
      <c r="AD61" s="316" t="n"/>
      <c r="AE61" s="316" t="n"/>
      <c r="AF61" s="316" t="n"/>
      <c r="AG61" s="316" t="n"/>
      <c r="AH61" s="316" t="n"/>
      <c r="AI61" s="316" t="n"/>
      <c r="AJ61" s="316" t="n"/>
      <c r="AK61" s="316" t="n"/>
      <c r="AL61" s="316" t="n"/>
      <c r="AM61" s="316" t="n"/>
      <c r="AN61" s="316" t="n"/>
      <c r="AO61" s="316" t="n"/>
      <c r="AP61" s="316" t="n"/>
      <c r="AQ61" s="316" t="n"/>
      <c r="AR61" s="316" t="n"/>
      <c r="AS61" s="316" t="n"/>
      <c r="AT61" s="316" t="n"/>
      <c r="AU61" s="316" t="n"/>
      <c r="AV61" s="316" t="n"/>
      <c r="AW61" s="316" t="n"/>
      <c r="AX61" s="316" t="n"/>
    </row>
    <row r="62">
      <c r="B62" s="2" t="inlineStr">
        <is>
          <t xml:space="preserve">Cash flow from financing activities </t>
        </is>
      </c>
      <c r="C62" s="315">
        <f>Cashflow!C24</f>
        <v/>
      </c>
      <c r="D62" s="315">
        <f>Cashflow!D24</f>
        <v/>
      </c>
      <c r="E62" s="315">
        <f>Cashflow!E24</f>
        <v/>
      </c>
      <c r="F62" s="315">
        <f>Cashflow!F24</f>
        <v/>
      </c>
      <c r="G62" s="315" t="n"/>
      <c r="H62" s="315">
        <f>Cashflow!H24</f>
        <v/>
      </c>
      <c r="I62" s="315">
        <f>Cashflow!I24</f>
        <v/>
      </c>
      <c r="J62" s="315">
        <f>Cashflow!J24</f>
        <v/>
      </c>
      <c r="K62" s="315">
        <f>Cashflow!K24</f>
        <v/>
      </c>
      <c r="L62" s="315">
        <f>Cashflow!L24</f>
        <v/>
      </c>
      <c r="M62" s="315">
        <f>Cashflow!M24</f>
        <v/>
      </c>
      <c r="N62" s="315">
        <f>Cashflow!N24</f>
        <v/>
      </c>
      <c r="O62" s="315">
        <f>Cashflow!O24</f>
        <v/>
      </c>
      <c r="P62" s="315">
        <f>Cashflow!P24</f>
        <v/>
      </c>
      <c r="Q62" s="315">
        <f>Cashflow!Q24</f>
        <v/>
      </c>
      <c r="R62" s="315">
        <f>Cashflow!R24</f>
        <v/>
      </c>
      <c r="S62" s="315">
        <f>Cashflow!S24</f>
        <v/>
      </c>
      <c r="T62" s="315">
        <f>Cashflow!T24</f>
        <v/>
      </c>
      <c r="U62" s="315">
        <f>Cashflow!U24</f>
        <v/>
      </c>
      <c r="V62" s="315">
        <f>Cashflow!V24</f>
        <v/>
      </c>
      <c r="W62" s="315">
        <f>Cashflow!W24</f>
        <v/>
      </c>
      <c r="X62" s="315">
        <f>Cashflow!X24</f>
        <v/>
      </c>
      <c r="Y62" s="315">
        <f>Cashflow!Y24</f>
        <v/>
      </c>
      <c r="Z62" s="315">
        <f>Cashflow!Z24</f>
        <v/>
      </c>
      <c r="AA62" s="315">
        <f>Cashflow!AA24</f>
        <v/>
      </c>
      <c r="AB62" s="315">
        <f>Cashflow!AB24</f>
        <v/>
      </c>
      <c r="AC62" s="315">
        <f>Cashflow!AC24</f>
        <v/>
      </c>
      <c r="AD62" s="315">
        <f>Cashflow!AD24</f>
        <v/>
      </c>
      <c r="AE62" s="315">
        <f>Cashflow!AE24</f>
        <v/>
      </c>
      <c r="AF62" s="315">
        <f>Cashflow!AF24</f>
        <v/>
      </c>
      <c r="AG62" s="315">
        <f>Cashflow!AG24</f>
        <v/>
      </c>
      <c r="AH62" s="315">
        <f>Cashflow!AH24</f>
        <v/>
      </c>
      <c r="AI62" s="315">
        <f>Cashflow!AI24</f>
        <v/>
      </c>
      <c r="AJ62" s="315">
        <f>Cashflow!AJ24</f>
        <v/>
      </c>
      <c r="AK62" s="315">
        <f>Cashflow!AK24</f>
        <v/>
      </c>
      <c r="AL62" s="315">
        <f>Cashflow!AL24</f>
        <v/>
      </c>
      <c r="AM62" s="315">
        <f>Cashflow!AM24</f>
        <v/>
      </c>
      <c r="AN62" s="315">
        <f>Cashflow!AN24</f>
        <v/>
      </c>
      <c r="AO62" s="315">
        <f>Cashflow!AO24</f>
        <v/>
      </c>
      <c r="AP62" s="315">
        <f>Cashflow!AP24</f>
        <v/>
      </c>
      <c r="AQ62" s="315">
        <f>Cashflow!AQ24</f>
        <v/>
      </c>
      <c r="AR62" s="315">
        <f>Cashflow!AR24</f>
        <v/>
      </c>
      <c r="AS62" s="315">
        <f>Cashflow!AS24</f>
        <v/>
      </c>
      <c r="AT62" s="315">
        <f>Cashflow!AT24</f>
        <v/>
      </c>
      <c r="AU62" s="315">
        <f>Cashflow!AU24</f>
        <v/>
      </c>
      <c r="AV62" s="315">
        <f>Cashflow!AV24</f>
        <v/>
      </c>
      <c r="AW62" s="315">
        <f>Cashflow!AW24</f>
        <v/>
      </c>
      <c r="AX62" s="316" t="n"/>
    </row>
    <row r="63" outlineLevel="1">
      <c r="B63" s="1">
        <f>Cashflow!B21</f>
        <v/>
      </c>
      <c r="C63" s="318">
        <f>Cashflow!C21</f>
        <v/>
      </c>
      <c r="D63" s="318">
        <f>Cashflow!D21</f>
        <v/>
      </c>
      <c r="E63" s="318">
        <f>Cashflow!E21</f>
        <v/>
      </c>
      <c r="F63" s="318">
        <f>Cashflow!F21</f>
        <v/>
      </c>
      <c r="G63" s="318" t="n"/>
      <c r="H63" s="318">
        <f>Cashflow!H21</f>
        <v/>
      </c>
      <c r="I63" s="318">
        <f>Cashflow!I21</f>
        <v/>
      </c>
      <c r="J63" s="318">
        <f>Cashflow!J21</f>
        <v/>
      </c>
      <c r="K63" s="318">
        <f>Cashflow!K21</f>
        <v/>
      </c>
      <c r="L63" s="318">
        <f>Cashflow!L21</f>
        <v/>
      </c>
      <c r="M63" s="318">
        <f>Cashflow!M21</f>
        <v/>
      </c>
      <c r="N63" s="318">
        <f>Cashflow!N21</f>
        <v/>
      </c>
      <c r="O63" s="318">
        <f>Cashflow!O21</f>
        <v/>
      </c>
      <c r="P63" s="318">
        <f>Cashflow!P21</f>
        <v/>
      </c>
      <c r="Q63" s="318">
        <f>Cashflow!Q21</f>
        <v/>
      </c>
      <c r="R63" s="318">
        <f>Cashflow!R21</f>
        <v/>
      </c>
      <c r="S63" s="318">
        <f>Cashflow!S21</f>
        <v/>
      </c>
      <c r="T63" s="318">
        <f>Cashflow!T21</f>
        <v/>
      </c>
      <c r="U63" s="318">
        <f>Cashflow!U21</f>
        <v/>
      </c>
      <c r="V63" s="318">
        <f>Cashflow!V21</f>
        <v/>
      </c>
      <c r="W63" s="318">
        <f>Cashflow!W21</f>
        <v/>
      </c>
      <c r="X63" s="318">
        <f>Cashflow!X21</f>
        <v/>
      </c>
      <c r="Y63" s="318">
        <f>Cashflow!Y21</f>
        <v/>
      </c>
      <c r="Z63" s="318">
        <f>Cashflow!Z21</f>
        <v/>
      </c>
      <c r="AA63" s="318">
        <f>Cashflow!AA21</f>
        <v/>
      </c>
      <c r="AB63" s="318">
        <f>Cashflow!AB21</f>
        <v/>
      </c>
      <c r="AC63" s="318">
        <f>Cashflow!AC21</f>
        <v/>
      </c>
      <c r="AD63" s="318">
        <f>Cashflow!AD21</f>
        <v/>
      </c>
      <c r="AE63" s="318">
        <f>Cashflow!AE21</f>
        <v/>
      </c>
      <c r="AF63" s="318">
        <f>Cashflow!AF21</f>
        <v/>
      </c>
      <c r="AG63" s="318">
        <f>Cashflow!AG21</f>
        <v/>
      </c>
      <c r="AH63" s="318">
        <f>Cashflow!AH21</f>
        <v/>
      </c>
      <c r="AI63" s="318">
        <f>Cashflow!AI21</f>
        <v/>
      </c>
      <c r="AJ63" s="318">
        <f>Cashflow!AJ21</f>
        <v/>
      </c>
      <c r="AK63" s="318">
        <f>Cashflow!AK21</f>
        <v/>
      </c>
      <c r="AL63" s="318">
        <f>Cashflow!AL21</f>
        <v/>
      </c>
      <c r="AM63" s="318">
        <f>Cashflow!AM21</f>
        <v/>
      </c>
      <c r="AN63" s="318">
        <f>Cashflow!AN21</f>
        <v/>
      </c>
      <c r="AO63" s="318">
        <f>Cashflow!AO21</f>
        <v/>
      </c>
      <c r="AP63" s="318">
        <f>Cashflow!AP21</f>
        <v/>
      </c>
      <c r="AQ63" s="318">
        <f>Cashflow!AQ21</f>
        <v/>
      </c>
      <c r="AR63" s="318">
        <f>Cashflow!AR21</f>
        <v/>
      </c>
      <c r="AS63" s="318">
        <f>Cashflow!AS21</f>
        <v/>
      </c>
      <c r="AT63" s="318">
        <f>Cashflow!AT21</f>
        <v/>
      </c>
      <c r="AU63" s="318">
        <f>Cashflow!AU21</f>
        <v/>
      </c>
      <c r="AV63" s="318">
        <f>Cashflow!AV21</f>
        <v/>
      </c>
      <c r="AW63" s="318">
        <f>Cashflow!AW21</f>
        <v/>
      </c>
      <c r="AX63" s="316" t="n"/>
    </row>
    <row r="64" outlineLevel="1">
      <c r="B64" s="1">
        <f>Cashflow!B22</f>
        <v/>
      </c>
      <c r="C64" s="318">
        <f>Cashflow!C22</f>
        <v/>
      </c>
      <c r="D64" s="318">
        <f>Cashflow!D22</f>
        <v/>
      </c>
      <c r="E64" s="318">
        <f>Cashflow!E22</f>
        <v/>
      </c>
      <c r="F64" s="318">
        <f>Cashflow!F22</f>
        <v/>
      </c>
      <c r="G64" s="318" t="n"/>
      <c r="H64" s="318">
        <f>Cashflow!H22</f>
        <v/>
      </c>
      <c r="I64" s="318">
        <f>Cashflow!I22</f>
        <v/>
      </c>
      <c r="J64" s="318">
        <f>Cashflow!J22</f>
        <v/>
      </c>
      <c r="K64" s="318">
        <f>Cashflow!K22</f>
        <v/>
      </c>
      <c r="L64" s="318">
        <f>Cashflow!L22</f>
        <v/>
      </c>
      <c r="M64" s="318">
        <f>Cashflow!M22</f>
        <v/>
      </c>
      <c r="N64" s="318">
        <f>Cashflow!N22</f>
        <v/>
      </c>
      <c r="O64" s="318">
        <f>Cashflow!O22</f>
        <v/>
      </c>
      <c r="P64" s="318">
        <f>Cashflow!P22</f>
        <v/>
      </c>
      <c r="Q64" s="318">
        <f>Cashflow!Q22</f>
        <v/>
      </c>
      <c r="R64" s="318">
        <f>Cashflow!R22</f>
        <v/>
      </c>
      <c r="S64" s="318">
        <f>Cashflow!S22</f>
        <v/>
      </c>
      <c r="T64" s="318">
        <f>Cashflow!T22</f>
        <v/>
      </c>
      <c r="U64" s="318">
        <f>Cashflow!U22</f>
        <v/>
      </c>
      <c r="V64" s="318">
        <f>Cashflow!V22</f>
        <v/>
      </c>
      <c r="W64" s="318">
        <f>Cashflow!W22</f>
        <v/>
      </c>
      <c r="X64" s="318">
        <f>Cashflow!X22</f>
        <v/>
      </c>
      <c r="Y64" s="318">
        <f>Cashflow!Y22</f>
        <v/>
      </c>
      <c r="Z64" s="318">
        <f>Cashflow!Z22</f>
        <v/>
      </c>
      <c r="AA64" s="318">
        <f>Cashflow!AA22</f>
        <v/>
      </c>
      <c r="AB64" s="318">
        <f>Cashflow!AB22</f>
        <v/>
      </c>
      <c r="AC64" s="318">
        <f>Cashflow!AC22</f>
        <v/>
      </c>
      <c r="AD64" s="318">
        <f>Cashflow!AD22</f>
        <v/>
      </c>
      <c r="AE64" s="318">
        <f>Cashflow!AE22</f>
        <v/>
      </c>
      <c r="AF64" s="318">
        <f>Cashflow!AF22</f>
        <v/>
      </c>
      <c r="AG64" s="318">
        <f>Cashflow!AG22</f>
        <v/>
      </c>
      <c r="AH64" s="318">
        <f>Cashflow!AH22</f>
        <v/>
      </c>
      <c r="AI64" s="318">
        <f>Cashflow!AI22</f>
        <v/>
      </c>
      <c r="AJ64" s="318">
        <f>Cashflow!AJ22</f>
        <v/>
      </c>
      <c r="AK64" s="318">
        <f>Cashflow!AK22</f>
        <v/>
      </c>
      <c r="AL64" s="318">
        <f>Cashflow!AL22</f>
        <v/>
      </c>
      <c r="AM64" s="318">
        <f>Cashflow!AM22</f>
        <v/>
      </c>
      <c r="AN64" s="318">
        <f>Cashflow!AN22</f>
        <v/>
      </c>
      <c r="AO64" s="318">
        <f>Cashflow!AO22</f>
        <v/>
      </c>
      <c r="AP64" s="318">
        <f>Cashflow!AP22</f>
        <v/>
      </c>
      <c r="AQ64" s="318">
        <f>Cashflow!AQ22</f>
        <v/>
      </c>
      <c r="AR64" s="318">
        <f>Cashflow!AR22</f>
        <v/>
      </c>
      <c r="AS64" s="318">
        <f>Cashflow!AS22</f>
        <v/>
      </c>
      <c r="AT64" s="318">
        <f>Cashflow!AT22</f>
        <v/>
      </c>
      <c r="AU64" s="318">
        <f>Cashflow!AU22</f>
        <v/>
      </c>
      <c r="AV64" s="318">
        <f>Cashflow!AV22</f>
        <v/>
      </c>
      <c r="AW64" s="318">
        <f>Cashflow!AW22</f>
        <v/>
      </c>
      <c r="AX64" s="316" t="n"/>
    </row>
    <row r="65" outlineLevel="1">
      <c r="B65" s="1">
        <f>Cashflow!B23</f>
        <v/>
      </c>
      <c r="C65" s="318">
        <f>Cashflow!C23</f>
        <v/>
      </c>
      <c r="D65" s="318">
        <f>Cashflow!D23</f>
        <v/>
      </c>
      <c r="E65" s="318">
        <f>Cashflow!E23</f>
        <v/>
      </c>
      <c r="F65" s="318">
        <f>Cashflow!F23</f>
        <v/>
      </c>
      <c r="G65" s="318" t="n"/>
      <c r="H65" s="318">
        <f>Cashflow!H23</f>
        <v/>
      </c>
      <c r="I65" s="318">
        <f>Cashflow!I23</f>
        <v/>
      </c>
      <c r="J65" s="318">
        <f>Cashflow!J23</f>
        <v/>
      </c>
      <c r="K65" s="318">
        <f>Cashflow!K23</f>
        <v/>
      </c>
      <c r="L65" s="318">
        <f>Cashflow!L23</f>
        <v/>
      </c>
      <c r="M65" s="318">
        <f>Cashflow!M23</f>
        <v/>
      </c>
      <c r="N65" s="318">
        <f>Cashflow!N23</f>
        <v/>
      </c>
      <c r="O65" s="318">
        <f>Cashflow!O23</f>
        <v/>
      </c>
      <c r="P65" s="318">
        <f>Cashflow!P23</f>
        <v/>
      </c>
      <c r="Q65" s="318">
        <f>Cashflow!Q23</f>
        <v/>
      </c>
      <c r="R65" s="318">
        <f>Cashflow!R23</f>
        <v/>
      </c>
      <c r="S65" s="318">
        <f>Cashflow!S23</f>
        <v/>
      </c>
      <c r="T65" s="318">
        <f>Cashflow!T23</f>
        <v/>
      </c>
      <c r="U65" s="318">
        <f>Cashflow!U23</f>
        <v/>
      </c>
      <c r="V65" s="318">
        <f>Cashflow!V23</f>
        <v/>
      </c>
      <c r="W65" s="318">
        <f>Cashflow!W23</f>
        <v/>
      </c>
      <c r="X65" s="318">
        <f>Cashflow!X23</f>
        <v/>
      </c>
      <c r="Y65" s="318">
        <f>Cashflow!Y23</f>
        <v/>
      </c>
      <c r="Z65" s="318">
        <f>Cashflow!Z23</f>
        <v/>
      </c>
      <c r="AA65" s="318">
        <f>Cashflow!AA23</f>
        <v/>
      </c>
      <c r="AB65" s="318">
        <f>Cashflow!AB23</f>
        <v/>
      </c>
      <c r="AC65" s="318">
        <f>Cashflow!AC23</f>
        <v/>
      </c>
      <c r="AD65" s="318">
        <f>Cashflow!AD23</f>
        <v/>
      </c>
      <c r="AE65" s="318">
        <f>Cashflow!AE23</f>
        <v/>
      </c>
      <c r="AF65" s="318">
        <f>Cashflow!AF23</f>
        <v/>
      </c>
      <c r="AG65" s="318">
        <f>Cashflow!AG23</f>
        <v/>
      </c>
      <c r="AH65" s="318">
        <f>Cashflow!AH23</f>
        <v/>
      </c>
      <c r="AI65" s="318">
        <f>Cashflow!AI23</f>
        <v/>
      </c>
      <c r="AJ65" s="318">
        <f>Cashflow!AJ23</f>
        <v/>
      </c>
      <c r="AK65" s="318">
        <f>Cashflow!AK23</f>
        <v/>
      </c>
      <c r="AL65" s="318">
        <f>Cashflow!AL23</f>
        <v/>
      </c>
      <c r="AM65" s="318">
        <f>Cashflow!AM23</f>
        <v/>
      </c>
      <c r="AN65" s="318">
        <f>Cashflow!AN23</f>
        <v/>
      </c>
      <c r="AO65" s="318">
        <f>Cashflow!AO23</f>
        <v/>
      </c>
      <c r="AP65" s="318">
        <f>Cashflow!AP23</f>
        <v/>
      </c>
      <c r="AQ65" s="318">
        <f>Cashflow!AQ23</f>
        <v/>
      </c>
      <c r="AR65" s="318">
        <f>Cashflow!AR23</f>
        <v/>
      </c>
      <c r="AS65" s="318">
        <f>Cashflow!AS23</f>
        <v/>
      </c>
      <c r="AT65" s="318">
        <f>Cashflow!AT23</f>
        <v/>
      </c>
      <c r="AU65" s="318">
        <f>Cashflow!AU23</f>
        <v/>
      </c>
      <c r="AV65" s="318">
        <f>Cashflow!AV23</f>
        <v/>
      </c>
      <c r="AW65" s="318">
        <f>Cashflow!AW23</f>
        <v/>
      </c>
      <c r="AX65" s="316" t="n"/>
    </row>
    <row r="66" outlineLevel="1">
      <c r="C66" s="318" t="n"/>
      <c r="D66" s="318" t="n"/>
      <c r="E66" s="318" t="n"/>
      <c r="F66" s="318" t="n"/>
      <c r="G66" s="318" t="n"/>
      <c r="H66" s="318" t="n"/>
      <c r="I66" s="318" t="n"/>
      <c r="J66" s="318" t="n"/>
      <c r="K66" s="318" t="n"/>
      <c r="L66" s="318" t="n"/>
      <c r="M66" s="318" t="n"/>
      <c r="N66" s="318" t="n"/>
      <c r="O66" s="318" t="n"/>
      <c r="P66" s="318" t="n"/>
      <c r="Q66" s="318" t="n"/>
      <c r="R66" s="318" t="n"/>
      <c r="S66" s="318" t="n"/>
      <c r="T66" s="318" t="n"/>
      <c r="U66" s="318" t="n"/>
      <c r="V66" s="318" t="n"/>
      <c r="W66" s="318" t="n"/>
      <c r="X66" s="318" t="n"/>
      <c r="Y66" s="318" t="n"/>
      <c r="Z66" s="318" t="n"/>
      <c r="AA66" s="318" t="n"/>
      <c r="AB66" s="318" t="n"/>
      <c r="AC66" s="318" t="n"/>
      <c r="AD66" s="318" t="n"/>
      <c r="AE66" s="318" t="n"/>
      <c r="AF66" s="318" t="n"/>
      <c r="AG66" s="318" t="n"/>
      <c r="AH66" s="318" t="n"/>
      <c r="AI66" s="318" t="n"/>
      <c r="AJ66" s="318" t="n"/>
      <c r="AK66" s="318" t="n"/>
      <c r="AL66" s="318" t="n"/>
      <c r="AM66" s="318" t="n"/>
      <c r="AN66" s="318" t="n"/>
      <c r="AO66" s="318" t="n"/>
      <c r="AP66" s="318" t="n"/>
      <c r="AQ66" s="318" t="n"/>
      <c r="AR66" s="318" t="n"/>
      <c r="AS66" s="318" t="n"/>
      <c r="AT66" s="318" t="n"/>
      <c r="AU66" s="318" t="n"/>
      <c r="AV66" s="318" t="n"/>
      <c r="AW66" s="318" t="n"/>
      <c r="AX66" s="316" t="n"/>
    </row>
    <row r="67">
      <c r="B67" s="1">
        <f>Cashflow!B27</f>
        <v/>
      </c>
      <c r="C67" s="19">
        <f>Cashflow!C27</f>
        <v/>
      </c>
      <c r="D67" s="19">
        <f>Cashflow!D27</f>
        <v/>
      </c>
      <c r="E67" s="19">
        <f>Cashflow!E27</f>
        <v/>
      </c>
      <c r="F67" s="19">
        <f>Cashflow!F27</f>
        <v/>
      </c>
      <c r="G67" s="19" t="n"/>
      <c r="H67" s="19">
        <f>Cashflow!H27</f>
        <v/>
      </c>
      <c r="I67" s="19">
        <f>Cashflow!I27</f>
        <v/>
      </c>
      <c r="J67" s="19">
        <f>Cashflow!J27</f>
        <v/>
      </c>
      <c r="K67" s="19">
        <f>Cashflow!K27</f>
        <v/>
      </c>
      <c r="L67" s="19">
        <f>Cashflow!L27</f>
        <v/>
      </c>
      <c r="M67" s="19">
        <f>Cashflow!M27</f>
        <v/>
      </c>
      <c r="N67" s="19">
        <f>Cashflow!N27</f>
        <v/>
      </c>
      <c r="O67" s="19">
        <f>Cashflow!O27</f>
        <v/>
      </c>
      <c r="P67" s="19">
        <f>Cashflow!P27</f>
        <v/>
      </c>
      <c r="Q67" s="19">
        <f>Cashflow!Q27</f>
        <v/>
      </c>
      <c r="R67" s="19">
        <f>Cashflow!R27</f>
        <v/>
      </c>
      <c r="S67" s="19">
        <f>Cashflow!S27</f>
        <v/>
      </c>
      <c r="T67" s="19">
        <f>Cashflow!T27</f>
        <v/>
      </c>
      <c r="U67" s="19">
        <f>Cashflow!U27</f>
        <v/>
      </c>
      <c r="V67" s="19">
        <f>Cashflow!V27</f>
        <v/>
      </c>
      <c r="W67" s="19">
        <f>Cashflow!W27</f>
        <v/>
      </c>
      <c r="X67" s="19">
        <f>Cashflow!X27</f>
        <v/>
      </c>
      <c r="Y67" s="19">
        <f>Cashflow!Y27</f>
        <v/>
      </c>
      <c r="Z67" s="19">
        <f>Cashflow!Z27</f>
        <v/>
      </c>
      <c r="AA67" s="19">
        <f>Cashflow!AA27</f>
        <v/>
      </c>
      <c r="AB67" s="19">
        <f>Cashflow!AB27</f>
        <v/>
      </c>
      <c r="AC67" s="19">
        <f>Cashflow!AC27</f>
        <v/>
      </c>
      <c r="AD67" s="19">
        <f>Cashflow!AD27</f>
        <v/>
      </c>
      <c r="AE67" s="19">
        <f>Cashflow!AE27</f>
        <v/>
      </c>
      <c r="AF67" s="19">
        <f>Cashflow!AF27</f>
        <v/>
      </c>
      <c r="AG67" s="19">
        <f>Cashflow!AG27</f>
        <v/>
      </c>
      <c r="AH67" s="19">
        <f>Cashflow!AH27</f>
        <v/>
      </c>
      <c r="AI67" s="19">
        <f>Cashflow!AI27</f>
        <v/>
      </c>
      <c r="AJ67" s="19">
        <f>Cashflow!AJ27</f>
        <v/>
      </c>
      <c r="AK67" s="19">
        <f>Cashflow!AK27</f>
        <v/>
      </c>
      <c r="AL67" s="19">
        <f>Cashflow!AL27</f>
        <v/>
      </c>
      <c r="AM67" s="19">
        <f>Cashflow!AM27</f>
        <v/>
      </c>
      <c r="AN67" s="19">
        <f>Cashflow!AN27</f>
        <v/>
      </c>
      <c r="AO67" s="19">
        <f>Cashflow!AO27</f>
        <v/>
      </c>
      <c r="AP67" s="19">
        <f>Cashflow!AP27</f>
        <v/>
      </c>
      <c r="AQ67" s="19">
        <f>Cashflow!AQ27</f>
        <v/>
      </c>
      <c r="AR67" s="19">
        <f>Cashflow!AR27</f>
        <v/>
      </c>
      <c r="AS67" s="19">
        <f>Cashflow!AS27</f>
        <v/>
      </c>
      <c r="AT67" s="19">
        <f>Cashflow!AT27</f>
        <v/>
      </c>
      <c r="AU67" s="19">
        <f>Cashflow!AU27</f>
        <v/>
      </c>
      <c r="AV67" s="19">
        <f>Cashflow!AV27</f>
        <v/>
      </c>
      <c r="AW67" s="19">
        <f>Cashflow!AW27</f>
        <v/>
      </c>
      <c r="AX67" s="316" t="n"/>
    </row>
    <row r="68">
      <c r="B68" s="1">
        <f>Cashflow!B28</f>
        <v/>
      </c>
      <c r="C68" s="19">
        <f>Cashflow!C28</f>
        <v/>
      </c>
      <c r="D68" s="19">
        <f>Cashflow!D28</f>
        <v/>
      </c>
      <c r="E68" s="19">
        <f>Cashflow!E28</f>
        <v/>
      </c>
      <c r="F68" s="19">
        <f>Cashflow!F28</f>
        <v/>
      </c>
      <c r="G68" s="19" t="n"/>
      <c r="H68" s="19">
        <f>Cashflow!H28</f>
        <v/>
      </c>
      <c r="I68" s="19">
        <f>Cashflow!I28</f>
        <v/>
      </c>
      <c r="J68" s="19">
        <f>Cashflow!J28</f>
        <v/>
      </c>
      <c r="K68" s="19">
        <f>Cashflow!K28</f>
        <v/>
      </c>
      <c r="L68" s="19">
        <f>Cashflow!L28</f>
        <v/>
      </c>
      <c r="M68" s="19">
        <f>Cashflow!M28</f>
        <v/>
      </c>
      <c r="N68" s="19">
        <f>Cashflow!N28</f>
        <v/>
      </c>
      <c r="O68" s="19">
        <f>Cashflow!O28</f>
        <v/>
      </c>
      <c r="P68" s="19">
        <f>Cashflow!P28</f>
        <v/>
      </c>
      <c r="Q68" s="19">
        <f>Cashflow!Q28</f>
        <v/>
      </c>
      <c r="R68" s="19">
        <f>Cashflow!R28</f>
        <v/>
      </c>
      <c r="S68" s="19">
        <f>Cashflow!S28</f>
        <v/>
      </c>
      <c r="T68" s="19">
        <f>Cashflow!T28</f>
        <v/>
      </c>
      <c r="U68" s="19">
        <f>Cashflow!U28</f>
        <v/>
      </c>
      <c r="V68" s="19">
        <f>Cashflow!V28</f>
        <v/>
      </c>
      <c r="W68" s="19">
        <f>Cashflow!W28</f>
        <v/>
      </c>
      <c r="X68" s="19">
        <f>Cashflow!X28</f>
        <v/>
      </c>
      <c r="Y68" s="19">
        <f>Cashflow!Y28</f>
        <v/>
      </c>
      <c r="Z68" s="19">
        <f>Cashflow!Z28</f>
        <v/>
      </c>
      <c r="AA68" s="19">
        <f>Cashflow!AA28</f>
        <v/>
      </c>
      <c r="AB68" s="19">
        <f>Cashflow!AB28</f>
        <v/>
      </c>
      <c r="AC68" s="19">
        <f>Cashflow!AC28</f>
        <v/>
      </c>
      <c r="AD68" s="19">
        <f>Cashflow!AD28</f>
        <v/>
      </c>
      <c r="AE68" s="19">
        <f>Cashflow!AE28</f>
        <v/>
      </c>
      <c r="AF68" s="19">
        <f>Cashflow!AF28</f>
        <v/>
      </c>
      <c r="AG68" s="19">
        <f>Cashflow!AG28</f>
        <v/>
      </c>
      <c r="AH68" s="19">
        <f>Cashflow!AH28</f>
        <v/>
      </c>
      <c r="AI68" s="19">
        <f>Cashflow!AI28</f>
        <v/>
      </c>
      <c r="AJ68" s="19">
        <f>Cashflow!AJ28</f>
        <v/>
      </c>
      <c r="AK68" s="19">
        <f>Cashflow!AK28</f>
        <v/>
      </c>
      <c r="AL68" s="19">
        <f>Cashflow!AL28</f>
        <v/>
      </c>
      <c r="AM68" s="19">
        <f>Cashflow!AM28</f>
        <v/>
      </c>
      <c r="AN68" s="19">
        <f>Cashflow!AN28</f>
        <v/>
      </c>
      <c r="AO68" s="19">
        <f>Cashflow!AO28</f>
        <v/>
      </c>
      <c r="AP68" s="19">
        <f>Cashflow!AP28</f>
        <v/>
      </c>
      <c r="AQ68" s="19">
        <f>Cashflow!AQ28</f>
        <v/>
      </c>
      <c r="AR68" s="19">
        <f>Cashflow!AR28</f>
        <v/>
      </c>
      <c r="AS68" s="19">
        <f>Cashflow!AS28</f>
        <v/>
      </c>
      <c r="AT68" s="19">
        <f>Cashflow!AT28</f>
        <v/>
      </c>
      <c r="AU68" s="19">
        <f>Cashflow!AU28</f>
        <v/>
      </c>
      <c r="AV68" s="19">
        <f>Cashflow!AV28</f>
        <v/>
      </c>
      <c r="AW68" s="19">
        <f>Cashflow!AW28</f>
        <v/>
      </c>
      <c r="AX68" s="316" t="n"/>
    </row>
    <row r="69">
      <c r="B69" s="22">
        <f>Cashflow!B29</f>
        <v/>
      </c>
      <c r="C69" s="28">
        <f>Cashflow!C29</f>
        <v/>
      </c>
      <c r="D69" s="28">
        <f>Cashflow!D29</f>
        <v/>
      </c>
      <c r="E69" s="28">
        <f>Cashflow!E29</f>
        <v/>
      </c>
      <c r="F69" s="28">
        <f>Cashflow!F29</f>
        <v/>
      </c>
      <c r="G69" s="27" t="n"/>
      <c r="H69" s="28">
        <f>Cashflow!H29</f>
        <v/>
      </c>
      <c r="I69" s="28">
        <f>Cashflow!I29</f>
        <v/>
      </c>
      <c r="J69" s="28">
        <f>Cashflow!J29</f>
        <v/>
      </c>
      <c r="K69" s="28">
        <f>Cashflow!K29</f>
        <v/>
      </c>
      <c r="L69" s="28">
        <f>Cashflow!L29</f>
        <v/>
      </c>
      <c r="M69" s="28">
        <f>Cashflow!M29</f>
        <v/>
      </c>
      <c r="N69" s="28">
        <f>Cashflow!N29</f>
        <v/>
      </c>
      <c r="O69" s="28">
        <f>Cashflow!O29</f>
        <v/>
      </c>
      <c r="P69" s="28">
        <f>Cashflow!P29</f>
        <v/>
      </c>
      <c r="Q69" s="28">
        <f>Cashflow!Q29</f>
        <v/>
      </c>
      <c r="R69" s="28">
        <f>Cashflow!R29</f>
        <v/>
      </c>
      <c r="S69" s="28">
        <f>Cashflow!S29</f>
        <v/>
      </c>
      <c r="T69" s="28">
        <f>Cashflow!T29</f>
        <v/>
      </c>
      <c r="U69" s="28">
        <f>Cashflow!U29</f>
        <v/>
      </c>
      <c r="V69" s="28">
        <f>Cashflow!V29</f>
        <v/>
      </c>
      <c r="W69" s="28">
        <f>Cashflow!W29</f>
        <v/>
      </c>
      <c r="X69" s="28">
        <f>Cashflow!X29</f>
        <v/>
      </c>
      <c r="Y69" s="28">
        <f>Cashflow!Y29</f>
        <v/>
      </c>
      <c r="Z69" s="28">
        <f>Cashflow!Z29</f>
        <v/>
      </c>
      <c r="AA69" s="28">
        <f>Cashflow!AA29</f>
        <v/>
      </c>
      <c r="AB69" s="28">
        <f>Cashflow!AB29</f>
        <v/>
      </c>
      <c r="AC69" s="28">
        <f>Cashflow!AC29</f>
        <v/>
      </c>
      <c r="AD69" s="28">
        <f>Cashflow!AD29</f>
        <v/>
      </c>
      <c r="AE69" s="28">
        <f>Cashflow!AE29</f>
        <v/>
      </c>
      <c r="AF69" s="28">
        <f>Cashflow!AF29</f>
        <v/>
      </c>
      <c r="AG69" s="28">
        <f>Cashflow!AG29</f>
        <v/>
      </c>
      <c r="AH69" s="28">
        <f>Cashflow!AH29</f>
        <v/>
      </c>
      <c r="AI69" s="28">
        <f>Cashflow!AI29</f>
        <v/>
      </c>
      <c r="AJ69" s="28">
        <f>Cashflow!AJ29</f>
        <v/>
      </c>
      <c r="AK69" s="28">
        <f>Cashflow!AK29</f>
        <v/>
      </c>
      <c r="AL69" s="28">
        <f>Cashflow!AL29</f>
        <v/>
      </c>
      <c r="AM69" s="28">
        <f>Cashflow!AM29</f>
        <v/>
      </c>
      <c r="AN69" s="28">
        <f>Cashflow!AN29</f>
        <v/>
      </c>
      <c r="AO69" s="28">
        <f>Cashflow!AO29</f>
        <v/>
      </c>
      <c r="AP69" s="28">
        <f>Cashflow!AP29</f>
        <v/>
      </c>
      <c r="AQ69" s="28">
        <f>Cashflow!AQ29</f>
        <v/>
      </c>
      <c r="AR69" s="28">
        <f>Cashflow!AR29</f>
        <v/>
      </c>
      <c r="AS69" s="28">
        <f>Cashflow!AS29</f>
        <v/>
      </c>
      <c r="AT69" s="28">
        <f>Cashflow!AT29</f>
        <v/>
      </c>
      <c r="AU69" s="28">
        <f>Cashflow!AU29</f>
        <v/>
      </c>
      <c r="AV69" s="28">
        <f>Cashflow!AV29</f>
        <v/>
      </c>
      <c r="AW69" s="28">
        <f>Cashflow!AW29</f>
        <v/>
      </c>
      <c r="AX69" s="316" t="n"/>
    </row>
    <row r="70" ht="12" customHeight="1">
      <c r="C70" s="316" t="n"/>
      <c r="D70" s="316" t="n"/>
      <c r="E70" s="316" t="n"/>
      <c r="F70" s="316" t="n"/>
      <c r="G70" s="316" t="n"/>
      <c r="H70" s="316" t="n"/>
      <c r="I70" s="316" t="n"/>
      <c r="J70" s="316" t="n"/>
      <c r="K70" s="316" t="n"/>
      <c r="L70" s="316" t="n"/>
      <c r="M70" s="316" t="n"/>
      <c r="N70" s="316" t="n"/>
      <c r="O70" s="316" t="n"/>
      <c r="P70" s="316" t="n"/>
      <c r="Q70" s="316" t="n"/>
      <c r="R70" s="316" t="n"/>
      <c r="S70" s="316" t="n"/>
      <c r="T70" s="316" t="n"/>
      <c r="U70" s="316" t="n"/>
      <c r="V70" s="316" t="n"/>
      <c r="W70" s="316" t="n"/>
      <c r="X70" s="316" t="n"/>
      <c r="Y70" s="316" t="n"/>
      <c r="Z70" s="316" t="n"/>
      <c r="AA70" s="316" t="n"/>
      <c r="AB70" s="316" t="n"/>
      <c r="AC70" s="316" t="n"/>
      <c r="AD70" s="316" t="n"/>
      <c r="AE70" s="316" t="n"/>
      <c r="AF70" s="316" t="n"/>
      <c r="AG70" s="316" t="n"/>
      <c r="AH70" s="316" t="n"/>
      <c r="AI70" s="316" t="n"/>
      <c r="AJ70" s="316" t="n"/>
      <c r="AK70" s="316" t="n"/>
      <c r="AL70" s="316" t="n"/>
      <c r="AM70" s="316" t="n"/>
      <c r="AN70" s="316" t="n"/>
      <c r="AO70" s="316" t="n"/>
      <c r="AP70" s="316" t="n"/>
      <c r="AQ70" s="316" t="n"/>
      <c r="AR70" s="316" t="n"/>
      <c r="AS70" s="316" t="n"/>
      <c r="AT70" s="316" t="n"/>
      <c r="AU70" s="316" t="n"/>
      <c r="AV70" s="316" t="n"/>
      <c r="AW70" s="316" t="n"/>
      <c r="AX70" s="316" t="n"/>
    </row>
    <row r="71" ht="2" customFormat="1" customHeight="1" s="26">
      <c r="C71" s="322" t="n"/>
      <c r="D71" s="322" t="n"/>
      <c r="E71" s="322" t="n"/>
      <c r="F71" s="322" t="n"/>
      <c r="G71" s="322" t="n"/>
      <c r="H71" s="322" t="n"/>
      <c r="I71" s="322" t="n"/>
      <c r="J71" s="322" t="n"/>
      <c r="K71" s="322" t="n"/>
      <c r="L71" s="322" t="n"/>
      <c r="M71" s="322" t="n"/>
      <c r="N71" s="322" t="n"/>
      <c r="O71" s="322" t="n"/>
      <c r="P71" s="322" t="n"/>
      <c r="Q71" s="322" t="n"/>
      <c r="R71" s="322" t="n"/>
      <c r="S71" s="322" t="n"/>
      <c r="T71" s="322" t="n"/>
      <c r="U71" s="322" t="n"/>
      <c r="V71" s="322" t="n"/>
      <c r="W71" s="322" t="n"/>
      <c r="X71" s="322" t="n"/>
      <c r="Y71" s="322" t="n"/>
      <c r="Z71" s="322" t="n"/>
      <c r="AA71" s="322" t="n"/>
      <c r="AB71" s="322" t="n"/>
      <c r="AC71" s="322" t="n"/>
      <c r="AD71" s="322" t="n"/>
      <c r="AE71" s="322" t="n"/>
      <c r="AF71" s="322" t="n"/>
      <c r="AG71" s="322" t="n"/>
      <c r="AH71" s="322" t="n"/>
      <c r="AI71" s="322" t="n"/>
      <c r="AJ71" s="322" t="n"/>
      <c r="AK71" s="322" t="n"/>
      <c r="AL71" s="322" t="n"/>
      <c r="AM71" s="322" t="n"/>
      <c r="AN71" s="322" t="n"/>
      <c r="AO71" s="322" t="n"/>
      <c r="AP71" s="322" t="n"/>
      <c r="AQ71" s="322" t="n"/>
      <c r="AR71" s="322" t="n"/>
      <c r="AS71" s="322" t="n"/>
      <c r="AT71" s="322" t="n"/>
      <c r="AU71" s="322" t="n"/>
      <c r="AV71" s="322" t="n"/>
      <c r="AW71" s="322" t="n"/>
      <c r="AX71" s="322" t="n"/>
    </row>
    <row r="73">
      <c r="B73" s="9" t="inlineStr">
        <is>
          <t>Balance Sheet</t>
        </is>
      </c>
    </row>
    <row r="74" ht="7" customHeight="1"/>
    <row r="75">
      <c r="B75" s="1">
        <f>'Balance Sheet'!B8</f>
        <v/>
      </c>
      <c r="C75" s="318">
        <f>'Balance Sheet'!C8</f>
        <v/>
      </c>
      <c r="D75" s="318">
        <f>'Balance Sheet'!D8</f>
        <v/>
      </c>
      <c r="E75" s="318">
        <f>'Balance Sheet'!E8</f>
        <v/>
      </c>
      <c r="F75" s="318">
        <f>'Balance Sheet'!F8</f>
        <v/>
      </c>
      <c r="G75" s="318" t="n"/>
      <c r="H75" s="318">
        <f>'Balance Sheet'!H8</f>
        <v/>
      </c>
      <c r="I75" s="318">
        <f>'Balance Sheet'!I8</f>
        <v/>
      </c>
      <c r="J75" s="318">
        <f>'Balance Sheet'!J8</f>
        <v/>
      </c>
      <c r="K75" s="318">
        <f>'Balance Sheet'!K8</f>
        <v/>
      </c>
      <c r="L75" s="318">
        <f>'Balance Sheet'!L8</f>
        <v/>
      </c>
      <c r="M75" s="318">
        <f>'Balance Sheet'!M8</f>
        <v/>
      </c>
      <c r="N75" s="318">
        <f>'Balance Sheet'!N8</f>
        <v/>
      </c>
      <c r="O75" s="318">
        <f>'Balance Sheet'!O8</f>
        <v/>
      </c>
      <c r="P75" s="318">
        <f>'Balance Sheet'!P8</f>
        <v/>
      </c>
      <c r="Q75" s="318">
        <f>'Balance Sheet'!Q8</f>
        <v/>
      </c>
      <c r="R75" s="318">
        <f>'Balance Sheet'!R8</f>
        <v/>
      </c>
      <c r="S75" s="318">
        <f>'Balance Sheet'!S8</f>
        <v/>
      </c>
      <c r="T75" s="318">
        <f>'Balance Sheet'!T8</f>
        <v/>
      </c>
      <c r="U75" s="318">
        <f>'Balance Sheet'!U8</f>
        <v/>
      </c>
      <c r="V75" s="318">
        <f>'Balance Sheet'!V8</f>
        <v/>
      </c>
      <c r="W75" s="318">
        <f>'Balance Sheet'!W8</f>
        <v/>
      </c>
      <c r="X75" s="318">
        <f>'Balance Sheet'!X8</f>
        <v/>
      </c>
      <c r="Y75" s="318">
        <f>'Balance Sheet'!Y8</f>
        <v/>
      </c>
      <c r="Z75" s="318">
        <f>'Balance Sheet'!Z8</f>
        <v/>
      </c>
      <c r="AA75" s="318">
        <f>'Balance Sheet'!AA8</f>
        <v/>
      </c>
      <c r="AB75" s="318">
        <f>'Balance Sheet'!AB8</f>
        <v/>
      </c>
      <c r="AC75" s="318">
        <f>'Balance Sheet'!AC8</f>
        <v/>
      </c>
      <c r="AD75" s="318">
        <f>'Balance Sheet'!AD8</f>
        <v/>
      </c>
      <c r="AE75" s="318">
        <f>'Balance Sheet'!AE8</f>
        <v/>
      </c>
      <c r="AF75" s="318">
        <f>'Balance Sheet'!AF8</f>
        <v/>
      </c>
      <c r="AG75" s="318">
        <f>'Balance Sheet'!AG8</f>
        <v/>
      </c>
      <c r="AH75" s="318">
        <f>'Balance Sheet'!AH8</f>
        <v/>
      </c>
      <c r="AI75" s="318">
        <f>'Balance Sheet'!AI8</f>
        <v/>
      </c>
      <c r="AJ75" s="318">
        <f>'Balance Sheet'!AJ8</f>
        <v/>
      </c>
      <c r="AK75" s="318">
        <f>'Balance Sheet'!AK8</f>
        <v/>
      </c>
      <c r="AL75" s="318">
        <f>'Balance Sheet'!AL8</f>
        <v/>
      </c>
      <c r="AM75" s="318">
        <f>'Balance Sheet'!AM8</f>
        <v/>
      </c>
      <c r="AN75" s="318">
        <f>'Balance Sheet'!AN8</f>
        <v/>
      </c>
      <c r="AO75" s="318">
        <f>'Balance Sheet'!AO8</f>
        <v/>
      </c>
      <c r="AP75" s="318">
        <f>'Balance Sheet'!AP8</f>
        <v/>
      </c>
      <c r="AQ75" s="318">
        <f>'Balance Sheet'!AQ8</f>
        <v/>
      </c>
      <c r="AR75" s="318">
        <f>'Balance Sheet'!AR8</f>
        <v/>
      </c>
      <c r="AS75" s="318">
        <f>'Balance Sheet'!AS8</f>
        <v/>
      </c>
      <c r="AT75" s="318">
        <f>'Balance Sheet'!AT8</f>
        <v/>
      </c>
      <c r="AU75" s="318">
        <f>'Balance Sheet'!AU8</f>
        <v/>
      </c>
      <c r="AV75" s="318">
        <f>'Balance Sheet'!AV8</f>
        <v/>
      </c>
      <c r="AW75" s="318">
        <f>'Balance Sheet'!AW8</f>
        <v/>
      </c>
    </row>
    <row r="76" outlineLevel="1">
      <c r="B76" s="1">
        <f>'Balance Sheet'!B9</f>
        <v/>
      </c>
      <c r="C76" s="318">
        <f>'Balance Sheet'!C9</f>
        <v/>
      </c>
      <c r="D76" s="318">
        <f>'Balance Sheet'!D9</f>
        <v/>
      </c>
      <c r="E76" s="318">
        <f>'Balance Sheet'!E9</f>
        <v/>
      </c>
      <c r="F76" s="318">
        <f>'Balance Sheet'!F9</f>
        <v/>
      </c>
      <c r="G76" s="318" t="n"/>
      <c r="H76" s="318">
        <f>'Balance Sheet'!H9</f>
        <v/>
      </c>
      <c r="I76" s="318">
        <f>'Balance Sheet'!I9</f>
        <v/>
      </c>
      <c r="J76" s="318">
        <f>'Balance Sheet'!J9</f>
        <v/>
      </c>
      <c r="K76" s="318">
        <f>'Balance Sheet'!K9</f>
        <v/>
      </c>
      <c r="L76" s="318">
        <f>'Balance Sheet'!L9</f>
        <v/>
      </c>
      <c r="M76" s="318">
        <f>'Balance Sheet'!M9</f>
        <v/>
      </c>
      <c r="N76" s="318">
        <f>'Balance Sheet'!N9</f>
        <v/>
      </c>
      <c r="O76" s="318">
        <f>'Balance Sheet'!O9</f>
        <v/>
      </c>
      <c r="P76" s="318">
        <f>'Balance Sheet'!P9</f>
        <v/>
      </c>
      <c r="Q76" s="318">
        <f>'Balance Sheet'!Q9</f>
        <v/>
      </c>
      <c r="R76" s="318">
        <f>'Balance Sheet'!R9</f>
        <v/>
      </c>
      <c r="S76" s="318">
        <f>'Balance Sheet'!S9</f>
        <v/>
      </c>
      <c r="T76" s="318">
        <f>'Balance Sheet'!T9</f>
        <v/>
      </c>
      <c r="U76" s="318">
        <f>'Balance Sheet'!U9</f>
        <v/>
      </c>
      <c r="V76" s="318">
        <f>'Balance Sheet'!V9</f>
        <v/>
      </c>
      <c r="W76" s="318">
        <f>'Balance Sheet'!W9</f>
        <v/>
      </c>
      <c r="X76" s="318">
        <f>'Balance Sheet'!X9</f>
        <v/>
      </c>
      <c r="Y76" s="318">
        <f>'Balance Sheet'!Y9</f>
        <v/>
      </c>
      <c r="Z76" s="318">
        <f>'Balance Sheet'!Z9</f>
        <v/>
      </c>
      <c r="AA76" s="318">
        <f>'Balance Sheet'!AA9</f>
        <v/>
      </c>
      <c r="AB76" s="318">
        <f>'Balance Sheet'!AB9</f>
        <v/>
      </c>
      <c r="AC76" s="318">
        <f>'Balance Sheet'!AC9</f>
        <v/>
      </c>
      <c r="AD76" s="318">
        <f>'Balance Sheet'!AD9</f>
        <v/>
      </c>
      <c r="AE76" s="318">
        <f>'Balance Sheet'!AE9</f>
        <v/>
      </c>
      <c r="AF76" s="318">
        <f>'Balance Sheet'!AF9</f>
        <v/>
      </c>
      <c r="AG76" s="318">
        <f>'Balance Sheet'!AG9</f>
        <v/>
      </c>
      <c r="AH76" s="318">
        <f>'Balance Sheet'!AH9</f>
        <v/>
      </c>
      <c r="AI76" s="318">
        <f>'Balance Sheet'!AI9</f>
        <v/>
      </c>
      <c r="AJ76" s="318">
        <f>'Balance Sheet'!AJ9</f>
        <v/>
      </c>
      <c r="AK76" s="318">
        <f>'Balance Sheet'!AK9</f>
        <v/>
      </c>
      <c r="AL76" s="318">
        <f>'Balance Sheet'!AL9</f>
        <v/>
      </c>
      <c r="AM76" s="318">
        <f>'Balance Sheet'!AM9</f>
        <v/>
      </c>
      <c r="AN76" s="318">
        <f>'Balance Sheet'!AN9</f>
        <v/>
      </c>
      <c r="AO76" s="318">
        <f>'Balance Sheet'!AO9</f>
        <v/>
      </c>
      <c r="AP76" s="318">
        <f>'Balance Sheet'!AP9</f>
        <v/>
      </c>
      <c r="AQ76" s="318">
        <f>'Balance Sheet'!AQ9</f>
        <v/>
      </c>
      <c r="AR76" s="318">
        <f>'Balance Sheet'!AR9</f>
        <v/>
      </c>
      <c r="AS76" s="318">
        <f>'Balance Sheet'!AS9</f>
        <v/>
      </c>
      <c r="AT76" s="318">
        <f>'Balance Sheet'!AT9</f>
        <v/>
      </c>
      <c r="AU76" s="318">
        <f>'Balance Sheet'!AU9</f>
        <v/>
      </c>
      <c r="AV76" s="318">
        <f>'Balance Sheet'!AV9</f>
        <v/>
      </c>
      <c r="AW76" s="318">
        <f>'Balance Sheet'!AW9</f>
        <v/>
      </c>
    </row>
    <row r="77" outlineLevel="1">
      <c r="B77" s="1">
        <f>'Balance Sheet'!B10</f>
        <v/>
      </c>
      <c r="C77" s="318">
        <f>'Balance Sheet'!C10</f>
        <v/>
      </c>
      <c r="D77" s="318">
        <f>'Balance Sheet'!D10</f>
        <v/>
      </c>
      <c r="E77" s="318">
        <f>'Balance Sheet'!E10</f>
        <v/>
      </c>
      <c r="F77" s="318">
        <f>'Balance Sheet'!F10</f>
        <v/>
      </c>
      <c r="G77" s="318" t="n"/>
      <c r="H77" s="318">
        <f>'Balance Sheet'!H10</f>
        <v/>
      </c>
      <c r="I77" s="318">
        <f>'Balance Sheet'!I10</f>
        <v/>
      </c>
      <c r="J77" s="318">
        <f>'Balance Sheet'!J10</f>
        <v/>
      </c>
      <c r="K77" s="318">
        <f>'Balance Sheet'!K10</f>
        <v/>
      </c>
      <c r="L77" s="318">
        <f>'Balance Sheet'!L10</f>
        <v/>
      </c>
      <c r="M77" s="318">
        <f>'Balance Sheet'!M10</f>
        <v/>
      </c>
      <c r="N77" s="318">
        <f>'Balance Sheet'!N10</f>
        <v/>
      </c>
      <c r="O77" s="318">
        <f>'Balance Sheet'!O10</f>
        <v/>
      </c>
      <c r="P77" s="318">
        <f>'Balance Sheet'!P10</f>
        <v/>
      </c>
      <c r="Q77" s="318">
        <f>'Balance Sheet'!Q10</f>
        <v/>
      </c>
      <c r="R77" s="318">
        <f>'Balance Sheet'!R10</f>
        <v/>
      </c>
      <c r="S77" s="318">
        <f>'Balance Sheet'!S10</f>
        <v/>
      </c>
      <c r="T77" s="318">
        <f>'Balance Sheet'!T10</f>
        <v/>
      </c>
      <c r="U77" s="318">
        <f>'Balance Sheet'!U10</f>
        <v/>
      </c>
      <c r="V77" s="318">
        <f>'Balance Sheet'!V10</f>
        <v/>
      </c>
      <c r="W77" s="318">
        <f>'Balance Sheet'!W10</f>
        <v/>
      </c>
      <c r="X77" s="318">
        <f>'Balance Sheet'!X10</f>
        <v/>
      </c>
      <c r="Y77" s="318">
        <f>'Balance Sheet'!Y10</f>
        <v/>
      </c>
      <c r="Z77" s="318">
        <f>'Balance Sheet'!Z10</f>
        <v/>
      </c>
      <c r="AA77" s="318">
        <f>'Balance Sheet'!AA10</f>
        <v/>
      </c>
      <c r="AB77" s="318">
        <f>'Balance Sheet'!AB10</f>
        <v/>
      </c>
      <c r="AC77" s="318">
        <f>'Balance Sheet'!AC10</f>
        <v/>
      </c>
      <c r="AD77" s="318">
        <f>'Balance Sheet'!AD10</f>
        <v/>
      </c>
      <c r="AE77" s="318">
        <f>'Balance Sheet'!AE10</f>
        <v/>
      </c>
      <c r="AF77" s="318">
        <f>'Balance Sheet'!AF10</f>
        <v/>
      </c>
      <c r="AG77" s="318">
        <f>'Balance Sheet'!AG10</f>
        <v/>
      </c>
      <c r="AH77" s="318">
        <f>'Balance Sheet'!AH10</f>
        <v/>
      </c>
      <c r="AI77" s="318">
        <f>'Balance Sheet'!AI10</f>
        <v/>
      </c>
      <c r="AJ77" s="318">
        <f>'Balance Sheet'!AJ10</f>
        <v/>
      </c>
      <c r="AK77" s="318">
        <f>'Balance Sheet'!AK10</f>
        <v/>
      </c>
      <c r="AL77" s="318">
        <f>'Balance Sheet'!AL10</f>
        <v/>
      </c>
      <c r="AM77" s="318">
        <f>'Balance Sheet'!AM10</f>
        <v/>
      </c>
      <c r="AN77" s="318">
        <f>'Balance Sheet'!AN10</f>
        <v/>
      </c>
      <c r="AO77" s="318">
        <f>'Balance Sheet'!AO10</f>
        <v/>
      </c>
      <c r="AP77" s="318">
        <f>'Balance Sheet'!AP10</f>
        <v/>
      </c>
      <c r="AQ77" s="318">
        <f>'Balance Sheet'!AQ10</f>
        <v/>
      </c>
      <c r="AR77" s="318">
        <f>'Balance Sheet'!AR10</f>
        <v/>
      </c>
      <c r="AS77" s="318">
        <f>'Balance Sheet'!AS10</f>
        <v/>
      </c>
      <c r="AT77" s="318">
        <f>'Balance Sheet'!AT10</f>
        <v/>
      </c>
      <c r="AU77" s="318">
        <f>'Balance Sheet'!AU10</f>
        <v/>
      </c>
      <c r="AV77" s="318">
        <f>'Balance Sheet'!AV10</f>
        <v/>
      </c>
      <c r="AW77" s="318">
        <f>'Balance Sheet'!AW10</f>
        <v/>
      </c>
    </row>
    <row r="78" outlineLevel="1">
      <c r="B78" s="1">
        <f>'Balance Sheet'!B11</f>
        <v/>
      </c>
      <c r="C78" s="318">
        <f>'Balance Sheet'!C11</f>
        <v/>
      </c>
      <c r="D78" s="318">
        <f>'Balance Sheet'!D11</f>
        <v/>
      </c>
      <c r="E78" s="318">
        <f>'Balance Sheet'!E11</f>
        <v/>
      </c>
      <c r="F78" s="318">
        <f>'Balance Sheet'!F11</f>
        <v/>
      </c>
      <c r="G78" s="318" t="n"/>
      <c r="H78" s="318">
        <f>'Balance Sheet'!H11</f>
        <v/>
      </c>
      <c r="I78" s="318">
        <f>'Balance Sheet'!I11</f>
        <v/>
      </c>
      <c r="J78" s="318">
        <f>'Balance Sheet'!J11</f>
        <v/>
      </c>
      <c r="K78" s="318">
        <f>'Balance Sheet'!K11</f>
        <v/>
      </c>
      <c r="L78" s="318">
        <f>'Balance Sheet'!L11</f>
        <v/>
      </c>
      <c r="M78" s="318">
        <f>'Balance Sheet'!M11</f>
        <v/>
      </c>
      <c r="N78" s="318">
        <f>'Balance Sheet'!N11</f>
        <v/>
      </c>
      <c r="O78" s="318">
        <f>'Balance Sheet'!O11</f>
        <v/>
      </c>
      <c r="P78" s="318">
        <f>'Balance Sheet'!P11</f>
        <v/>
      </c>
      <c r="Q78" s="318">
        <f>'Balance Sheet'!Q11</f>
        <v/>
      </c>
      <c r="R78" s="318">
        <f>'Balance Sheet'!R11</f>
        <v/>
      </c>
      <c r="S78" s="318">
        <f>'Balance Sheet'!S11</f>
        <v/>
      </c>
      <c r="T78" s="318">
        <f>'Balance Sheet'!T11</f>
        <v/>
      </c>
      <c r="U78" s="318">
        <f>'Balance Sheet'!U11</f>
        <v/>
      </c>
      <c r="V78" s="318">
        <f>'Balance Sheet'!V11</f>
        <v/>
      </c>
      <c r="W78" s="318">
        <f>'Balance Sheet'!W11</f>
        <v/>
      </c>
      <c r="X78" s="318">
        <f>'Balance Sheet'!X11</f>
        <v/>
      </c>
      <c r="Y78" s="318">
        <f>'Balance Sheet'!Y11</f>
        <v/>
      </c>
      <c r="Z78" s="318">
        <f>'Balance Sheet'!Z11</f>
        <v/>
      </c>
      <c r="AA78" s="318">
        <f>'Balance Sheet'!AA11</f>
        <v/>
      </c>
      <c r="AB78" s="318">
        <f>'Balance Sheet'!AB11</f>
        <v/>
      </c>
      <c r="AC78" s="318">
        <f>'Balance Sheet'!AC11</f>
        <v/>
      </c>
      <c r="AD78" s="318">
        <f>'Balance Sheet'!AD11</f>
        <v/>
      </c>
      <c r="AE78" s="318">
        <f>'Balance Sheet'!AE11</f>
        <v/>
      </c>
      <c r="AF78" s="318">
        <f>'Balance Sheet'!AF11</f>
        <v/>
      </c>
      <c r="AG78" s="318">
        <f>'Balance Sheet'!AG11</f>
        <v/>
      </c>
      <c r="AH78" s="318">
        <f>'Balance Sheet'!AH11</f>
        <v/>
      </c>
      <c r="AI78" s="318">
        <f>'Balance Sheet'!AI11</f>
        <v/>
      </c>
      <c r="AJ78" s="318">
        <f>'Balance Sheet'!AJ11</f>
        <v/>
      </c>
      <c r="AK78" s="318">
        <f>'Balance Sheet'!AK11</f>
        <v/>
      </c>
      <c r="AL78" s="318">
        <f>'Balance Sheet'!AL11</f>
        <v/>
      </c>
      <c r="AM78" s="318">
        <f>'Balance Sheet'!AM11</f>
        <v/>
      </c>
      <c r="AN78" s="318">
        <f>'Balance Sheet'!AN11</f>
        <v/>
      </c>
      <c r="AO78" s="318">
        <f>'Balance Sheet'!AO11</f>
        <v/>
      </c>
      <c r="AP78" s="318">
        <f>'Balance Sheet'!AP11</f>
        <v/>
      </c>
      <c r="AQ78" s="318">
        <f>'Balance Sheet'!AQ11</f>
        <v/>
      </c>
      <c r="AR78" s="318">
        <f>'Balance Sheet'!AR11</f>
        <v/>
      </c>
      <c r="AS78" s="318">
        <f>'Balance Sheet'!AS11</f>
        <v/>
      </c>
      <c r="AT78" s="318">
        <f>'Balance Sheet'!AT11</f>
        <v/>
      </c>
      <c r="AU78" s="318">
        <f>'Balance Sheet'!AU11</f>
        <v/>
      </c>
      <c r="AV78" s="318">
        <f>'Balance Sheet'!AV11</f>
        <v/>
      </c>
      <c r="AW78" s="318">
        <f>'Balance Sheet'!AW11</f>
        <v/>
      </c>
    </row>
    <row r="79" outlineLevel="1">
      <c r="C79" s="318" t="n"/>
      <c r="D79" s="318" t="n"/>
      <c r="E79" s="318" t="n"/>
      <c r="F79" s="318" t="n"/>
      <c r="G79" s="318" t="n"/>
      <c r="H79" s="318" t="n"/>
      <c r="I79" s="318" t="n"/>
      <c r="J79" s="318" t="n"/>
      <c r="K79" s="318" t="n"/>
      <c r="L79" s="318" t="n"/>
      <c r="M79" s="318" t="n"/>
      <c r="N79" s="318" t="n"/>
      <c r="O79" s="318" t="n"/>
      <c r="P79" s="318" t="n"/>
      <c r="Q79" s="318" t="n"/>
      <c r="R79" s="318" t="n"/>
      <c r="S79" s="318" t="n"/>
      <c r="T79" s="318" t="n"/>
      <c r="U79" s="318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  <c r="AI79" s="318" t="n"/>
      <c r="AJ79" s="318" t="n"/>
      <c r="AK79" s="318" t="n"/>
      <c r="AL79" s="318" t="n"/>
      <c r="AM79" s="318" t="n"/>
      <c r="AN79" s="318" t="n"/>
      <c r="AO79" s="318" t="n"/>
      <c r="AP79" s="318" t="n"/>
      <c r="AQ79" s="318" t="n"/>
      <c r="AR79" s="318" t="n"/>
      <c r="AS79" s="318" t="n"/>
      <c r="AT79" s="318" t="n"/>
      <c r="AU79" s="318" t="n"/>
      <c r="AV79" s="318" t="n"/>
      <c r="AW79" s="318" t="n"/>
    </row>
    <row r="80">
      <c r="B80" s="1">
        <f>'Balance Sheet'!B13</f>
        <v/>
      </c>
      <c r="C80" s="318">
        <f>'Balance Sheet'!C13</f>
        <v/>
      </c>
      <c r="D80" s="318">
        <f>'Balance Sheet'!D13</f>
        <v/>
      </c>
      <c r="E80" s="318">
        <f>'Balance Sheet'!E13</f>
        <v/>
      </c>
      <c r="F80" s="318">
        <f>'Balance Sheet'!F13</f>
        <v/>
      </c>
      <c r="G80" s="318" t="n"/>
      <c r="H80" s="318">
        <f>'Balance Sheet'!H13</f>
        <v/>
      </c>
      <c r="I80" s="318">
        <f>'Balance Sheet'!I13</f>
        <v/>
      </c>
      <c r="J80" s="318">
        <f>'Balance Sheet'!J13</f>
        <v/>
      </c>
      <c r="K80" s="318">
        <f>'Balance Sheet'!K13</f>
        <v/>
      </c>
      <c r="L80" s="318">
        <f>'Balance Sheet'!L13</f>
        <v/>
      </c>
      <c r="M80" s="318">
        <f>'Balance Sheet'!M13</f>
        <v/>
      </c>
      <c r="N80" s="318">
        <f>'Balance Sheet'!N13</f>
        <v/>
      </c>
      <c r="O80" s="318">
        <f>'Balance Sheet'!O13</f>
        <v/>
      </c>
      <c r="P80" s="318">
        <f>'Balance Sheet'!P13</f>
        <v/>
      </c>
      <c r="Q80" s="318">
        <f>'Balance Sheet'!Q13</f>
        <v/>
      </c>
      <c r="R80" s="318">
        <f>'Balance Sheet'!R13</f>
        <v/>
      </c>
      <c r="S80" s="318">
        <f>'Balance Sheet'!S13</f>
        <v/>
      </c>
      <c r="T80" s="318">
        <f>'Balance Sheet'!T13</f>
        <v/>
      </c>
      <c r="U80" s="318">
        <f>'Balance Sheet'!U13</f>
        <v/>
      </c>
      <c r="V80" s="318">
        <f>'Balance Sheet'!V13</f>
        <v/>
      </c>
      <c r="W80" s="318">
        <f>'Balance Sheet'!W13</f>
        <v/>
      </c>
      <c r="X80" s="318">
        <f>'Balance Sheet'!X13</f>
        <v/>
      </c>
      <c r="Y80" s="318">
        <f>'Balance Sheet'!Y13</f>
        <v/>
      </c>
      <c r="Z80" s="318">
        <f>'Balance Sheet'!Z13</f>
        <v/>
      </c>
      <c r="AA80" s="318">
        <f>'Balance Sheet'!AA13</f>
        <v/>
      </c>
      <c r="AB80" s="318">
        <f>'Balance Sheet'!AB13</f>
        <v/>
      </c>
      <c r="AC80" s="318">
        <f>'Balance Sheet'!AC13</f>
        <v/>
      </c>
      <c r="AD80" s="318">
        <f>'Balance Sheet'!AD13</f>
        <v/>
      </c>
      <c r="AE80" s="318">
        <f>'Balance Sheet'!AE13</f>
        <v/>
      </c>
      <c r="AF80" s="318">
        <f>'Balance Sheet'!AF13</f>
        <v/>
      </c>
      <c r="AG80" s="318">
        <f>'Balance Sheet'!AG13</f>
        <v/>
      </c>
      <c r="AH80" s="318">
        <f>'Balance Sheet'!AH13</f>
        <v/>
      </c>
      <c r="AI80" s="318">
        <f>'Balance Sheet'!AI13</f>
        <v/>
      </c>
      <c r="AJ80" s="318">
        <f>'Balance Sheet'!AJ13</f>
        <v/>
      </c>
      <c r="AK80" s="318">
        <f>'Balance Sheet'!AK13</f>
        <v/>
      </c>
      <c r="AL80" s="318">
        <f>'Balance Sheet'!AL13</f>
        <v/>
      </c>
      <c r="AM80" s="318">
        <f>'Balance Sheet'!AM13</f>
        <v/>
      </c>
      <c r="AN80" s="318">
        <f>'Balance Sheet'!AN13</f>
        <v/>
      </c>
      <c r="AO80" s="318">
        <f>'Balance Sheet'!AO13</f>
        <v/>
      </c>
      <c r="AP80" s="318">
        <f>'Balance Sheet'!AP13</f>
        <v/>
      </c>
      <c r="AQ80" s="318">
        <f>'Balance Sheet'!AQ13</f>
        <v/>
      </c>
      <c r="AR80" s="318">
        <f>'Balance Sheet'!AR13</f>
        <v/>
      </c>
      <c r="AS80" s="318">
        <f>'Balance Sheet'!AS13</f>
        <v/>
      </c>
      <c r="AT80" s="318">
        <f>'Balance Sheet'!AT13</f>
        <v/>
      </c>
      <c r="AU80" s="318">
        <f>'Balance Sheet'!AU13</f>
        <v/>
      </c>
      <c r="AV80" s="318">
        <f>'Balance Sheet'!AV13</f>
        <v/>
      </c>
      <c r="AW80" s="318">
        <f>'Balance Sheet'!AW13</f>
        <v/>
      </c>
    </row>
    <row r="81" outlineLevel="1">
      <c r="B81" s="1">
        <f>'Balance Sheet'!B14</f>
        <v/>
      </c>
      <c r="C81" s="318">
        <f>'Balance Sheet'!C14</f>
        <v/>
      </c>
      <c r="D81" s="318">
        <f>'Balance Sheet'!D14</f>
        <v/>
      </c>
      <c r="E81" s="318">
        <f>'Balance Sheet'!E14</f>
        <v/>
      </c>
      <c r="F81" s="318">
        <f>'Balance Sheet'!F14</f>
        <v/>
      </c>
      <c r="G81" s="318" t="n"/>
      <c r="H81" s="318">
        <f>'Balance Sheet'!H14</f>
        <v/>
      </c>
      <c r="I81" s="318">
        <f>'Balance Sheet'!I14</f>
        <v/>
      </c>
      <c r="J81" s="318">
        <f>'Balance Sheet'!J14</f>
        <v/>
      </c>
      <c r="K81" s="318">
        <f>'Balance Sheet'!K14</f>
        <v/>
      </c>
      <c r="L81" s="318">
        <f>'Balance Sheet'!L14</f>
        <v/>
      </c>
      <c r="M81" s="318">
        <f>'Balance Sheet'!M14</f>
        <v/>
      </c>
      <c r="N81" s="318">
        <f>'Balance Sheet'!N14</f>
        <v/>
      </c>
      <c r="O81" s="318">
        <f>'Balance Sheet'!O14</f>
        <v/>
      </c>
      <c r="P81" s="318">
        <f>'Balance Sheet'!P14</f>
        <v/>
      </c>
      <c r="Q81" s="318">
        <f>'Balance Sheet'!Q14</f>
        <v/>
      </c>
      <c r="R81" s="318">
        <f>'Balance Sheet'!R14</f>
        <v/>
      </c>
      <c r="S81" s="318">
        <f>'Balance Sheet'!S14</f>
        <v/>
      </c>
      <c r="T81" s="318">
        <f>'Balance Sheet'!T14</f>
        <v/>
      </c>
      <c r="U81" s="318">
        <f>'Balance Sheet'!U14</f>
        <v/>
      </c>
      <c r="V81" s="318">
        <f>'Balance Sheet'!V14</f>
        <v/>
      </c>
      <c r="W81" s="318">
        <f>'Balance Sheet'!W14</f>
        <v/>
      </c>
      <c r="X81" s="318">
        <f>'Balance Sheet'!X14</f>
        <v/>
      </c>
      <c r="Y81" s="318">
        <f>'Balance Sheet'!Y14</f>
        <v/>
      </c>
      <c r="Z81" s="318">
        <f>'Balance Sheet'!Z14</f>
        <v/>
      </c>
      <c r="AA81" s="318">
        <f>'Balance Sheet'!AA14</f>
        <v/>
      </c>
      <c r="AB81" s="318">
        <f>'Balance Sheet'!AB14</f>
        <v/>
      </c>
      <c r="AC81" s="318">
        <f>'Balance Sheet'!AC14</f>
        <v/>
      </c>
      <c r="AD81" s="318">
        <f>'Balance Sheet'!AD14</f>
        <v/>
      </c>
      <c r="AE81" s="318">
        <f>'Balance Sheet'!AE14</f>
        <v/>
      </c>
      <c r="AF81" s="318">
        <f>'Balance Sheet'!AF14</f>
        <v/>
      </c>
      <c r="AG81" s="318">
        <f>'Balance Sheet'!AG14</f>
        <v/>
      </c>
      <c r="AH81" s="318">
        <f>'Balance Sheet'!AH14</f>
        <v/>
      </c>
      <c r="AI81" s="318">
        <f>'Balance Sheet'!AI14</f>
        <v/>
      </c>
      <c r="AJ81" s="318">
        <f>'Balance Sheet'!AJ14</f>
        <v/>
      </c>
      <c r="AK81" s="318">
        <f>'Balance Sheet'!AK14</f>
        <v/>
      </c>
      <c r="AL81" s="318">
        <f>'Balance Sheet'!AL14</f>
        <v/>
      </c>
      <c r="AM81" s="318">
        <f>'Balance Sheet'!AM14</f>
        <v/>
      </c>
      <c r="AN81" s="318">
        <f>'Balance Sheet'!AN14</f>
        <v/>
      </c>
      <c r="AO81" s="318">
        <f>'Balance Sheet'!AO14</f>
        <v/>
      </c>
      <c r="AP81" s="318">
        <f>'Balance Sheet'!AP14</f>
        <v/>
      </c>
      <c r="AQ81" s="318">
        <f>'Balance Sheet'!AQ14</f>
        <v/>
      </c>
      <c r="AR81" s="318">
        <f>'Balance Sheet'!AR14</f>
        <v/>
      </c>
      <c r="AS81" s="318">
        <f>'Balance Sheet'!AS14</f>
        <v/>
      </c>
      <c r="AT81" s="318">
        <f>'Balance Sheet'!AT14</f>
        <v/>
      </c>
      <c r="AU81" s="318">
        <f>'Balance Sheet'!AU14</f>
        <v/>
      </c>
      <c r="AV81" s="318">
        <f>'Balance Sheet'!AV14</f>
        <v/>
      </c>
      <c r="AW81" s="318">
        <f>'Balance Sheet'!AW14</f>
        <v/>
      </c>
    </row>
    <row r="82" outlineLevel="1">
      <c r="B82" s="30">
        <f>'Balance Sheet'!B15</f>
        <v/>
      </c>
      <c r="C82" s="318">
        <f>'Balance Sheet'!C15</f>
        <v/>
      </c>
      <c r="D82" s="318">
        <f>'Balance Sheet'!D15</f>
        <v/>
      </c>
      <c r="E82" s="318">
        <f>'Balance Sheet'!E15</f>
        <v/>
      </c>
      <c r="F82" s="318">
        <f>'Balance Sheet'!F15</f>
        <v/>
      </c>
      <c r="G82" s="318" t="n"/>
      <c r="H82" s="318">
        <f>'Balance Sheet'!H15</f>
        <v/>
      </c>
      <c r="I82" s="318">
        <f>'Balance Sheet'!I15</f>
        <v/>
      </c>
      <c r="J82" s="318">
        <f>'Balance Sheet'!J15</f>
        <v/>
      </c>
      <c r="K82" s="318">
        <f>'Balance Sheet'!K15</f>
        <v/>
      </c>
      <c r="L82" s="318">
        <f>'Balance Sheet'!L15</f>
        <v/>
      </c>
      <c r="M82" s="318">
        <f>'Balance Sheet'!M15</f>
        <v/>
      </c>
      <c r="N82" s="318">
        <f>'Balance Sheet'!N15</f>
        <v/>
      </c>
      <c r="O82" s="318">
        <f>'Balance Sheet'!O15</f>
        <v/>
      </c>
      <c r="P82" s="318">
        <f>'Balance Sheet'!P15</f>
        <v/>
      </c>
      <c r="Q82" s="318">
        <f>'Balance Sheet'!Q15</f>
        <v/>
      </c>
      <c r="R82" s="318">
        <f>'Balance Sheet'!R15</f>
        <v/>
      </c>
      <c r="S82" s="318">
        <f>'Balance Sheet'!S15</f>
        <v/>
      </c>
      <c r="T82" s="318">
        <f>'Balance Sheet'!T15</f>
        <v/>
      </c>
      <c r="U82" s="318">
        <f>'Balance Sheet'!U15</f>
        <v/>
      </c>
      <c r="V82" s="318">
        <f>'Balance Sheet'!V15</f>
        <v/>
      </c>
      <c r="W82" s="318">
        <f>'Balance Sheet'!W15</f>
        <v/>
      </c>
      <c r="X82" s="318">
        <f>'Balance Sheet'!X15</f>
        <v/>
      </c>
      <c r="Y82" s="318">
        <f>'Balance Sheet'!Y15</f>
        <v/>
      </c>
      <c r="Z82" s="318">
        <f>'Balance Sheet'!Z15</f>
        <v/>
      </c>
      <c r="AA82" s="318">
        <f>'Balance Sheet'!AA15</f>
        <v/>
      </c>
      <c r="AB82" s="318">
        <f>'Balance Sheet'!AB15</f>
        <v/>
      </c>
      <c r="AC82" s="318">
        <f>'Balance Sheet'!AC15</f>
        <v/>
      </c>
      <c r="AD82" s="318">
        <f>'Balance Sheet'!AD15</f>
        <v/>
      </c>
      <c r="AE82" s="318">
        <f>'Balance Sheet'!AE15</f>
        <v/>
      </c>
      <c r="AF82" s="318">
        <f>'Balance Sheet'!AF15</f>
        <v/>
      </c>
      <c r="AG82" s="318">
        <f>'Balance Sheet'!AG15</f>
        <v/>
      </c>
      <c r="AH82" s="318">
        <f>'Balance Sheet'!AH15</f>
        <v/>
      </c>
      <c r="AI82" s="318">
        <f>'Balance Sheet'!AI15</f>
        <v/>
      </c>
      <c r="AJ82" s="318">
        <f>'Balance Sheet'!AJ15</f>
        <v/>
      </c>
      <c r="AK82" s="318">
        <f>'Balance Sheet'!AK15</f>
        <v/>
      </c>
      <c r="AL82" s="318">
        <f>'Balance Sheet'!AL15</f>
        <v/>
      </c>
      <c r="AM82" s="318">
        <f>'Balance Sheet'!AM15</f>
        <v/>
      </c>
      <c r="AN82" s="318">
        <f>'Balance Sheet'!AN15</f>
        <v/>
      </c>
      <c r="AO82" s="318">
        <f>'Balance Sheet'!AO15</f>
        <v/>
      </c>
      <c r="AP82" s="318">
        <f>'Balance Sheet'!AP15</f>
        <v/>
      </c>
      <c r="AQ82" s="318">
        <f>'Balance Sheet'!AQ15</f>
        <v/>
      </c>
      <c r="AR82" s="318">
        <f>'Balance Sheet'!AR15</f>
        <v/>
      </c>
      <c r="AS82" s="318">
        <f>'Balance Sheet'!AS15</f>
        <v/>
      </c>
      <c r="AT82" s="318">
        <f>'Balance Sheet'!AT15</f>
        <v/>
      </c>
      <c r="AU82" s="318">
        <f>'Balance Sheet'!AU15</f>
        <v/>
      </c>
      <c r="AV82" s="318">
        <f>'Balance Sheet'!AV15</f>
        <v/>
      </c>
      <c r="AW82" s="318">
        <f>'Balance Sheet'!AW15</f>
        <v/>
      </c>
    </row>
    <row r="83" outlineLevel="1">
      <c r="C83" s="318" t="n"/>
      <c r="D83" s="318" t="n"/>
      <c r="E83" s="318" t="n"/>
      <c r="F83" s="318" t="n"/>
      <c r="G83" s="318" t="n"/>
      <c r="H83" s="318" t="n"/>
      <c r="I83" s="318" t="n"/>
      <c r="J83" s="318" t="n"/>
      <c r="K83" s="318" t="n"/>
      <c r="L83" s="318" t="n"/>
      <c r="M83" s="318" t="n"/>
      <c r="N83" s="318" t="n"/>
      <c r="O83" s="318" t="n"/>
      <c r="P83" s="318" t="n"/>
      <c r="Q83" s="318" t="n"/>
      <c r="R83" s="318" t="n"/>
      <c r="S83" s="318" t="n"/>
      <c r="T83" s="318" t="n"/>
      <c r="U83" s="318" t="n"/>
      <c r="V83" s="318" t="n"/>
      <c r="W83" s="318" t="n"/>
      <c r="X83" s="318" t="n"/>
      <c r="Y83" s="318" t="n"/>
      <c r="Z83" s="318" t="n"/>
      <c r="AA83" s="318" t="n"/>
      <c r="AB83" s="318" t="n"/>
      <c r="AC83" s="318" t="n"/>
      <c r="AD83" s="318" t="n"/>
      <c r="AE83" s="318" t="n"/>
      <c r="AF83" s="318" t="n"/>
      <c r="AG83" s="318" t="n"/>
      <c r="AH83" s="318" t="n"/>
      <c r="AI83" s="318" t="n"/>
      <c r="AJ83" s="318" t="n"/>
      <c r="AK83" s="318" t="n"/>
      <c r="AL83" s="318" t="n"/>
      <c r="AM83" s="318" t="n"/>
      <c r="AN83" s="318" t="n"/>
      <c r="AO83" s="318" t="n"/>
      <c r="AP83" s="318" t="n"/>
      <c r="AQ83" s="318" t="n"/>
      <c r="AR83" s="318" t="n"/>
      <c r="AS83" s="318" t="n"/>
      <c r="AT83" s="318" t="n"/>
      <c r="AU83" s="318" t="n"/>
      <c r="AV83" s="318" t="n"/>
      <c r="AW83" s="318" t="n"/>
    </row>
    <row r="84">
      <c r="B84" s="22">
        <f>'Balance Sheet'!B17</f>
        <v/>
      </c>
      <c r="C84" s="323">
        <f>'Balance Sheet'!C17</f>
        <v/>
      </c>
      <c r="D84" s="323">
        <f>'Balance Sheet'!D17</f>
        <v/>
      </c>
      <c r="E84" s="323">
        <f>'Balance Sheet'!E17</f>
        <v/>
      </c>
      <c r="F84" s="323">
        <f>'Balance Sheet'!F17</f>
        <v/>
      </c>
      <c r="G84" s="324" t="n"/>
      <c r="H84" s="323">
        <f>'Balance Sheet'!H17</f>
        <v/>
      </c>
      <c r="I84" s="323">
        <f>'Balance Sheet'!I17</f>
        <v/>
      </c>
      <c r="J84" s="323">
        <f>'Balance Sheet'!J17</f>
        <v/>
      </c>
      <c r="K84" s="323">
        <f>'Balance Sheet'!K17</f>
        <v/>
      </c>
      <c r="L84" s="323">
        <f>'Balance Sheet'!L17</f>
        <v/>
      </c>
      <c r="M84" s="323">
        <f>'Balance Sheet'!M17</f>
        <v/>
      </c>
      <c r="N84" s="323">
        <f>'Balance Sheet'!N17</f>
        <v/>
      </c>
      <c r="O84" s="323">
        <f>'Balance Sheet'!O17</f>
        <v/>
      </c>
      <c r="P84" s="323">
        <f>'Balance Sheet'!P17</f>
        <v/>
      </c>
      <c r="Q84" s="323">
        <f>'Balance Sheet'!Q17</f>
        <v/>
      </c>
      <c r="R84" s="323">
        <f>'Balance Sheet'!R17</f>
        <v/>
      </c>
      <c r="S84" s="323">
        <f>'Balance Sheet'!S17</f>
        <v/>
      </c>
      <c r="T84" s="323">
        <f>'Balance Sheet'!T17</f>
        <v/>
      </c>
      <c r="U84" s="323">
        <f>'Balance Sheet'!U17</f>
        <v/>
      </c>
      <c r="V84" s="323">
        <f>'Balance Sheet'!V17</f>
        <v/>
      </c>
      <c r="W84" s="323">
        <f>'Balance Sheet'!W17</f>
        <v/>
      </c>
      <c r="X84" s="323">
        <f>'Balance Sheet'!X17</f>
        <v/>
      </c>
      <c r="Y84" s="323">
        <f>'Balance Sheet'!Y17</f>
        <v/>
      </c>
      <c r="Z84" s="323">
        <f>'Balance Sheet'!Z17</f>
        <v/>
      </c>
      <c r="AA84" s="323">
        <f>'Balance Sheet'!AA17</f>
        <v/>
      </c>
      <c r="AB84" s="323">
        <f>'Balance Sheet'!AB17</f>
        <v/>
      </c>
      <c r="AC84" s="323">
        <f>'Balance Sheet'!AC17</f>
        <v/>
      </c>
      <c r="AD84" s="323">
        <f>'Balance Sheet'!AD17</f>
        <v/>
      </c>
      <c r="AE84" s="323">
        <f>'Balance Sheet'!AE17</f>
        <v/>
      </c>
      <c r="AF84" s="323">
        <f>'Balance Sheet'!AF17</f>
        <v/>
      </c>
      <c r="AG84" s="323">
        <f>'Balance Sheet'!AG17</f>
        <v/>
      </c>
      <c r="AH84" s="323">
        <f>'Balance Sheet'!AH17</f>
        <v/>
      </c>
      <c r="AI84" s="323">
        <f>'Balance Sheet'!AI17</f>
        <v/>
      </c>
      <c r="AJ84" s="323">
        <f>'Balance Sheet'!AJ17</f>
        <v/>
      </c>
      <c r="AK84" s="323">
        <f>'Balance Sheet'!AK17</f>
        <v/>
      </c>
      <c r="AL84" s="323">
        <f>'Balance Sheet'!AL17</f>
        <v/>
      </c>
      <c r="AM84" s="323">
        <f>'Balance Sheet'!AM17</f>
        <v/>
      </c>
      <c r="AN84" s="323">
        <f>'Balance Sheet'!AN17</f>
        <v/>
      </c>
      <c r="AO84" s="323">
        <f>'Balance Sheet'!AO17</f>
        <v/>
      </c>
      <c r="AP84" s="323">
        <f>'Balance Sheet'!AP17</f>
        <v/>
      </c>
      <c r="AQ84" s="323">
        <f>'Balance Sheet'!AQ17</f>
        <v/>
      </c>
      <c r="AR84" s="323">
        <f>'Balance Sheet'!AR17</f>
        <v/>
      </c>
      <c r="AS84" s="323">
        <f>'Balance Sheet'!AS17</f>
        <v/>
      </c>
      <c r="AT84" s="323">
        <f>'Balance Sheet'!AT17</f>
        <v/>
      </c>
      <c r="AU84" s="323">
        <f>'Balance Sheet'!AU17</f>
        <v/>
      </c>
      <c r="AV84" s="323">
        <f>'Balance Sheet'!AV17</f>
        <v/>
      </c>
      <c r="AW84" s="323">
        <f>'Balance Sheet'!AW17</f>
        <v/>
      </c>
    </row>
    <row r="85" ht="7" customHeight="1"/>
    <row r="86">
      <c r="B86" s="1">
        <f>'Balance Sheet'!B19</f>
        <v/>
      </c>
      <c r="C86" s="318">
        <f>'Balance Sheet'!C19</f>
        <v/>
      </c>
      <c r="D86" s="318">
        <f>'Balance Sheet'!D19</f>
        <v/>
      </c>
      <c r="E86" s="318">
        <f>'Balance Sheet'!E19</f>
        <v/>
      </c>
      <c r="F86" s="318">
        <f>'Balance Sheet'!F19</f>
        <v/>
      </c>
      <c r="G86" s="318" t="n"/>
      <c r="H86" s="318">
        <f>'Balance Sheet'!H19</f>
        <v/>
      </c>
      <c r="I86" s="318">
        <f>'Balance Sheet'!I19</f>
        <v/>
      </c>
      <c r="J86" s="318">
        <f>'Balance Sheet'!J19</f>
        <v/>
      </c>
      <c r="K86" s="318">
        <f>'Balance Sheet'!K19</f>
        <v/>
      </c>
      <c r="L86" s="318">
        <f>'Balance Sheet'!L19</f>
        <v/>
      </c>
      <c r="M86" s="318">
        <f>'Balance Sheet'!M19</f>
        <v/>
      </c>
      <c r="N86" s="318">
        <f>'Balance Sheet'!N19</f>
        <v/>
      </c>
      <c r="O86" s="318">
        <f>'Balance Sheet'!O19</f>
        <v/>
      </c>
      <c r="P86" s="318">
        <f>'Balance Sheet'!P19</f>
        <v/>
      </c>
      <c r="Q86" s="318">
        <f>'Balance Sheet'!Q19</f>
        <v/>
      </c>
      <c r="R86" s="318">
        <f>'Balance Sheet'!R19</f>
        <v/>
      </c>
      <c r="S86" s="318">
        <f>'Balance Sheet'!S19</f>
        <v/>
      </c>
      <c r="T86" s="318">
        <f>'Balance Sheet'!T19</f>
        <v/>
      </c>
      <c r="U86" s="318">
        <f>'Balance Sheet'!U19</f>
        <v/>
      </c>
      <c r="V86" s="318">
        <f>'Balance Sheet'!V19</f>
        <v/>
      </c>
      <c r="W86" s="318">
        <f>'Balance Sheet'!W19</f>
        <v/>
      </c>
      <c r="X86" s="318">
        <f>'Balance Sheet'!X19</f>
        <v/>
      </c>
      <c r="Y86" s="318">
        <f>'Balance Sheet'!Y19</f>
        <v/>
      </c>
      <c r="Z86" s="318">
        <f>'Balance Sheet'!Z19</f>
        <v/>
      </c>
      <c r="AA86" s="318">
        <f>'Balance Sheet'!AA19</f>
        <v/>
      </c>
      <c r="AB86" s="318">
        <f>'Balance Sheet'!AB19</f>
        <v/>
      </c>
      <c r="AC86" s="318">
        <f>'Balance Sheet'!AC19</f>
        <v/>
      </c>
      <c r="AD86" s="318">
        <f>'Balance Sheet'!AD19</f>
        <v/>
      </c>
      <c r="AE86" s="318">
        <f>'Balance Sheet'!AE19</f>
        <v/>
      </c>
      <c r="AF86" s="318">
        <f>'Balance Sheet'!AF19</f>
        <v/>
      </c>
      <c r="AG86" s="318">
        <f>'Balance Sheet'!AG19</f>
        <v/>
      </c>
      <c r="AH86" s="318">
        <f>'Balance Sheet'!AH19</f>
        <v/>
      </c>
      <c r="AI86" s="318">
        <f>'Balance Sheet'!AI19</f>
        <v/>
      </c>
      <c r="AJ86" s="318">
        <f>'Balance Sheet'!AJ19</f>
        <v/>
      </c>
      <c r="AK86" s="318">
        <f>'Balance Sheet'!AK19</f>
        <v/>
      </c>
      <c r="AL86" s="318">
        <f>'Balance Sheet'!AL19</f>
        <v/>
      </c>
      <c r="AM86" s="318">
        <f>'Balance Sheet'!AM19</f>
        <v/>
      </c>
      <c r="AN86" s="318">
        <f>'Balance Sheet'!AN19</f>
        <v/>
      </c>
      <c r="AO86" s="318">
        <f>'Balance Sheet'!AO19</f>
        <v/>
      </c>
      <c r="AP86" s="318">
        <f>'Balance Sheet'!AP19</f>
        <v/>
      </c>
      <c r="AQ86" s="318">
        <f>'Balance Sheet'!AQ19</f>
        <v/>
      </c>
      <c r="AR86" s="318">
        <f>'Balance Sheet'!AR19</f>
        <v/>
      </c>
      <c r="AS86" s="318">
        <f>'Balance Sheet'!AS19</f>
        <v/>
      </c>
      <c r="AT86" s="318">
        <f>'Balance Sheet'!AT19</f>
        <v/>
      </c>
      <c r="AU86" s="318">
        <f>'Balance Sheet'!AU19</f>
        <v/>
      </c>
      <c r="AV86" s="318">
        <f>'Balance Sheet'!AV19</f>
        <v/>
      </c>
      <c r="AW86" s="318">
        <f>'Balance Sheet'!AW19</f>
        <v/>
      </c>
    </row>
    <row r="87" outlineLevel="1">
      <c r="B87" s="1">
        <f>'Balance Sheet'!B20</f>
        <v/>
      </c>
      <c r="C87" s="318">
        <f>'Balance Sheet'!C20</f>
        <v/>
      </c>
      <c r="D87" s="318">
        <f>'Balance Sheet'!D20</f>
        <v/>
      </c>
      <c r="E87" s="318">
        <f>'Balance Sheet'!E20</f>
        <v/>
      </c>
      <c r="F87" s="318">
        <f>'Balance Sheet'!F20</f>
        <v/>
      </c>
      <c r="G87" s="318" t="n"/>
      <c r="H87" s="318">
        <f>'Balance Sheet'!H20</f>
        <v/>
      </c>
      <c r="I87" s="318">
        <f>'Balance Sheet'!I20</f>
        <v/>
      </c>
      <c r="J87" s="318">
        <f>'Balance Sheet'!J20</f>
        <v/>
      </c>
      <c r="K87" s="318">
        <f>'Balance Sheet'!K20</f>
        <v/>
      </c>
      <c r="L87" s="318">
        <f>'Balance Sheet'!L20</f>
        <v/>
      </c>
      <c r="M87" s="318">
        <f>'Balance Sheet'!M20</f>
        <v/>
      </c>
      <c r="N87" s="318">
        <f>'Balance Sheet'!N20</f>
        <v/>
      </c>
      <c r="O87" s="318">
        <f>'Balance Sheet'!O20</f>
        <v/>
      </c>
      <c r="P87" s="318">
        <f>'Balance Sheet'!P20</f>
        <v/>
      </c>
      <c r="Q87" s="318">
        <f>'Balance Sheet'!Q20</f>
        <v/>
      </c>
      <c r="R87" s="318">
        <f>'Balance Sheet'!R20</f>
        <v/>
      </c>
      <c r="S87" s="318">
        <f>'Balance Sheet'!S20</f>
        <v/>
      </c>
      <c r="T87" s="318">
        <f>'Balance Sheet'!T20</f>
        <v/>
      </c>
      <c r="U87" s="318">
        <f>'Balance Sheet'!U20</f>
        <v/>
      </c>
      <c r="V87" s="318">
        <f>'Balance Sheet'!V20</f>
        <v/>
      </c>
      <c r="W87" s="318">
        <f>'Balance Sheet'!W20</f>
        <v/>
      </c>
      <c r="X87" s="318">
        <f>'Balance Sheet'!X20</f>
        <v/>
      </c>
      <c r="Y87" s="318">
        <f>'Balance Sheet'!Y20</f>
        <v/>
      </c>
      <c r="Z87" s="318">
        <f>'Balance Sheet'!Z20</f>
        <v/>
      </c>
      <c r="AA87" s="318">
        <f>'Balance Sheet'!AA20</f>
        <v/>
      </c>
      <c r="AB87" s="318">
        <f>'Balance Sheet'!AB20</f>
        <v/>
      </c>
      <c r="AC87" s="318">
        <f>'Balance Sheet'!AC20</f>
        <v/>
      </c>
      <c r="AD87" s="318">
        <f>'Balance Sheet'!AD20</f>
        <v/>
      </c>
      <c r="AE87" s="318">
        <f>'Balance Sheet'!AE20</f>
        <v/>
      </c>
      <c r="AF87" s="318">
        <f>'Balance Sheet'!AF20</f>
        <v/>
      </c>
      <c r="AG87" s="318">
        <f>'Balance Sheet'!AG20</f>
        <v/>
      </c>
      <c r="AH87" s="318">
        <f>'Balance Sheet'!AH20</f>
        <v/>
      </c>
      <c r="AI87" s="318">
        <f>'Balance Sheet'!AI20</f>
        <v/>
      </c>
      <c r="AJ87" s="318">
        <f>'Balance Sheet'!AJ20</f>
        <v/>
      </c>
      <c r="AK87" s="318">
        <f>'Balance Sheet'!AK20</f>
        <v/>
      </c>
      <c r="AL87" s="318">
        <f>'Balance Sheet'!AL20</f>
        <v/>
      </c>
      <c r="AM87" s="318">
        <f>'Balance Sheet'!AM20</f>
        <v/>
      </c>
      <c r="AN87" s="318">
        <f>'Balance Sheet'!AN20</f>
        <v/>
      </c>
      <c r="AO87" s="318">
        <f>'Balance Sheet'!AO20</f>
        <v/>
      </c>
      <c r="AP87" s="318">
        <f>'Balance Sheet'!AP20</f>
        <v/>
      </c>
      <c r="AQ87" s="318">
        <f>'Balance Sheet'!AQ20</f>
        <v/>
      </c>
      <c r="AR87" s="318">
        <f>'Balance Sheet'!AR20</f>
        <v/>
      </c>
      <c r="AS87" s="318">
        <f>'Balance Sheet'!AS20</f>
        <v/>
      </c>
      <c r="AT87" s="318">
        <f>'Balance Sheet'!AT20</f>
        <v/>
      </c>
      <c r="AU87" s="318">
        <f>'Balance Sheet'!AU20</f>
        <v/>
      </c>
      <c r="AV87" s="318">
        <f>'Balance Sheet'!AV20</f>
        <v/>
      </c>
      <c r="AW87" s="318">
        <f>'Balance Sheet'!AW20</f>
        <v/>
      </c>
    </row>
    <row r="88" outlineLevel="1">
      <c r="B88" s="1">
        <f>'Balance Sheet'!B21</f>
        <v/>
      </c>
      <c r="C88" s="318">
        <f>'Balance Sheet'!C21</f>
        <v/>
      </c>
      <c r="D88" s="318">
        <f>'Balance Sheet'!D21</f>
        <v/>
      </c>
      <c r="E88" s="318">
        <f>'Balance Sheet'!E21</f>
        <v/>
      </c>
      <c r="F88" s="318">
        <f>'Balance Sheet'!F21</f>
        <v/>
      </c>
      <c r="G88" s="318" t="n"/>
      <c r="H88" s="318">
        <f>'Balance Sheet'!H21</f>
        <v/>
      </c>
      <c r="I88" s="318">
        <f>'Balance Sheet'!I21</f>
        <v/>
      </c>
      <c r="J88" s="318">
        <f>'Balance Sheet'!J21</f>
        <v/>
      </c>
      <c r="K88" s="318">
        <f>'Balance Sheet'!K21</f>
        <v/>
      </c>
      <c r="L88" s="318">
        <f>'Balance Sheet'!L21</f>
        <v/>
      </c>
      <c r="M88" s="318">
        <f>'Balance Sheet'!M21</f>
        <v/>
      </c>
      <c r="N88" s="318">
        <f>'Balance Sheet'!N21</f>
        <v/>
      </c>
      <c r="O88" s="318">
        <f>'Balance Sheet'!O21</f>
        <v/>
      </c>
      <c r="P88" s="318">
        <f>'Balance Sheet'!P21</f>
        <v/>
      </c>
      <c r="Q88" s="318">
        <f>'Balance Sheet'!Q21</f>
        <v/>
      </c>
      <c r="R88" s="318">
        <f>'Balance Sheet'!R21</f>
        <v/>
      </c>
      <c r="S88" s="318">
        <f>'Balance Sheet'!S21</f>
        <v/>
      </c>
      <c r="T88" s="318">
        <f>'Balance Sheet'!T21</f>
        <v/>
      </c>
      <c r="U88" s="318">
        <f>'Balance Sheet'!U21</f>
        <v/>
      </c>
      <c r="V88" s="318">
        <f>'Balance Sheet'!V21</f>
        <v/>
      </c>
      <c r="W88" s="318">
        <f>'Balance Sheet'!W21</f>
        <v/>
      </c>
      <c r="X88" s="318">
        <f>'Balance Sheet'!X21</f>
        <v/>
      </c>
      <c r="Y88" s="318">
        <f>'Balance Sheet'!Y21</f>
        <v/>
      </c>
      <c r="Z88" s="318">
        <f>'Balance Sheet'!Z21</f>
        <v/>
      </c>
      <c r="AA88" s="318">
        <f>'Balance Sheet'!AA21</f>
        <v/>
      </c>
      <c r="AB88" s="318">
        <f>'Balance Sheet'!AB21</f>
        <v/>
      </c>
      <c r="AC88" s="318">
        <f>'Balance Sheet'!AC21</f>
        <v/>
      </c>
      <c r="AD88" s="318">
        <f>'Balance Sheet'!AD21</f>
        <v/>
      </c>
      <c r="AE88" s="318">
        <f>'Balance Sheet'!AE21</f>
        <v/>
      </c>
      <c r="AF88" s="318">
        <f>'Balance Sheet'!AF21</f>
        <v/>
      </c>
      <c r="AG88" s="318">
        <f>'Balance Sheet'!AG21</f>
        <v/>
      </c>
      <c r="AH88" s="318">
        <f>'Balance Sheet'!AH21</f>
        <v/>
      </c>
      <c r="AI88" s="318">
        <f>'Balance Sheet'!AI21</f>
        <v/>
      </c>
      <c r="AJ88" s="318">
        <f>'Balance Sheet'!AJ21</f>
        <v/>
      </c>
      <c r="AK88" s="318">
        <f>'Balance Sheet'!AK21</f>
        <v/>
      </c>
      <c r="AL88" s="318">
        <f>'Balance Sheet'!AL21</f>
        <v/>
      </c>
      <c r="AM88" s="318">
        <f>'Balance Sheet'!AM21</f>
        <v/>
      </c>
      <c r="AN88" s="318">
        <f>'Balance Sheet'!AN21</f>
        <v/>
      </c>
      <c r="AO88" s="318">
        <f>'Balance Sheet'!AO21</f>
        <v/>
      </c>
      <c r="AP88" s="318">
        <f>'Balance Sheet'!AP21</f>
        <v/>
      </c>
      <c r="AQ88" s="318">
        <f>'Balance Sheet'!AQ21</f>
        <v/>
      </c>
      <c r="AR88" s="318">
        <f>'Balance Sheet'!AR21</f>
        <v/>
      </c>
      <c r="AS88" s="318">
        <f>'Balance Sheet'!AS21</f>
        <v/>
      </c>
      <c r="AT88" s="318">
        <f>'Balance Sheet'!AT21</f>
        <v/>
      </c>
      <c r="AU88" s="318">
        <f>'Balance Sheet'!AU21</f>
        <v/>
      </c>
      <c r="AV88" s="318">
        <f>'Balance Sheet'!AV21</f>
        <v/>
      </c>
      <c r="AW88" s="318">
        <f>'Balance Sheet'!AW21</f>
        <v/>
      </c>
    </row>
    <row r="89" outlineLevel="1">
      <c r="C89" s="318" t="n"/>
      <c r="D89" s="318" t="n"/>
      <c r="E89" s="318" t="n"/>
      <c r="F89" s="318" t="n"/>
      <c r="G89" s="318" t="n"/>
      <c r="H89" s="318" t="n"/>
      <c r="I89" s="318" t="n"/>
      <c r="J89" s="318" t="n"/>
      <c r="K89" s="318" t="n"/>
      <c r="L89" s="318" t="n"/>
      <c r="M89" s="318" t="n"/>
      <c r="N89" s="318" t="n"/>
      <c r="O89" s="318" t="n"/>
      <c r="P89" s="318" t="n"/>
      <c r="Q89" s="318" t="n"/>
      <c r="R89" s="318" t="n"/>
      <c r="S89" s="318" t="n"/>
      <c r="T89" s="318" t="n"/>
      <c r="U89" s="318" t="n"/>
      <c r="V89" s="318" t="n"/>
      <c r="W89" s="318" t="n"/>
      <c r="X89" s="318" t="n"/>
      <c r="Y89" s="318" t="n"/>
      <c r="Z89" s="318" t="n"/>
      <c r="AA89" s="318" t="n"/>
      <c r="AB89" s="318" t="n"/>
      <c r="AC89" s="318" t="n"/>
      <c r="AD89" s="318" t="n"/>
      <c r="AE89" s="318" t="n"/>
      <c r="AF89" s="318" t="n"/>
      <c r="AG89" s="318" t="n"/>
      <c r="AH89" s="318" t="n"/>
      <c r="AI89" s="318" t="n"/>
      <c r="AJ89" s="318" t="n"/>
      <c r="AK89" s="318" t="n"/>
      <c r="AL89" s="318" t="n"/>
      <c r="AM89" s="318" t="n"/>
      <c r="AN89" s="318" t="n"/>
      <c r="AO89" s="318" t="n"/>
      <c r="AP89" s="318" t="n"/>
      <c r="AQ89" s="318" t="n"/>
      <c r="AR89" s="318" t="n"/>
      <c r="AS89" s="318" t="n"/>
      <c r="AT89" s="318" t="n"/>
      <c r="AU89" s="318" t="n"/>
      <c r="AV89" s="318" t="n"/>
      <c r="AW89" s="318" t="n"/>
    </row>
    <row r="90">
      <c r="B90" s="1">
        <f>'Balance Sheet'!B23</f>
        <v/>
      </c>
      <c r="C90" s="318">
        <f>'Balance Sheet'!C23</f>
        <v/>
      </c>
      <c r="D90" s="318">
        <f>'Balance Sheet'!D23</f>
        <v/>
      </c>
      <c r="E90" s="318">
        <f>'Balance Sheet'!E23</f>
        <v/>
      </c>
      <c r="F90" s="318">
        <f>'Balance Sheet'!F23</f>
        <v/>
      </c>
      <c r="G90" s="318" t="n"/>
      <c r="H90" s="318">
        <f>'Balance Sheet'!H23</f>
        <v/>
      </c>
      <c r="I90" s="318">
        <f>'Balance Sheet'!I23</f>
        <v/>
      </c>
      <c r="J90" s="318">
        <f>'Balance Sheet'!J23</f>
        <v/>
      </c>
      <c r="K90" s="318">
        <f>'Balance Sheet'!K23</f>
        <v/>
      </c>
      <c r="L90" s="318">
        <f>'Balance Sheet'!L23</f>
        <v/>
      </c>
      <c r="M90" s="318">
        <f>'Balance Sheet'!M23</f>
        <v/>
      </c>
      <c r="N90" s="318">
        <f>'Balance Sheet'!N23</f>
        <v/>
      </c>
      <c r="O90" s="318">
        <f>'Balance Sheet'!O23</f>
        <v/>
      </c>
      <c r="P90" s="318">
        <f>'Balance Sheet'!P23</f>
        <v/>
      </c>
      <c r="Q90" s="318">
        <f>'Balance Sheet'!Q23</f>
        <v/>
      </c>
      <c r="R90" s="318">
        <f>'Balance Sheet'!R23</f>
        <v/>
      </c>
      <c r="S90" s="318">
        <f>'Balance Sheet'!S23</f>
        <v/>
      </c>
      <c r="T90" s="318">
        <f>'Balance Sheet'!T23</f>
        <v/>
      </c>
      <c r="U90" s="318">
        <f>'Balance Sheet'!U23</f>
        <v/>
      </c>
      <c r="V90" s="318">
        <f>'Balance Sheet'!V23</f>
        <v/>
      </c>
      <c r="W90" s="318">
        <f>'Balance Sheet'!W23</f>
        <v/>
      </c>
      <c r="X90" s="318">
        <f>'Balance Sheet'!X23</f>
        <v/>
      </c>
      <c r="Y90" s="318">
        <f>'Balance Sheet'!Y23</f>
        <v/>
      </c>
      <c r="Z90" s="318">
        <f>'Balance Sheet'!Z23</f>
        <v/>
      </c>
      <c r="AA90" s="318">
        <f>'Balance Sheet'!AA23</f>
        <v/>
      </c>
      <c r="AB90" s="318">
        <f>'Balance Sheet'!AB23</f>
        <v/>
      </c>
      <c r="AC90" s="318">
        <f>'Balance Sheet'!AC23</f>
        <v/>
      </c>
      <c r="AD90" s="318">
        <f>'Balance Sheet'!AD23</f>
        <v/>
      </c>
      <c r="AE90" s="318">
        <f>'Balance Sheet'!AE23</f>
        <v/>
      </c>
      <c r="AF90" s="318">
        <f>'Balance Sheet'!AF23</f>
        <v/>
      </c>
      <c r="AG90" s="318">
        <f>'Balance Sheet'!AG23</f>
        <v/>
      </c>
      <c r="AH90" s="318">
        <f>'Balance Sheet'!AH23</f>
        <v/>
      </c>
      <c r="AI90" s="318">
        <f>'Balance Sheet'!AI23</f>
        <v/>
      </c>
      <c r="AJ90" s="318">
        <f>'Balance Sheet'!AJ23</f>
        <v/>
      </c>
      <c r="AK90" s="318">
        <f>'Balance Sheet'!AK23</f>
        <v/>
      </c>
      <c r="AL90" s="318">
        <f>'Balance Sheet'!AL23</f>
        <v/>
      </c>
      <c r="AM90" s="318">
        <f>'Balance Sheet'!AM23</f>
        <v/>
      </c>
      <c r="AN90" s="318">
        <f>'Balance Sheet'!AN23</f>
        <v/>
      </c>
      <c r="AO90" s="318">
        <f>'Balance Sheet'!AO23</f>
        <v/>
      </c>
      <c r="AP90" s="318">
        <f>'Balance Sheet'!AP23</f>
        <v/>
      </c>
      <c r="AQ90" s="318">
        <f>'Balance Sheet'!AQ23</f>
        <v/>
      </c>
      <c r="AR90" s="318">
        <f>'Balance Sheet'!AR23</f>
        <v/>
      </c>
      <c r="AS90" s="318">
        <f>'Balance Sheet'!AS23</f>
        <v/>
      </c>
      <c r="AT90" s="318">
        <f>'Balance Sheet'!AT23</f>
        <v/>
      </c>
      <c r="AU90" s="318">
        <f>'Balance Sheet'!AU23</f>
        <v/>
      </c>
      <c r="AV90" s="318">
        <f>'Balance Sheet'!AV23</f>
        <v/>
      </c>
      <c r="AW90" s="318">
        <f>'Balance Sheet'!AW23</f>
        <v/>
      </c>
    </row>
    <row r="91" outlineLevel="1">
      <c r="B91" s="1">
        <f>'Balance Sheet'!B24</f>
        <v/>
      </c>
      <c r="C91" s="318">
        <f>'Balance Sheet'!C24</f>
        <v/>
      </c>
      <c r="D91" s="318">
        <f>'Balance Sheet'!D24</f>
        <v/>
      </c>
      <c r="E91" s="318">
        <f>'Balance Sheet'!E24</f>
        <v/>
      </c>
      <c r="F91" s="318">
        <f>'Balance Sheet'!F24</f>
        <v/>
      </c>
      <c r="G91" s="318" t="n"/>
      <c r="H91" s="318">
        <f>'Balance Sheet'!H24</f>
        <v/>
      </c>
      <c r="I91" s="318">
        <f>'Balance Sheet'!I24</f>
        <v/>
      </c>
      <c r="J91" s="318">
        <f>'Balance Sheet'!J24</f>
        <v/>
      </c>
      <c r="K91" s="318">
        <f>'Balance Sheet'!K24</f>
        <v/>
      </c>
      <c r="L91" s="318">
        <f>'Balance Sheet'!L24</f>
        <v/>
      </c>
      <c r="M91" s="318">
        <f>'Balance Sheet'!M24</f>
        <v/>
      </c>
      <c r="N91" s="318">
        <f>'Balance Sheet'!N24</f>
        <v/>
      </c>
      <c r="O91" s="318">
        <f>'Balance Sheet'!O24</f>
        <v/>
      </c>
      <c r="P91" s="318">
        <f>'Balance Sheet'!P24</f>
        <v/>
      </c>
      <c r="Q91" s="318">
        <f>'Balance Sheet'!Q24</f>
        <v/>
      </c>
      <c r="R91" s="318">
        <f>'Balance Sheet'!R24</f>
        <v/>
      </c>
      <c r="S91" s="318">
        <f>'Balance Sheet'!S24</f>
        <v/>
      </c>
      <c r="T91" s="318">
        <f>'Balance Sheet'!T24</f>
        <v/>
      </c>
      <c r="U91" s="318">
        <f>'Balance Sheet'!U24</f>
        <v/>
      </c>
      <c r="V91" s="318">
        <f>'Balance Sheet'!V24</f>
        <v/>
      </c>
      <c r="W91" s="318">
        <f>'Balance Sheet'!W24</f>
        <v/>
      </c>
      <c r="X91" s="318">
        <f>'Balance Sheet'!X24</f>
        <v/>
      </c>
      <c r="Y91" s="318">
        <f>'Balance Sheet'!Y24</f>
        <v/>
      </c>
      <c r="Z91" s="318">
        <f>'Balance Sheet'!Z24</f>
        <v/>
      </c>
      <c r="AA91" s="318">
        <f>'Balance Sheet'!AA24</f>
        <v/>
      </c>
      <c r="AB91" s="318">
        <f>'Balance Sheet'!AB24</f>
        <v/>
      </c>
      <c r="AC91" s="318">
        <f>'Balance Sheet'!AC24</f>
        <v/>
      </c>
      <c r="AD91" s="318">
        <f>'Balance Sheet'!AD24</f>
        <v/>
      </c>
      <c r="AE91" s="318">
        <f>'Balance Sheet'!AE24</f>
        <v/>
      </c>
      <c r="AF91" s="318">
        <f>'Balance Sheet'!AF24</f>
        <v/>
      </c>
      <c r="AG91" s="318">
        <f>'Balance Sheet'!AG24</f>
        <v/>
      </c>
      <c r="AH91" s="318">
        <f>'Balance Sheet'!AH24</f>
        <v/>
      </c>
      <c r="AI91" s="318">
        <f>'Balance Sheet'!AI24</f>
        <v/>
      </c>
      <c r="AJ91" s="318">
        <f>'Balance Sheet'!AJ24</f>
        <v/>
      </c>
      <c r="AK91" s="318">
        <f>'Balance Sheet'!AK24</f>
        <v/>
      </c>
      <c r="AL91" s="318">
        <f>'Balance Sheet'!AL24</f>
        <v/>
      </c>
      <c r="AM91" s="318">
        <f>'Balance Sheet'!AM24</f>
        <v/>
      </c>
      <c r="AN91" s="318">
        <f>'Balance Sheet'!AN24</f>
        <v/>
      </c>
      <c r="AO91" s="318">
        <f>'Balance Sheet'!AO24</f>
        <v/>
      </c>
      <c r="AP91" s="318">
        <f>'Balance Sheet'!AP24</f>
        <v/>
      </c>
      <c r="AQ91" s="318">
        <f>'Balance Sheet'!AQ24</f>
        <v/>
      </c>
      <c r="AR91" s="318">
        <f>'Balance Sheet'!AR24</f>
        <v/>
      </c>
      <c r="AS91" s="318">
        <f>'Balance Sheet'!AS24</f>
        <v/>
      </c>
      <c r="AT91" s="318">
        <f>'Balance Sheet'!AT24</f>
        <v/>
      </c>
      <c r="AU91" s="318">
        <f>'Balance Sheet'!AU24</f>
        <v/>
      </c>
      <c r="AV91" s="318">
        <f>'Balance Sheet'!AV24</f>
        <v/>
      </c>
      <c r="AW91" s="318">
        <f>'Balance Sheet'!AW24</f>
        <v/>
      </c>
    </row>
    <row r="92" outlineLevel="1">
      <c r="C92" s="318" t="n"/>
      <c r="D92" s="318" t="n"/>
      <c r="E92" s="318" t="n"/>
      <c r="F92" s="318" t="n"/>
      <c r="G92" s="318" t="n"/>
      <c r="H92" s="318" t="n"/>
      <c r="I92" s="318" t="n"/>
      <c r="J92" s="318" t="n"/>
      <c r="K92" s="318" t="n"/>
      <c r="L92" s="318" t="n"/>
      <c r="M92" s="318" t="n"/>
      <c r="N92" s="318" t="n"/>
      <c r="O92" s="318" t="n"/>
      <c r="P92" s="318" t="n"/>
      <c r="Q92" s="318" t="n"/>
      <c r="R92" s="318" t="n"/>
      <c r="S92" s="318" t="n"/>
      <c r="T92" s="318" t="n"/>
      <c r="U92" s="318" t="n"/>
      <c r="V92" s="318" t="n"/>
      <c r="W92" s="318" t="n"/>
      <c r="X92" s="318" t="n"/>
      <c r="Y92" s="318" t="n"/>
      <c r="Z92" s="318" t="n"/>
      <c r="AA92" s="318" t="n"/>
      <c r="AB92" s="318" t="n"/>
      <c r="AC92" s="318" t="n"/>
      <c r="AD92" s="318" t="n"/>
      <c r="AE92" s="318" t="n"/>
      <c r="AF92" s="318" t="n"/>
      <c r="AG92" s="318" t="n"/>
      <c r="AH92" s="318" t="n"/>
      <c r="AI92" s="318" t="n"/>
      <c r="AJ92" s="318" t="n"/>
      <c r="AK92" s="318" t="n"/>
      <c r="AL92" s="318" t="n"/>
      <c r="AM92" s="318" t="n"/>
      <c r="AN92" s="318" t="n"/>
      <c r="AO92" s="318" t="n"/>
      <c r="AP92" s="318" t="n"/>
      <c r="AQ92" s="318" t="n"/>
      <c r="AR92" s="318" t="n"/>
      <c r="AS92" s="318" t="n"/>
      <c r="AT92" s="318" t="n"/>
      <c r="AU92" s="318" t="n"/>
      <c r="AV92" s="318" t="n"/>
      <c r="AW92" s="318" t="n"/>
    </row>
    <row r="93">
      <c r="B93" s="1">
        <f>'Balance Sheet'!B26</f>
        <v/>
      </c>
      <c r="C93" s="318">
        <f>'Balance Sheet'!C26</f>
        <v/>
      </c>
      <c r="D93" s="318">
        <f>'Balance Sheet'!D26</f>
        <v/>
      </c>
      <c r="E93" s="318">
        <f>'Balance Sheet'!E26</f>
        <v/>
      </c>
      <c r="F93" s="318">
        <f>'Balance Sheet'!F26</f>
        <v/>
      </c>
      <c r="G93" s="318" t="n"/>
      <c r="H93" s="318">
        <f>'Balance Sheet'!H26</f>
        <v/>
      </c>
      <c r="I93" s="318">
        <f>'Balance Sheet'!I26</f>
        <v/>
      </c>
      <c r="J93" s="318">
        <f>'Balance Sheet'!J26</f>
        <v/>
      </c>
      <c r="K93" s="318">
        <f>'Balance Sheet'!K26</f>
        <v/>
      </c>
      <c r="L93" s="318">
        <f>'Balance Sheet'!L26</f>
        <v/>
      </c>
      <c r="M93" s="318">
        <f>'Balance Sheet'!M26</f>
        <v/>
      </c>
      <c r="N93" s="318">
        <f>'Balance Sheet'!N26</f>
        <v/>
      </c>
      <c r="O93" s="318">
        <f>'Balance Sheet'!O26</f>
        <v/>
      </c>
      <c r="P93" s="318">
        <f>'Balance Sheet'!P26</f>
        <v/>
      </c>
      <c r="Q93" s="318">
        <f>'Balance Sheet'!Q26</f>
        <v/>
      </c>
      <c r="R93" s="318">
        <f>'Balance Sheet'!R26</f>
        <v/>
      </c>
      <c r="S93" s="318">
        <f>'Balance Sheet'!S26</f>
        <v/>
      </c>
      <c r="T93" s="318">
        <f>'Balance Sheet'!T26</f>
        <v/>
      </c>
      <c r="U93" s="318">
        <f>'Balance Sheet'!U26</f>
        <v/>
      </c>
      <c r="V93" s="318">
        <f>'Balance Sheet'!V26</f>
        <v/>
      </c>
      <c r="W93" s="318">
        <f>'Balance Sheet'!W26</f>
        <v/>
      </c>
      <c r="X93" s="318">
        <f>'Balance Sheet'!X26</f>
        <v/>
      </c>
      <c r="Y93" s="318">
        <f>'Balance Sheet'!Y26</f>
        <v/>
      </c>
      <c r="Z93" s="318">
        <f>'Balance Sheet'!Z26</f>
        <v/>
      </c>
      <c r="AA93" s="318">
        <f>'Balance Sheet'!AA26</f>
        <v/>
      </c>
      <c r="AB93" s="318">
        <f>'Balance Sheet'!AB26</f>
        <v/>
      </c>
      <c r="AC93" s="318">
        <f>'Balance Sheet'!AC26</f>
        <v/>
      </c>
      <c r="AD93" s="318">
        <f>'Balance Sheet'!AD26</f>
        <v/>
      </c>
      <c r="AE93" s="318">
        <f>'Balance Sheet'!AE26</f>
        <v/>
      </c>
      <c r="AF93" s="318">
        <f>'Balance Sheet'!AF26</f>
        <v/>
      </c>
      <c r="AG93" s="318">
        <f>'Balance Sheet'!AG26</f>
        <v/>
      </c>
      <c r="AH93" s="318">
        <f>'Balance Sheet'!AH26</f>
        <v/>
      </c>
      <c r="AI93" s="318">
        <f>'Balance Sheet'!AI26</f>
        <v/>
      </c>
      <c r="AJ93" s="318">
        <f>'Balance Sheet'!AJ26</f>
        <v/>
      </c>
      <c r="AK93" s="318">
        <f>'Balance Sheet'!AK26</f>
        <v/>
      </c>
      <c r="AL93" s="318">
        <f>'Balance Sheet'!AL26</f>
        <v/>
      </c>
      <c r="AM93" s="318">
        <f>'Balance Sheet'!AM26</f>
        <v/>
      </c>
      <c r="AN93" s="318">
        <f>'Balance Sheet'!AN26</f>
        <v/>
      </c>
      <c r="AO93" s="318">
        <f>'Balance Sheet'!AO26</f>
        <v/>
      </c>
      <c r="AP93" s="318">
        <f>'Balance Sheet'!AP26</f>
        <v/>
      </c>
      <c r="AQ93" s="318">
        <f>'Balance Sheet'!AQ26</f>
        <v/>
      </c>
      <c r="AR93" s="318">
        <f>'Balance Sheet'!AR26</f>
        <v/>
      </c>
      <c r="AS93" s="318">
        <f>'Balance Sheet'!AS26</f>
        <v/>
      </c>
      <c r="AT93" s="318">
        <f>'Balance Sheet'!AT26</f>
        <v/>
      </c>
      <c r="AU93" s="318">
        <f>'Balance Sheet'!AU26</f>
        <v/>
      </c>
      <c r="AV93" s="318">
        <f>'Balance Sheet'!AV26</f>
        <v/>
      </c>
      <c r="AW93" s="318">
        <f>'Balance Sheet'!AW26</f>
        <v/>
      </c>
    </row>
    <row r="94" outlineLevel="1">
      <c r="B94" s="1">
        <f>'Balance Sheet'!B27</f>
        <v/>
      </c>
      <c r="C94" s="318">
        <f>'Balance Sheet'!C27</f>
        <v/>
      </c>
      <c r="D94" s="318">
        <f>'Balance Sheet'!D27</f>
        <v/>
      </c>
      <c r="E94" s="318">
        <f>'Balance Sheet'!E27</f>
        <v/>
      </c>
      <c r="F94" s="318">
        <f>'Balance Sheet'!F27</f>
        <v/>
      </c>
      <c r="G94" s="318" t="n"/>
      <c r="H94" s="318">
        <f>'Balance Sheet'!H27</f>
        <v/>
      </c>
      <c r="I94" s="318">
        <f>'Balance Sheet'!I27</f>
        <v/>
      </c>
      <c r="J94" s="318">
        <f>'Balance Sheet'!J27</f>
        <v/>
      </c>
      <c r="K94" s="318">
        <f>'Balance Sheet'!K27</f>
        <v/>
      </c>
      <c r="L94" s="318">
        <f>'Balance Sheet'!L27</f>
        <v/>
      </c>
      <c r="M94" s="318">
        <f>'Balance Sheet'!M27</f>
        <v/>
      </c>
      <c r="N94" s="318">
        <f>'Balance Sheet'!N27</f>
        <v/>
      </c>
      <c r="O94" s="318">
        <f>'Balance Sheet'!O27</f>
        <v/>
      </c>
      <c r="P94" s="318">
        <f>'Balance Sheet'!P27</f>
        <v/>
      </c>
      <c r="Q94" s="318">
        <f>'Balance Sheet'!Q27</f>
        <v/>
      </c>
      <c r="R94" s="318">
        <f>'Balance Sheet'!R27</f>
        <v/>
      </c>
      <c r="S94" s="318">
        <f>'Balance Sheet'!S27</f>
        <v/>
      </c>
      <c r="T94" s="318">
        <f>'Balance Sheet'!T27</f>
        <v/>
      </c>
      <c r="U94" s="318">
        <f>'Balance Sheet'!U27</f>
        <v/>
      </c>
      <c r="V94" s="318">
        <f>'Balance Sheet'!V27</f>
        <v/>
      </c>
      <c r="W94" s="318">
        <f>'Balance Sheet'!W27</f>
        <v/>
      </c>
      <c r="X94" s="318">
        <f>'Balance Sheet'!X27</f>
        <v/>
      </c>
      <c r="Y94" s="318">
        <f>'Balance Sheet'!Y27</f>
        <v/>
      </c>
      <c r="Z94" s="318">
        <f>'Balance Sheet'!Z27</f>
        <v/>
      </c>
      <c r="AA94" s="318">
        <f>'Balance Sheet'!AA27</f>
        <v/>
      </c>
      <c r="AB94" s="318">
        <f>'Balance Sheet'!AB27</f>
        <v/>
      </c>
      <c r="AC94" s="318">
        <f>'Balance Sheet'!AC27</f>
        <v/>
      </c>
      <c r="AD94" s="318">
        <f>'Balance Sheet'!AD27</f>
        <v/>
      </c>
      <c r="AE94" s="318">
        <f>'Balance Sheet'!AE27</f>
        <v/>
      </c>
      <c r="AF94" s="318">
        <f>'Balance Sheet'!AF27</f>
        <v/>
      </c>
      <c r="AG94" s="318">
        <f>'Balance Sheet'!AG27</f>
        <v/>
      </c>
      <c r="AH94" s="318">
        <f>'Balance Sheet'!AH27</f>
        <v/>
      </c>
      <c r="AI94" s="318">
        <f>'Balance Sheet'!AI27</f>
        <v/>
      </c>
      <c r="AJ94" s="318">
        <f>'Balance Sheet'!AJ27</f>
        <v/>
      </c>
      <c r="AK94" s="318">
        <f>'Balance Sheet'!AK27</f>
        <v/>
      </c>
      <c r="AL94" s="318">
        <f>'Balance Sheet'!AL27</f>
        <v/>
      </c>
      <c r="AM94" s="318">
        <f>'Balance Sheet'!AM27</f>
        <v/>
      </c>
      <c r="AN94" s="318">
        <f>'Balance Sheet'!AN27</f>
        <v/>
      </c>
      <c r="AO94" s="318">
        <f>'Balance Sheet'!AO27</f>
        <v/>
      </c>
      <c r="AP94" s="318">
        <f>'Balance Sheet'!AP27</f>
        <v/>
      </c>
      <c r="AQ94" s="318">
        <f>'Balance Sheet'!AQ27</f>
        <v/>
      </c>
      <c r="AR94" s="318">
        <f>'Balance Sheet'!AR27</f>
        <v/>
      </c>
      <c r="AS94" s="318">
        <f>'Balance Sheet'!AS27</f>
        <v/>
      </c>
      <c r="AT94" s="318">
        <f>'Balance Sheet'!AT27</f>
        <v/>
      </c>
      <c r="AU94" s="318">
        <f>'Balance Sheet'!AU27</f>
        <v/>
      </c>
      <c r="AV94" s="318">
        <f>'Balance Sheet'!AV27</f>
        <v/>
      </c>
      <c r="AW94" s="318">
        <f>'Balance Sheet'!AW27</f>
        <v/>
      </c>
    </row>
    <row r="95" outlineLevel="1">
      <c r="B95" s="1">
        <f>'Balance Sheet'!B28</f>
        <v/>
      </c>
      <c r="C95" s="318">
        <f>'Balance Sheet'!C28</f>
        <v/>
      </c>
      <c r="D95" s="318">
        <f>'Balance Sheet'!D28</f>
        <v/>
      </c>
      <c r="E95" s="318">
        <f>'Balance Sheet'!E28</f>
        <v/>
      </c>
      <c r="F95" s="318">
        <f>'Balance Sheet'!F28</f>
        <v/>
      </c>
      <c r="G95" s="318" t="n"/>
      <c r="H95" s="318">
        <f>'Balance Sheet'!H28</f>
        <v/>
      </c>
      <c r="I95" s="318">
        <f>'Balance Sheet'!I28</f>
        <v/>
      </c>
      <c r="J95" s="318">
        <f>'Balance Sheet'!J28</f>
        <v/>
      </c>
      <c r="K95" s="318">
        <f>'Balance Sheet'!K28</f>
        <v/>
      </c>
      <c r="L95" s="318">
        <f>'Balance Sheet'!L28</f>
        <v/>
      </c>
      <c r="M95" s="318">
        <f>'Balance Sheet'!M28</f>
        <v/>
      </c>
      <c r="N95" s="318">
        <f>'Balance Sheet'!N28</f>
        <v/>
      </c>
      <c r="O95" s="318">
        <f>'Balance Sheet'!O28</f>
        <v/>
      </c>
      <c r="P95" s="318">
        <f>'Balance Sheet'!P28</f>
        <v/>
      </c>
      <c r="Q95" s="318">
        <f>'Balance Sheet'!Q28</f>
        <v/>
      </c>
      <c r="R95" s="318">
        <f>'Balance Sheet'!R28</f>
        <v/>
      </c>
      <c r="S95" s="318">
        <f>'Balance Sheet'!S28</f>
        <v/>
      </c>
      <c r="T95" s="318">
        <f>'Balance Sheet'!T28</f>
        <v/>
      </c>
      <c r="U95" s="318">
        <f>'Balance Sheet'!U28</f>
        <v/>
      </c>
      <c r="V95" s="318">
        <f>'Balance Sheet'!V28</f>
        <v/>
      </c>
      <c r="W95" s="318">
        <f>'Balance Sheet'!W28</f>
        <v/>
      </c>
      <c r="X95" s="318">
        <f>'Balance Sheet'!X28</f>
        <v/>
      </c>
      <c r="Y95" s="318">
        <f>'Balance Sheet'!Y28</f>
        <v/>
      </c>
      <c r="Z95" s="318">
        <f>'Balance Sheet'!Z28</f>
        <v/>
      </c>
      <c r="AA95" s="318">
        <f>'Balance Sheet'!AA28</f>
        <v/>
      </c>
      <c r="AB95" s="318">
        <f>'Balance Sheet'!AB28</f>
        <v/>
      </c>
      <c r="AC95" s="318">
        <f>'Balance Sheet'!AC28</f>
        <v/>
      </c>
      <c r="AD95" s="318">
        <f>'Balance Sheet'!AD28</f>
        <v/>
      </c>
      <c r="AE95" s="318">
        <f>'Balance Sheet'!AE28</f>
        <v/>
      </c>
      <c r="AF95" s="318">
        <f>'Balance Sheet'!AF28</f>
        <v/>
      </c>
      <c r="AG95" s="318">
        <f>'Balance Sheet'!AG28</f>
        <v/>
      </c>
      <c r="AH95" s="318">
        <f>'Balance Sheet'!AH28</f>
        <v/>
      </c>
      <c r="AI95" s="318">
        <f>'Balance Sheet'!AI28</f>
        <v/>
      </c>
      <c r="AJ95" s="318">
        <f>'Balance Sheet'!AJ28</f>
        <v/>
      </c>
      <c r="AK95" s="318">
        <f>'Balance Sheet'!AK28</f>
        <v/>
      </c>
      <c r="AL95" s="318">
        <f>'Balance Sheet'!AL28</f>
        <v/>
      </c>
      <c r="AM95" s="318">
        <f>'Balance Sheet'!AM28</f>
        <v/>
      </c>
      <c r="AN95" s="318">
        <f>'Balance Sheet'!AN28</f>
        <v/>
      </c>
      <c r="AO95" s="318">
        <f>'Balance Sheet'!AO28</f>
        <v/>
      </c>
      <c r="AP95" s="318">
        <f>'Balance Sheet'!AP28</f>
        <v/>
      </c>
      <c r="AQ95" s="318">
        <f>'Balance Sheet'!AQ28</f>
        <v/>
      </c>
      <c r="AR95" s="318">
        <f>'Balance Sheet'!AR28</f>
        <v/>
      </c>
      <c r="AS95" s="318">
        <f>'Balance Sheet'!AS28</f>
        <v/>
      </c>
      <c r="AT95" s="318">
        <f>'Balance Sheet'!AT28</f>
        <v/>
      </c>
      <c r="AU95" s="318">
        <f>'Balance Sheet'!AU28</f>
        <v/>
      </c>
      <c r="AV95" s="318">
        <f>'Balance Sheet'!AV28</f>
        <v/>
      </c>
      <c r="AW95" s="318">
        <f>'Balance Sheet'!AW28</f>
        <v/>
      </c>
    </row>
    <row r="96" outlineLevel="1">
      <c r="B96" s="1">
        <f>'Balance Sheet'!B29</f>
        <v/>
      </c>
      <c r="C96" s="318">
        <f>'Balance Sheet'!C29</f>
        <v/>
      </c>
      <c r="D96" s="318">
        <f>'Balance Sheet'!D29</f>
        <v/>
      </c>
      <c r="E96" s="318">
        <f>'Balance Sheet'!E29</f>
        <v/>
      </c>
      <c r="F96" s="318">
        <f>'Balance Sheet'!F29</f>
        <v/>
      </c>
      <c r="G96" s="318" t="n"/>
      <c r="H96" s="318">
        <f>'Balance Sheet'!H29</f>
        <v/>
      </c>
      <c r="I96" s="318">
        <f>'Balance Sheet'!I29</f>
        <v/>
      </c>
      <c r="J96" s="318">
        <f>'Balance Sheet'!J29</f>
        <v/>
      </c>
      <c r="K96" s="318">
        <f>'Balance Sheet'!K29</f>
        <v/>
      </c>
      <c r="L96" s="318">
        <f>'Balance Sheet'!L29</f>
        <v/>
      </c>
      <c r="M96" s="318">
        <f>'Balance Sheet'!M29</f>
        <v/>
      </c>
      <c r="N96" s="318">
        <f>'Balance Sheet'!N29</f>
        <v/>
      </c>
      <c r="O96" s="318">
        <f>'Balance Sheet'!O29</f>
        <v/>
      </c>
      <c r="P96" s="318">
        <f>'Balance Sheet'!P29</f>
        <v/>
      </c>
      <c r="Q96" s="318">
        <f>'Balance Sheet'!Q29</f>
        <v/>
      </c>
      <c r="R96" s="318">
        <f>'Balance Sheet'!R29</f>
        <v/>
      </c>
      <c r="S96" s="318">
        <f>'Balance Sheet'!S29</f>
        <v/>
      </c>
      <c r="T96" s="318">
        <f>'Balance Sheet'!T29</f>
        <v/>
      </c>
      <c r="U96" s="318">
        <f>'Balance Sheet'!U29</f>
        <v/>
      </c>
      <c r="V96" s="318">
        <f>'Balance Sheet'!V29</f>
        <v/>
      </c>
      <c r="W96" s="318">
        <f>'Balance Sheet'!W29</f>
        <v/>
      </c>
      <c r="X96" s="318">
        <f>'Balance Sheet'!X29</f>
        <v/>
      </c>
      <c r="Y96" s="318">
        <f>'Balance Sheet'!Y29</f>
        <v/>
      </c>
      <c r="Z96" s="318">
        <f>'Balance Sheet'!Z29</f>
        <v/>
      </c>
      <c r="AA96" s="318">
        <f>'Balance Sheet'!AA29</f>
        <v/>
      </c>
      <c r="AB96" s="318">
        <f>'Balance Sheet'!AB29</f>
        <v/>
      </c>
      <c r="AC96" s="318">
        <f>'Balance Sheet'!AC29</f>
        <v/>
      </c>
      <c r="AD96" s="318">
        <f>'Balance Sheet'!AD29</f>
        <v/>
      </c>
      <c r="AE96" s="318">
        <f>'Balance Sheet'!AE29</f>
        <v/>
      </c>
      <c r="AF96" s="318">
        <f>'Balance Sheet'!AF29</f>
        <v/>
      </c>
      <c r="AG96" s="318">
        <f>'Balance Sheet'!AG29</f>
        <v/>
      </c>
      <c r="AH96" s="318">
        <f>'Balance Sheet'!AH29</f>
        <v/>
      </c>
      <c r="AI96" s="318">
        <f>'Balance Sheet'!AI29</f>
        <v/>
      </c>
      <c r="AJ96" s="318">
        <f>'Balance Sheet'!AJ29</f>
        <v/>
      </c>
      <c r="AK96" s="318">
        <f>'Balance Sheet'!AK29</f>
        <v/>
      </c>
      <c r="AL96" s="318">
        <f>'Balance Sheet'!AL29</f>
        <v/>
      </c>
      <c r="AM96" s="318">
        <f>'Balance Sheet'!AM29</f>
        <v/>
      </c>
      <c r="AN96" s="318">
        <f>'Balance Sheet'!AN29</f>
        <v/>
      </c>
      <c r="AO96" s="318">
        <f>'Balance Sheet'!AO29</f>
        <v/>
      </c>
      <c r="AP96" s="318">
        <f>'Balance Sheet'!AP29</f>
        <v/>
      </c>
      <c r="AQ96" s="318">
        <f>'Balance Sheet'!AQ29</f>
        <v/>
      </c>
      <c r="AR96" s="318">
        <f>'Balance Sheet'!AR29</f>
        <v/>
      </c>
      <c r="AS96" s="318">
        <f>'Balance Sheet'!AS29</f>
        <v/>
      </c>
      <c r="AT96" s="318">
        <f>'Balance Sheet'!AT29</f>
        <v/>
      </c>
      <c r="AU96" s="318">
        <f>'Balance Sheet'!AU29</f>
        <v/>
      </c>
      <c r="AV96" s="318">
        <f>'Balance Sheet'!AV29</f>
        <v/>
      </c>
      <c r="AW96" s="318">
        <f>'Balance Sheet'!AW29</f>
        <v/>
      </c>
    </row>
    <row r="97" outlineLevel="1">
      <c r="B97" s="2" t="n"/>
      <c r="C97" s="324" t="n"/>
      <c r="D97" s="324" t="n"/>
      <c r="E97" s="324" t="n"/>
      <c r="F97" s="324" t="n"/>
      <c r="G97" s="324" t="n"/>
      <c r="H97" s="324" t="n"/>
      <c r="I97" s="324" t="n"/>
      <c r="J97" s="324" t="n"/>
      <c r="K97" s="324" t="n"/>
      <c r="L97" s="324" t="n"/>
      <c r="M97" s="324" t="n"/>
      <c r="N97" s="324" t="n"/>
      <c r="O97" s="324" t="n"/>
      <c r="P97" s="324" t="n"/>
      <c r="Q97" s="324" t="n"/>
      <c r="R97" s="324" t="n"/>
      <c r="S97" s="324" t="n"/>
      <c r="T97" s="324" t="n"/>
      <c r="U97" s="324" t="n"/>
      <c r="V97" s="324" t="n"/>
      <c r="W97" s="324" t="n"/>
      <c r="X97" s="324" t="n"/>
      <c r="Y97" s="324" t="n"/>
      <c r="Z97" s="324" t="n"/>
      <c r="AA97" s="324" t="n"/>
      <c r="AB97" s="324" t="n"/>
      <c r="AC97" s="324" t="n"/>
      <c r="AD97" s="324" t="n"/>
      <c r="AE97" s="324" t="n"/>
      <c r="AF97" s="324" t="n"/>
      <c r="AG97" s="324" t="n"/>
      <c r="AH97" s="324" t="n"/>
      <c r="AI97" s="324" t="n"/>
      <c r="AJ97" s="324" t="n"/>
      <c r="AK97" s="324" t="n"/>
      <c r="AL97" s="324" t="n"/>
      <c r="AM97" s="324" t="n"/>
      <c r="AN97" s="324" t="n"/>
      <c r="AO97" s="324" t="n"/>
      <c r="AP97" s="324" t="n"/>
      <c r="AQ97" s="324" t="n"/>
      <c r="AR97" s="324" t="n"/>
      <c r="AS97" s="324" t="n"/>
      <c r="AT97" s="324" t="n"/>
      <c r="AU97" s="324" t="n"/>
      <c r="AV97" s="324" t="n"/>
      <c r="AW97" s="324" t="n"/>
    </row>
    <row r="98">
      <c r="B98" s="22">
        <f>'Balance Sheet'!B31</f>
        <v/>
      </c>
      <c r="C98" s="323">
        <f>'Balance Sheet'!C31</f>
        <v/>
      </c>
      <c r="D98" s="323">
        <f>'Balance Sheet'!D31</f>
        <v/>
      </c>
      <c r="E98" s="323">
        <f>'Balance Sheet'!E31</f>
        <v/>
      </c>
      <c r="F98" s="323">
        <f>'Balance Sheet'!F31</f>
        <v/>
      </c>
      <c r="G98" s="324" t="n"/>
      <c r="H98" s="323">
        <f>'Balance Sheet'!H31</f>
        <v/>
      </c>
      <c r="I98" s="323">
        <f>'Balance Sheet'!I31</f>
        <v/>
      </c>
      <c r="J98" s="323">
        <f>'Balance Sheet'!J31</f>
        <v/>
      </c>
      <c r="K98" s="323">
        <f>'Balance Sheet'!K31</f>
        <v/>
      </c>
      <c r="L98" s="323">
        <f>'Balance Sheet'!L31</f>
        <v/>
      </c>
      <c r="M98" s="323">
        <f>'Balance Sheet'!M31</f>
        <v/>
      </c>
      <c r="N98" s="323">
        <f>'Balance Sheet'!N31</f>
        <v/>
      </c>
      <c r="O98" s="323">
        <f>'Balance Sheet'!O31</f>
        <v/>
      </c>
      <c r="P98" s="323">
        <f>'Balance Sheet'!P31</f>
        <v/>
      </c>
      <c r="Q98" s="323">
        <f>'Balance Sheet'!Q31</f>
        <v/>
      </c>
      <c r="R98" s="323">
        <f>'Balance Sheet'!R31</f>
        <v/>
      </c>
      <c r="S98" s="323">
        <f>'Balance Sheet'!S31</f>
        <v/>
      </c>
      <c r="T98" s="323">
        <f>'Balance Sheet'!T31</f>
        <v/>
      </c>
      <c r="U98" s="323">
        <f>'Balance Sheet'!U31</f>
        <v/>
      </c>
      <c r="V98" s="323">
        <f>'Balance Sheet'!V31</f>
        <v/>
      </c>
      <c r="W98" s="323">
        <f>'Balance Sheet'!W31</f>
        <v/>
      </c>
      <c r="X98" s="323">
        <f>'Balance Sheet'!X31</f>
        <v/>
      </c>
      <c r="Y98" s="323">
        <f>'Balance Sheet'!Y31</f>
        <v/>
      </c>
      <c r="Z98" s="323">
        <f>'Balance Sheet'!Z31</f>
        <v/>
      </c>
      <c r="AA98" s="323">
        <f>'Balance Sheet'!AA31</f>
        <v/>
      </c>
      <c r="AB98" s="323">
        <f>'Balance Sheet'!AB31</f>
        <v/>
      </c>
      <c r="AC98" s="323">
        <f>'Balance Sheet'!AC31</f>
        <v/>
      </c>
      <c r="AD98" s="323">
        <f>'Balance Sheet'!AD31</f>
        <v/>
      </c>
      <c r="AE98" s="323">
        <f>'Balance Sheet'!AE31</f>
        <v/>
      </c>
      <c r="AF98" s="323">
        <f>'Balance Sheet'!AF31</f>
        <v/>
      </c>
      <c r="AG98" s="323">
        <f>'Balance Sheet'!AG31</f>
        <v/>
      </c>
      <c r="AH98" s="323">
        <f>'Balance Sheet'!AH31</f>
        <v/>
      </c>
      <c r="AI98" s="323">
        <f>'Balance Sheet'!AI31</f>
        <v/>
      </c>
      <c r="AJ98" s="323">
        <f>'Balance Sheet'!AJ31</f>
        <v/>
      </c>
      <c r="AK98" s="323">
        <f>'Balance Sheet'!AK31</f>
        <v/>
      </c>
      <c r="AL98" s="323">
        <f>'Balance Sheet'!AL31</f>
        <v/>
      </c>
      <c r="AM98" s="323">
        <f>'Balance Sheet'!AM31</f>
        <v/>
      </c>
      <c r="AN98" s="323">
        <f>'Balance Sheet'!AN31</f>
        <v/>
      </c>
      <c r="AO98" s="323">
        <f>'Balance Sheet'!AO31</f>
        <v/>
      </c>
      <c r="AP98" s="323">
        <f>'Balance Sheet'!AP31</f>
        <v/>
      </c>
      <c r="AQ98" s="323">
        <f>'Balance Sheet'!AQ31</f>
        <v/>
      </c>
      <c r="AR98" s="323">
        <f>'Balance Sheet'!AR31</f>
        <v/>
      </c>
      <c r="AS98" s="323">
        <f>'Balance Sheet'!AS31</f>
        <v/>
      </c>
      <c r="AT98" s="323">
        <f>'Balance Sheet'!AT31</f>
        <v/>
      </c>
      <c r="AU98" s="323">
        <f>'Balance Sheet'!AU31</f>
        <v/>
      </c>
      <c r="AV98" s="323">
        <f>'Balance Sheet'!AV31</f>
        <v/>
      </c>
      <c r="AW98" s="323">
        <f>'Balance Sheet'!AW31</f>
        <v/>
      </c>
    </row>
    <row r="99">
      <c r="B99" s="2" t="n"/>
    </row>
    <row r="100" ht="2" customFormat="1" customHeight="1" s="26">
      <c r="B100" s="33" t="n"/>
    </row>
    <row r="102">
      <c r="B102" s="9" t="inlineStr">
        <is>
          <t>Key Ratios</t>
        </is>
      </c>
    </row>
    <row r="103">
      <c r="B103" s="1" t="inlineStr">
        <is>
          <t>Current ratio (x)</t>
        </is>
      </c>
      <c r="C103" s="325">
        <f>'Ratio Analysis'!C21</f>
        <v/>
      </c>
      <c r="D103" s="325">
        <f>'Ratio Analysis'!D21</f>
        <v/>
      </c>
      <c r="E103" s="325">
        <f>'Ratio Analysis'!E21</f>
        <v/>
      </c>
      <c r="F103" s="325">
        <f>'Ratio Analysis'!F21</f>
        <v/>
      </c>
      <c r="G103" s="325" t="n"/>
      <c r="H103" s="325">
        <f>'Ratio Analysis'!H21</f>
        <v/>
      </c>
      <c r="I103" s="325">
        <f>'Ratio Analysis'!I21</f>
        <v/>
      </c>
      <c r="J103" s="325">
        <f>'Ratio Analysis'!J21</f>
        <v/>
      </c>
      <c r="K103" s="325">
        <f>'Ratio Analysis'!K21</f>
        <v/>
      </c>
      <c r="L103" s="325">
        <f>'Ratio Analysis'!L21</f>
        <v/>
      </c>
      <c r="M103" s="325">
        <f>'Ratio Analysis'!M21</f>
        <v/>
      </c>
      <c r="N103" s="325">
        <f>'Ratio Analysis'!N21</f>
        <v/>
      </c>
      <c r="O103" s="325">
        <f>'Ratio Analysis'!O21</f>
        <v/>
      </c>
      <c r="P103" s="325">
        <f>'Ratio Analysis'!P21</f>
        <v/>
      </c>
      <c r="Q103" s="325">
        <f>'Ratio Analysis'!Q21</f>
        <v/>
      </c>
      <c r="R103" s="325">
        <f>'Ratio Analysis'!R21</f>
        <v/>
      </c>
      <c r="S103" s="325">
        <f>'Ratio Analysis'!S21</f>
        <v/>
      </c>
      <c r="T103" s="325">
        <f>'Ratio Analysis'!T21</f>
        <v/>
      </c>
      <c r="U103" s="325">
        <f>'Ratio Analysis'!U21</f>
        <v/>
      </c>
      <c r="V103" s="325">
        <f>'Ratio Analysis'!V21</f>
        <v/>
      </c>
      <c r="W103" s="325">
        <f>'Ratio Analysis'!W21</f>
        <v/>
      </c>
      <c r="X103" s="325">
        <f>'Ratio Analysis'!X21</f>
        <v/>
      </c>
      <c r="Y103" s="325">
        <f>'Ratio Analysis'!Y21</f>
        <v/>
      </c>
      <c r="Z103" s="325">
        <f>'Ratio Analysis'!Z21</f>
        <v/>
      </c>
      <c r="AA103" s="325">
        <f>'Ratio Analysis'!AA21</f>
        <v/>
      </c>
      <c r="AB103" s="325">
        <f>'Ratio Analysis'!AB21</f>
        <v/>
      </c>
      <c r="AC103" s="325">
        <f>'Ratio Analysis'!AC21</f>
        <v/>
      </c>
      <c r="AD103" s="325">
        <f>'Ratio Analysis'!AD21</f>
        <v/>
      </c>
      <c r="AE103" s="325">
        <f>'Ratio Analysis'!AE21</f>
        <v/>
      </c>
      <c r="AF103" s="325">
        <f>'Ratio Analysis'!AF21</f>
        <v/>
      </c>
      <c r="AG103" s="325">
        <f>'Ratio Analysis'!AG21</f>
        <v/>
      </c>
      <c r="AH103" s="325">
        <f>'Ratio Analysis'!AH21</f>
        <v/>
      </c>
      <c r="AI103" s="325">
        <f>'Ratio Analysis'!AI21</f>
        <v/>
      </c>
      <c r="AJ103" s="325">
        <f>'Ratio Analysis'!AJ21</f>
        <v/>
      </c>
      <c r="AK103" s="325">
        <f>'Ratio Analysis'!AK21</f>
        <v/>
      </c>
      <c r="AL103" s="325">
        <f>'Ratio Analysis'!AL21</f>
        <v/>
      </c>
      <c r="AM103" s="325">
        <f>'Ratio Analysis'!AM21</f>
        <v/>
      </c>
      <c r="AN103" s="325">
        <f>'Ratio Analysis'!AN21</f>
        <v/>
      </c>
      <c r="AO103" s="325">
        <f>'Ratio Analysis'!AO21</f>
        <v/>
      </c>
      <c r="AP103" s="325">
        <f>'Ratio Analysis'!AP21</f>
        <v/>
      </c>
      <c r="AQ103" s="325">
        <f>'Ratio Analysis'!AQ21</f>
        <v/>
      </c>
      <c r="AR103" s="325">
        <f>'Ratio Analysis'!AR21</f>
        <v/>
      </c>
      <c r="AS103" s="325">
        <f>'Ratio Analysis'!AS21</f>
        <v/>
      </c>
      <c r="AT103" s="325">
        <f>'Ratio Analysis'!AT21</f>
        <v/>
      </c>
      <c r="AU103" s="325">
        <f>'Ratio Analysis'!AU21</f>
        <v/>
      </c>
      <c r="AV103" s="325">
        <f>'Ratio Analysis'!AV21</f>
        <v/>
      </c>
      <c r="AW103" s="325">
        <f>'Ratio Analysis'!AW21</f>
        <v/>
      </c>
      <c r="AX103" s="325" t="n"/>
    </row>
    <row r="104">
      <c r="B104" s="1">
        <f>'Ratio Analysis'!B22</f>
        <v/>
      </c>
      <c r="C104" s="325">
        <f>'Ratio Analysis'!C22</f>
        <v/>
      </c>
      <c r="D104" s="325">
        <f>'Ratio Analysis'!D22</f>
        <v/>
      </c>
      <c r="E104" s="325">
        <f>'Ratio Analysis'!E22</f>
        <v/>
      </c>
      <c r="F104" s="325">
        <f>'Ratio Analysis'!F22</f>
        <v/>
      </c>
      <c r="G104" s="325" t="n"/>
      <c r="H104" s="325">
        <f>'Ratio Analysis'!H22</f>
        <v/>
      </c>
      <c r="I104" s="325">
        <f>'Ratio Analysis'!I22</f>
        <v/>
      </c>
      <c r="J104" s="325">
        <f>'Ratio Analysis'!J22</f>
        <v/>
      </c>
      <c r="K104" s="325">
        <f>'Ratio Analysis'!K22</f>
        <v/>
      </c>
      <c r="L104" s="325">
        <f>'Ratio Analysis'!L22</f>
        <v/>
      </c>
      <c r="M104" s="325">
        <f>'Ratio Analysis'!M22</f>
        <v/>
      </c>
      <c r="N104" s="325">
        <f>'Ratio Analysis'!N22</f>
        <v/>
      </c>
      <c r="O104" s="325">
        <f>'Ratio Analysis'!O22</f>
        <v/>
      </c>
      <c r="P104" s="325">
        <f>'Ratio Analysis'!P22</f>
        <v/>
      </c>
      <c r="Q104" s="325">
        <f>'Ratio Analysis'!Q22</f>
        <v/>
      </c>
      <c r="R104" s="325">
        <f>'Ratio Analysis'!R22</f>
        <v/>
      </c>
      <c r="S104" s="325">
        <f>'Ratio Analysis'!S22</f>
        <v/>
      </c>
      <c r="T104" s="325">
        <f>'Ratio Analysis'!T22</f>
        <v/>
      </c>
      <c r="U104" s="325">
        <f>'Ratio Analysis'!U22</f>
        <v/>
      </c>
      <c r="V104" s="325">
        <f>'Ratio Analysis'!V22</f>
        <v/>
      </c>
      <c r="W104" s="325">
        <f>'Ratio Analysis'!W22</f>
        <v/>
      </c>
      <c r="X104" s="325">
        <f>'Ratio Analysis'!X22</f>
        <v/>
      </c>
      <c r="Y104" s="325">
        <f>'Ratio Analysis'!Y22</f>
        <v/>
      </c>
      <c r="Z104" s="325">
        <f>'Ratio Analysis'!Z22</f>
        <v/>
      </c>
      <c r="AA104" s="325">
        <f>'Ratio Analysis'!AA22</f>
        <v/>
      </c>
      <c r="AB104" s="325">
        <f>'Ratio Analysis'!AB22</f>
        <v/>
      </c>
      <c r="AC104" s="325">
        <f>'Ratio Analysis'!AC22</f>
        <v/>
      </c>
      <c r="AD104" s="325">
        <f>'Ratio Analysis'!AD22</f>
        <v/>
      </c>
      <c r="AE104" s="325">
        <f>'Ratio Analysis'!AE22</f>
        <v/>
      </c>
      <c r="AF104" s="325">
        <f>'Ratio Analysis'!AF22</f>
        <v/>
      </c>
      <c r="AG104" s="325">
        <f>'Ratio Analysis'!AG22</f>
        <v/>
      </c>
      <c r="AH104" s="325">
        <f>'Ratio Analysis'!AH22</f>
        <v/>
      </c>
      <c r="AI104" s="325">
        <f>'Ratio Analysis'!AI22</f>
        <v/>
      </c>
      <c r="AJ104" s="325">
        <f>'Ratio Analysis'!AJ22</f>
        <v/>
      </c>
      <c r="AK104" s="325">
        <f>'Ratio Analysis'!AK22</f>
        <v/>
      </c>
      <c r="AL104" s="325">
        <f>'Ratio Analysis'!AL22</f>
        <v/>
      </c>
      <c r="AM104" s="325">
        <f>'Ratio Analysis'!AM22</f>
        <v/>
      </c>
      <c r="AN104" s="325">
        <f>'Ratio Analysis'!AN22</f>
        <v/>
      </c>
      <c r="AO104" s="325">
        <f>'Ratio Analysis'!AO22</f>
        <v/>
      </c>
      <c r="AP104" s="325">
        <f>'Ratio Analysis'!AP22</f>
        <v/>
      </c>
      <c r="AQ104" s="325">
        <f>'Ratio Analysis'!AQ22</f>
        <v/>
      </c>
      <c r="AR104" s="325">
        <f>'Ratio Analysis'!AR22</f>
        <v/>
      </c>
      <c r="AS104" s="325">
        <f>'Ratio Analysis'!AS22</f>
        <v/>
      </c>
      <c r="AT104" s="325">
        <f>'Ratio Analysis'!AT22</f>
        <v/>
      </c>
      <c r="AU104" s="325">
        <f>'Ratio Analysis'!AU22</f>
        <v/>
      </c>
      <c r="AV104" s="325">
        <f>'Ratio Analysis'!AV22</f>
        <v/>
      </c>
      <c r="AW104" s="325">
        <f>'Ratio Analysis'!AW22</f>
        <v/>
      </c>
      <c r="AX104" s="325" t="n"/>
    </row>
    <row r="105">
      <c r="B105" s="1">
        <f>'Ratio Analysis'!B17</f>
        <v/>
      </c>
      <c r="C105" s="326">
        <f>'Ratio Analysis'!C17</f>
        <v/>
      </c>
      <c r="D105" s="326">
        <f>'Ratio Analysis'!D17</f>
        <v/>
      </c>
      <c r="E105" s="326">
        <f>'Ratio Analysis'!E17</f>
        <v/>
      </c>
      <c r="F105" s="326">
        <f>'Ratio Analysis'!F17</f>
        <v/>
      </c>
      <c r="G105" s="325" t="n"/>
      <c r="H105" s="326">
        <f>'Ratio Analysis'!H17</f>
        <v/>
      </c>
      <c r="I105" s="326">
        <f>'Ratio Analysis'!I17</f>
        <v/>
      </c>
      <c r="J105" s="326">
        <f>'Ratio Analysis'!J17</f>
        <v/>
      </c>
      <c r="K105" s="326">
        <f>'Ratio Analysis'!K17</f>
        <v/>
      </c>
      <c r="L105" s="326">
        <f>'Ratio Analysis'!L17</f>
        <v/>
      </c>
      <c r="M105" s="326">
        <f>'Ratio Analysis'!M17</f>
        <v/>
      </c>
      <c r="N105" s="326">
        <f>'Ratio Analysis'!N17</f>
        <v/>
      </c>
      <c r="O105" s="326">
        <f>'Ratio Analysis'!O17</f>
        <v/>
      </c>
      <c r="P105" s="326">
        <f>'Ratio Analysis'!P17</f>
        <v/>
      </c>
      <c r="Q105" s="326">
        <f>'Ratio Analysis'!Q17</f>
        <v/>
      </c>
      <c r="R105" s="326">
        <f>'Ratio Analysis'!R17</f>
        <v/>
      </c>
      <c r="S105" s="326">
        <f>'Ratio Analysis'!S17</f>
        <v/>
      </c>
      <c r="T105" s="326">
        <f>'Ratio Analysis'!T17</f>
        <v/>
      </c>
      <c r="U105" s="326">
        <f>'Ratio Analysis'!U17</f>
        <v/>
      </c>
      <c r="V105" s="326">
        <f>'Ratio Analysis'!V17</f>
        <v/>
      </c>
      <c r="W105" s="326">
        <f>'Ratio Analysis'!W17</f>
        <v/>
      </c>
      <c r="X105" s="326">
        <f>'Ratio Analysis'!X17</f>
        <v/>
      </c>
      <c r="Y105" s="326">
        <f>'Ratio Analysis'!Y17</f>
        <v/>
      </c>
      <c r="Z105" s="326">
        <f>'Ratio Analysis'!Z17</f>
        <v/>
      </c>
      <c r="AA105" s="326">
        <f>'Ratio Analysis'!AA17</f>
        <v/>
      </c>
      <c r="AB105" s="326">
        <f>'Ratio Analysis'!AB17</f>
        <v/>
      </c>
      <c r="AC105" s="326">
        <f>'Ratio Analysis'!AC17</f>
        <v/>
      </c>
      <c r="AD105" s="326">
        <f>'Ratio Analysis'!AD17</f>
        <v/>
      </c>
      <c r="AE105" s="326">
        <f>'Ratio Analysis'!AE17</f>
        <v/>
      </c>
      <c r="AF105" s="326">
        <f>'Ratio Analysis'!AF17</f>
        <v/>
      </c>
      <c r="AG105" s="326">
        <f>'Ratio Analysis'!AG17</f>
        <v/>
      </c>
      <c r="AH105" s="326">
        <f>'Ratio Analysis'!AH17</f>
        <v/>
      </c>
      <c r="AI105" s="326">
        <f>'Ratio Analysis'!AI17</f>
        <v/>
      </c>
      <c r="AJ105" s="326">
        <f>'Ratio Analysis'!AJ17</f>
        <v/>
      </c>
      <c r="AK105" s="326">
        <f>'Ratio Analysis'!AK17</f>
        <v/>
      </c>
      <c r="AL105" s="326">
        <f>'Ratio Analysis'!AL17</f>
        <v/>
      </c>
      <c r="AM105" s="326">
        <f>'Ratio Analysis'!AM17</f>
        <v/>
      </c>
      <c r="AN105" s="326">
        <f>'Ratio Analysis'!AN17</f>
        <v/>
      </c>
      <c r="AO105" s="326">
        <f>'Ratio Analysis'!AO17</f>
        <v/>
      </c>
      <c r="AP105" s="326">
        <f>'Ratio Analysis'!AP17</f>
        <v/>
      </c>
      <c r="AQ105" s="326">
        <f>'Ratio Analysis'!AQ17</f>
        <v/>
      </c>
      <c r="AR105" s="326">
        <f>'Ratio Analysis'!AR17</f>
        <v/>
      </c>
      <c r="AS105" s="326">
        <f>'Ratio Analysis'!AS17</f>
        <v/>
      </c>
      <c r="AT105" s="326">
        <f>'Ratio Analysis'!AT17</f>
        <v/>
      </c>
      <c r="AU105" s="326">
        <f>'Ratio Analysis'!AU17</f>
        <v/>
      </c>
      <c r="AV105" s="326">
        <f>'Ratio Analysis'!AV17</f>
        <v/>
      </c>
      <c r="AW105" s="326">
        <f>'Ratio Analysis'!AW17</f>
        <v/>
      </c>
      <c r="AX105" s="325" t="n"/>
    </row>
    <row r="106">
      <c r="B106" s="1">
        <f>'Ratio Analysis'!B18</f>
        <v/>
      </c>
      <c r="C106" s="326">
        <f>'Ratio Analysis'!C18</f>
        <v/>
      </c>
      <c r="D106" s="326">
        <f>'Ratio Analysis'!D18</f>
        <v/>
      </c>
      <c r="E106" s="326">
        <f>'Ratio Analysis'!E18</f>
        <v/>
      </c>
      <c r="F106" s="326">
        <f>'Ratio Analysis'!F18</f>
        <v/>
      </c>
      <c r="G106" s="325" t="n"/>
      <c r="H106" s="326">
        <f>'Ratio Analysis'!H18</f>
        <v/>
      </c>
      <c r="I106" s="326">
        <f>'Ratio Analysis'!I18</f>
        <v/>
      </c>
      <c r="J106" s="326">
        <f>'Ratio Analysis'!J18</f>
        <v/>
      </c>
      <c r="K106" s="326">
        <f>'Ratio Analysis'!K18</f>
        <v/>
      </c>
      <c r="L106" s="326">
        <f>'Ratio Analysis'!L18</f>
        <v/>
      </c>
      <c r="M106" s="326">
        <f>'Ratio Analysis'!M18</f>
        <v/>
      </c>
      <c r="N106" s="326">
        <f>'Ratio Analysis'!N18</f>
        <v/>
      </c>
      <c r="O106" s="326">
        <f>'Ratio Analysis'!O18</f>
        <v/>
      </c>
      <c r="P106" s="326">
        <f>'Ratio Analysis'!P18</f>
        <v/>
      </c>
      <c r="Q106" s="326">
        <f>'Ratio Analysis'!Q18</f>
        <v/>
      </c>
      <c r="R106" s="326">
        <f>'Ratio Analysis'!R18</f>
        <v/>
      </c>
      <c r="S106" s="326">
        <f>'Ratio Analysis'!S18</f>
        <v/>
      </c>
      <c r="T106" s="326">
        <f>'Ratio Analysis'!T18</f>
        <v/>
      </c>
      <c r="U106" s="326">
        <f>'Ratio Analysis'!U18</f>
        <v/>
      </c>
      <c r="V106" s="326">
        <f>'Ratio Analysis'!V18</f>
        <v/>
      </c>
      <c r="W106" s="326">
        <f>'Ratio Analysis'!W18</f>
        <v/>
      </c>
      <c r="X106" s="326">
        <f>'Ratio Analysis'!X18</f>
        <v/>
      </c>
      <c r="Y106" s="326">
        <f>'Ratio Analysis'!Y18</f>
        <v/>
      </c>
      <c r="Z106" s="326">
        <f>'Ratio Analysis'!Z18</f>
        <v/>
      </c>
      <c r="AA106" s="326">
        <f>'Ratio Analysis'!AA18</f>
        <v/>
      </c>
      <c r="AB106" s="326">
        <f>'Ratio Analysis'!AB18</f>
        <v/>
      </c>
      <c r="AC106" s="326">
        <f>'Ratio Analysis'!AC18</f>
        <v/>
      </c>
      <c r="AD106" s="326">
        <f>'Ratio Analysis'!AD18</f>
        <v/>
      </c>
      <c r="AE106" s="326">
        <f>'Ratio Analysis'!AE18</f>
        <v/>
      </c>
      <c r="AF106" s="326">
        <f>'Ratio Analysis'!AF18</f>
        <v/>
      </c>
      <c r="AG106" s="326">
        <f>'Ratio Analysis'!AG18</f>
        <v/>
      </c>
      <c r="AH106" s="326">
        <f>'Ratio Analysis'!AH18</f>
        <v/>
      </c>
      <c r="AI106" s="326">
        <f>'Ratio Analysis'!AI18</f>
        <v/>
      </c>
      <c r="AJ106" s="326">
        <f>'Ratio Analysis'!AJ18</f>
        <v/>
      </c>
      <c r="AK106" s="326">
        <f>'Ratio Analysis'!AK18</f>
        <v/>
      </c>
      <c r="AL106" s="326">
        <f>'Ratio Analysis'!AL18</f>
        <v/>
      </c>
      <c r="AM106" s="326">
        <f>'Ratio Analysis'!AM18</f>
        <v/>
      </c>
      <c r="AN106" s="326">
        <f>'Ratio Analysis'!AN18</f>
        <v/>
      </c>
      <c r="AO106" s="326">
        <f>'Ratio Analysis'!AO18</f>
        <v/>
      </c>
      <c r="AP106" s="326">
        <f>'Ratio Analysis'!AP18</f>
        <v/>
      </c>
      <c r="AQ106" s="326">
        <f>'Ratio Analysis'!AQ18</f>
        <v/>
      </c>
      <c r="AR106" s="326">
        <f>'Ratio Analysis'!AR18</f>
        <v/>
      </c>
      <c r="AS106" s="326">
        <f>'Ratio Analysis'!AS18</f>
        <v/>
      </c>
      <c r="AT106" s="326">
        <f>'Ratio Analysis'!AT18</f>
        <v/>
      </c>
      <c r="AU106" s="326">
        <f>'Ratio Analysis'!AU18</f>
        <v/>
      </c>
      <c r="AV106" s="326">
        <f>'Ratio Analysis'!AV18</f>
        <v/>
      </c>
      <c r="AW106" s="326">
        <f>'Ratio Analysis'!AW18</f>
        <v/>
      </c>
      <c r="AX106" s="325" t="n"/>
    </row>
    <row r="107" collapsed="1">
      <c r="B107" s="1" t="inlineStr">
        <is>
          <t>Revenue growth %</t>
        </is>
      </c>
      <c r="C107" s="317">
        <f>'Ratio Analysis'!C9</f>
        <v/>
      </c>
      <c r="D107" s="317">
        <f>'Ratio Analysis'!D9</f>
        <v/>
      </c>
      <c r="E107" s="317">
        <f>'Ratio Analysis'!E9</f>
        <v/>
      </c>
      <c r="F107" s="317">
        <f>'Ratio Analysis'!F9</f>
        <v/>
      </c>
      <c r="G107" s="317" t="n"/>
      <c r="H107" s="317">
        <f>'Ratio Analysis'!H9</f>
        <v/>
      </c>
      <c r="I107" s="317">
        <f>'Ratio Analysis'!I9</f>
        <v/>
      </c>
      <c r="J107" s="317">
        <f>'Ratio Analysis'!J9</f>
        <v/>
      </c>
      <c r="K107" s="317">
        <f>'Ratio Analysis'!K9</f>
        <v/>
      </c>
      <c r="L107" s="317">
        <f>'Ratio Analysis'!L9</f>
        <v/>
      </c>
      <c r="M107" s="317">
        <f>'Ratio Analysis'!M9</f>
        <v/>
      </c>
      <c r="N107" s="317">
        <f>'Ratio Analysis'!N9</f>
        <v/>
      </c>
      <c r="O107" s="317">
        <f>'Ratio Analysis'!O9</f>
        <v/>
      </c>
      <c r="P107" s="317">
        <f>'Ratio Analysis'!P9</f>
        <v/>
      </c>
      <c r="Q107" s="317">
        <f>'Ratio Analysis'!Q9</f>
        <v/>
      </c>
      <c r="R107" s="317">
        <f>'Ratio Analysis'!R9</f>
        <v/>
      </c>
      <c r="S107" s="317">
        <f>'Ratio Analysis'!S9</f>
        <v/>
      </c>
      <c r="T107" s="317">
        <f>'Ratio Analysis'!T9</f>
        <v/>
      </c>
      <c r="U107" s="317">
        <f>'Ratio Analysis'!U9</f>
        <v/>
      </c>
      <c r="V107" s="317">
        <f>'Ratio Analysis'!V9</f>
        <v/>
      </c>
      <c r="W107" s="317">
        <f>'Ratio Analysis'!W9</f>
        <v/>
      </c>
      <c r="X107" s="317">
        <f>'Ratio Analysis'!X9</f>
        <v/>
      </c>
      <c r="Y107" s="317">
        <f>'Ratio Analysis'!Y9</f>
        <v/>
      </c>
      <c r="Z107" s="317">
        <f>'Ratio Analysis'!Z9</f>
        <v/>
      </c>
      <c r="AA107" s="317">
        <f>'Ratio Analysis'!AA9</f>
        <v/>
      </c>
      <c r="AB107" s="317">
        <f>'Ratio Analysis'!AB9</f>
        <v/>
      </c>
      <c r="AC107" s="317">
        <f>'Ratio Analysis'!AC9</f>
        <v/>
      </c>
      <c r="AD107" s="317">
        <f>'Ratio Analysis'!AD9</f>
        <v/>
      </c>
      <c r="AE107" s="317">
        <f>'Ratio Analysis'!AE9</f>
        <v/>
      </c>
      <c r="AF107" s="317">
        <f>'Ratio Analysis'!AF9</f>
        <v/>
      </c>
      <c r="AG107" s="317">
        <f>'Ratio Analysis'!AG9</f>
        <v/>
      </c>
      <c r="AH107" s="317">
        <f>'Ratio Analysis'!AH9</f>
        <v/>
      </c>
      <c r="AI107" s="317">
        <f>'Ratio Analysis'!AI9</f>
        <v/>
      </c>
      <c r="AJ107" s="317">
        <f>'Ratio Analysis'!AJ9</f>
        <v/>
      </c>
      <c r="AK107" s="317">
        <f>'Ratio Analysis'!AK9</f>
        <v/>
      </c>
      <c r="AL107" s="317">
        <f>'Ratio Analysis'!AL9</f>
        <v/>
      </c>
      <c r="AM107" s="317">
        <f>'Ratio Analysis'!AM9</f>
        <v/>
      </c>
      <c r="AN107" s="317">
        <f>'Ratio Analysis'!AN9</f>
        <v/>
      </c>
      <c r="AO107" s="317">
        <f>'Ratio Analysis'!AO9</f>
        <v/>
      </c>
      <c r="AP107" s="317">
        <f>'Ratio Analysis'!AP9</f>
        <v/>
      </c>
      <c r="AQ107" s="317">
        <f>'Ratio Analysis'!AQ9</f>
        <v/>
      </c>
      <c r="AR107" s="317">
        <f>'Ratio Analysis'!AR9</f>
        <v/>
      </c>
      <c r="AS107" s="317">
        <f>'Ratio Analysis'!AS9</f>
        <v/>
      </c>
      <c r="AT107" s="317">
        <f>'Ratio Analysis'!AT9</f>
        <v/>
      </c>
      <c r="AU107" s="317">
        <f>'Ratio Analysis'!AU9</f>
        <v/>
      </c>
      <c r="AV107" s="317">
        <f>'Ratio Analysis'!AV9</f>
        <v/>
      </c>
      <c r="AW107" s="317">
        <f>'Ratio Analysis'!AW9</f>
        <v/>
      </c>
      <c r="AX107" s="317" t="n"/>
    </row>
    <row r="108" ht="7" customHeight="1">
      <c r="C108" s="317" t="n"/>
      <c r="D108" s="317" t="n"/>
      <c r="E108" s="317" t="n"/>
      <c r="F108" s="317" t="n"/>
      <c r="G108" s="317" t="n"/>
      <c r="H108" s="317" t="n"/>
      <c r="I108" s="317" t="n"/>
      <c r="J108" s="317" t="n"/>
      <c r="K108" s="317" t="n"/>
      <c r="L108" s="317" t="n"/>
      <c r="M108" s="317" t="n"/>
      <c r="N108" s="317" t="n"/>
      <c r="O108" s="317" t="n"/>
      <c r="P108" s="317" t="n"/>
      <c r="Q108" s="317" t="n"/>
      <c r="R108" s="317" t="n"/>
      <c r="S108" s="317" t="n"/>
      <c r="T108" s="317" t="n"/>
      <c r="U108" s="317" t="n"/>
      <c r="V108" s="317" t="n"/>
      <c r="W108" s="317" t="n"/>
      <c r="X108" s="317" t="n"/>
      <c r="Y108" s="317" t="n"/>
      <c r="Z108" s="317" t="n"/>
      <c r="AA108" s="317" t="n"/>
      <c r="AB108" s="317" t="n"/>
      <c r="AC108" s="317" t="n"/>
      <c r="AD108" s="317" t="n"/>
      <c r="AE108" s="317" t="n"/>
      <c r="AF108" s="317" t="n"/>
      <c r="AG108" s="317" t="n"/>
      <c r="AH108" s="317" t="n"/>
      <c r="AI108" s="317" t="n"/>
      <c r="AJ108" s="317" t="n"/>
      <c r="AK108" s="317" t="n"/>
      <c r="AL108" s="317" t="n"/>
      <c r="AM108" s="317" t="n"/>
      <c r="AN108" s="317" t="n"/>
      <c r="AO108" s="317" t="n"/>
      <c r="AP108" s="317" t="n"/>
      <c r="AQ108" s="317" t="n"/>
      <c r="AR108" s="317" t="n"/>
      <c r="AS108" s="317" t="n"/>
      <c r="AT108" s="317" t="n"/>
      <c r="AU108" s="317" t="n"/>
      <c r="AV108" s="317" t="n"/>
      <c r="AW108" s="317" t="n"/>
      <c r="AX108" s="317" t="n"/>
    </row>
    <row r="109">
      <c r="B109" s="1" t="inlineStr">
        <is>
          <t>Gross Margin (%)</t>
        </is>
      </c>
      <c r="C109" s="317">
        <f>C18/C9</f>
        <v/>
      </c>
      <c r="D109" s="317">
        <f>D18/D9</f>
        <v/>
      </c>
      <c r="E109" s="317">
        <f>E18/E9</f>
        <v/>
      </c>
      <c r="F109" s="317">
        <f>F18/F9</f>
        <v/>
      </c>
      <c r="G109" s="317" t="n"/>
      <c r="H109" s="317">
        <f>H18/H9</f>
        <v/>
      </c>
      <c r="I109" s="317">
        <f>I18/I9</f>
        <v/>
      </c>
      <c r="J109" s="317">
        <f>J18/J9</f>
        <v/>
      </c>
      <c r="K109" s="317">
        <f>K18/K9</f>
        <v/>
      </c>
      <c r="L109" s="317">
        <f>L18/L9</f>
        <v/>
      </c>
      <c r="M109" s="317">
        <f>M18/M9</f>
        <v/>
      </c>
      <c r="N109" s="317">
        <f>N18/N9</f>
        <v/>
      </c>
      <c r="O109" s="317">
        <f>O18/O9</f>
        <v/>
      </c>
      <c r="P109" s="317">
        <f>P18/P9</f>
        <v/>
      </c>
      <c r="Q109" s="317">
        <f>Q18/Q9</f>
        <v/>
      </c>
      <c r="R109" s="317">
        <f>R18/R9</f>
        <v/>
      </c>
      <c r="S109" s="317">
        <f>S18/S9</f>
        <v/>
      </c>
      <c r="T109" s="317">
        <f>T18/T9</f>
        <v/>
      </c>
      <c r="U109" s="317">
        <f>U18/U9</f>
        <v/>
      </c>
      <c r="V109" s="317">
        <f>V18/V9</f>
        <v/>
      </c>
      <c r="W109" s="317">
        <f>W18/W9</f>
        <v/>
      </c>
      <c r="X109" s="317">
        <f>X18/X9</f>
        <v/>
      </c>
      <c r="Y109" s="317">
        <f>Y18/Y9</f>
        <v/>
      </c>
      <c r="Z109" s="317">
        <f>Z18/Z9</f>
        <v/>
      </c>
      <c r="AA109" s="317">
        <f>AA18/AA9</f>
        <v/>
      </c>
      <c r="AB109" s="317">
        <f>AB18/AB9</f>
        <v/>
      </c>
      <c r="AC109" s="317">
        <f>AC18/AC9</f>
        <v/>
      </c>
      <c r="AD109" s="317">
        <f>AD18/AD9</f>
        <v/>
      </c>
      <c r="AE109" s="317">
        <f>AE18/AE9</f>
        <v/>
      </c>
      <c r="AF109" s="317">
        <f>AF18/AF9</f>
        <v/>
      </c>
      <c r="AG109" s="317">
        <f>AG18/AG9</f>
        <v/>
      </c>
      <c r="AH109" s="317">
        <f>AH18/AH9</f>
        <v/>
      </c>
      <c r="AI109" s="317">
        <f>AI18/AI9</f>
        <v/>
      </c>
      <c r="AJ109" s="317">
        <f>AJ18/AJ9</f>
        <v/>
      </c>
      <c r="AK109" s="317">
        <f>AK18/AK9</f>
        <v/>
      </c>
      <c r="AL109" s="317">
        <f>AL18/AL9</f>
        <v/>
      </c>
      <c r="AM109" s="317">
        <f>AM18/AM9</f>
        <v/>
      </c>
      <c r="AN109" s="317">
        <f>AN18/AN9</f>
        <v/>
      </c>
      <c r="AO109" s="317">
        <f>AO18/AO9</f>
        <v/>
      </c>
      <c r="AP109" s="317">
        <f>AP18/AP9</f>
        <v/>
      </c>
      <c r="AQ109" s="317">
        <f>AQ18/AQ9</f>
        <v/>
      </c>
      <c r="AR109" s="317">
        <f>AR18/AR9</f>
        <v/>
      </c>
      <c r="AS109" s="317">
        <f>AS18/AS9</f>
        <v/>
      </c>
      <c r="AT109" s="317">
        <f>AT18/AT9</f>
        <v/>
      </c>
      <c r="AU109" s="317">
        <f>AU18/AU9</f>
        <v/>
      </c>
      <c r="AV109" s="317">
        <f>AV18/AV9</f>
        <v/>
      </c>
      <c r="AW109" s="317">
        <f>AW18/AW9</f>
        <v/>
      </c>
      <c r="AX109" s="317" t="n"/>
    </row>
    <row r="110">
      <c r="B110" s="1" t="inlineStr">
        <is>
          <t>Adjusted EBITDA Margin (%)</t>
        </is>
      </c>
      <c r="C110" s="317">
        <f>C38/C9</f>
        <v/>
      </c>
      <c r="D110" s="317">
        <f>D38/D9</f>
        <v/>
      </c>
      <c r="E110" s="317">
        <f>E38/E9</f>
        <v/>
      </c>
      <c r="F110" s="317">
        <f>F38/F9</f>
        <v/>
      </c>
      <c r="G110" s="317" t="n"/>
      <c r="H110" s="317">
        <f>H38/H9</f>
        <v/>
      </c>
      <c r="I110" s="317">
        <f>I38/I9</f>
        <v/>
      </c>
      <c r="J110" s="317">
        <f>J38/J9</f>
        <v/>
      </c>
      <c r="K110" s="317">
        <f>K38/K9</f>
        <v/>
      </c>
      <c r="L110" s="317">
        <f>L38/L9</f>
        <v/>
      </c>
      <c r="M110" s="317">
        <f>M38/M9</f>
        <v/>
      </c>
      <c r="N110" s="317">
        <f>N38/N9</f>
        <v/>
      </c>
      <c r="O110" s="317">
        <f>O38/O9</f>
        <v/>
      </c>
      <c r="P110" s="317">
        <f>P38/P9</f>
        <v/>
      </c>
      <c r="Q110" s="317">
        <f>Q38/Q9</f>
        <v/>
      </c>
      <c r="R110" s="317">
        <f>R38/R9</f>
        <v/>
      </c>
      <c r="S110" s="317">
        <f>S38/S9</f>
        <v/>
      </c>
      <c r="T110" s="317">
        <f>T38/T9</f>
        <v/>
      </c>
      <c r="U110" s="317">
        <f>U38/U9</f>
        <v/>
      </c>
      <c r="V110" s="317">
        <f>V38/V9</f>
        <v/>
      </c>
      <c r="W110" s="317">
        <f>W38/W9</f>
        <v/>
      </c>
      <c r="X110" s="317">
        <f>X38/X9</f>
        <v/>
      </c>
      <c r="Y110" s="317">
        <f>Y38/Y9</f>
        <v/>
      </c>
      <c r="Z110" s="317">
        <f>Z38/Z9</f>
        <v/>
      </c>
      <c r="AA110" s="317">
        <f>AA38/AA9</f>
        <v/>
      </c>
      <c r="AB110" s="317">
        <f>AB38/AB9</f>
        <v/>
      </c>
      <c r="AC110" s="317">
        <f>AC38/AC9</f>
        <v/>
      </c>
      <c r="AD110" s="317">
        <f>AD38/AD9</f>
        <v/>
      </c>
      <c r="AE110" s="317">
        <f>AE38/AE9</f>
        <v/>
      </c>
      <c r="AF110" s="317">
        <f>AF38/AF9</f>
        <v/>
      </c>
      <c r="AG110" s="317">
        <f>AG38/AG9</f>
        <v/>
      </c>
      <c r="AH110" s="317">
        <f>AH38/AH9</f>
        <v/>
      </c>
      <c r="AI110" s="317">
        <f>AI38/AI9</f>
        <v/>
      </c>
      <c r="AJ110" s="317">
        <f>AJ38/AJ9</f>
        <v/>
      </c>
      <c r="AK110" s="317">
        <f>AK38/AK9</f>
        <v/>
      </c>
      <c r="AL110" s="317">
        <f>AL38/AL9</f>
        <v/>
      </c>
      <c r="AM110" s="317">
        <f>AM38/AM9</f>
        <v/>
      </c>
      <c r="AN110" s="317">
        <f>AN38/AN9</f>
        <v/>
      </c>
      <c r="AO110" s="317">
        <f>AO38/AO9</f>
        <v/>
      </c>
      <c r="AP110" s="317">
        <f>AP38/AP9</f>
        <v/>
      </c>
      <c r="AQ110" s="317">
        <f>AQ38/AQ9</f>
        <v/>
      </c>
      <c r="AR110" s="317">
        <f>AR38/AR9</f>
        <v/>
      </c>
      <c r="AS110" s="317">
        <f>AS38/AS9</f>
        <v/>
      </c>
      <c r="AT110" s="317">
        <f>AT38/AT9</f>
        <v/>
      </c>
      <c r="AU110" s="317">
        <f>AU38/AU9</f>
        <v/>
      </c>
      <c r="AV110" s="317">
        <f>AV38/AV9</f>
        <v/>
      </c>
      <c r="AW110" s="317">
        <f>AW38/AW9</f>
        <v/>
      </c>
      <c r="AX110" s="317" t="n"/>
    </row>
    <row r="111">
      <c r="B111" s="1" t="inlineStr">
        <is>
          <t>Operating Margin (%)</t>
        </is>
      </c>
      <c r="C111" s="317">
        <f>C42/C9</f>
        <v/>
      </c>
      <c r="D111" s="317">
        <f>D42/D9</f>
        <v/>
      </c>
      <c r="E111" s="317">
        <f>E42/E9</f>
        <v/>
      </c>
      <c r="F111" s="317">
        <f>F42/F9</f>
        <v/>
      </c>
      <c r="G111" s="317" t="n"/>
      <c r="H111" s="317">
        <f>H42/H9</f>
        <v/>
      </c>
      <c r="I111" s="317">
        <f>I42/I9</f>
        <v/>
      </c>
      <c r="J111" s="317">
        <f>J42/J9</f>
        <v/>
      </c>
      <c r="K111" s="317">
        <f>K42/K9</f>
        <v/>
      </c>
      <c r="L111" s="317">
        <f>L42/L9</f>
        <v/>
      </c>
      <c r="M111" s="317">
        <f>M42/M9</f>
        <v/>
      </c>
      <c r="N111" s="317">
        <f>N42/N9</f>
        <v/>
      </c>
      <c r="O111" s="317">
        <f>O42/O9</f>
        <v/>
      </c>
      <c r="P111" s="317">
        <f>P42/P9</f>
        <v/>
      </c>
      <c r="Q111" s="317">
        <f>Q42/Q9</f>
        <v/>
      </c>
      <c r="R111" s="317">
        <f>R42/R9</f>
        <v/>
      </c>
      <c r="S111" s="317">
        <f>S42/S9</f>
        <v/>
      </c>
      <c r="T111" s="317">
        <f>T42/T9</f>
        <v/>
      </c>
      <c r="U111" s="317">
        <f>U42/U9</f>
        <v/>
      </c>
      <c r="V111" s="317">
        <f>V42/V9</f>
        <v/>
      </c>
      <c r="W111" s="317">
        <f>W42/W9</f>
        <v/>
      </c>
      <c r="X111" s="317">
        <f>X42/X9</f>
        <v/>
      </c>
      <c r="Y111" s="317">
        <f>Y42/Y9</f>
        <v/>
      </c>
      <c r="Z111" s="317">
        <f>Z42/Z9</f>
        <v/>
      </c>
      <c r="AA111" s="317">
        <f>AA42/AA9</f>
        <v/>
      </c>
      <c r="AB111" s="317">
        <f>AB42/AB9</f>
        <v/>
      </c>
      <c r="AC111" s="317">
        <f>AC42/AC9</f>
        <v/>
      </c>
      <c r="AD111" s="317">
        <f>AD42/AD9</f>
        <v/>
      </c>
      <c r="AE111" s="317">
        <f>AE42/AE9</f>
        <v/>
      </c>
      <c r="AF111" s="317">
        <f>AF42/AF9</f>
        <v/>
      </c>
      <c r="AG111" s="317">
        <f>AG42/AG9</f>
        <v/>
      </c>
      <c r="AH111" s="317">
        <f>AH42/AH9</f>
        <v/>
      </c>
      <c r="AI111" s="317">
        <f>AI42/AI9</f>
        <v/>
      </c>
      <c r="AJ111" s="317">
        <f>AJ42/AJ9</f>
        <v/>
      </c>
      <c r="AK111" s="317">
        <f>AK42/AK9</f>
        <v/>
      </c>
      <c r="AL111" s="317">
        <f>AL42/AL9</f>
        <v/>
      </c>
      <c r="AM111" s="317">
        <f>AM42/AM9</f>
        <v/>
      </c>
      <c r="AN111" s="317">
        <f>AN42/AN9</f>
        <v/>
      </c>
      <c r="AO111" s="317">
        <f>AO42/AO9</f>
        <v/>
      </c>
      <c r="AP111" s="317">
        <f>AP42/AP9</f>
        <v/>
      </c>
      <c r="AQ111" s="317">
        <f>AQ42/AQ9</f>
        <v/>
      </c>
      <c r="AR111" s="317">
        <f>AR42/AR9</f>
        <v/>
      </c>
      <c r="AS111" s="317">
        <f>AS42/AS9</f>
        <v/>
      </c>
      <c r="AT111" s="317">
        <f>AT42/AT9</f>
        <v/>
      </c>
      <c r="AU111" s="317">
        <f>AU42/AU9</f>
        <v/>
      </c>
      <c r="AV111" s="317">
        <f>AV42/AV9</f>
        <v/>
      </c>
      <c r="AW111" s="317">
        <f>AW42/AW9</f>
        <v/>
      </c>
      <c r="AX111" s="317" t="n"/>
    </row>
    <row r="112">
      <c r="B112" s="1" t="inlineStr">
        <is>
          <t>Net Margin (%)</t>
        </is>
      </c>
      <c r="C112" s="317">
        <f>C46/C9</f>
        <v/>
      </c>
      <c r="D112" s="317">
        <f>D46/D9</f>
        <v/>
      </c>
      <c r="E112" s="317">
        <f>E46/E9</f>
        <v/>
      </c>
      <c r="F112" s="317">
        <f>F46/F9</f>
        <v/>
      </c>
      <c r="G112" s="317" t="n"/>
      <c r="H112" s="317">
        <f>H46/H9</f>
        <v/>
      </c>
      <c r="I112" s="317">
        <f>I46/I9</f>
        <v/>
      </c>
      <c r="J112" s="317">
        <f>J46/J9</f>
        <v/>
      </c>
      <c r="K112" s="317">
        <f>K46/K9</f>
        <v/>
      </c>
      <c r="L112" s="317">
        <f>L46/L9</f>
        <v/>
      </c>
      <c r="M112" s="317">
        <f>M46/M9</f>
        <v/>
      </c>
      <c r="N112" s="317">
        <f>N46/N9</f>
        <v/>
      </c>
      <c r="O112" s="317">
        <f>O46/O9</f>
        <v/>
      </c>
      <c r="P112" s="317">
        <f>P46/P9</f>
        <v/>
      </c>
      <c r="Q112" s="317">
        <f>Q46/Q9</f>
        <v/>
      </c>
      <c r="R112" s="317">
        <f>R46/R9</f>
        <v/>
      </c>
      <c r="S112" s="317">
        <f>S46/S9</f>
        <v/>
      </c>
      <c r="T112" s="317">
        <f>T46/T9</f>
        <v/>
      </c>
      <c r="U112" s="317">
        <f>U46/U9</f>
        <v/>
      </c>
      <c r="V112" s="317">
        <f>V46/V9</f>
        <v/>
      </c>
      <c r="W112" s="317">
        <f>W46/W9</f>
        <v/>
      </c>
      <c r="X112" s="317">
        <f>X46/X9</f>
        <v/>
      </c>
      <c r="Y112" s="317">
        <f>Y46/Y9</f>
        <v/>
      </c>
      <c r="Z112" s="317">
        <f>Z46/Z9</f>
        <v/>
      </c>
      <c r="AA112" s="317">
        <f>AA46/AA9</f>
        <v/>
      </c>
      <c r="AB112" s="317">
        <f>AB46/AB9</f>
        <v/>
      </c>
      <c r="AC112" s="317">
        <f>AC46/AC9</f>
        <v/>
      </c>
      <c r="AD112" s="317">
        <f>AD46/AD9</f>
        <v/>
      </c>
      <c r="AE112" s="317">
        <f>AE46/AE9</f>
        <v/>
      </c>
      <c r="AF112" s="317">
        <f>AF46/AF9</f>
        <v/>
      </c>
      <c r="AG112" s="317">
        <f>AG46/AG9</f>
        <v/>
      </c>
      <c r="AH112" s="317">
        <f>AH46/AH9</f>
        <v/>
      </c>
      <c r="AI112" s="317">
        <f>AI46/AI9</f>
        <v/>
      </c>
      <c r="AJ112" s="317">
        <f>AJ46/AJ9</f>
        <v/>
      </c>
      <c r="AK112" s="317">
        <f>AK46/AK9</f>
        <v/>
      </c>
      <c r="AL112" s="317">
        <f>AL46/AL9</f>
        <v/>
      </c>
      <c r="AM112" s="317">
        <f>AM46/AM9</f>
        <v/>
      </c>
      <c r="AN112" s="317">
        <f>AN46/AN9</f>
        <v/>
      </c>
      <c r="AO112" s="317">
        <f>AO46/AO9</f>
        <v/>
      </c>
      <c r="AP112" s="317">
        <f>AP46/AP9</f>
        <v/>
      </c>
      <c r="AQ112" s="317">
        <f>AQ46/AQ9</f>
        <v/>
      </c>
      <c r="AR112" s="317">
        <f>AR46/AR9</f>
        <v/>
      </c>
      <c r="AS112" s="317">
        <f>AS46/AS9</f>
        <v/>
      </c>
      <c r="AT112" s="317">
        <f>AT46/AT9</f>
        <v/>
      </c>
      <c r="AU112" s="317">
        <f>AU46/AU9</f>
        <v/>
      </c>
      <c r="AV112" s="317">
        <f>AV46/AV9</f>
        <v/>
      </c>
      <c r="AW112" s="317">
        <f>AW46/AW9</f>
        <v/>
      </c>
      <c r="AX112" s="317" t="n"/>
    </row>
    <row r="114">
      <c r="B114" s="9" t="inlineStr">
        <is>
          <t>Working Capital</t>
        </is>
      </c>
    </row>
    <row r="115">
      <c r="B115" s="1" t="inlineStr">
        <is>
          <t>Collection period (days)</t>
        </is>
      </c>
      <c r="C115" s="316">
        <f>'Ratio Analysis'!C30</f>
        <v/>
      </c>
      <c r="D115" s="316">
        <f>'Ratio Analysis'!D30</f>
        <v/>
      </c>
      <c r="E115" s="316">
        <f>'Ratio Analysis'!E30</f>
        <v/>
      </c>
      <c r="F115" s="316">
        <f>'Ratio Analysis'!F30</f>
        <v/>
      </c>
      <c r="G115" s="316" t="n"/>
      <c r="H115" s="316">
        <f>'Ratio Analysis'!H30</f>
        <v/>
      </c>
      <c r="I115" s="316">
        <f>'Ratio Analysis'!I30</f>
        <v/>
      </c>
      <c r="J115" s="316">
        <f>'Ratio Analysis'!J30</f>
        <v/>
      </c>
      <c r="K115" s="316">
        <f>'Ratio Analysis'!K30</f>
        <v/>
      </c>
      <c r="L115" s="316">
        <f>'Ratio Analysis'!L30</f>
        <v/>
      </c>
      <c r="M115" s="316">
        <f>'Ratio Analysis'!M30</f>
        <v/>
      </c>
      <c r="N115" s="316">
        <f>'Ratio Analysis'!N30</f>
        <v/>
      </c>
      <c r="O115" s="316">
        <f>'Ratio Analysis'!O30</f>
        <v/>
      </c>
      <c r="P115" s="316">
        <f>'Ratio Analysis'!P30</f>
        <v/>
      </c>
      <c r="Q115" s="316">
        <f>'Ratio Analysis'!Q30</f>
        <v/>
      </c>
      <c r="R115" s="316">
        <f>'Ratio Analysis'!R30</f>
        <v/>
      </c>
      <c r="S115" s="316">
        <f>'Ratio Analysis'!S30</f>
        <v/>
      </c>
      <c r="T115" s="316">
        <f>'Ratio Analysis'!T30</f>
        <v/>
      </c>
      <c r="U115" s="316">
        <f>'Ratio Analysis'!U30</f>
        <v/>
      </c>
      <c r="V115" s="316">
        <f>'Ratio Analysis'!V30</f>
        <v/>
      </c>
      <c r="W115" s="316">
        <f>'Ratio Analysis'!W30</f>
        <v/>
      </c>
      <c r="X115" s="316">
        <f>'Ratio Analysis'!X30</f>
        <v/>
      </c>
      <c r="Y115" s="316">
        <f>'Ratio Analysis'!Y30</f>
        <v/>
      </c>
      <c r="Z115" s="316">
        <f>'Ratio Analysis'!Z30</f>
        <v/>
      </c>
      <c r="AA115" s="316">
        <f>'Ratio Analysis'!AA30</f>
        <v/>
      </c>
      <c r="AB115" s="316">
        <f>'Ratio Analysis'!AB30</f>
        <v/>
      </c>
      <c r="AC115" s="316">
        <f>'Ratio Analysis'!AC30</f>
        <v/>
      </c>
      <c r="AD115" s="316">
        <f>'Ratio Analysis'!AD30</f>
        <v/>
      </c>
      <c r="AE115" s="316">
        <f>'Ratio Analysis'!AE30</f>
        <v/>
      </c>
      <c r="AF115" s="316">
        <f>'Ratio Analysis'!AF30</f>
        <v/>
      </c>
      <c r="AG115" s="316">
        <f>'Ratio Analysis'!AG30</f>
        <v/>
      </c>
      <c r="AH115" s="316">
        <f>'Ratio Analysis'!AH30</f>
        <v/>
      </c>
      <c r="AI115" s="316">
        <f>'Ratio Analysis'!AI30</f>
        <v/>
      </c>
      <c r="AJ115" s="316">
        <f>'Ratio Analysis'!AJ30</f>
        <v/>
      </c>
      <c r="AK115" s="316">
        <f>'Ratio Analysis'!AK30</f>
        <v/>
      </c>
      <c r="AL115" s="316">
        <f>'Ratio Analysis'!AL30</f>
        <v/>
      </c>
      <c r="AM115" s="316">
        <f>'Ratio Analysis'!AM30</f>
        <v/>
      </c>
      <c r="AN115" s="316">
        <f>'Ratio Analysis'!AN30</f>
        <v/>
      </c>
      <c r="AO115" s="316">
        <f>'Ratio Analysis'!AO30</f>
        <v/>
      </c>
      <c r="AP115" s="316">
        <f>'Ratio Analysis'!AP30</f>
        <v/>
      </c>
      <c r="AQ115" s="316">
        <f>'Ratio Analysis'!AQ30</f>
        <v/>
      </c>
      <c r="AR115" s="316">
        <f>'Ratio Analysis'!AR30</f>
        <v/>
      </c>
      <c r="AS115" s="316">
        <f>'Ratio Analysis'!AS30</f>
        <v/>
      </c>
      <c r="AT115" s="316">
        <f>'Ratio Analysis'!AT30</f>
        <v/>
      </c>
      <c r="AU115" s="316">
        <f>'Ratio Analysis'!AU30</f>
        <v/>
      </c>
      <c r="AV115" s="316">
        <f>'Ratio Analysis'!AV30</f>
        <v/>
      </c>
      <c r="AW115" s="316">
        <f>'Ratio Analysis'!AW30</f>
        <v/>
      </c>
      <c r="AX115" s="316" t="n"/>
    </row>
    <row r="116">
      <c r="B116" s="1" t="inlineStr">
        <is>
          <t>Accounts payables (days)</t>
        </is>
      </c>
      <c r="C116" s="316">
        <f>'Ratio Analysis'!C31</f>
        <v/>
      </c>
      <c r="D116" s="316">
        <f>'Ratio Analysis'!D31</f>
        <v/>
      </c>
      <c r="E116" s="316">
        <f>'Ratio Analysis'!E31</f>
        <v/>
      </c>
      <c r="F116" s="316">
        <f>'Ratio Analysis'!F31</f>
        <v/>
      </c>
      <c r="G116" s="316" t="n"/>
      <c r="H116" s="316">
        <f>'Ratio Analysis'!H31</f>
        <v/>
      </c>
      <c r="I116" s="316">
        <f>'Ratio Analysis'!I31</f>
        <v/>
      </c>
      <c r="J116" s="316">
        <f>'Ratio Analysis'!J31</f>
        <v/>
      </c>
      <c r="K116" s="316">
        <f>'Ratio Analysis'!K31</f>
        <v/>
      </c>
      <c r="L116" s="316">
        <f>'Ratio Analysis'!L31</f>
        <v/>
      </c>
      <c r="M116" s="316">
        <f>'Ratio Analysis'!M31</f>
        <v/>
      </c>
      <c r="N116" s="316">
        <f>'Ratio Analysis'!N31</f>
        <v/>
      </c>
      <c r="O116" s="316">
        <f>'Ratio Analysis'!O31</f>
        <v/>
      </c>
      <c r="P116" s="316">
        <f>'Ratio Analysis'!P31</f>
        <v/>
      </c>
      <c r="Q116" s="316">
        <f>'Ratio Analysis'!Q31</f>
        <v/>
      </c>
      <c r="R116" s="316">
        <f>'Ratio Analysis'!R31</f>
        <v/>
      </c>
      <c r="S116" s="316">
        <f>'Ratio Analysis'!S31</f>
        <v/>
      </c>
      <c r="T116" s="316">
        <f>'Ratio Analysis'!T31</f>
        <v/>
      </c>
      <c r="U116" s="316">
        <f>'Ratio Analysis'!U31</f>
        <v/>
      </c>
      <c r="V116" s="316">
        <f>'Ratio Analysis'!V31</f>
        <v/>
      </c>
      <c r="W116" s="316">
        <f>'Ratio Analysis'!W31</f>
        <v/>
      </c>
      <c r="X116" s="316">
        <f>'Ratio Analysis'!X31</f>
        <v/>
      </c>
      <c r="Y116" s="316">
        <f>'Ratio Analysis'!Y31</f>
        <v/>
      </c>
      <c r="Z116" s="316">
        <f>'Ratio Analysis'!Z31</f>
        <v/>
      </c>
      <c r="AA116" s="316">
        <f>'Ratio Analysis'!AA31</f>
        <v/>
      </c>
      <c r="AB116" s="316">
        <f>'Ratio Analysis'!AB31</f>
        <v/>
      </c>
      <c r="AC116" s="316">
        <f>'Ratio Analysis'!AC31</f>
        <v/>
      </c>
      <c r="AD116" s="316">
        <f>'Ratio Analysis'!AD31</f>
        <v/>
      </c>
      <c r="AE116" s="316">
        <f>'Ratio Analysis'!AE31</f>
        <v/>
      </c>
      <c r="AF116" s="316">
        <f>'Ratio Analysis'!AF31</f>
        <v/>
      </c>
      <c r="AG116" s="316">
        <f>'Ratio Analysis'!AG31</f>
        <v/>
      </c>
      <c r="AH116" s="316">
        <f>'Ratio Analysis'!AH31</f>
        <v/>
      </c>
      <c r="AI116" s="316">
        <f>'Ratio Analysis'!AI31</f>
        <v/>
      </c>
      <c r="AJ116" s="316">
        <f>'Ratio Analysis'!AJ31</f>
        <v/>
      </c>
      <c r="AK116" s="316">
        <f>'Ratio Analysis'!AK31</f>
        <v/>
      </c>
      <c r="AL116" s="316">
        <f>'Ratio Analysis'!AL31</f>
        <v/>
      </c>
      <c r="AM116" s="316">
        <f>'Ratio Analysis'!AM31</f>
        <v/>
      </c>
      <c r="AN116" s="316">
        <f>'Ratio Analysis'!AN31</f>
        <v/>
      </c>
      <c r="AO116" s="316">
        <f>'Ratio Analysis'!AO31</f>
        <v/>
      </c>
      <c r="AP116" s="316">
        <f>'Ratio Analysis'!AP31</f>
        <v/>
      </c>
      <c r="AQ116" s="316">
        <f>'Ratio Analysis'!AQ31</f>
        <v/>
      </c>
      <c r="AR116" s="316">
        <f>'Ratio Analysis'!AR31</f>
        <v/>
      </c>
      <c r="AS116" s="316">
        <f>'Ratio Analysis'!AS31</f>
        <v/>
      </c>
      <c r="AT116" s="316">
        <f>'Ratio Analysis'!AT31</f>
        <v/>
      </c>
      <c r="AU116" s="316">
        <f>'Ratio Analysis'!AU31</f>
        <v/>
      </c>
      <c r="AV116" s="316">
        <f>'Ratio Analysis'!AV31</f>
        <v/>
      </c>
      <c r="AW116" s="316">
        <f>'Ratio Analysis'!AW31</f>
        <v/>
      </c>
      <c r="AX116" s="316" t="n"/>
    </row>
    <row r="118">
      <c r="B118" s="9" t="inlineStr">
        <is>
          <t>Unit Economics</t>
        </is>
      </c>
    </row>
    <row r="119">
      <c r="B119" s="1" t="inlineStr">
        <is>
          <t>CAC</t>
        </is>
      </c>
      <c r="C119" s="327">
        <f>'Ratio Analysis'!C40</f>
        <v/>
      </c>
      <c r="D119" s="327">
        <f>'Ratio Analysis'!D40</f>
        <v/>
      </c>
      <c r="E119" s="327">
        <f>'Ratio Analysis'!E40</f>
        <v/>
      </c>
      <c r="F119" s="327">
        <f>'Ratio Analysis'!F40</f>
        <v/>
      </c>
      <c r="G119" s="327" t="n"/>
      <c r="H119" s="327">
        <f>'Ratio Analysis'!H40</f>
        <v/>
      </c>
      <c r="I119" s="327">
        <f>'Ratio Analysis'!I40</f>
        <v/>
      </c>
      <c r="J119" s="327">
        <f>'Ratio Analysis'!J40</f>
        <v/>
      </c>
      <c r="K119" s="327">
        <f>'Ratio Analysis'!K40</f>
        <v/>
      </c>
      <c r="L119" s="327">
        <f>'Ratio Analysis'!L40</f>
        <v/>
      </c>
      <c r="M119" s="327">
        <f>'Ratio Analysis'!M40</f>
        <v/>
      </c>
      <c r="N119" s="327">
        <f>'Ratio Analysis'!N40</f>
        <v/>
      </c>
      <c r="O119" s="327">
        <f>'Ratio Analysis'!O40</f>
        <v/>
      </c>
      <c r="P119" s="327">
        <f>'Ratio Analysis'!P40</f>
        <v/>
      </c>
      <c r="Q119" s="327">
        <f>'Ratio Analysis'!Q40</f>
        <v/>
      </c>
      <c r="R119" s="327">
        <f>'Ratio Analysis'!R40</f>
        <v/>
      </c>
      <c r="S119" s="327">
        <f>'Ratio Analysis'!S40</f>
        <v/>
      </c>
      <c r="T119" s="327">
        <f>'Ratio Analysis'!T40</f>
        <v/>
      </c>
      <c r="U119" s="327">
        <f>'Ratio Analysis'!U40</f>
        <v/>
      </c>
      <c r="V119" s="327">
        <f>'Ratio Analysis'!V40</f>
        <v/>
      </c>
      <c r="W119" s="327">
        <f>'Ratio Analysis'!W40</f>
        <v/>
      </c>
      <c r="X119" s="327">
        <f>'Ratio Analysis'!X40</f>
        <v/>
      </c>
      <c r="Y119" s="327">
        <f>'Ratio Analysis'!Y40</f>
        <v/>
      </c>
      <c r="Z119" s="327">
        <f>'Ratio Analysis'!Z40</f>
        <v/>
      </c>
      <c r="AA119" s="327">
        <f>'Ratio Analysis'!AA40</f>
        <v/>
      </c>
      <c r="AB119" s="327">
        <f>'Ratio Analysis'!AB40</f>
        <v/>
      </c>
      <c r="AC119" s="327">
        <f>'Ratio Analysis'!AC40</f>
        <v/>
      </c>
      <c r="AD119" s="327">
        <f>'Ratio Analysis'!AD40</f>
        <v/>
      </c>
      <c r="AE119" s="327">
        <f>'Ratio Analysis'!AE40</f>
        <v/>
      </c>
      <c r="AF119" s="327">
        <f>'Ratio Analysis'!AF40</f>
        <v/>
      </c>
      <c r="AG119" s="327">
        <f>'Ratio Analysis'!AG40</f>
        <v/>
      </c>
      <c r="AH119" s="327">
        <f>'Ratio Analysis'!AH40</f>
        <v/>
      </c>
      <c r="AI119" s="327">
        <f>'Ratio Analysis'!AI40</f>
        <v/>
      </c>
      <c r="AJ119" s="327">
        <f>'Ratio Analysis'!AJ40</f>
        <v/>
      </c>
      <c r="AK119" s="327">
        <f>'Ratio Analysis'!AK40</f>
        <v/>
      </c>
      <c r="AL119" s="327">
        <f>'Ratio Analysis'!AL40</f>
        <v/>
      </c>
      <c r="AM119" s="327">
        <f>'Ratio Analysis'!AM40</f>
        <v/>
      </c>
      <c r="AN119" s="327">
        <f>'Ratio Analysis'!AN40</f>
        <v/>
      </c>
      <c r="AO119" s="327">
        <f>'Ratio Analysis'!AO40</f>
        <v/>
      </c>
      <c r="AP119" s="327">
        <f>'Ratio Analysis'!AP40</f>
        <v/>
      </c>
      <c r="AQ119" s="327">
        <f>'Ratio Analysis'!AQ40</f>
        <v/>
      </c>
      <c r="AR119" s="327">
        <f>'Ratio Analysis'!AR40</f>
        <v/>
      </c>
      <c r="AS119" s="327">
        <f>'Ratio Analysis'!AS40</f>
        <v/>
      </c>
      <c r="AT119" s="327">
        <f>'Ratio Analysis'!AT40</f>
        <v/>
      </c>
      <c r="AU119" s="327">
        <f>'Ratio Analysis'!AU40</f>
        <v/>
      </c>
      <c r="AV119" s="327">
        <f>'Ratio Analysis'!AV40</f>
        <v/>
      </c>
      <c r="AW119" s="327">
        <f>'Ratio Analysis'!AW40</f>
        <v/>
      </c>
    </row>
    <row r="120">
      <c r="B120" s="1" t="inlineStr">
        <is>
          <t>MRR</t>
        </is>
      </c>
      <c r="C120" s="327">
        <f>'Ratio Analysis'!C41</f>
        <v/>
      </c>
      <c r="D120" s="327">
        <f>'Ratio Analysis'!D41</f>
        <v/>
      </c>
      <c r="E120" s="327">
        <f>'Ratio Analysis'!E41</f>
        <v/>
      </c>
      <c r="F120" s="327">
        <f>'Ratio Analysis'!F41</f>
        <v/>
      </c>
      <c r="G120" s="327" t="n"/>
      <c r="H120" s="327">
        <f>'Ratio Analysis'!H41</f>
        <v/>
      </c>
      <c r="I120" s="327">
        <f>'Ratio Analysis'!I41</f>
        <v/>
      </c>
      <c r="J120" s="327">
        <f>'Ratio Analysis'!J41</f>
        <v/>
      </c>
      <c r="K120" s="327">
        <f>'Ratio Analysis'!K41</f>
        <v/>
      </c>
      <c r="L120" s="327">
        <f>'Ratio Analysis'!L41</f>
        <v/>
      </c>
      <c r="M120" s="327">
        <f>'Ratio Analysis'!M41</f>
        <v/>
      </c>
      <c r="N120" s="327">
        <f>'Ratio Analysis'!N41</f>
        <v/>
      </c>
      <c r="O120" s="327">
        <f>'Ratio Analysis'!O41</f>
        <v/>
      </c>
      <c r="P120" s="327">
        <f>'Ratio Analysis'!P41</f>
        <v/>
      </c>
      <c r="Q120" s="327">
        <f>'Ratio Analysis'!Q41</f>
        <v/>
      </c>
      <c r="R120" s="327">
        <f>'Ratio Analysis'!R41</f>
        <v/>
      </c>
      <c r="S120" s="327">
        <f>'Ratio Analysis'!S41</f>
        <v/>
      </c>
      <c r="T120" s="327">
        <f>'Ratio Analysis'!T41</f>
        <v/>
      </c>
      <c r="U120" s="327">
        <f>'Ratio Analysis'!U41</f>
        <v/>
      </c>
      <c r="V120" s="327">
        <f>'Ratio Analysis'!V41</f>
        <v/>
      </c>
      <c r="W120" s="327">
        <f>'Ratio Analysis'!W41</f>
        <v/>
      </c>
      <c r="X120" s="327">
        <f>'Ratio Analysis'!X41</f>
        <v/>
      </c>
      <c r="Y120" s="327">
        <f>'Ratio Analysis'!Y41</f>
        <v/>
      </c>
      <c r="Z120" s="327">
        <f>'Ratio Analysis'!Z41</f>
        <v/>
      </c>
      <c r="AA120" s="327">
        <f>'Ratio Analysis'!AA41</f>
        <v/>
      </c>
      <c r="AB120" s="327">
        <f>'Ratio Analysis'!AB41</f>
        <v/>
      </c>
      <c r="AC120" s="327">
        <f>'Ratio Analysis'!AC41</f>
        <v/>
      </c>
      <c r="AD120" s="327">
        <f>'Ratio Analysis'!AD41</f>
        <v/>
      </c>
      <c r="AE120" s="327">
        <f>'Ratio Analysis'!AE41</f>
        <v/>
      </c>
      <c r="AF120" s="327">
        <f>'Ratio Analysis'!AF41</f>
        <v/>
      </c>
      <c r="AG120" s="327">
        <f>'Ratio Analysis'!AG41</f>
        <v/>
      </c>
      <c r="AH120" s="327">
        <f>'Ratio Analysis'!AH41</f>
        <v/>
      </c>
      <c r="AI120" s="327">
        <f>'Ratio Analysis'!AI41</f>
        <v/>
      </c>
      <c r="AJ120" s="327">
        <f>'Ratio Analysis'!AJ41</f>
        <v/>
      </c>
      <c r="AK120" s="327">
        <f>'Ratio Analysis'!AK41</f>
        <v/>
      </c>
      <c r="AL120" s="327">
        <f>'Ratio Analysis'!AL41</f>
        <v/>
      </c>
      <c r="AM120" s="327">
        <f>'Ratio Analysis'!AM41</f>
        <v/>
      </c>
      <c r="AN120" s="327">
        <f>'Ratio Analysis'!AN41</f>
        <v/>
      </c>
      <c r="AO120" s="327">
        <f>'Ratio Analysis'!AO41</f>
        <v/>
      </c>
      <c r="AP120" s="327">
        <f>'Ratio Analysis'!AP41</f>
        <v/>
      </c>
      <c r="AQ120" s="327">
        <f>'Ratio Analysis'!AQ41</f>
        <v/>
      </c>
      <c r="AR120" s="327">
        <f>'Ratio Analysis'!AR41</f>
        <v/>
      </c>
      <c r="AS120" s="327">
        <f>'Ratio Analysis'!AS41</f>
        <v/>
      </c>
      <c r="AT120" s="327">
        <f>'Ratio Analysis'!AT41</f>
        <v/>
      </c>
      <c r="AU120" s="327">
        <f>'Ratio Analysis'!AU41</f>
        <v/>
      </c>
      <c r="AV120" s="327">
        <f>'Ratio Analysis'!AV41</f>
        <v/>
      </c>
      <c r="AW120" s="327">
        <f>'Ratio Analysis'!AW41</f>
        <v/>
      </c>
    </row>
    <row r="121">
      <c r="B121" s="1" t="inlineStr">
        <is>
          <t>ARR</t>
        </is>
      </c>
      <c r="C121" s="327">
        <f>'Ratio Analysis'!C42</f>
        <v/>
      </c>
      <c r="D121" s="327">
        <f>'Ratio Analysis'!D42</f>
        <v/>
      </c>
      <c r="E121" s="327">
        <f>'Ratio Analysis'!E42</f>
        <v/>
      </c>
      <c r="F121" s="327">
        <f>'Ratio Analysis'!F42</f>
        <v/>
      </c>
      <c r="G121" s="327" t="n"/>
      <c r="H121" s="327">
        <f>'Ratio Analysis'!H42</f>
        <v/>
      </c>
      <c r="I121" s="327">
        <f>'Ratio Analysis'!I42</f>
        <v/>
      </c>
      <c r="J121" s="327">
        <f>'Ratio Analysis'!J42</f>
        <v/>
      </c>
      <c r="K121" s="327">
        <f>'Ratio Analysis'!K42</f>
        <v/>
      </c>
      <c r="L121" s="327">
        <f>'Ratio Analysis'!L42</f>
        <v/>
      </c>
      <c r="M121" s="327">
        <f>'Ratio Analysis'!M42</f>
        <v/>
      </c>
      <c r="N121" s="327">
        <f>'Ratio Analysis'!N42</f>
        <v/>
      </c>
      <c r="O121" s="327">
        <f>'Ratio Analysis'!O42</f>
        <v/>
      </c>
      <c r="P121" s="327">
        <f>'Ratio Analysis'!P42</f>
        <v/>
      </c>
      <c r="Q121" s="327">
        <f>'Ratio Analysis'!Q42</f>
        <v/>
      </c>
      <c r="R121" s="327">
        <f>'Ratio Analysis'!R42</f>
        <v/>
      </c>
      <c r="S121" s="327">
        <f>'Ratio Analysis'!S42</f>
        <v/>
      </c>
      <c r="T121" s="327">
        <f>'Ratio Analysis'!T42</f>
        <v/>
      </c>
      <c r="U121" s="327">
        <f>'Ratio Analysis'!U42</f>
        <v/>
      </c>
      <c r="V121" s="327">
        <f>'Ratio Analysis'!V42</f>
        <v/>
      </c>
      <c r="W121" s="327">
        <f>'Ratio Analysis'!W42</f>
        <v/>
      </c>
      <c r="X121" s="327">
        <f>'Ratio Analysis'!X42</f>
        <v/>
      </c>
      <c r="Y121" s="327">
        <f>'Ratio Analysis'!Y42</f>
        <v/>
      </c>
      <c r="Z121" s="327">
        <f>'Ratio Analysis'!Z42</f>
        <v/>
      </c>
      <c r="AA121" s="327">
        <f>'Ratio Analysis'!AA42</f>
        <v/>
      </c>
      <c r="AB121" s="327">
        <f>'Ratio Analysis'!AB42</f>
        <v/>
      </c>
      <c r="AC121" s="327">
        <f>'Ratio Analysis'!AC42</f>
        <v/>
      </c>
      <c r="AD121" s="327">
        <f>'Ratio Analysis'!AD42</f>
        <v/>
      </c>
      <c r="AE121" s="327">
        <f>'Ratio Analysis'!AE42</f>
        <v/>
      </c>
      <c r="AF121" s="327">
        <f>'Ratio Analysis'!AF42</f>
        <v/>
      </c>
      <c r="AG121" s="327">
        <f>'Ratio Analysis'!AG42</f>
        <v/>
      </c>
      <c r="AH121" s="327">
        <f>'Ratio Analysis'!AH42</f>
        <v/>
      </c>
      <c r="AI121" s="327">
        <f>'Ratio Analysis'!AI42</f>
        <v/>
      </c>
      <c r="AJ121" s="327">
        <f>'Ratio Analysis'!AJ42</f>
        <v/>
      </c>
      <c r="AK121" s="327">
        <f>'Ratio Analysis'!AK42</f>
        <v/>
      </c>
      <c r="AL121" s="327">
        <f>'Ratio Analysis'!AL42</f>
        <v/>
      </c>
      <c r="AM121" s="327">
        <f>'Ratio Analysis'!AM42</f>
        <v/>
      </c>
      <c r="AN121" s="327">
        <f>'Ratio Analysis'!AN42</f>
        <v/>
      </c>
      <c r="AO121" s="327">
        <f>'Ratio Analysis'!AO42</f>
        <v/>
      </c>
      <c r="AP121" s="327">
        <f>'Ratio Analysis'!AP42</f>
        <v/>
      </c>
      <c r="AQ121" s="327">
        <f>'Ratio Analysis'!AQ42</f>
        <v/>
      </c>
      <c r="AR121" s="327">
        <f>'Ratio Analysis'!AR42</f>
        <v/>
      </c>
      <c r="AS121" s="327">
        <f>'Ratio Analysis'!AS42</f>
        <v/>
      </c>
      <c r="AT121" s="327">
        <f>'Ratio Analysis'!AT42</f>
        <v/>
      </c>
      <c r="AU121" s="327">
        <f>'Ratio Analysis'!AU42</f>
        <v/>
      </c>
      <c r="AV121" s="327">
        <f>'Ratio Analysis'!AV42</f>
        <v/>
      </c>
      <c r="AW121" s="327">
        <f>'Ratio Analysis'!AW42</f>
        <v/>
      </c>
    </row>
    <row r="122">
      <c r="B122" s="1" t="inlineStr">
        <is>
          <t>Burn Rate</t>
        </is>
      </c>
      <c r="C122" s="327">
        <f>'Ratio Analysis'!C43</f>
        <v/>
      </c>
      <c r="D122" s="327">
        <f>'Ratio Analysis'!D43</f>
        <v/>
      </c>
      <c r="E122" s="327">
        <f>'Ratio Analysis'!E43</f>
        <v/>
      </c>
      <c r="F122" s="327">
        <f>'Ratio Analysis'!F43</f>
        <v/>
      </c>
      <c r="G122" s="327" t="n"/>
      <c r="H122" s="327">
        <f>'Ratio Analysis'!H43</f>
        <v/>
      </c>
      <c r="I122" s="327">
        <f>'Ratio Analysis'!I43</f>
        <v/>
      </c>
      <c r="J122" s="327">
        <f>'Ratio Analysis'!J43</f>
        <v/>
      </c>
      <c r="K122" s="327">
        <f>'Ratio Analysis'!K43</f>
        <v/>
      </c>
      <c r="L122" s="327">
        <f>'Ratio Analysis'!L43</f>
        <v/>
      </c>
      <c r="M122" s="327">
        <f>'Ratio Analysis'!M43</f>
        <v/>
      </c>
      <c r="N122" s="327">
        <f>'Ratio Analysis'!N43</f>
        <v/>
      </c>
      <c r="O122" s="327">
        <f>'Ratio Analysis'!O43</f>
        <v/>
      </c>
      <c r="P122" s="327">
        <f>'Ratio Analysis'!P43</f>
        <v/>
      </c>
      <c r="Q122" s="327">
        <f>'Ratio Analysis'!Q43</f>
        <v/>
      </c>
      <c r="R122" s="327">
        <f>'Ratio Analysis'!R43</f>
        <v/>
      </c>
      <c r="S122" s="327">
        <f>'Ratio Analysis'!S43</f>
        <v/>
      </c>
      <c r="T122" s="327">
        <f>'Ratio Analysis'!T43</f>
        <v/>
      </c>
      <c r="U122" s="327">
        <f>'Ratio Analysis'!U43</f>
        <v/>
      </c>
      <c r="V122" s="327">
        <f>'Ratio Analysis'!V43</f>
        <v/>
      </c>
      <c r="W122" s="327">
        <f>'Ratio Analysis'!W43</f>
        <v/>
      </c>
      <c r="X122" s="327">
        <f>'Ratio Analysis'!X43</f>
        <v/>
      </c>
      <c r="Y122" s="327">
        <f>'Ratio Analysis'!Y43</f>
        <v/>
      </c>
      <c r="Z122" s="327">
        <f>'Ratio Analysis'!Z43</f>
        <v/>
      </c>
      <c r="AA122" s="327">
        <f>'Ratio Analysis'!AA43</f>
        <v/>
      </c>
      <c r="AB122" s="327">
        <f>'Ratio Analysis'!AB43</f>
        <v/>
      </c>
      <c r="AC122" s="327">
        <f>'Ratio Analysis'!AC43</f>
        <v/>
      </c>
      <c r="AD122" s="327">
        <f>'Ratio Analysis'!AD43</f>
        <v/>
      </c>
      <c r="AE122" s="327">
        <f>'Ratio Analysis'!AE43</f>
        <v/>
      </c>
      <c r="AF122" s="327">
        <f>'Ratio Analysis'!AF43</f>
        <v/>
      </c>
      <c r="AG122" s="327">
        <f>'Ratio Analysis'!AG43</f>
        <v/>
      </c>
      <c r="AH122" s="327">
        <f>'Ratio Analysis'!AH43</f>
        <v/>
      </c>
      <c r="AI122" s="327">
        <f>'Ratio Analysis'!AI43</f>
        <v/>
      </c>
      <c r="AJ122" s="327">
        <f>'Ratio Analysis'!AJ43</f>
        <v/>
      </c>
      <c r="AK122" s="327">
        <f>'Ratio Analysis'!AK43</f>
        <v/>
      </c>
      <c r="AL122" s="327">
        <f>'Ratio Analysis'!AL43</f>
        <v/>
      </c>
      <c r="AM122" s="327">
        <f>'Ratio Analysis'!AM43</f>
        <v/>
      </c>
      <c r="AN122" s="327">
        <f>'Ratio Analysis'!AN43</f>
        <v/>
      </c>
      <c r="AO122" s="327">
        <f>'Ratio Analysis'!AO43</f>
        <v/>
      </c>
      <c r="AP122" s="327">
        <f>'Ratio Analysis'!AP43</f>
        <v/>
      </c>
      <c r="AQ122" s="327">
        <f>'Ratio Analysis'!AQ43</f>
        <v/>
      </c>
      <c r="AR122" s="327">
        <f>'Ratio Analysis'!AR43</f>
        <v/>
      </c>
      <c r="AS122" s="327">
        <f>'Ratio Analysis'!AS43</f>
        <v/>
      </c>
      <c r="AT122" s="327">
        <f>'Ratio Analysis'!AT43</f>
        <v/>
      </c>
      <c r="AU122" s="327">
        <f>'Ratio Analysis'!AU43</f>
        <v/>
      </c>
      <c r="AV122" s="327">
        <f>'Ratio Analysis'!AV43</f>
        <v/>
      </c>
      <c r="AW122" s="327">
        <f>'Ratio Analysis'!AW43</f>
        <v/>
      </c>
    </row>
  </sheetData>
  <mergeCells count="6">
    <mergeCell ref="G5:G6"/>
    <mergeCell ref="E5:E6"/>
    <mergeCell ref="F5:F6"/>
    <mergeCell ref="D5:D6"/>
    <mergeCell ref="B5:B6"/>
    <mergeCell ref="C5:C6"/>
  </mergeCells>
  <pageMargins left="0.7" right="0.7" top="0.75" bottom="0.75" header="0.3" footer="0.3"/>
  <pageSetup orientation="portrait" scale="14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9"/>
  <sheetViews>
    <sheetView showGridLines="0" view="pageBreakPreview" zoomScaleNormal="7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10" defaultColWidth="8.83203125" defaultRowHeight="13"/>
  <cols>
    <col width="8.83203125" customWidth="1" style="1" min="1" max="1"/>
    <col width="31" customWidth="1" style="1" min="2" max="2"/>
    <col width="12.5" customWidth="1" style="1" min="3" max="6"/>
    <col width="8.83203125" customWidth="1" style="1" min="7" max="7"/>
    <col width="8.83203125" customWidth="1" style="1" min="8" max="8"/>
    <col width="9.5" customWidth="1" style="1" min="9" max="9"/>
    <col width="11.5" customWidth="1" style="1" min="10" max="14"/>
    <col width="8.83203125" customWidth="1" style="1" min="15" max="16384"/>
  </cols>
  <sheetData>
    <row r="2">
      <c r="B2" s="38" t="inlineStr">
        <is>
          <t>Project Fintech</t>
        </is>
      </c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</row>
    <row r="3"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</row>
    <row r="4">
      <c r="B4" s="307" t="inlineStr">
        <is>
          <t>Figures in USD</t>
        </is>
      </c>
      <c r="C4" s="307">
        <f t="array" ref="C4:C5">'Revenue Driver'!C5:C6</f>
        <v/>
      </c>
      <c r="D4" s="307">
        <f t="array" ref="D4:D5">'Revenue Driver'!D5:D6</f>
        <v/>
      </c>
      <c r="E4" s="307">
        <f t="array" ref="E4:E5">'Revenue Driver'!E5:E6</f>
        <v/>
      </c>
      <c r="F4" s="307">
        <f t="array" ref="F4:F5">'Revenue Driver'!F5:F6</f>
        <v/>
      </c>
      <c r="G4" s="40" t="n"/>
      <c r="H4" s="297" t="inlineStr">
        <is>
          <t>Sensitivity Table - Equity Value (USD)</t>
        </is>
      </c>
    </row>
    <row r="5">
      <c r="B5" s="41" t="n"/>
      <c r="C5" s="41" t="n">
        <v>0</v>
      </c>
      <c r="D5" s="42" t="n">
        <v>0</v>
      </c>
      <c r="E5" s="42" t="n">
        <v>0</v>
      </c>
      <c r="F5" s="42" t="n">
        <v>0</v>
      </c>
      <c r="G5" s="37" t="n"/>
      <c r="H5" s="328" t="inlineStr">
        <is>
          <t>Terminal Growth Rate</t>
        </is>
      </c>
      <c r="N5" s="329" t="n"/>
    </row>
    <row r="6">
      <c r="B6" s="37" t="inlineStr">
        <is>
          <t>EBIT</t>
        </is>
      </c>
      <c r="C6" s="330">
        <f>IF('Income Statement'!C36&lt;0,'Income Statement'!C36,'Income Statement'!C36*(1-$C$51))</f>
        <v/>
      </c>
      <c r="D6" s="330">
        <f>IF('Income Statement'!D36&lt;0,'Income Statement'!D36,'Income Statement'!D36*(1-$C$51))</f>
        <v/>
      </c>
      <c r="E6" s="330">
        <f>IF('Income Statement'!E36&lt;0,'Income Statement'!E36,'Income Statement'!E36*(1-$C$51))</f>
        <v/>
      </c>
      <c r="F6" s="330">
        <f>IF('Income Statement'!F36&lt;0,'Income Statement'!F36,'Income Statement'!F36*(1-$C$51))</f>
        <v/>
      </c>
      <c r="G6" s="37" t="n"/>
      <c r="H6" s="331" t="inlineStr">
        <is>
          <t>Cost of Equity</t>
        </is>
      </c>
      <c r="I6" s="45">
        <f>C24</f>
        <v/>
      </c>
      <c r="J6" s="332">
        <f>K6-1%</f>
        <v/>
      </c>
      <c r="K6" s="332">
        <f>L6-0.5%</f>
        <v/>
      </c>
      <c r="L6" s="333" t="n">
        <v>0.03</v>
      </c>
      <c r="M6" s="332">
        <f>L6+0.5%</f>
        <v/>
      </c>
      <c r="N6" s="334">
        <f>M6+1%</f>
        <v/>
      </c>
    </row>
    <row r="7">
      <c r="B7" s="37" t="inlineStr">
        <is>
          <t>Add: Depreciation &amp; Amortization</t>
        </is>
      </c>
      <c r="C7" s="330">
        <f>-SUM('Income Statement'!C33:C34)</f>
        <v/>
      </c>
      <c r="D7" s="330">
        <f>-SUM('Income Statement'!D33:D34)</f>
        <v/>
      </c>
      <c r="E7" s="330">
        <f>-SUM('Income Statement'!E33:E34)</f>
        <v/>
      </c>
      <c r="F7" s="330">
        <f>-SUM('Income Statement'!F33:F34)</f>
        <v/>
      </c>
      <c r="G7" s="37" t="n"/>
      <c r="H7" s="335" t="n"/>
      <c r="I7" s="336">
        <f>I8-1%</f>
        <v/>
      </c>
      <c r="J7" s="50">
        <f t="dataTable" ref="J7:N11" dt2D="1" dtr="1" r1="C37" r2="C54" ca="1"/>
        <v/>
      </c>
      <c r="K7" s="50" t="n">
        <v>13156435.46359438</v>
      </c>
      <c r="L7" s="50" t="n">
        <v>15922636.66721489</v>
      </c>
      <c r="M7" s="50" t="n">
        <v>20038599.36377015</v>
      </c>
      <c r="N7" s="51" t="n">
        <v>40037141.95686714</v>
      </c>
    </row>
    <row r="8">
      <c r="B8" s="52" t="inlineStr">
        <is>
          <t>Changes in working capital</t>
        </is>
      </c>
      <c r="C8" s="337" t="n"/>
      <c r="D8" s="337" t="n"/>
      <c r="E8" s="337" t="n"/>
      <c r="F8" s="337" t="n"/>
      <c r="G8" s="37" t="n"/>
      <c r="H8" s="335" t="n"/>
      <c r="I8" s="336">
        <f>I9-1%</f>
        <v/>
      </c>
      <c r="J8" s="50" t="n">
        <v>7385085.577229548</v>
      </c>
      <c r="K8" s="54" t="n">
        <v>9439545.084503075</v>
      </c>
      <c r="L8" s="55" t="n">
        <v>10900888.95051239</v>
      </c>
      <c r="M8" s="56" t="n">
        <v>12841456.22637588</v>
      </c>
      <c r="N8" s="51" t="n">
        <v>19563276.748431</v>
      </c>
    </row>
    <row r="9">
      <c r="B9" s="57" t="inlineStr">
        <is>
          <t>Current Assets</t>
        </is>
      </c>
      <c r="C9" s="337">
        <f>Cashflow!C12</f>
        <v/>
      </c>
      <c r="D9" s="337">
        <f>Cashflow!D12</f>
        <v/>
      </c>
      <c r="E9" s="337">
        <f>Cashflow!E12</f>
        <v/>
      </c>
      <c r="F9" s="337">
        <f>Cashflow!F12</f>
        <v/>
      </c>
      <c r="G9" s="37" t="n"/>
      <c r="H9" s="335" t="n"/>
      <c r="I9" s="338" t="n">
        <v>0.07549400000000001</v>
      </c>
      <c r="J9" s="30" t="n">
        <v>5862831.847713863</v>
      </c>
      <c r="K9" s="59" t="n">
        <v>7206318.957421092</v>
      </c>
      <c r="L9" s="60" t="n">
        <v>8099545.638023251</v>
      </c>
      <c r="M9" s="61" t="n">
        <v>9213354.795190368</v>
      </c>
      <c r="N9" s="51" t="n">
        <v>12536738.66061707</v>
      </c>
    </row>
    <row r="10">
      <c r="B10" s="57" t="inlineStr">
        <is>
          <t>Current Liabilities</t>
        </is>
      </c>
      <c r="C10" s="330">
        <f>Cashflow!C13</f>
        <v/>
      </c>
      <c r="D10" s="330">
        <f>Cashflow!D13</f>
        <v/>
      </c>
      <c r="E10" s="330">
        <f>Cashflow!E13</f>
        <v/>
      </c>
      <c r="F10" s="330">
        <f>Cashflow!F13</f>
        <v/>
      </c>
      <c r="G10" s="37" t="n"/>
      <c r="H10" s="335" t="n"/>
      <c r="I10" s="336">
        <f>I9+1%</f>
        <v/>
      </c>
      <c r="J10" s="30" t="n">
        <v>4780284.847301042</v>
      </c>
      <c r="K10" s="62" t="n">
        <v>5720598.056428906</v>
      </c>
      <c r="L10" s="63" t="n">
        <v>6317837.752290258</v>
      </c>
      <c r="M10" s="64" t="n">
        <v>7033356.787451595</v>
      </c>
      <c r="N10" s="65" t="n">
        <v>8994487.490135608</v>
      </c>
    </row>
    <row r="11">
      <c r="B11" s="37" t="inlineStr">
        <is>
          <t>Less: Capex</t>
        </is>
      </c>
      <c r="C11" s="337">
        <f>Cashflow!C17</f>
        <v/>
      </c>
      <c r="D11" s="337">
        <f>Cashflow!D17</f>
        <v/>
      </c>
      <c r="E11" s="337">
        <f>Cashflow!E17</f>
        <v/>
      </c>
      <c r="F11" s="337">
        <f>Cashflow!F17</f>
        <v/>
      </c>
      <c r="G11" s="37" t="n"/>
      <c r="H11" s="339" t="n"/>
      <c r="I11" s="340">
        <f>I10+1%</f>
        <v/>
      </c>
      <c r="J11" s="67" t="n">
        <v>3973293.061183945</v>
      </c>
      <c r="K11" s="68" t="n">
        <v>4663953.991819217</v>
      </c>
      <c r="L11" s="68" t="n">
        <v>5088375.014741588</v>
      </c>
      <c r="M11" s="68" t="n">
        <v>5582955.230794249</v>
      </c>
      <c r="N11" s="69" t="n">
        <v>6865960.604508073</v>
      </c>
    </row>
    <row r="12">
      <c r="B12" s="70" t="inlineStr">
        <is>
          <t>FCFF</t>
        </is>
      </c>
      <c r="C12" s="341">
        <f>SUM(C6:C11)</f>
        <v/>
      </c>
      <c r="D12" s="341">
        <f>SUM(D6:D11)</f>
        <v/>
      </c>
      <c r="E12" s="341">
        <f>SUM(E6:E11)</f>
        <v/>
      </c>
      <c r="F12" s="341">
        <f>SUM(F6:F11)</f>
        <v/>
      </c>
      <c r="G12" s="37" t="n"/>
      <c r="J12" s="342" t="n"/>
      <c r="K12" s="342" t="n"/>
      <c r="L12" s="37" t="n"/>
      <c r="M12" s="37" t="n"/>
      <c r="N12" s="37" t="n"/>
    </row>
    <row r="13">
      <c r="B13" s="37" t="inlineStr">
        <is>
          <t>Terminal Value</t>
        </is>
      </c>
      <c r="C13" s="337" t="n"/>
      <c r="D13" s="337" t="n"/>
      <c r="E13" s="337" t="n"/>
      <c r="F13" s="337">
        <f>F12*(1+$C$37)/($C$54-$C$37)</f>
        <v/>
      </c>
      <c r="G13" s="37" t="n"/>
      <c r="J13" s="342" t="n"/>
      <c r="K13" s="342" t="n"/>
      <c r="L13" s="37" t="n"/>
      <c r="M13" s="37" t="n"/>
      <c r="N13" s="37" t="n"/>
    </row>
    <row r="14">
      <c r="B14" s="70" t="inlineStr">
        <is>
          <t>Total FCFF</t>
        </is>
      </c>
      <c r="C14" s="341">
        <f>SUM(C12:C13)</f>
        <v/>
      </c>
      <c r="D14" s="341">
        <f>SUM(D12:D13)</f>
        <v/>
      </c>
      <c r="E14" s="341">
        <f>SUM(E12:E13)</f>
        <v/>
      </c>
      <c r="F14" s="341">
        <f>SUM(F12:F13)</f>
        <v/>
      </c>
      <c r="G14" s="37" t="n"/>
      <c r="H14" s="2" t="n"/>
      <c r="I14" s="2" t="n"/>
      <c r="J14" s="73" t="n"/>
      <c r="K14" s="73" t="n"/>
      <c r="L14" s="37" t="n"/>
      <c r="M14" s="37" t="n"/>
      <c r="N14" s="37" t="n"/>
    </row>
    <row r="15">
      <c r="B15" s="37" t="inlineStr">
        <is>
          <t>Period adj.</t>
        </is>
      </c>
      <c r="C15" s="343" t="n">
        <v>1</v>
      </c>
      <c r="D15" s="343" t="n">
        <v>1</v>
      </c>
      <c r="E15" s="343" t="n">
        <v>1</v>
      </c>
      <c r="F15" s="343" t="n">
        <v>1</v>
      </c>
      <c r="G15" s="37" t="n"/>
      <c r="H15" s="37" t="n"/>
      <c r="I15" s="37" t="n"/>
      <c r="J15" s="37" t="n"/>
      <c r="K15" s="37" t="n"/>
      <c r="L15" s="37" t="n"/>
      <c r="M15" s="37" t="n"/>
      <c r="N15" s="37" t="n"/>
    </row>
    <row r="16">
      <c r="B16" s="70" t="inlineStr">
        <is>
          <t>Adj. FCFF</t>
        </is>
      </c>
      <c r="C16" s="341">
        <f>C14*C15</f>
        <v/>
      </c>
      <c r="D16" s="341">
        <f>D14*D15</f>
        <v/>
      </c>
      <c r="E16" s="341">
        <f>E14*E15</f>
        <v/>
      </c>
      <c r="F16" s="341">
        <f>F14*F15</f>
        <v/>
      </c>
      <c r="G16" s="37" t="n"/>
      <c r="L16" s="37" t="n"/>
      <c r="M16" s="37" t="n"/>
      <c r="N16" s="37" t="n"/>
    </row>
    <row r="17">
      <c r="B17" s="37" t="inlineStr">
        <is>
          <t>Period Factor</t>
        </is>
      </c>
      <c r="C17" s="344">
        <f>C15/2</f>
        <v/>
      </c>
      <c r="D17" s="344">
        <f>C17+D15</f>
        <v/>
      </c>
      <c r="E17" s="344">
        <f>D17+E15</f>
        <v/>
      </c>
      <c r="F17" s="344">
        <f>E17+F15</f>
        <v/>
      </c>
      <c r="G17" s="37" t="n"/>
      <c r="H17" s="77" t="n"/>
      <c r="I17" s="77" t="n"/>
      <c r="L17" s="37" t="n"/>
      <c r="M17" s="37" t="n"/>
      <c r="N17" s="37" t="n"/>
    </row>
    <row r="18">
      <c r="B18" s="37" t="inlineStr">
        <is>
          <t>Discount Factor</t>
        </is>
      </c>
      <c r="C18" s="344">
        <f>1/(1+$C$54)^C17</f>
        <v/>
      </c>
      <c r="D18" s="344">
        <f>1/(1+$C$54)^D17</f>
        <v/>
      </c>
      <c r="E18" s="344">
        <f>1/(1+$C$54)^E17</f>
        <v/>
      </c>
      <c r="F18" s="344">
        <f>1/(1+$C$54)^F17</f>
        <v/>
      </c>
      <c r="G18" s="37" t="n"/>
      <c r="J18" s="78" t="n"/>
      <c r="L18" s="37" t="n"/>
      <c r="M18" s="37" t="n"/>
      <c r="N18" s="37" t="n"/>
    </row>
    <row r="19">
      <c r="B19" s="79" t="inlineStr">
        <is>
          <t>Present Value</t>
        </is>
      </c>
      <c r="C19" s="345">
        <f>C16*C18</f>
        <v/>
      </c>
      <c r="D19" s="345">
        <f>D16*D18</f>
        <v/>
      </c>
      <c r="E19" s="345">
        <f>E16*E18</f>
        <v/>
      </c>
      <c r="F19" s="345">
        <f>F16*F18</f>
        <v/>
      </c>
      <c r="G19" s="40" t="n"/>
      <c r="J19" s="78" t="n"/>
      <c r="L19" s="37" t="n"/>
      <c r="M19" s="37" t="n"/>
      <c r="N19" s="37" t="n"/>
    </row>
    <row r="20">
      <c r="B20" s="37" t="n"/>
      <c r="C20" s="337" t="n"/>
      <c r="D20" s="337" t="n"/>
      <c r="E20" s="337" t="n"/>
      <c r="F20" s="337" t="n"/>
      <c r="G20" s="37" t="n"/>
      <c r="J20" s="78" t="n"/>
      <c r="L20" s="37" t="n"/>
      <c r="M20" s="37" t="n"/>
      <c r="N20" s="37" t="n"/>
    </row>
    <row r="21">
      <c r="B21" s="37" t="n"/>
      <c r="C21" s="337" t="n"/>
      <c r="D21" s="337" t="n"/>
      <c r="E21" s="337" t="n"/>
      <c r="F21" s="337" t="n"/>
      <c r="G21" s="37" t="n"/>
      <c r="J21" s="77" t="n"/>
      <c r="L21" s="37" t="n"/>
      <c r="M21" s="37" t="n"/>
      <c r="N21" s="37" t="n"/>
    </row>
    <row r="22">
      <c r="B22" s="82" t="inlineStr">
        <is>
          <t>Enterprise Value</t>
        </is>
      </c>
      <c r="C22" s="346">
        <f>SUM(C19:F19)</f>
        <v/>
      </c>
      <c r="D22" s="337" t="n"/>
      <c r="E22" s="337" t="n"/>
      <c r="F22" s="337" t="n"/>
      <c r="G22" s="37" t="n"/>
      <c r="J22" s="73" t="n"/>
      <c r="L22" s="37" t="n"/>
      <c r="M22" s="37" t="n"/>
      <c r="N22" s="37" t="n"/>
    </row>
    <row r="23">
      <c r="B23" s="37" t="inlineStr">
        <is>
          <t>Less: Net Debt</t>
        </is>
      </c>
      <c r="C23" s="337">
        <f>-('Balance Sheet'!H24-'Balance Sheet'!H9)</f>
        <v/>
      </c>
      <c r="D23" s="337" t="n"/>
      <c r="E23" s="337" t="n"/>
      <c r="F23" s="337" t="n"/>
      <c r="G23" s="37" t="n"/>
      <c r="J23" s="73" t="n"/>
      <c r="L23" s="37" t="n"/>
      <c r="M23" s="37" t="n"/>
      <c r="N23" s="37" t="n"/>
    </row>
    <row r="24">
      <c r="B24" s="82" t="inlineStr">
        <is>
          <t>Equity Value - Post Money</t>
        </is>
      </c>
      <c r="C24" s="346">
        <f>SUM(C22:C23)</f>
        <v/>
      </c>
      <c r="D24" s="337" t="n"/>
      <c r="E24" s="337" t="n"/>
      <c r="F24" s="337" t="n"/>
      <c r="G24" s="37" t="n"/>
      <c r="J24" s="73" t="n"/>
      <c r="L24" s="37" t="n"/>
      <c r="M24" s="37" t="n"/>
      <c r="N24" s="37" t="n"/>
    </row>
    <row r="25">
      <c r="B25" s="37" t="inlineStr">
        <is>
          <t>Less: Funding</t>
        </is>
      </c>
      <c r="C25" s="337">
        <f>-Cashflow!C22</f>
        <v/>
      </c>
      <c r="D25" s="337" t="n"/>
      <c r="E25" s="337" t="n"/>
      <c r="F25" s="337" t="n"/>
      <c r="G25" s="37" t="n"/>
      <c r="L25" s="37" t="n"/>
      <c r="M25" s="37" t="n"/>
      <c r="N25" s="37" t="n"/>
    </row>
    <row r="26">
      <c r="B26" s="82" t="inlineStr">
        <is>
          <t>Equity Value - Pre Money</t>
        </is>
      </c>
      <c r="C26" s="346">
        <f>SUM(C24:C25)</f>
        <v/>
      </c>
      <c r="D26" s="337" t="n"/>
      <c r="E26" s="337" t="n"/>
      <c r="F26" s="337" t="n"/>
      <c r="G26" s="37" t="n"/>
      <c r="L26" s="37" t="n"/>
      <c r="M26" s="37" t="n"/>
      <c r="N26" s="37" t="n"/>
    </row>
    <row r="27">
      <c r="B27" s="37" t="n"/>
      <c r="C27" s="337" t="n"/>
      <c r="D27" s="337" t="n"/>
      <c r="E27" s="337" t="n"/>
      <c r="F27" s="337" t="n"/>
      <c r="G27" s="37" t="n"/>
      <c r="L27" s="37" t="n"/>
      <c r="M27" s="37" t="n"/>
      <c r="N27" s="37" t="n"/>
    </row>
    <row r="28"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</row>
    <row r="29">
      <c r="B29" s="307" t="inlineStr">
        <is>
          <t>Multiples</t>
        </is>
      </c>
      <c r="C29" s="85" t="inlineStr">
        <is>
          <t>2024E</t>
        </is>
      </c>
      <c r="D29" s="85" t="inlineStr">
        <is>
          <t>2025E</t>
        </is>
      </c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</row>
    <row r="30">
      <c r="B30" s="86" t="inlineStr">
        <is>
          <t>EV/Revenue</t>
        </is>
      </c>
      <c r="C30" s="347">
        <f>$C$22/'Income Statement'!C8</f>
        <v/>
      </c>
      <c r="D30" s="348">
        <f>$C$22/'Income Statement'!D8</f>
        <v/>
      </c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</row>
    <row r="31">
      <c r="B31" s="89" t="inlineStr">
        <is>
          <t>EV/EBITDA</t>
        </is>
      </c>
      <c r="C31" s="349">
        <f>$C$22/'Income Statement'!C32</f>
        <v/>
      </c>
      <c r="D31" s="350">
        <f>$C$22/'Income Statement'!D32</f>
        <v/>
      </c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</row>
    <row r="32">
      <c r="B32" s="89" t="inlineStr">
        <is>
          <t>EV/EBIT</t>
        </is>
      </c>
      <c r="C32" s="349">
        <f>$C$22/'Income Statement'!C36</f>
        <v/>
      </c>
      <c r="D32" s="350">
        <f>$C$22/'Income Statement'!D36</f>
        <v/>
      </c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</row>
    <row r="33">
      <c r="B33" s="89" t="inlineStr">
        <is>
          <t>P/E</t>
        </is>
      </c>
      <c r="C33" s="349">
        <f>$C$24/'Income Statement'!C42</f>
        <v/>
      </c>
      <c r="D33" s="350">
        <f>$C$24/'Income Statement'!D42</f>
        <v/>
      </c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B34" s="92" t="inlineStr">
        <is>
          <t>P/BV</t>
        </is>
      </c>
      <c r="C34" s="351">
        <f>$C$24/'Balance Sheet'!C26</f>
        <v/>
      </c>
      <c r="D34" s="352">
        <f>$C$24/'Balance Sheet'!D26</f>
        <v/>
      </c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</row>
    <row r="35"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</row>
    <row r="36">
      <c r="B36" s="95" t="inlineStr">
        <is>
          <t>Assumptions:</t>
        </is>
      </c>
      <c r="C36" s="353" t="n"/>
      <c r="D36" s="353" t="n"/>
      <c r="E36" s="95" t="n"/>
      <c r="F36" s="95" t="n"/>
      <c r="G36" s="95" t="n"/>
      <c r="H36" s="95" t="n"/>
      <c r="K36" s="37" t="n"/>
      <c r="L36" s="37" t="n"/>
      <c r="M36" s="37" t="n"/>
      <c r="N36" s="37" t="n"/>
    </row>
    <row r="37">
      <c r="B37" s="1" t="inlineStr">
        <is>
          <t>Terminal growth rate</t>
        </is>
      </c>
      <c r="C37" s="97" t="n">
        <v>0.03</v>
      </c>
      <c r="D37" s="354" t="n"/>
      <c r="K37" s="37" t="n"/>
      <c r="L37" s="37" t="n"/>
      <c r="M37" s="37" t="n"/>
      <c r="N37" s="37" t="n"/>
    </row>
    <row r="38">
      <c r="B38" s="1" t="inlineStr">
        <is>
          <t>Risk free rate</t>
        </is>
      </c>
      <c r="C38" s="97" t="n">
        <v>0.0541</v>
      </c>
      <c r="D38" s="100" t="n"/>
      <c r="K38" s="37" t="n"/>
      <c r="L38" s="37" t="n"/>
      <c r="M38" s="37" t="n"/>
      <c r="N38" s="37" t="n"/>
    </row>
    <row r="39">
      <c r="B39" s="1" t="inlineStr">
        <is>
          <t>Unlevered Beta</t>
        </is>
      </c>
      <c r="C39" s="283" t="n">
        <v>0.38</v>
      </c>
      <c r="D39" s="100" t="n"/>
      <c r="K39" s="37" t="n"/>
      <c r="L39" s="37" t="n"/>
      <c r="M39" s="37" t="n"/>
      <c r="N39" s="37" t="n"/>
    </row>
    <row r="40">
      <c r="B40" s="1" t="inlineStr">
        <is>
          <t>D/E</t>
        </is>
      </c>
      <c r="C40" s="355">
        <f>C58/C57</f>
        <v/>
      </c>
      <c r="D40" s="37" t="n"/>
      <c r="K40" s="37" t="n"/>
      <c r="L40" s="37" t="n"/>
      <c r="M40" s="37" t="n"/>
      <c r="N40" s="37" t="n"/>
    </row>
    <row r="41">
      <c r="B41" s="1" t="inlineStr">
        <is>
          <t>Levered Beta</t>
        </is>
      </c>
      <c r="C41" s="355">
        <f>C39*(1+(1-C51)*C40)</f>
        <v/>
      </c>
      <c r="D41" s="100" t="n"/>
      <c r="K41" s="37" t="n"/>
      <c r="L41" s="37" t="n"/>
      <c r="M41" s="37" t="n"/>
      <c r="N41" s="37" t="n"/>
    </row>
    <row r="42">
      <c r="B42" s="1" t="inlineStr">
        <is>
          <t>Equity risk premium</t>
        </is>
      </c>
      <c r="C42" s="97" t="n">
        <v>0.0563</v>
      </c>
      <c r="D42" s="100" t="n"/>
      <c r="K42" s="37" t="n"/>
      <c r="L42" s="37" t="n"/>
      <c r="M42" s="37" t="n"/>
      <c r="N42" s="37" t="n"/>
    </row>
    <row r="43">
      <c r="B43" s="2" t="inlineStr">
        <is>
          <t>Cost of Equity</t>
        </is>
      </c>
      <c r="C43" s="102">
        <f>C38+C41*C42</f>
        <v/>
      </c>
      <c r="E43" s="2" t="n"/>
      <c r="F43" s="2" t="n"/>
      <c r="G43" s="2" t="n"/>
      <c r="H43" s="2" t="n"/>
      <c r="K43" s="37" t="n"/>
      <c r="L43" s="37" t="n"/>
      <c r="M43" s="37" t="n"/>
      <c r="N43" s="37" t="n"/>
    </row>
    <row r="44">
      <c r="B44" s="1" t="inlineStr">
        <is>
          <t>Liquidity discount</t>
        </is>
      </c>
      <c r="C44" s="97" t="n">
        <v>0</v>
      </c>
      <c r="K44" s="37" t="n"/>
      <c r="L44" s="37" t="n"/>
      <c r="M44" s="37" t="n"/>
      <c r="N44" s="37" t="n"/>
    </row>
    <row r="45">
      <c r="B45" s="1" t="inlineStr">
        <is>
          <t>Company Specific premium</t>
        </is>
      </c>
      <c r="C45" s="97" t="n">
        <v>0</v>
      </c>
      <c r="K45" s="37" t="n"/>
      <c r="L45" s="37" t="n"/>
      <c r="M45" s="37" t="n"/>
      <c r="N45" s="37" t="n"/>
    </row>
    <row r="46">
      <c r="B46" s="2" t="inlineStr">
        <is>
          <t>Net Cost of Equity</t>
        </is>
      </c>
      <c r="C46" s="102">
        <f>C43*(1+C44)+C45</f>
        <v/>
      </c>
      <c r="E46" s="2" t="n"/>
      <c r="F46" s="2" t="n"/>
      <c r="G46" s="2" t="n"/>
      <c r="H46" s="2" t="n"/>
      <c r="K46" s="37" t="n"/>
      <c r="L46" s="37" t="n"/>
      <c r="M46" s="37" t="n"/>
      <c r="N46" s="37" t="n"/>
    </row>
    <row r="48">
      <c r="B48" s="1" t="inlineStr">
        <is>
          <t>Cost of Debt</t>
        </is>
      </c>
      <c r="C48" s="97">
        <f>Assumptions!C8</f>
        <v/>
      </c>
    </row>
    <row r="49">
      <c r="B49" s="1" t="inlineStr">
        <is>
          <t>Less: Tax</t>
        </is>
      </c>
      <c r="C49" s="97">
        <f>Assumptions!C7</f>
        <v/>
      </c>
    </row>
    <row r="50">
      <c r="B50" s="2" t="inlineStr">
        <is>
          <t>Net Cost of Debt</t>
        </is>
      </c>
      <c r="C50" s="102">
        <f>C48*(1-C49)</f>
        <v/>
      </c>
      <c r="E50" s="2" t="n"/>
      <c r="F50" s="2" t="n"/>
      <c r="G50" s="2" t="n"/>
      <c r="H50" s="2" t="n"/>
    </row>
    <row r="51">
      <c r="B51" s="1" t="inlineStr">
        <is>
          <t>Tax Rate</t>
        </is>
      </c>
      <c r="C51" s="103">
        <f>Assumptions!C7</f>
        <v/>
      </c>
    </row>
    <row r="52">
      <c r="B52" s="1" t="inlineStr">
        <is>
          <t>Inflation Rate</t>
        </is>
      </c>
      <c r="C52" s="103" t="n">
        <v>0.1</v>
      </c>
    </row>
    <row r="53">
      <c r="C53" s="104" t="n"/>
    </row>
    <row r="54" ht="14" customHeight="1" thickBot="1">
      <c r="B54" s="105" t="inlineStr">
        <is>
          <t>WACC</t>
        </is>
      </c>
      <c r="C54" s="106">
        <f>C46*D57+C50*D58</f>
        <v/>
      </c>
    </row>
    <row r="55">
      <c r="C55" s="107" t="n"/>
    </row>
    <row r="56">
      <c r="B56" s="95" t="inlineStr">
        <is>
          <t>Capital structure</t>
        </is>
      </c>
      <c r="C56" s="108" t="inlineStr">
        <is>
          <t>Value</t>
        </is>
      </c>
      <c r="D56" s="108" t="inlineStr">
        <is>
          <t>Weights</t>
        </is>
      </c>
      <c r="E56" s="95" t="n"/>
      <c r="F56" s="95" t="n"/>
      <c r="G56" s="95" t="n"/>
      <c r="H56" s="95" t="n"/>
    </row>
    <row r="57">
      <c r="B57" s="1" t="inlineStr">
        <is>
          <t>Equity</t>
        </is>
      </c>
      <c r="C57" s="353">
        <f>'Balance Sheet'!H26</f>
        <v/>
      </c>
      <c r="D57" s="109">
        <f>C57/C59</f>
        <v/>
      </c>
    </row>
    <row r="58">
      <c r="B58" s="1" t="inlineStr">
        <is>
          <t>Debt</t>
        </is>
      </c>
      <c r="C58" s="353">
        <f>'Balance Sheet'!H23</f>
        <v/>
      </c>
      <c r="D58" s="109">
        <f>1-D57</f>
        <v/>
      </c>
    </row>
    <row r="59">
      <c r="B59" s="2" t="inlineStr">
        <is>
          <t>Total</t>
        </is>
      </c>
      <c r="C59" s="356">
        <f>SUM(C57:C58)</f>
        <v/>
      </c>
      <c r="D59" s="111">
        <f>SUM(D57:D58)</f>
        <v/>
      </c>
      <c r="E59" s="2" t="n"/>
      <c r="F59" s="2" t="n"/>
      <c r="G59" s="2" t="n"/>
      <c r="H59" s="2" t="n"/>
    </row>
  </sheetData>
  <mergeCells count="3">
    <mergeCell ref="H5:N5"/>
    <mergeCell ref="H6:H11"/>
    <mergeCell ref="H4:N4"/>
  </mergeCells>
  <pageMargins left="0.7" right="0.7" top="0.75" bottom="0.75" header="0.3" footer="0.3"/>
  <pageSetup orientation="portrait" scale="5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2"/>
  <sheetViews>
    <sheetView showGridLines="0" view="pageBreakPreview" zoomScaleNormal="9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 activeCell="A1" sqref="A1"/>
    </sheetView>
  </sheetViews>
  <sheetFormatPr baseColWidth="10" defaultColWidth="12.5" defaultRowHeight="13"/>
  <cols>
    <col width="4" customWidth="1" style="1" min="1" max="1"/>
    <col width="26" customWidth="1" style="1" min="2" max="2"/>
    <col width="12.5" customWidth="1" style="1" min="3" max="6"/>
    <col width="6" customWidth="1" style="112" min="7" max="7"/>
    <col width="12.5" customWidth="1" style="1" min="8" max="16384"/>
  </cols>
  <sheetData>
    <row r="2">
      <c r="B2" s="2">
        <f>DCF!B2</f>
        <v/>
      </c>
    </row>
    <row r="3">
      <c r="B3" s="2" t="inlineStr">
        <is>
          <t>Income Statement</t>
        </is>
      </c>
    </row>
    <row r="5">
      <c r="B5" s="294">
        <f t="array" ref="B5:B6">'Revenue Driver'!B5:B6</f>
        <v/>
      </c>
      <c r="C5" s="295">
        <f t="array" ref="C5:C6">'Revenue Driver'!C5:C6</f>
        <v/>
      </c>
      <c r="D5" s="295">
        <f t="array" ref="D5:D6">'Revenue Driver'!D5:D6</f>
        <v/>
      </c>
      <c r="E5" s="295">
        <f t="array" ref="E5:E6">'Revenue Driver'!E5:E6</f>
        <v/>
      </c>
      <c r="F5" s="295">
        <f t="array" ref="F5:F6">'Revenue Driver'!F5:F6</f>
        <v/>
      </c>
      <c r="G5" s="303" t="n"/>
      <c r="H5" s="7">
        <f t="array" ref="H5:H6">'Revenue Driver'!H5:H6</f>
        <v/>
      </c>
      <c r="I5" s="7">
        <f t="array" ref="I5:I6">'Revenue Driver'!I5:I6</f>
        <v/>
      </c>
      <c r="J5" s="7">
        <f t="array" ref="J5:J6">'Revenue Driver'!J5:J6</f>
        <v/>
      </c>
      <c r="K5" s="7">
        <f t="array" ref="K5:K6">'Revenue Driver'!K5:K6</f>
        <v/>
      </c>
      <c r="L5" s="7">
        <f t="array" ref="L5:L6">'Revenue Driver'!L5:L6</f>
        <v/>
      </c>
      <c r="M5" s="7">
        <f t="array" ref="M5:M6">'Revenue Driver'!M5:M6</f>
        <v/>
      </c>
      <c r="N5" s="7">
        <f t="array" ref="N5:N6">'Revenue Driver'!N5:N6</f>
        <v/>
      </c>
      <c r="O5" s="7">
        <f t="array" ref="O5:O6">'Revenue Driver'!O5:O6</f>
        <v/>
      </c>
      <c r="P5" s="7">
        <f t="array" ref="P5:P6">'Revenue Driver'!P5:P6</f>
        <v/>
      </c>
      <c r="Q5" s="7">
        <f t="array" ref="Q5:Q6">'Revenue Driver'!Q5:Q6</f>
        <v/>
      </c>
      <c r="R5" s="7">
        <f t="array" ref="R5:R6">'Revenue Driver'!R5:R6</f>
        <v/>
      </c>
      <c r="S5" s="7">
        <f t="array" ref="S5:S6">'Revenue Driver'!S5:S6</f>
        <v/>
      </c>
      <c r="T5" s="7">
        <f t="array" ref="T5:T6">'Revenue Driver'!T5:T6</f>
        <v/>
      </c>
      <c r="U5" s="7">
        <f t="array" ref="U5:U6">'Revenue Driver'!U5:U6</f>
        <v/>
      </c>
      <c r="V5" s="7">
        <f t="array" ref="V5:V6">'Revenue Driver'!V5:V6</f>
        <v/>
      </c>
      <c r="W5" s="7">
        <f t="array" ref="W5:W6">'Revenue Driver'!W5:W6</f>
        <v/>
      </c>
      <c r="X5" s="7">
        <f t="array" ref="X5:X6">'Revenue Driver'!X5:X6</f>
        <v/>
      </c>
      <c r="Y5" s="7">
        <f t="array" ref="Y5:Y6">'Revenue Driver'!Y5:Y6</f>
        <v/>
      </c>
      <c r="Z5" s="7">
        <f t="array" ref="Z5:Z6">'Revenue Driver'!Z5:Z6</f>
        <v/>
      </c>
      <c r="AA5" s="7">
        <f t="array" ref="AA5:AA6">'Revenue Driver'!AA5:AA6</f>
        <v/>
      </c>
      <c r="AB5" s="7">
        <f t="array" ref="AB5:AB6">'Revenue Driver'!AB5:AB6</f>
        <v/>
      </c>
      <c r="AC5" s="7">
        <f t="array" ref="AC5:AC6">'Revenue Driver'!AC5:AC6</f>
        <v/>
      </c>
      <c r="AD5" s="7">
        <f t="array" ref="AD5:AD6">'Revenue Driver'!AD5:AD6</f>
        <v/>
      </c>
      <c r="AE5" s="7">
        <f t="array" ref="AE5:AE6">'Revenue Driver'!AE5:AE6</f>
        <v/>
      </c>
      <c r="AF5" s="7">
        <f t="array" ref="AF5:AF6">'Revenue Driver'!AF5:AF6</f>
        <v/>
      </c>
      <c r="AG5" s="7">
        <f t="array" ref="AG5:AG6">'Revenue Driver'!AG5:AG6</f>
        <v/>
      </c>
      <c r="AH5" s="7">
        <f t="array" ref="AH5:AH6">'Revenue Driver'!AH5:AH6</f>
        <v/>
      </c>
      <c r="AI5" s="7">
        <f t="array" ref="AI5:AI6">'Revenue Driver'!AI5:AI6</f>
        <v/>
      </c>
      <c r="AJ5" s="7">
        <f t="array" ref="AJ5:AJ6">'Revenue Driver'!AJ5:AJ6</f>
        <v/>
      </c>
      <c r="AK5" s="7">
        <f t="array" ref="AK5:AK6">'Revenue Driver'!AK5:AK6</f>
        <v/>
      </c>
      <c r="AL5" s="7">
        <f t="array" ref="AL5:AL6">'Revenue Driver'!AL5:AL6</f>
        <v/>
      </c>
      <c r="AM5" s="7">
        <f t="array" ref="AM5:AM6">'Revenue Driver'!AM5:AM6</f>
        <v/>
      </c>
      <c r="AN5" s="7">
        <f t="array" ref="AN5:AN6">'Revenue Driver'!AN5:AN6</f>
        <v/>
      </c>
      <c r="AO5" s="7">
        <f t="array" ref="AO5:AO6">'Revenue Driver'!AO5:AO6</f>
        <v/>
      </c>
      <c r="AP5" s="7">
        <f t="array" ref="AP5:AP6">'Revenue Driver'!AP5:AP6</f>
        <v/>
      </c>
      <c r="AQ5" s="7">
        <f t="array" ref="AQ5:AQ6">'Revenue Driver'!AQ5:AQ6</f>
        <v/>
      </c>
      <c r="AR5" s="7">
        <f t="array" ref="AR5:AR6">'Revenue Driver'!AR5:AR6</f>
        <v/>
      </c>
      <c r="AS5" s="7">
        <f t="array" ref="AS5:AS6">'Revenue Driver'!AS5:AS6</f>
        <v/>
      </c>
      <c r="AT5" s="7">
        <f t="array" ref="AT5:AT6">'Revenue Driver'!AT5:AT6</f>
        <v/>
      </c>
      <c r="AU5" s="7">
        <f t="array" ref="AU5:AU6">'Revenue Driver'!AU5:AU6</f>
        <v/>
      </c>
      <c r="AV5" s="7">
        <f t="array" ref="AV5:AV6">'Revenue Driver'!AV5:AV6</f>
        <v/>
      </c>
      <c r="AW5" s="7">
        <f t="array" ref="AW5:AW6">'Revenue Driver'!AW5:AW6</f>
        <v/>
      </c>
    </row>
    <row r="6">
      <c r="H6" s="8" t="n">
        <v>45497</v>
      </c>
      <c r="I6" s="8" t="n">
        <v>45535</v>
      </c>
      <c r="J6" s="8" t="n">
        <v>45565</v>
      </c>
      <c r="K6" s="8" t="n">
        <v>45596</v>
      </c>
      <c r="L6" s="8" t="n">
        <v>45626</v>
      </c>
      <c r="M6" s="8" t="n">
        <v>45657</v>
      </c>
      <c r="N6" s="8" t="n">
        <v>45688</v>
      </c>
      <c r="O6" s="8" t="n">
        <v>45716</v>
      </c>
      <c r="P6" s="8" t="n">
        <v>45747</v>
      </c>
      <c r="Q6" s="8" t="n">
        <v>45777</v>
      </c>
      <c r="R6" s="8" t="n">
        <v>45808</v>
      </c>
      <c r="S6" s="8" t="n">
        <v>45838</v>
      </c>
      <c r="T6" s="8" t="n">
        <v>45869</v>
      </c>
      <c r="U6" s="8" t="n">
        <v>45900</v>
      </c>
      <c r="V6" s="8" t="n">
        <v>45930</v>
      </c>
      <c r="W6" s="8" t="n">
        <v>45961</v>
      </c>
      <c r="X6" s="8" t="n">
        <v>45991</v>
      </c>
      <c r="Y6" s="8" t="n">
        <v>46022</v>
      </c>
      <c r="Z6" s="8" t="n">
        <v>46053</v>
      </c>
      <c r="AA6" s="8" t="n">
        <v>46081</v>
      </c>
      <c r="AB6" s="8" t="n">
        <v>46112</v>
      </c>
      <c r="AC6" s="8" t="n">
        <v>46142</v>
      </c>
      <c r="AD6" s="8" t="n">
        <v>46173</v>
      </c>
      <c r="AE6" s="8" t="n">
        <v>46203</v>
      </c>
      <c r="AF6" s="8" t="n">
        <v>46234</v>
      </c>
      <c r="AG6" s="8" t="n">
        <v>46265</v>
      </c>
      <c r="AH6" s="8" t="n">
        <v>46295</v>
      </c>
      <c r="AI6" s="8" t="n">
        <v>46326</v>
      </c>
      <c r="AJ6" s="8" t="n">
        <v>46356</v>
      </c>
      <c r="AK6" s="8" t="n">
        <v>46387</v>
      </c>
      <c r="AL6" s="8" t="n">
        <v>46418</v>
      </c>
      <c r="AM6" s="8" t="n">
        <v>46446</v>
      </c>
      <c r="AN6" s="8" t="n">
        <v>46477</v>
      </c>
      <c r="AO6" s="8" t="n">
        <v>46507</v>
      </c>
      <c r="AP6" s="8" t="n">
        <v>46538</v>
      </c>
      <c r="AQ6" s="8" t="n">
        <v>46568</v>
      </c>
      <c r="AR6" s="8" t="n">
        <v>46599</v>
      </c>
      <c r="AS6" s="8" t="n">
        <v>46630</v>
      </c>
      <c r="AT6" s="8" t="n">
        <v>46660</v>
      </c>
      <c r="AU6" s="8" t="n">
        <v>46691</v>
      </c>
      <c r="AV6" s="8" t="n">
        <v>46721</v>
      </c>
      <c r="AW6" s="8" t="n">
        <v>46752</v>
      </c>
    </row>
    <row r="8">
      <c r="B8" s="1" t="inlineStr">
        <is>
          <t>Revenue</t>
        </is>
      </c>
      <c r="C8" s="357">
        <f>'Revenue Driver'!C218</f>
        <v/>
      </c>
      <c r="D8" s="357">
        <f>'Revenue Driver'!D218</f>
        <v/>
      </c>
      <c r="E8" s="357">
        <f>'Revenue Driver'!E218</f>
        <v/>
      </c>
      <c r="F8" s="357">
        <f>'Revenue Driver'!F218</f>
        <v/>
      </c>
      <c r="G8" s="358" t="n"/>
      <c r="H8" s="357">
        <f>'Revenue Driver'!H218</f>
        <v/>
      </c>
      <c r="I8" s="357">
        <f>'Revenue Driver'!I218</f>
        <v/>
      </c>
      <c r="J8" s="357">
        <f>'Revenue Driver'!J218</f>
        <v/>
      </c>
      <c r="K8" s="357">
        <f>'Revenue Driver'!K218</f>
        <v/>
      </c>
      <c r="L8" s="357">
        <f>'Revenue Driver'!L218</f>
        <v/>
      </c>
      <c r="M8" s="357">
        <f>'Revenue Driver'!M218</f>
        <v/>
      </c>
      <c r="N8" s="357">
        <f>'Revenue Driver'!N218</f>
        <v/>
      </c>
      <c r="O8" s="357">
        <f>'Revenue Driver'!O218</f>
        <v/>
      </c>
      <c r="P8" s="357">
        <f>'Revenue Driver'!P218</f>
        <v/>
      </c>
      <c r="Q8" s="357">
        <f>'Revenue Driver'!Q218</f>
        <v/>
      </c>
      <c r="R8" s="357">
        <f>'Revenue Driver'!R218</f>
        <v/>
      </c>
      <c r="S8" s="357">
        <f>'Revenue Driver'!S218</f>
        <v/>
      </c>
      <c r="T8" s="357">
        <f>'Revenue Driver'!T218</f>
        <v/>
      </c>
      <c r="U8" s="357">
        <f>'Revenue Driver'!U218</f>
        <v/>
      </c>
      <c r="V8" s="357">
        <f>'Revenue Driver'!V218</f>
        <v/>
      </c>
      <c r="W8" s="357">
        <f>'Revenue Driver'!W218</f>
        <v/>
      </c>
      <c r="X8" s="357">
        <f>'Revenue Driver'!X218</f>
        <v/>
      </c>
      <c r="Y8" s="357">
        <f>'Revenue Driver'!Y218</f>
        <v/>
      </c>
      <c r="Z8" s="357">
        <f>'Revenue Driver'!Z218</f>
        <v/>
      </c>
      <c r="AA8" s="357">
        <f>'Revenue Driver'!AA218</f>
        <v/>
      </c>
      <c r="AB8" s="357">
        <f>'Revenue Driver'!AB218</f>
        <v/>
      </c>
      <c r="AC8" s="357">
        <f>'Revenue Driver'!AC218</f>
        <v/>
      </c>
      <c r="AD8" s="357">
        <f>'Revenue Driver'!AD218</f>
        <v/>
      </c>
      <c r="AE8" s="357">
        <f>'Revenue Driver'!AE218</f>
        <v/>
      </c>
      <c r="AF8" s="357">
        <f>'Revenue Driver'!AF218</f>
        <v/>
      </c>
      <c r="AG8" s="357">
        <f>'Revenue Driver'!AG218</f>
        <v/>
      </c>
      <c r="AH8" s="357">
        <f>'Revenue Driver'!AH218</f>
        <v/>
      </c>
      <c r="AI8" s="357">
        <f>'Revenue Driver'!AI218</f>
        <v/>
      </c>
      <c r="AJ8" s="357">
        <f>'Revenue Driver'!AJ218</f>
        <v/>
      </c>
      <c r="AK8" s="357">
        <f>'Revenue Driver'!AK218</f>
        <v/>
      </c>
      <c r="AL8" s="357">
        <f>'Revenue Driver'!AL218</f>
        <v/>
      </c>
      <c r="AM8" s="357">
        <f>'Revenue Driver'!AM218</f>
        <v/>
      </c>
      <c r="AN8" s="357">
        <f>'Revenue Driver'!AN218</f>
        <v/>
      </c>
      <c r="AO8" s="357">
        <f>'Revenue Driver'!AO218</f>
        <v/>
      </c>
      <c r="AP8" s="357">
        <f>'Revenue Driver'!AP218</f>
        <v/>
      </c>
      <c r="AQ8" s="357">
        <f>'Revenue Driver'!AQ218</f>
        <v/>
      </c>
      <c r="AR8" s="357">
        <f>'Revenue Driver'!AR218</f>
        <v/>
      </c>
      <c r="AS8" s="357">
        <f>'Revenue Driver'!AS218</f>
        <v/>
      </c>
      <c r="AT8" s="357">
        <f>'Revenue Driver'!AT218</f>
        <v/>
      </c>
      <c r="AU8" s="357">
        <f>'Revenue Driver'!AU218</f>
        <v/>
      </c>
      <c r="AV8" s="357">
        <f>'Revenue Driver'!AV218</f>
        <v/>
      </c>
      <c r="AW8" s="357">
        <f>'Revenue Driver'!AW218</f>
        <v/>
      </c>
    </row>
    <row r="9">
      <c r="B9" s="1" t="inlineStr">
        <is>
          <t>Cost of Services</t>
        </is>
      </c>
      <c r="C9" s="357">
        <f>'Cost Drivers'!C10</f>
        <v/>
      </c>
      <c r="D9" s="357">
        <f>'Cost Drivers'!D10</f>
        <v/>
      </c>
      <c r="E9" s="357">
        <f>'Cost Drivers'!E10</f>
        <v/>
      </c>
      <c r="F9" s="357">
        <f>'Cost Drivers'!F10</f>
        <v/>
      </c>
      <c r="G9" s="358" t="n"/>
      <c r="H9" s="357">
        <f>'Cost Drivers'!H10</f>
        <v/>
      </c>
      <c r="I9" s="357">
        <f>'Cost Drivers'!I10</f>
        <v/>
      </c>
      <c r="J9" s="357">
        <f>'Cost Drivers'!J10</f>
        <v/>
      </c>
      <c r="K9" s="357">
        <f>'Cost Drivers'!K10</f>
        <v/>
      </c>
      <c r="L9" s="357">
        <f>'Cost Drivers'!L10</f>
        <v/>
      </c>
      <c r="M9" s="357">
        <f>'Cost Drivers'!M10</f>
        <v/>
      </c>
      <c r="N9" s="357">
        <f>'Cost Drivers'!N10</f>
        <v/>
      </c>
      <c r="O9" s="357">
        <f>'Cost Drivers'!O10</f>
        <v/>
      </c>
      <c r="P9" s="357">
        <f>'Cost Drivers'!P10</f>
        <v/>
      </c>
      <c r="Q9" s="357">
        <f>'Cost Drivers'!Q10</f>
        <v/>
      </c>
      <c r="R9" s="357">
        <f>'Cost Drivers'!R10</f>
        <v/>
      </c>
      <c r="S9" s="357">
        <f>'Cost Drivers'!S10</f>
        <v/>
      </c>
      <c r="T9" s="357">
        <f>'Cost Drivers'!T10</f>
        <v/>
      </c>
      <c r="U9" s="357">
        <f>'Cost Drivers'!U10</f>
        <v/>
      </c>
      <c r="V9" s="357">
        <f>'Cost Drivers'!V10</f>
        <v/>
      </c>
      <c r="W9" s="357">
        <f>'Cost Drivers'!W10</f>
        <v/>
      </c>
      <c r="X9" s="357">
        <f>'Cost Drivers'!X10</f>
        <v/>
      </c>
      <c r="Y9" s="357">
        <f>'Cost Drivers'!Y10</f>
        <v/>
      </c>
      <c r="Z9" s="357">
        <f>'Cost Drivers'!Z10</f>
        <v/>
      </c>
      <c r="AA9" s="357">
        <f>'Cost Drivers'!AA10</f>
        <v/>
      </c>
      <c r="AB9" s="357">
        <f>'Cost Drivers'!AB10</f>
        <v/>
      </c>
      <c r="AC9" s="357">
        <f>'Cost Drivers'!AC10</f>
        <v/>
      </c>
      <c r="AD9" s="357">
        <f>'Cost Drivers'!AD10</f>
        <v/>
      </c>
      <c r="AE9" s="357">
        <f>'Cost Drivers'!AE10</f>
        <v/>
      </c>
      <c r="AF9" s="357">
        <f>'Cost Drivers'!AF10</f>
        <v/>
      </c>
      <c r="AG9" s="357">
        <f>'Cost Drivers'!AG10</f>
        <v/>
      </c>
      <c r="AH9" s="357">
        <f>'Cost Drivers'!AH10</f>
        <v/>
      </c>
      <c r="AI9" s="357">
        <f>'Cost Drivers'!AI10</f>
        <v/>
      </c>
      <c r="AJ9" s="357">
        <f>'Cost Drivers'!AJ10</f>
        <v/>
      </c>
      <c r="AK9" s="357">
        <f>'Cost Drivers'!AK10</f>
        <v/>
      </c>
      <c r="AL9" s="357">
        <f>'Cost Drivers'!AL10</f>
        <v/>
      </c>
      <c r="AM9" s="357">
        <f>'Cost Drivers'!AM10</f>
        <v/>
      </c>
      <c r="AN9" s="357">
        <f>'Cost Drivers'!AN10</f>
        <v/>
      </c>
      <c r="AO9" s="357">
        <f>'Cost Drivers'!AO10</f>
        <v/>
      </c>
      <c r="AP9" s="357">
        <f>'Cost Drivers'!AP10</f>
        <v/>
      </c>
      <c r="AQ9" s="357">
        <f>'Cost Drivers'!AQ10</f>
        <v/>
      </c>
      <c r="AR9" s="357">
        <f>'Cost Drivers'!AR10</f>
        <v/>
      </c>
      <c r="AS9" s="357">
        <f>'Cost Drivers'!AS10</f>
        <v/>
      </c>
      <c r="AT9" s="357">
        <f>'Cost Drivers'!AT10</f>
        <v/>
      </c>
      <c r="AU9" s="357">
        <f>'Cost Drivers'!AU10</f>
        <v/>
      </c>
      <c r="AV9" s="357">
        <f>'Cost Drivers'!AV10</f>
        <v/>
      </c>
      <c r="AW9" s="357">
        <f>'Cost Drivers'!AW10</f>
        <v/>
      </c>
    </row>
    <row r="10" customFormat="1" s="2">
      <c r="B10" s="115" t="inlineStr">
        <is>
          <t>Gross Profit</t>
        </is>
      </c>
      <c r="C10" s="359">
        <f>SUM(C8:C9)</f>
        <v/>
      </c>
      <c r="D10" s="359">
        <f>SUM(D8:D9)</f>
        <v/>
      </c>
      <c r="E10" s="359">
        <f>SUM(E8:E9)</f>
        <v/>
      </c>
      <c r="F10" s="359">
        <f>SUM(F8:F9)</f>
        <v/>
      </c>
      <c r="G10" s="360" t="n"/>
      <c r="H10" s="359">
        <f>SUM(H8:H9)</f>
        <v/>
      </c>
      <c r="I10" s="359">
        <f>SUM(I8:I9)</f>
        <v/>
      </c>
      <c r="J10" s="359">
        <f>SUM(J8:J9)</f>
        <v/>
      </c>
      <c r="K10" s="359">
        <f>SUM(K8:K9)</f>
        <v/>
      </c>
      <c r="L10" s="359">
        <f>SUM(L8:L9)</f>
        <v/>
      </c>
      <c r="M10" s="359">
        <f>SUM(M8:M9)</f>
        <v/>
      </c>
      <c r="N10" s="359">
        <f>SUM(N8:N9)</f>
        <v/>
      </c>
      <c r="O10" s="359">
        <f>SUM(O8:O9)</f>
        <v/>
      </c>
      <c r="P10" s="359">
        <f>SUM(P8:P9)</f>
        <v/>
      </c>
      <c r="Q10" s="359">
        <f>SUM(Q8:Q9)</f>
        <v/>
      </c>
      <c r="R10" s="359">
        <f>SUM(R8:R9)</f>
        <v/>
      </c>
      <c r="S10" s="359">
        <f>SUM(S8:S9)</f>
        <v/>
      </c>
      <c r="T10" s="359">
        <f>SUM(T8:T9)</f>
        <v/>
      </c>
      <c r="U10" s="359">
        <f>SUM(U8:U9)</f>
        <v/>
      </c>
      <c r="V10" s="359">
        <f>SUM(V8:V9)</f>
        <v/>
      </c>
      <c r="W10" s="359">
        <f>SUM(W8:W9)</f>
        <v/>
      </c>
      <c r="X10" s="359">
        <f>SUM(X8:X9)</f>
        <v/>
      </c>
      <c r="Y10" s="359">
        <f>SUM(Y8:Y9)</f>
        <v/>
      </c>
      <c r="Z10" s="359">
        <f>SUM(Z8:Z9)</f>
        <v/>
      </c>
      <c r="AA10" s="359">
        <f>SUM(AA8:AA9)</f>
        <v/>
      </c>
      <c r="AB10" s="359">
        <f>SUM(AB8:AB9)</f>
        <v/>
      </c>
      <c r="AC10" s="359">
        <f>SUM(AC8:AC9)</f>
        <v/>
      </c>
      <c r="AD10" s="359">
        <f>SUM(AD8:AD9)</f>
        <v/>
      </c>
      <c r="AE10" s="359">
        <f>SUM(AE8:AE9)</f>
        <v/>
      </c>
      <c r="AF10" s="359">
        <f>SUM(AF8:AF9)</f>
        <v/>
      </c>
      <c r="AG10" s="359">
        <f>SUM(AG8:AG9)</f>
        <v/>
      </c>
      <c r="AH10" s="359">
        <f>SUM(AH8:AH9)</f>
        <v/>
      </c>
      <c r="AI10" s="359">
        <f>SUM(AI8:AI9)</f>
        <v/>
      </c>
      <c r="AJ10" s="359">
        <f>SUM(AJ8:AJ9)</f>
        <v/>
      </c>
      <c r="AK10" s="359">
        <f>SUM(AK8:AK9)</f>
        <v/>
      </c>
      <c r="AL10" s="359">
        <f>SUM(AL8:AL9)</f>
        <v/>
      </c>
      <c r="AM10" s="359">
        <f>SUM(AM8:AM9)</f>
        <v/>
      </c>
      <c r="AN10" s="359">
        <f>SUM(AN8:AN9)</f>
        <v/>
      </c>
      <c r="AO10" s="359">
        <f>SUM(AO8:AO9)</f>
        <v/>
      </c>
      <c r="AP10" s="359">
        <f>SUM(AP8:AP9)</f>
        <v/>
      </c>
      <c r="AQ10" s="359">
        <f>SUM(AQ8:AQ9)</f>
        <v/>
      </c>
      <c r="AR10" s="359">
        <f>SUM(AR8:AR9)</f>
        <v/>
      </c>
      <c r="AS10" s="359">
        <f>SUM(AS8:AS9)</f>
        <v/>
      </c>
      <c r="AT10" s="359">
        <f>SUM(AT8:AT9)</f>
        <v/>
      </c>
      <c r="AU10" s="359">
        <f>SUM(AU8:AU9)</f>
        <v/>
      </c>
      <c r="AV10" s="359">
        <f>SUM(AV8:AV9)</f>
        <v/>
      </c>
      <c r="AW10" s="359">
        <f>SUM(AW8:AW9)</f>
        <v/>
      </c>
    </row>
    <row r="11" customFormat="1" s="2">
      <c r="C11" s="118" t="n"/>
      <c r="D11" s="118" t="n"/>
      <c r="E11" s="118" t="n"/>
      <c r="F11" s="118" t="n"/>
      <c r="G11" s="119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  <c r="R11" s="118" t="n"/>
      <c r="S11" s="118" t="n"/>
      <c r="T11" s="118" t="n"/>
      <c r="U11" s="118" t="n"/>
      <c r="V11" s="118" t="n"/>
      <c r="W11" s="118" t="n"/>
      <c r="X11" s="118" t="n"/>
      <c r="Y11" s="118" t="n"/>
      <c r="Z11" s="118" t="n"/>
      <c r="AA11" s="118" t="n"/>
      <c r="AB11" s="118" t="n"/>
      <c r="AC11" s="118" t="n"/>
      <c r="AD11" s="118" t="n"/>
      <c r="AE11" s="118" t="n"/>
      <c r="AF11" s="118" t="n"/>
      <c r="AG11" s="118" t="n"/>
      <c r="AH11" s="118" t="n"/>
      <c r="AI11" s="118" t="n"/>
      <c r="AJ11" s="118" t="n"/>
      <c r="AK11" s="118" t="n"/>
      <c r="AL11" s="118" t="n"/>
      <c r="AM11" s="118" t="n"/>
      <c r="AN11" s="118" t="n"/>
      <c r="AO11" s="118" t="n"/>
      <c r="AP11" s="118" t="n"/>
      <c r="AQ11" s="118" t="n"/>
      <c r="AR11" s="118" t="n"/>
      <c r="AS11" s="118" t="n"/>
      <c r="AT11" s="118" t="n"/>
      <c r="AU11" s="118" t="n"/>
      <c r="AV11" s="118" t="n"/>
      <c r="AW11" s="118" t="n"/>
    </row>
    <row r="12" customFormat="1" s="357">
      <c r="A12" s="1" t="n"/>
      <c r="B12" s="1" t="inlineStr">
        <is>
          <t>Pre Operating Expenses</t>
        </is>
      </c>
      <c r="C12" s="357">
        <f>'Cost Drivers'!C65</f>
        <v/>
      </c>
      <c r="H12" s="357">
        <f>'Cost Drivers'!C65</f>
        <v/>
      </c>
    </row>
    <row r="13" customFormat="1" s="357">
      <c r="A13" s="1" t="n"/>
      <c r="B13" s="120" t="inlineStr">
        <is>
          <t>Selling and Management</t>
        </is>
      </c>
      <c r="C13" s="357">
        <f>'Cost Drivers'!C15</f>
        <v/>
      </c>
      <c r="D13" s="357">
        <f>'Cost Drivers'!D15</f>
        <v/>
      </c>
      <c r="E13" s="357">
        <f>'Cost Drivers'!E15</f>
        <v/>
      </c>
      <c r="F13" s="357">
        <f>'Cost Drivers'!F15</f>
        <v/>
      </c>
      <c r="G13" s="358" t="n"/>
      <c r="H13" s="357">
        <f>'Cost Drivers'!H15</f>
        <v/>
      </c>
      <c r="I13" s="357">
        <f>'Cost Drivers'!I15</f>
        <v/>
      </c>
      <c r="J13" s="357">
        <f>'Cost Drivers'!J15</f>
        <v/>
      </c>
      <c r="K13" s="357">
        <f>'Cost Drivers'!K15</f>
        <v/>
      </c>
      <c r="L13" s="357">
        <f>'Cost Drivers'!L15</f>
        <v/>
      </c>
      <c r="M13" s="357">
        <f>'Cost Drivers'!M15</f>
        <v/>
      </c>
      <c r="N13" s="357">
        <f>'Cost Drivers'!N15</f>
        <v/>
      </c>
      <c r="O13" s="357">
        <f>'Cost Drivers'!O15</f>
        <v/>
      </c>
      <c r="P13" s="357">
        <f>'Cost Drivers'!P15</f>
        <v/>
      </c>
      <c r="Q13" s="357">
        <f>'Cost Drivers'!Q15</f>
        <v/>
      </c>
      <c r="R13" s="357">
        <f>'Cost Drivers'!R15</f>
        <v/>
      </c>
      <c r="S13" s="357">
        <f>'Cost Drivers'!S15</f>
        <v/>
      </c>
      <c r="T13" s="357">
        <f>'Cost Drivers'!T15</f>
        <v/>
      </c>
      <c r="U13" s="357">
        <f>'Cost Drivers'!U15</f>
        <v/>
      </c>
      <c r="V13" s="357">
        <f>'Cost Drivers'!V15</f>
        <v/>
      </c>
      <c r="W13" s="357">
        <f>'Cost Drivers'!W15</f>
        <v/>
      </c>
      <c r="X13" s="357">
        <f>'Cost Drivers'!X15</f>
        <v/>
      </c>
      <c r="Y13" s="357">
        <f>'Cost Drivers'!Y15</f>
        <v/>
      </c>
      <c r="Z13" s="357">
        <f>'Cost Drivers'!Z15</f>
        <v/>
      </c>
      <c r="AA13" s="357">
        <f>'Cost Drivers'!AA15</f>
        <v/>
      </c>
      <c r="AB13" s="357">
        <f>'Cost Drivers'!AB15</f>
        <v/>
      </c>
      <c r="AC13" s="357">
        <f>'Cost Drivers'!AC15</f>
        <v/>
      </c>
      <c r="AD13" s="357">
        <f>'Cost Drivers'!AD15</f>
        <v/>
      </c>
      <c r="AE13" s="357">
        <f>'Cost Drivers'!AE15</f>
        <v/>
      </c>
      <c r="AF13" s="357">
        <f>'Cost Drivers'!AF15</f>
        <v/>
      </c>
      <c r="AG13" s="357">
        <f>'Cost Drivers'!AG15</f>
        <v/>
      </c>
      <c r="AH13" s="357">
        <f>'Cost Drivers'!AH15</f>
        <v/>
      </c>
      <c r="AI13" s="357">
        <f>'Cost Drivers'!AI15</f>
        <v/>
      </c>
      <c r="AJ13" s="357">
        <f>'Cost Drivers'!AJ15</f>
        <v/>
      </c>
      <c r="AK13" s="357">
        <f>'Cost Drivers'!AK15</f>
        <v/>
      </c>
      <c r="AL13" s="357">
        <f>'Cost Drivers'!AL15</f>
        <v/>
      </c>
      <c r="AM13" s="357">
        <f>'Cost Drivers'!AM15</f>
        <v/>
      </c>
      <c r="AN13" s="357">
        <f>'Cost Drivers'!AN15</f>
        <v/>
      </c>
      <c r="AO13" s="357">
        <f>'Cost Drivers'!AO15</f>
        <v/>
      </c>
      <c r="AP13" s="357">
        <f>'Cost Drivers'!AP15</f>
        <v/>
      </c>
      <c r="AQ13" s="357">
        <f>'Cost Drivers'!AQ15</f>
        <v/>
      </c>
      <c r="AR13" s="357">
        <f>'Cost Drivers'!AR15</f>
        <v/>
      </c>
      <c r="AS13" s="357">
        <f>'Cost Drivers'!AS15</f>
        <v/>
      </c>
      <c r="AT13" s="357">
        <f>'Cost Drivers'!AT15</f>
        <v/>
      </c>
      <c r="AU13" s="357">
        <f>'Cost Drivers'!AU15</f>
        <v/>
      </c>
      <c r="AV13" s="357">
        <f>'Cost Drivers'!AV15</f>
        <v/>
      </c>
      <c r="AW13" s="357">
        <f>'Cost Drivers'!AW15</f>
        <v/>
      </c>
    </row>
    <row r="14" customFormat="1" s="357">
      <c r="A14" s="1" t="n"/>
      <c r="B14" s="120" t="inlineStr">
        <is>
          <t>Advertising and Marketing</t>
        </is>
      </c>
      <c r="C14" s="357">
        <f>'Cost Drivers'!C18</f>
        <v/>
      </c>
      <c r="D14" s="357">
        <f>'Cost Drivers'!D18</f>
        <v/>
      </c>
      <c r="E14" s="357">
        <f>'Cost Drivers'!E18</f>
        <v/>
      </c>
      <c r="F14" s="357">
        <f>'Cost Drivers'!F18</f>
        <v/>
      </c>
      <c r="G14" s="358" t="n"/>
      <c r="H14" s="357">
        <f>'Cost Drivers'!H18</f>
        <v/>
      </c>
      <c r="I14" s="357">
        <f>'Cost Drivers'!I18</f>
        <v/>
      </c>
      <c r="J14" s="357">
        <f>'Cost Drivers'!J18</f>
        <v/>
      </c>
      <c r="K14" s="357">
        <f>'Cost Drivers'!K18</f>
        <v/>
      </c>
      <c r="L14" s="357">
        <f>'Cost Drivers'!L18</f>
        <v/>
      </c>
      <c r="M14" s="357">
        <f>'Cost Drivers'!M18</f>
        <v/>
      </c>
      <c r="N14" s="357">
        <f>'Cost Drivers'!N18</f>
        <v/>
      </c>
      <c r="O14" s="357">
        <f>'Cost Drivers'!O18</f>
        <v/>
      </c>
      <c r="P14" s="357">
        <f>'Cost Drivers'!P18</f>
        <v/>
      </c>
      <c r="Q14" s="357">
        <f>'Cost Drivers'!Q18</f>
        <v/>
      </c>
      <c r="R14" s="357">
        <f>'Cost Drivers'!R18</f>
        <v/>
      </c>
      <c r="S14" s="357">
        <f>'Cost Drivers'!S18</f>
        <v/>
      </c>
      <c r="T14" s="357">
        <f>'Cost Drivers'!T18</f>
        <v/>
      </c>
      <c r="U14" s="357">
        <f>'Cost Drivers'!U18</f>
        <v/>
      </c>
      <c r="V14" s="357">
        <f>'Cost Drivers'!V18</f>
        <v/>
      </c>
      <c r="W14" s="357">
        <f>'Cost Drivers'!W18</f>
        <v/>
      </c>
      <c r="X14" s="357">
        <f>'Cost Drivers'!X18</f>
        <v/>
      </c>
      <c r="Y14" s="357">
        <f>'Cost Drivers'!Y18</f>
        <v/>
      </c>
      <c r="Z14" s="357">
        <f>'Cost Drivers'!Z18</f>
        <v/>
      </c>
      <c r="AA14" s="357">
        <f>'Cost Drivers'!AA18</f>
        <v/>
      </c>
      <c r="AB14" s="357">
        <f>'Cost Drivers'!AB18</f>
        <v/>
      </c>
      <c r="AC14" s="357">
        <f>'Cost Drivers'!AC18</f>
        <v/>
      </c>
      <c r="AD14" s="357">
        <f>'Cost Drivers'!AD18</f>
        <v/>
      </c>
      <c r="AE14" s="357">
        <f>'Cost Drivers'!AE18</f>
        <v/>
      </c>
      <c r="AF14" s="357">
        <f>'Cost Drivers'!AF18</f>
        <v/>
      </c>
      <c r="AG14" s="357">
        <f>'Cost Drivers'!AG18</f>
        <v/>
      </c>
      <c r="AH14" s="357">
        <f>'Cost Drivers'!AH18</f>
        <v/>
      </c>
      <c r="AI14" s="357">
        <f>'Cost Drivers'!AI18</f>
        <v/>
      </c>
      <c r="AJ14" s="357">
        <f>'Cost Drivers'!AJ18</f>
        <v/>
      </c>
      <c r="AK14" s="357">
        <f>'Cost Drivers'!AK18</f>
        <v/>
      </c>
      <c r="AL14" s="357">
        <f>'Cost Drivers'!AL18</f>
        <v/>
      </c>
      <c r="AM14" s="357">
        <f>'Cost Drivers'!AM18</f>
        <v/>
      </c>
      <c r="AN14" s="357">
        <f>'Cost Drivers'!AN18</f>
        <v/>
      </c>
      <c r="AO14" s="357">
        <f>'Cost Drivers'!AO18</f>
        <v/>
      </c>
      <c r="AP14" s="357">
        <f>'Cost Drivers'!AP18</f>
        <v/>
      </c>
      <c r="AQ14" s="357">
        <f>'Cost Drivers'!AQ18</f>
        <v/>
      </c>
      <c r="AR14" s="357">
        <f>'Cost Drivers'!AR18</f>
        <v/>
      </c>
      <c r="AS14" s="357">
        <f>'Cost Drivers'!AS18</f>
        <v/>
      </c>
      <c r="AT14" s="357">
        <f>'Cost Drivers'!AT18</f>
        <v/>
      </c>
      <c r="AU14" s="357">
        <f>'Cost Drivers'!AU18</f>
        <v/>
      </c>
      <c r="AV14" s="357">
        <f>'Cost Drivers'!AV18</f>
        <v/>
      </c>
      <c r="AW14" s="357">
        <f>'Cost Drivers'!AW18</f>
        <v/>
      </c>
    </row>
    <row r="15" customFormat="1" s="357">
      <c r="A15" s="1" t="n"/>
      <c r="B15" s="120" t="inlineStr">
        <is>
          <t>Travelling Expenses</t>
        </is>
      </c>
      <c r="C15" s="357">
        <f>'Cost Drivers'!C21</f>
        <v/>
      </c>
      <c r="D15" s="357">
        <f>'Cost Drivers'!D21</f>
        <v/>
      </c>
      <c r="E15" s="357">
        <f>'Cost Drivers'!E21</f>
        <v/>
      </c>
      <c r="F15" s="357">
        <f>'Cost Drivers'!F21</f>
        <v/>
      </c>
      <c r="G15" s="358" t="n"/>
      <c r="H15" s="357">
        <f>'Cost Drivers'!H21</f>
        <v/>
      </c>
      <c r="I15" s="357">
        <f>'Cost Drivers'!I21</f>
        <v/>
      </c>
      <c r="J15" s="357">
        <f>'Cost Drivers'!J21</f>
        <v/>
      </c>
      <c r="K15" s="357">
        <f>'Cost Drivers'!K21</f>
        <v/>
      </c>
      <c r="L15" s="357">
        <f>'Cost Drivers'!L21</f>
        <v/>
      </c>
      <c r="M15" s="357">
        <f>'Cost Drivers'!M21</f>
        <v/>
      </c>
      <c r="N15" s="357">
        <f>'Cost Drivers'!N21</f>
        <v/>
      </c>
      <c r="O15" s="357">
        <f>'Cost Drivers'!O21</f>
        <v/>
      </c>
      <c r="P15" s="357">
        <f>'Cost Drivers'!P21</f>
        <v/>
      </c>
      <c r="Q15" s="357">
        <f>'Cost Drivers'!Q21</f>
        <v/>
      </c>
      <c r="R15" s="357">
        <f>'Cost Drivers'!R21</f>
        <v/>
      </c>
      <c r="S15" s="357">
        <f>'Cost Drivers'!S21</f>
        <v/>
      </c>
      <c r="T15" s="357">
        <f>'Cost Drivers'!T21</f>
        <v/>
      </c>
      <c r="U15" s="357">
        <f>'Cost Drivers'!U21</f>
        <v/>
      </c>
      <c r="V15" s="357">
        <f>'Cost Drivers'!V21</f>
        <v/>
      </c>
      <c r="W15" s="357">
        <f>'Cost Drivers'!W21</f>
        <v/>
      </c>
      <c r="X15" s="357">
        <f>'Cost Drivers'!X21</f>
        <v/>
      </c>
      <c r="Y15" s="357">
        <f>'Cost Drivers'!Y21</f>
        <v/>
      </c>
      <c r="Z15" s="357">
        <f>'Cost Drivers'!Z21</f>
        <v/>
      </c>
      <c r="AA15" s="357">
        <f>'Cost Drivers'!AA21</f>
        <v/>
      </c>
      <c r="AB15" s="357">
        <f>'Cost Drivers'!AB21</f>
        <v/>
      </c>
      <c r="AC15" s="357">
        <f>'Cost Drivers'!AC21</f>
        <v/>
      </c>
      <c r="AD15" s="357">
        <f>'Cost Drivers'!AD21</f>
        <v/>
      </c>
      <c r="AE15" s="357">
        <f>'Cost Drivers'!AE21</f>
        <v/>
      </c>
      <c r="AF15" s="357">
        <f>'Cost Drivers'!AF21</f>
        <v/>
      </c>
      <c r="AG15" s="357">
        <f>'Cost Drivers'!AG21</f>
        <v/>
      </c>
      <c r="AH15" s="357">
        <f>'Cost Drivers'!AH21</f>
        <v/>
      </c>
      <c r="AI15" s="357">
        <f>'Cost Drivers'!AI21</f>
        <v/>
      </c>
      <c r="AJ15" s="357">
        <f>'Cost Drivers'!AJ21</f>
        <v/>
      </c>
      <c r="AK15" s="357">
        <f>'Cost Drivers'!AK21</f>
        <v/>
      </c>
      <c r="AL15" s="357">
        <f>'Cost Drivers'!AL21</f>
        <v/>
      </c>
      <c r="AM15" s="357">
        <f>'Cost Drivers'!AM21</f>
        <v/>
      </c>
      <c r="AN15" s="357">
        <f>'Cost Drivers'!AN21</f>
        <v/>
      </c>
      <c r="AO15" s="357">
        <f>'Cost Drivers'!AO21</f>
        <v/>
      </c>
      <c r="AP15" s="357">
        <f>'Cost Drivers'!AP21</f>
        <v/>
      </c>
      <c r="AQ15" s="357">
        <f>'Cost Drivers'!AQ21</f>
        <v/>
      </c>
      <c r="AR15" s="357">
        <f>'Cost Drivers'!AR21</f>
        <v/>
      </c>
      <c r="AS15" s="357">
        <f>'Cost Drivers'!AS21</f>
        <v/>
      </c>
      <c r="AT15" s="357">
        <f>'Cost Drivers'!AT21</f>
        <v/>
      </c>
      <c r="AU15" s="357">
        <f>'Cost Drivers'!AU21</f>
        <v/>
      </c>
      <c r="AV15" s="357">
        <f>'Cost Drivers'!AV21</f>
        <v/>
      </c>
      <c r="AW15" s="357">
        <f>'Cost Drivers'!AW21</f>
        <v/>
      </c>
    </row>
    <row r="16" customFormat="1" s="357">
      <c r="A16" s="1" t="n"/>
      <c r="B16" s="120" t="inlineStr">
        <is>
          <t>Support and Maintenance</t>
        </is>
      </c>
      <c r="C16" s="357">
        <f>'Cost Drivers'!C24</f>
        <v/>
      </c>
      <c r="D16" s="357">
        <f>'Cost Drivers'!D24</f>
        <v/>
      </c>
      <c r="E16" s="357">
        <f>'Cost Drivers'!E24</f>
        <v/>
      </c>
      <c r="F16" s="357">
        <f>'Cost Drivers'!F24</f>
        <v/>
      </c>
      <c r="G16" s="358" t="n"/>
      <c r="H16" s="357">
        <f>'Cost Drivers'!H24</f>
        <v/>
      </c>
      <c r="I16" s="357">
        <f>'Cost Drivers'!I24</f>
        <v/>
      </c>
      <c r="J16" s="357">
        <f>'Cost Drivers'!J24</f>
        <v/>
      </c>
      <c r="K16" s="357">
        <f>'Cost Drivers'!K24</f>
        <v/>
      </c>
      <c r="L16" s="357">
        <f>'Cost Drivers'!L24</f>
        <v/>
      </c>
      <c r="M16" s="357">
        <f>'Cost Drivers'!M24</f>
        <v/>
      </c>
      <c r="N16" s="357">
        <f>'Cost Drivers'!N24</f>
        <v/>
      </c>
      <c r="O16" s="357">
        <f>'Cost Drivers'!O24</f>
        <v/>
      </c>
      <c r="P16" s="357">
        <f>'Cost Drivers'!P24</f>
        <v/>
      </c>
      <c r="Q16" s="357">
        <f>'Cost Drivers'!Q24</f>
        <v/>
      </c>
      <c r="R16" s="357">
        <f>'Cost Drivers'!R24</f>
        <v/>
      </c>
      <c r="S16" s="357">
        <f>'Cost Drivers'!S24</f>
        <v/>
      </c>
      <c r="T16" s="357">
        <f>'Cost Drivers'!T24</f>
        <v/>
      </c>
      <c r="U16" s="357">
        <f>'Cost Drivers'!U24</f>
        <v/>
      </c>
      <c r="V16" s="357">
        <f>'Cost Drivers'!V24</f>
        <v/>
      </c>
      <c r="W16" s="357">
        <f>'Cost Drivers'!W24</f>
        <v/>
      </c>
      <c r="X16" s="357">
        <f>'Cost Drivers'!X24</f>
        <v/>
      </c>
      <c r="Y16" s="357">
        <f>'Cost Drivers'!Y24</f>
        <v/>
      </c>
      <c r="Z16" s="357">
        <f>'Cost Drivers'!Z24</f>
        <v/>
      </c>
      <c r="AA16" s="357">
        <f>'Cost Drivers'!AA24</f>
        <v/>
      </c>
      <c r="AB16" s="357">
        <f>'Cost Drivers'!AB24</f>
        <v/>
      </c>
      <c r="AC16" s="357">
        <f>'Cost Drivers'!AC24</f>
        <v/>
      </c>
      <c r="AD16" s="357">
        <f>'Cost Drivers'!AD24</f>
        <v/>
      </c>
      <c r="AE16" s="357">
        <f>'Cost Drivers'!AE24</f>
        <v/>
      </c>
      <c r="AF16" s="357">
        <f>'Cost Drivers'!AF24</f>
        <v/>
      </c>
      <c r="AG16" s="357">
        <f>'Cost Drivers'!AG24</f>
        <v/>
      </c>
      <c r="AH16" s="357">
        <f>'Cost Drivers'!AH24</f>
        <v/>
      </c>
      <c r="AI16" s="357">
        <f>'Cost Drivers'!AI24</f>
        <v/>
      </c>
      <c r="AJ16" s="357">
        <f>'Cost Drivers'!AJ24</f>
        <v/>
      </c>
      <c r="AK16" s="357">
        <f>'Cost Drivers'!AK24</f>
        <v/>
      </c>
      <c r="AL16" s="357">
        <f>'Cost Drivers'!AL24</f>
        <v/>
      </c>
      <c r="AM16" s="357">
        <f>'Cost Drivers'!AM24</f>
        <v/>
      </c>
      <c r="AN16" s="357">
        <f>'Cost Drivers'!AN24</f>
        <v/>
      </c>
      <c r="AO16" s="357">
        <f>'Cost Drivers'!AO24</f>
        <v/>
      </c>
      <c r="AP16" s="357">
        <f>'Cost Drivers'!AP24</f>
        <v/>
      </c>
      <c r="AQ16" s="357">
        <f>'Cost Drivers'!AQ24</f>
        <v/>
      </c>
      <c r="AR16" s="357">
        <f>'Cost Drivers'!AR24</f>
        <v/>
      </c>
      <c r="AS16" s="357">
        <f>'Cost Drivers'!AS24</f>
        <v/>
      </c>
      <c r="AT16" s="357">
        <f>'Cost Drivers'!AT24</f>
        <v/>
      </c>
      <c r="AU16" s="357">
        <f>'Cost Drivers'!AU24</f>
        <v/>
      </c>
      <c r="AV16" s="357">
        <f>'Cost Drivers'!AV24</f>
        <v/>
      </c>
      <c r="AW16" s="357">
        <f>'Cost Drivers'!AW24</f>
        <v/>
      </c>
    </row>
    <row r="17" customFormat="1" s="357">
      <c r="A17" s="1" t="n"/>
      <c r="B17" s="120" t="inlineStr">
        <is>
          <t>Other Operating Expenses 1</t>
        </is>
      </c>
      <c r="C17" s="357">
        <f>'Cost Drivers'!C27</f>
        <v/>
      </c>
      <c r="D17" s="357">
        <f>'Cost Drivers'!D27</f>
        <v/>
      </c>
      <c r="E17" s="357">
        <f>'Cost Drivers'!E27</f>
        <v/>
      </c>
      <c r="F17" s="357">
        <f>'Cost Drivers'!F27</f>
        <v/>
      </c>
      <c r="G17" s="358" t="n"/>
      <c r="H17" s="357">
        <f>'Cost Drivers'!H27</f>
        <v/>
      </c>
      <c r="I17" s="357">
        <f>'Cost Drivers'!I27</f>
        <v/>
      </c>
      <c r="J17" s="357">
        <f>'Cost Drivers'!J27</f>
        <v/>
      </c>
      <c r="K17" s="357">
        <f>'Cost Drivers'!K27</f>
        <v/>
      </c>
      <c r="L17" s="357">
        <f>'Cost Drivers'!L27</f>
        <v/>
      </c>
      <c r="M17" s="357">
        <f>'Cost Drivers'!M27</f>
        <v/>
      </c>
      <c r="N17" s="357">
        <f>'Cost Drivers'!N27</f>
        <v/>
      </c>
      <c r="O17" s="357">
        <f>'Cost Drivers'!O27</f>
        <v/>
      </c>
      <c r="P17" s="357">
        <f>'Cost Drivers'!P27</f>
        <v/>
      </c>
      <c r="Q17" s="357">
        <f>'Cost Drivers'!Q27</f>
        <v/>
      </c>
      <c r="R17" s="357">
        <f>'Cost Drivers'!R27</f>
        <v/>
      </c>
      <c r="S17" s="357">
        <f>'Cost Drivers'!S27</f>
        <v/>
      </c>
      <c r="T17" s="357">
        <f>'Cost Drivers'!T27</f>
        <v/>
      </c>
      <c r="U17" s="357">
        <f>'Cost Drivers'!U27</f>
        <v/>
      </c>
      <c r="V17" s="357">
        <f>'Cost Drivers'!V27</f>
        <v/>
      </c>
      <c r="W17" s="357">
        <f>'Cost Drivers'!W27</f>
        <v/>
      </c>
      <c r="X17" s="357">
        <f>'Cost Drivers'!X27</f>
        <v/>
      </c>
      <c r="Y17" s="357">
        <f>'Cost Drivers'!Y27</f>
        <v/>
      </c>
      <c r="Z17" s="357">
        <f>'Cost Drivers'!Z27</f>
        <v/>
      </c>
      <c r="AA17" s="357">
        <f>'Cost Drivers'!AA27</f>
        <v/>
      </c>
      <c r="AB17" s="357">
        <f>'Cost Drivers'!AB27</f>
        <v/>
      </c>
      <c r="AC17" s="357">
        <f>'Cost Drivers'!AC27</f>
        <v/>
      </c>
      <c r="AD17" s="357">
        <f>'Cost Drivers'!AD27</f>
        <v/>
      </c>
      <c r="AE17" s="357">
        <f>'Cost Drivers'!AE27</f>
        <v/>
      </c>
      <c r="AF17" s="357">
        <f>'Cost Drivers'!AF27</f>
        <v/>
      </c>
      <c r="AG17" s="357">
        <f>'Cost Drivers'!AG27</f>
        <v/>
      </c>
      <c r="AH17" s="357">
        <f>'Cost Drivers'!AH27</f>
        <v/>
      </c>
      <c r="AI17" s="357">
        <f>'Cost Drivers'!AI27</f>
        <v/>
      </c>
      <c r="AJ17" s="357">
        <f>'Cost Drivers'!AJ27</f>
        <v/>
      </c>
      <c r="AK17" s="357">
        <f>'Cost Drivers'!AK27</f>
        <v/>
      </c>
      <c r="AL17" s="357">
        <f>'Cost Drivers'!AL27</f>
        <v/>
      </c>
      <c r="AM17" s="357">
        <f>'Cost Drivers'!AM27</f>
        <v/>
      </c>
      <c r="AN17" s="357">
        <f>'Cost Drivers'!AN27</f>
        <v/>
      </c>
      <c r="AO17" s="357">
        <f>'Cost Drivers'!AO27</f>
        <v/>
      </c>
      <c r="AP17" s="357">
        <f>'Cost Drivers'!AP27</f>
        <v/>
      </c>
      <c r="AQ17" s="357">
        <f>'Cost Drivers'!AQ27</f>
        <v/>
      </c>
      <c r="AR17" s="357">
        <f>'Cost Drivers'!AR27</f>
        <v/>
      </c>
      <c r="AS17" s="357">
        <f>'Cost Drivers'!AS27</f>
        <v/>
      </c>
      <c r="AT17" s="357">
        <f>'Cost Drivers'!AT27</f>
        <v/>
      </c>
      <c r="AU17" s="357">
        <f>'Cost Drivers'!AU27</f>
        <v/>
      </c>
      <c r="AV17" s="357">
        <f>'Cost Drivers'!AV27</f>
        <v/>
      </c>
      <c r="AW17" s="357">
        <f>'Cost Drivers'!AW27</f>
        <v/>
      </c>
    </row>
    <row r="18" customFormat="1" s="357">
      <c r="A18" s="1" t="n"/>
      <c r="B18" s="120" t="inlineStr">
        <is>
          <t>Other Operating Expenses 2</t>
        </is>
      </c>
      <c r="C18" s="357">
        <f>'Cost Drivers'!C30</f>
        <v/>
      </c>
      <c r="D18" s="357">
        <f>'Cost Drivers'!D30</f>
        <v/>
      </c>
      <c r="E18" s="357">
        <f>'Cost Drivers'!E30</f>
        <v/>
      </c>
      <c r="F18" s="357">
        <f>'Cost Drivers'!F30</f>
        <v/>
      </c>
      <c r="G18" s="358" t="n"/>
      <c r="H18" s="357">
        <f>'Cost Drivers'!H30</f>
        <v/>
      </c>
      <c r="I18" s="357">
        <f>'Cost Drivers'!I30</f>
        <v/>
      </c>
      <c r="J18" s="357">
        <f>'Cost Drivers'!J30</f>
        <v/>
      </c>
      <c r="K18" s="357">
        <f>'Cost Drivers'!K30</f>
        <v/>
      </c>
      <c r="L18" s="357">
        <f>'Cost Drivers'!L30</f>
        <v/>
      </c>
      <c r="M18" s="357">
        <f>'Cost Drivers'!M30</f>
        <v/>
      </c>
      <c r="N18" s="357">
        <f>'Cost Drivers'!N30</f>
        <v/>
      </c>
      <c r="O18" s="357">
        <f>'Cost Drivers'!O30</f>
        <v/>
      </c>
      <c r="P18" s="357">
        <f>'Cost Drivers'!P30</f>
        <v/>
      </c>
      <c r="Q18" s="357">
        <f>'Cost Drivers'!Q30</f>
        <v/>
      </c>
      <c r="R18" s="357">
        <f>'Cost Drivers'!R30</f>
        <v/>
      </c>
      <c r="S18" s="357">
        <f>'Cost Drivers'!S30</f>
        <v/>
      </c>
      <c r="T18" s="357">
        <f>'Cost Drivers'!T30</f>
        <v/>
      </c>
      <c r="U18" s="357">
        <f>'Cost Drivers'!U30</f>
        <v/>
      </c>
      <c r="V18" s="357">
        <f>'Cost Drivers'!V30</f>
        <v/>
      </c>
      <c r="W18" s="357">
        <f>'Cost Drivers'!W30</f>
        <v/>
      </c>
      <c r="X18" s="357">
        <f>'Cost Drivers'!X30</f>
        <v/>
      </c>
      <c r="Y18" s="357">
        <f>'Cost Drivers'!Y30</f>
        <v/>
      </c>
      <c r="Z18" s="357">
        <f>'Cost Drivers'!Z30</f>
        <v/>
      </c>
      <c r="AA18" s="357">
        <f>'Cost Drivers'!AA30</f>
        <v/>
      </c>
      <c r="AB18" s="357">
        <f>'Cost Drivers'!AB30</f>
        <v/>
      </c>
      <c r="AC18" s="357">
        <f>'Cost Drivers'!AC30</f>
        <v/>
      </c>
      <c r="AD18" s="357">
        <f>'Cost Drivers'!AD30</f>
        <v/>
      </c>
      <c r="AE18" s="357">
        <f>'Cost Drivers'!AE30</f>
        <v/>
      </c>
      <c r="AF18" s="357">
        <f>'Cost Drivers'!AF30</f>
        <v/>
      </c>
      <c r="AG18" s="357">
        <f>'Cost Drivers'!AG30</f>
        <v/>
      </c>
      <c r="AH18" s="357">
        <f>'Cost Drivers'!AH30</f>
        <v/>
      </c>
      <c r="AI18" s="357">
        <f>'Cost Drivers'!AI30</f>
        <v/>
      </c>
      <c r="AJ18" s="357">
        <f>'Cost Drivers'!AJ30</f>
        <v/>
      </c>
      <c r="AK18" s="357">
        <f>'Cost Drivers'!AK30</f>
        <v/>
      </c>
      <c r="AL18" s="357">
        <f>'Cost Drivers'!AL30</f>
        <v/>
      </c>
      <c r="AM18" s="357">
        <f>'Cost Drivers'!AM30</f>
        <v/>
      </c>
      <c r="AN18" s="357">
        <f>'Cost Drivers'!AN30</f>
        <v/>
      </c>
      <c r="AO18" s="357">
        <f>'Cost Drivers'!AO30</f>
        <v/>
      </c>
      <c r="AP18" s="357">
        <f>'Cost Drivers'!AP30</f>
        <v/>
      </c>
      <c r="AQ18" s="357">
        <f>'Cost Drivers'!AQ30</f>
        <v/>
      </c>
      <c r="AR18" s="357">
        <f>'Cost Drivers'!AR30</f>
        <v/>
      </c>
      <c r="AS18" s="357">
        <f>'Cost Drivers'!AS30</f>
        <v/>
      </c>
      <c r="AT18" s="357">
        <f>'Cost Drivers'!AT30</f>
        <v/>
      </c>
      <c r="AU18" s="357">
        <f>'Cost Drivers'!AU30</f>
        <v/>
      </c>
      <c r="AV18" s="357">
        <f>'Cost Drivers'!AV30</f>
        <v/>
      </c>
      <c r="AW18" s="357">
        <f>'Cost Drivers'!AW30</f>
        <v/>
      </c>
    </row>
    <row r="19" customFormat="1" s="357">
      <c r="A19" s="1" t="n"/>
      <c r="B19" s="120" t="inlineStr">
        <is>
          <t>Other Operating Expenses 3</t>
        </is>
      </c>
      <c r="C19" s="357">
        <f>'Cost Drivers'!C33</f>
        <v/>
      </c>
      <c r="D19" s="357">
        <f>'Cost Drivers'!D33</f>
        <v/>
      </c>
      <c r="E19" s="357">
        <f>'Cost Drivers'!E33</f>
        <v/>
      </c>
      <c r="F19" s="357">
        <f>'Cost Drivers'!F33</f>
        <v/>
      </c>
      <c r="G19" s="358" t="n"/>
      <c r="H19" s="357">
        <f>'Cost Drivers'!H33</f>
        <v/>
      </c>
      <c r="I19" s="357">
        <f>'Cost Drivers'!I33</f>
        <v/>
      </c>
      <c r="J19" s="357">
        <f>'Cost Drivers'!J33</f>
        <v/>
      </c>
      <c r="K19" s="357">
        <f>'Cost Drivers'!K33</f>
        <v/>
      </c>
      <c r="L19" s="357">
        <f>'Cost Drivers'!L33</f>
        <v/>
      </c>
      <c r="M19" s="357">
        <f>'Cost Drivers'!M33</f>
        <v/>
      </c>
      <c r="N19" s="357">
        <f>'Cost Drivers'!N33</f>
        <v/>
      </c>
      <c r="O19" s="357">
        <f>'Cost Drivers'!O33</f>
        <v/>
      </c>
      <c r="P19" s="357">
        <f>'Cost Drivers'!P33</f>
        <v/>
      </c>
      <c r="Q19" s="357">
        <f>'Cost Drivers'!Q33</f>
        <v/>
      </c>
      <c r="R19" s="357">
        <f>'Cost Drivers'!R33</f>
        <v/>
      </c>
      <c r="S19" s="357">
        <f>'Cost Drivers'!S33</f>
        <v/>
      </c>
      <c r="T19" s="357">
        <f>'Cost Drivers'!T33</f>
        <v/>
      </c>
      <c r="U19" s="357">
        <f>'Cost Drivers'!U33</f>
        <v/>
      </c>
      <c r="V19" s="357">
        <f>'Cost Drivers'!V33</f>
        <v/>
      </c>
      <c r="W19" s="357">
        <f>'Cost Drivers'!W33</f>
        <v/>
      </c>
      <c r="X19" s="357">
        <f>'Cost Drivers'!X33</f>
        <v/>
      </c>
      <c r="Y19" s="357">
        <f>'Cost Drivers'!Y33</f>
        <v/>
      </c>
      <c r="Z19" s="357">
        <f>'Cost Drivers'!Z33</f>
        <v/>
      </c>
      <c r="AA19" s="357">
        <f>'Cost Drivers'!AA33</f>
        <v/>
      </c>
      <c r="AB19" s="357">
        <f>'Cost Drivers'!AB33</f>
        <v/>
      </c>
      <c r="AC19" s="357">
        <f>'Cost Drivers'!AC33</f>
        <v/>
      </c>
      <c r="AD19" s="357">
        <f>'Cost Drivers'!AD33</f>
        <v/>
      </c>
      <c r="AE19" s="357">
        <f>'Cost Drivers'!AE33</f>
        <v/>
      </c>
      <c r="AF19" s="357">
        <f>'Cost Drivers'!AF33</f>
        <v/>
      </c>
      <c r="AG19" s="357">
        <f>'Cost Drivers'!AG33</f>
        <v/>
      </c>
      <c r="AH19" s="357">
        <f>'Cost Drivers'!AH33</f>
        <v/>
      </c>
      <c r="AI19" s="357">
        <f>'Cost Drivers'!AI33</f>
        <v/>
      </c>
      <c r="AJ19" s="357">
        <f>'Cost Drivers'!AJ33</f>
        <v/>
      </c>
      <c r="AK19" s="357">
        <f>'Cost Drivers'!AK33</f>
        <v/>
      </c>
      <c r="AL19" s="357">
        <f>'Cost Drivers'!AL33</f>
        <v/>
      </c>
      <c r="AM19" s="357">
        <f>'Cost Drivers'!AM33</f>
        <v/>
      </c>
      <c r="AN19" s="357">
        <f>'Cost Drivers'!AN33</f>
        <v/>
      </c>
      <c r="AO19" s="357">
        <f>'Cost Drivers'!AO33</f>
        <v/>
      </c>
      <c r="AP19" s="357">
        <f>'Cost Drivers'!AP33</f>
        <v/>
      </c>
      <c r="AQ19" s="357">
        <f>'Cost Drivers'!AQ33</f>
        <v/>
      </c>
      <c r="AR19" s="357">
        <f>'Cost Drivers'!AR33</f>
        <v/>
      </c>
      <c r="AS19" s="357">
        <f>'Cost Drivers'!AS33</f>
        <v/>
      </c>
      <c r="AT19" s="357">
        <f>'Cost Drivers'!AT33</f>
        <v/>
      </c>
      <c r="AU19" s="357">
        <f>'Cost Drivers'!AU33</f>
        <v/>
      </c>
      <c r="AV19" s="357">
        <f>'Cost Drivers'!AV33</f>
        <v/>
      </c>
      <c r="AW19" s="357">
        <f>'Cost Drivers'!AW33</f>
        <v/>
      </c>
    </row>
    <row r="20" customFormat="1" s="357">
      <c r="A20" s="1" t="n"/>
      <c r="B20" s="120" t="inlineStr">
        <is>
          <t>Other Operating Expenses 4</t>
        </is>
      </c>
      <c r="C20" s="357">
        <f>'Cost Drivers'!C36</f>
        <v/>
      </c>
      <c r="D20" s="357">
        <f>'Cost Drivers'!D36</f>
        <v/>
      </c>
      <c r="E20" s="357">
        <f>'Cost Drivers'!E36</f>
        <v/>
      </c>
      <c r="F20" s="357">
        <f>'Cost Drivers'!F36</f>
        <v/>
      </c>
      <c r="G20" s="358" t="n"/>
      <c r="H20" s="357">
        <f>'Cost Drivers'!H36</f>
        <v/>
      </c>
      <c r="I20" s="357">
        <f>'Cost Drivers'!I36</f>
        <v/>
      </c>
      <c r="J20" s="357">
        <f>'Cost Drivers'!J36</f>
        <v/>
      </c>
      <c r="K20" s="357">
        <f>'Cost Drivers'!K36</f>
        <v/>
      </c>
      <c r="L20" s="357">
        <f>'Cost Drivers'!L36</f>
        <v/>
      </c>
      <c r="M20" s="357">
        <f>'Cost Drivers'!M36</f>
        <v/>
      </c>
      <c r="N20" s="357">
        <f>'Cost Drivers'!N36</f>
        <v/>
      </c>
      <c r="O20" s="357">
        <f>'Cost Drivers'!O36</f>
        <v/>
      </c>
      <c r="P20" s="357">
        <f>'Cost Drivers'!P36</f>
        <v/>
      </c>
      <c r="Q20" s="357">
        <f>'Cost Drivers'!Q36</f>
        <v/>
      </c>
      <c r="R20" s="357">
        <f>'Cost Drivers'!R36</f>
        <v/>
      </c>
      <c r="S20" s="357">
        <f>'Cost Drivers'!S36</f>
        <v/>
      </c>
      <c r="T20" s="357">
        <f>'Cost Drivers'!T36</f>
        <v/>
      </c>
      <c r="U20" s="357">
        <f>'Cost Drivers'!U36</f>
        <v/>
      </c>
      <c r="V20" s="357">
        <f>'Cost Drivers'!V36</f>
        <v/>
      </c>
      <c r="W20" s="357">
        <f>'Cost Drivers'!W36</f>
        <v/>
      </c>
      <c r="X20" s="357">
        <f>'Cost Drivers'!X36</f>
        <v/>
      </c>
      <c r="Y20" s="357">
        <f>'Cost Drivers'!Y36</f>
        <v/>
      </c>
      <c r="Z20" s="357">
        <f>'Cost Drivers'!Z36</f>
        <v/>
      </c>
      <c r="AA20" s="357">
        <f>'Cost Drivers'!AA36</f>
        <v/>
      </c>
      <c r="AB20" s="357">
        <f>'Cost Drivers'!AB36</f>
        <v/>
      </c>
      <c r="AC20" s="357">
        <f>'Cost Drivers'!AC36</f>
        <v/>
      </c>
      <c r="AD20" s="357">
        <f>'Cost Drivers'!AD36</f>
        <v/>
      </c>
      <c r="AE20" s="357">
        <f>'Cost Drivers'!AE36</f>
        <v/>
      </c>
      <c r="AF20" s="357">
        <f>'Cost Drivers'!AF36</f>
        <v/>
      </c>
      <c r="AG20" s="357">
        <f>'Cost Drivers'!AG36</f>
        <v/>
      </c>
      <c r="AH20" s="357">
        <f>'Cost Drivers'!AH36</f>
        <v/>
      </c>
      <c r="AI20" s="357">
        <f>'Cost Drivers'!AI36</f>
        <v/>
      </c>
      <c r="AJ20" s="357">
        <f>'Cost Drivers'!AJ36</f>
        <v/>
      </c>
      <c r="AK20" s="357">
        <f>'Cost Drivers'!AK36</f>
        <v/>
      </c>
      <c r="AL20" s="357">
        <f>'Cost Drivers'!AL36</f>
        <v/>
      </c>
      <c r="AM20" s="357">
        <f>'Cost Drivers'!AM36</f>
        <v/>
      </c>
      <c r="AN20" s="357">
        <f>'Cost Drivers'!AN36</f>
        <v/>
      </c>
      <c r="AO20" s="357">
        <f>'Cost Drivers'!AO36</f>
        <v/>
      </c>
      <c r="AP20" s="357">
        <f>'Cost Drivers'!AP36</f>
        <v/>
      </c>
      <c r="AQ20" s="357">
        <f>'Cost Drivers'!AQ36</f>
        <v/>
      </c>
      <c r="AR20" s="357">
        <f>'Cost Drivers'!AR36</f>
        <v/>
      </c>
      <c r="AS20" s="357">
        <f>'Cost Drivers'!AS36</f>
        <v/>
      </c>
      <c r="AT20" s="357">
        <f>'Cost Drivers'!AT36</f>
        <v/>
      </c>
      <c r="AU20" s="357">
        <f>'Cost Drivers'!AU36</f>
        <v/>
      </c>
      <c r="AV20" s="357">
        <f>'Cost Drivers'!AV36</f>
        <v/>
      </c>
      <c r="AW20" s="357">
        <f>'Cost Drivers'!AW36</f>
        <v/>
      </c>
    </row>
    <row r="21" customFormat="1" s="357">
      <c r="A21" s="1" t="n"/>
      <c r="B21" s="120" t="inlineStr">
        <is>
          <t>Manpower Expenses</t>
        </is>
      </c>
      <c r="C21" s="357">
        <f>-'Manpower Expenses'!D120</f>
        <v/>
      </c>
      <c r="D21" s="357">
        <f>-'Manpower Expenses'!E120</f>
        <v/>
      </c>
      <c r="E21" s="357">
        <f>-'Manpower Expenses'!F120</f>
        <v/>
      </c>
      <c r="F21" s="357">
        <f>-'Manpower Expenses'!G120</f>
        <v/>
      </c>
      <c r="G21" s="358" t="n"/>
      <c r="H21" s="357">
        <f>-'Manpower Expenses'!I120</f>
        <v/>
      </c>
      <c r="I21" s="357">
        <f>-'Manpower Expenses'!J120</f>
        <v/>
      </c>
      <c r="J21" s="357">
        <f>-'Manpower Expenses'!K120</f>
        <v/>
      </c>
      <c r="K21" s="357">
        <f>-'Manpower Expenses'!L120</f>
        <v/>
      </c>
      <c r="L21" s="357">
        <f>-'Manpower Expenses'!M120</f>
        <v/>
      </c>
      <c r="M21" s="357">
        <f>-'Manpower Expenses'!N120</f>
        <v/>
      </c>
      <c r="N21" s="357">
        <f>-'Manpower Expenses'!O120</f>
        <v/>
      </c>
      <c r="O21" s="357">
        <f>-'Manpower Expenses'!P120</f>
        <v/>
      </c>
      <c r="P21" s="357">
        <f>-'Manpower Expenses'!Q120</f>
        <v/>
      </c>
      <c r="Q21" s="357">
        <f>-'Manpower Expenses'!R120</f>
        <v/>
      </c>
      <c r="R21" s="357">
        <f>-'Manpower Expenses'!S120</f>
        <v/>
      </c>
      <c r="S21" s="357">
        <f>-'Manpower Expenses'!T120</f>
        <v/>
      </c>
      <c r="T21" s="357">
        <f>-'Manpower Expenses'!U120</f>
        <v/>
      </c>
      <c r="U21" s="357">
        <f>-'Manpower Expenses'!V120</f>
        <v/>
      </c>
      <c r="V21" s="357">
        <f>-'Manpower Expenses'!W120</f>
        <v/>
      </c>
      <c r="W21" s="357">
        <f>-'Manpower Expenses'!X120</f>
        <v/>
      </c>
      <c r="X21" s="357">
        <f>-'Manpower Expenses'!Y120</f>
        <v/>
      </c>
      <c r="Y21" s="357">
        <f>-'Manpower Expenses'!Z120</f>
        <v/>
      </c>
      <c r="Z21" s="357">
        <f>-'Manpower Expenses'!AA120</f>
        <v/>
      </c>
      <c r="AA21" s="357">
        <f>-'Manpower Expenses'!AB120</f>
        <v/>
      </c>
      <c r="AB21" s="357">
        <f>-'Manpower Expenses'!AC120</f>
        <v/>
      </c>
      <c r="AC21" s="357">
        <f>-'Manpower Expenses'!AD120</f>
        <v/>
      </c>
      <c r="AD21" s="357">
        <f>-'Manpower Expenses'!AE120</f>
        <v/>
      </c>
      <c r="AE21" s="357">
        <f>-'Manpower Expenses'!AF120</f>
        <v/>
      </c>
      <c r="AF21" s="357">
        <f>-'Manpower Expenses'!AG120</f>
        <v/>
      </c>
      <c r="AG21" s="357">
        <f>-'Manpower Expenses'!AH120</f>
        <v/>
      </c>
      <c r="AH21" s="357">
        <f>-'Manpower Expenses'!AI120</f>
        <v/>
      </c>
      <c r="AI21" s="357">
        <f>-'Manpower Expenses'!AJ120</f>
        <v/>
      </c>
      <c r="AJ21" s="357">
        <f>-'Manpower Expenses'!AK120</f>
        <v/>
      </c>
      <c r="AK21" s="357">
        <f>-'Manpower Expenses'!AL120</f>
        <v/>
      </c>
      <c r="AL21" s="357">
        <f>-'Manpower Expenses'!AM120</f>
        <v/>
      </c>
      <c r="AM21" s="357">
        <f>-'Manpower Expenses'!AN120</f>
        <v/>
      </c>
      <c r="AN21" s="357">
        <f>-'Manpower Expenses'!AO120</f>
        <v/>
      </c>
      <c r="AO21" s="357">
        <f>-'Manpower Expenses'!AP120</f>
        <v/>
      </c>
      <c r="AP21" s="357">
        <f>-'Manpower Expenses'!AQ120</f>
        <v/>
      </c>
      <c r="AQ21" s="357">
        <f>-'Manpower Expenses'!AR120</f>
        <v/>
      </c>
      <c r="AR21" s="357">
        <f>-'Manpower Expenses'!AS120</f>
        <v/>
      </c>
      <c r="AS21" s="357">
        <f>-'Manpower Expenses'!AT120</f>
        <v/>
      </c>
      <c r="AT21" s="357">
        <f>-'Manpower Expenses'!AU120</f>
        <v/>
      </c>
      <c r="AU21" s="357">
        <f>-'Manpower Expenses'!AV120</f>
        <v/>
      </c>
      <c r="AV21" s="357">
        <f>-'Manpower Expenses'!AW120</f>
        <v/>
      </c>
      <c r="AW21" s="357">
        <f>-'Manpower Expenses'!AX120</f>
        <v/>
      </c>
    </row>
    <row r="22" customFormat="1" s="357">
      <c r="A22" s="1" t="n"/>
      <c r="B22" s="120" t="inlineStr">
        <is>
          <t>Rent</t>
        </is>
      </c>
      <c r="C22" s="357">
        <f>'Cost Drivers'!C41</f>
        <v/>
      </c>
      <c r="D22" s="357">
        <f>'Cost Drivers'!D41</f>
        <v/>
      </c>
      <c r="E22" s="357">
        <f>'Cost Drivers'!E41</f>
        <v/>
      </c>
      <c r="F22" s="357">
        <f>'Cost Drivers'!F41</f>
        <v/>
      </c>
      <c r="G22" s="358" t="n"/>
      <c r="H22" s="357">
        <f>'Cost Drivers'!H41</f>
        <v/>
      </c>
      <c r="I22" s="357">
        <f>'Cost Drivers'!I41</f>
        <v/>
      </c>
      <c r="J22" s="357">
        <f>'Cost Drivers'!J41</f>
        <v/>
      </c>
      <c r="K22" s="357">
        <f>'Cost Drivers'!K41</f>
        <v/>
      </c>
      <c r="L22" s="357">
        <f>'Cost Drivers'!L41</f>
        <v/>
      </c>
      <c r="M22" s="357">
        <f>'Cost Drivers'!M41</f>
        <v/>
      </c>
      <c r="N22" s="357">
        <f>'Cost Drivers'!N41</f>
        <v/>
      </c>
      <c r="O22" s="357">
        <f>'Cost Drivers'!O41</f>
        <v/>
      </c>
      <c r="P22" s="357">
        <f>'Cost Drivers'!P41</f>
        <v/>
      </c>
      <c r="Q22" s="357">
        <f>'Cost Drivers'!Q41</f>
        <v/>
      </c>
      <c r="R22" s="357">
        <f>'Cost Drivers'!R41</f>
        <v/>
      </c>
      <c r="S22" s="357">
        <f>'Cost Drivers'!S41</f>
        <v/>
      </c>
      <c r="T22" s="357">
        <f>'Cost Drivers'!T41</f>
        <v/>
      </c>
      <c r="U22" s="357">
        <f>'Cost Drivers'!U41</f>
        <v/>
      </c>
      <c r="V22" s="357">
        <f>'Cost Drivers'!V41</f>
        <v/>
      </c>
      <c r="W22" s="357">
        <f>'Cost Drivers'!W41</f>
        <v/>
      </c>
      <c r="X22" s="357">
        <f>'Cost Drivers'!X41</f>
        <v/>
      </c>
      <c r="Y22" s="357">
        <f>'Cost Drivers'!Y41</f>
        <v/>
      </c>
      <c r="Z22" s="357">
        <f>'Cost Drivers'!Z41</f>
        <v/>
      </c>
      <c r="AA22" s="357">
        <f>'Cost Drivers'!AA41</f>
        <v/>
      </c>
      <c r="AB22" s="357">
        <f>'Cost Drivers'!AB41</f>
        <v/>
      </c>
      <c r="AC22" s="357">
        <f>'Cost Drivers'!AC41</f>
        <v/>
      </c>
      <c r="AD22" s="357">
        <f>'Cost Drivers'!AD41</f>
        <v/>
      </c>
      <c r="AE22" s="357">
        <f>'Cost Drivers'!AE41</f>
        <v/>
      </c>
      <c r="AF22" s="357">
        <f>'Cost Drivers'!AF41</f>
        <v/>
      </c>
      <c r="AG22" s="357">
        <f>'Cost Drivers'!AG41</f>
        <v/>
      </c>
      <c r="AH22" s="357">
        <f>'Cost Drivers'!AH41</f>
        <v/>
      </c>
      <c r="AI22" s="357">
        <f>'Cost Drivers'!AI41</f>
        <v/>
      </c>
      <c r="AJ22" s="357">
        <f>'Cost Drivers'!AJ41</f>
        <v/>
      </c>
      <c r="AK22" s="357">
        <f>'Cost Drivers'!AK41</f>
        <v/>
      </c>
      <c r="AL22" s="357">
        <f>'Cost Drivers'!AL41</f>
        <v/>
      </c>
      <c r="AM22" s="357">
        <f>'Cost Drivers'!AM41</f>
        <v/>
      </c>
      <c r="AN22" s="357">
        <f>'Cost Drivers'!AN41</f>
        <v/>
      </c>
      <c r="AO22" s="357">
        <f>'Cost Drivers'!AO41</f>
        <v/>
      </c>
      <c r="AP22" s="357">
        <f>'Cost Drivers'!AP41</f>
        <v/>
      </c>
      <c r="AQ22" s="357">
        <f>'Cost Drivers'!AQ41</f>
        <v/>
      </c>
      <c r="AR22" s="357">
        <f>'Cost Drivers'!AR41</f>
        <v/>
      </c>
      <c r="AS22" s="357">
        <f>'Cost Drivers'!AS41</f>
        <v/>
      </c>
      <c r="AT22" s="357">
        <f>'Cost Drivers'!AT41</f>
        <v/>
      </c>
      <c r="AU22" s="357">
        <f>'Cost Drivers'!AU41</f>
        <v/>
      </c>
      <c r="AV22" s="357">
        <f>'Cost Drivers'!AV41</f>
        <v/>
      </c>
      <c r="AW22" s="357">
        <f>'Cost Drivers'!AW41</f>
        <v/>
      </c>
    </row>
    <row r="23" customFormat="1" s="357">
      <c r="A23" s="1" t="n"/>
      <c r="B23" s="120" t="inlineStr">
        <is>
          <t>Professional Fees</t>
        </is>
      </c>
      <c r="C23" s="357">
        <f>'Cost Drivers'!C44</f>
        <v/>
      </c>
      <c r="D23" s="357">
        <f>'Cost Drivers'!D44</f>
        <v/>
      </c>
      <c r="E23" s="357">
        <f>'Cost Drivers'!E44</f>
        <v/>
      </c>
      <c r="F23" s="357">
        <f>'Cost Drivers'!F44</f>
        <v/>
      </c>
      <c r="G23" s="358" t="n"/>
      <c r="H23" s="357">
        <f>'Cost Drivers'!H44</f>
        <v/>
      </c>
      <c r="I23" s="357">
        <f>'Cost Drivers'!I44</f>
        <v/>
      </c>
      <c r="J23" s="357">
        <f>'Cost Drivers'!J44</f>
        <v/>
      </c>
      <c r="K23" s="357">
        <f>'Cost Drivers'!K44</f>
        <v/>
      </c>
      <c r="L23" s="357">
        <f>'Cost Drivers'!L44</f>
        <v/>
      </c>
      <c r="M23" s="357">
        <f>'Cost Drivers'!M44</f>
        <v/>
      </c>
      <c r="N23" s="357">
        <f>'Cost Drivers'!N44</f>
        <v/>
      </c>
      <c r="O23" s="357">
        <f>'Cost Drivers'!O44</f>
        <v/>
      </c>
      <c r="P23" s="357">
        <f>'Cost Drivers'!P44</f>
        <v/>
      </c>
      <c r="Q23" s="357">
        <f>'Cost Drivers'!Q44</f>
        <v/>
      </c>
      <c r="R23" s="357">
        <f>'Cost Drivers'!R44</f>
        <v/>
      </c>
      <c r="S23" s="357">
        <f>'Cost Drivers'!S44</f>
        <v/>
      </c>
      <c r="T23" s="357">
        <f>'Cost Drivers'!T44</f>
        <v/>
      </c>
      <c r="U23" s="357">
        <f>'Cost Drivers'!U44</f>
        <v/>
      </c>
      <c r="V23" s="357">
        <f>'Cost Drivers'!V44</f>
        <v/>
      </c>
      <c r="W23" s="357">
        <f>'Cost Drivers'!W44</f>
        <v/>
      </c>
      <c r="X23" s="357">
        <f>'Cost Drivers'!X44</f>
        <v/>
      </c>
      <c r="Y23" s="357">
        <f>'Cost Drivers'!Y44</f>
        <v/>
      </c>
      <c r="Z23" s="357">
        <f>'Cost Drivers'!Z44</f>
        <v/>
      </c>
      <c r="AA23" s="357">
        <f>'Cost Drivers'!AA44</f>
        <v/>
      </c>
      <c r="AB23" s="357">
        <f>'Cost Drivers'!AB44</f>
        <v/>
      </c>
      <c r="AC23" s="357">
        <f>'Cost Drivers'!AC44</f>
        <v/>
      </c>
      <c r="AD23" s="357">
        <f>'Cost Drivers'!AD44</f>
        <v/>
      </c>
      <c r="AE23" s="357">
        <f>'Cost Drivers'!AE44</f>
        <v/>
      </c>
      <c r="AF23" s="357">
        <f>'Cost Drivers'!AF44</f>
        <v/>
      </c>
      <c r="AG23" s="357">
        <f>'Cost Drivers'!AG44</f>
        <v/>
      </c>
      <c r="AH23" s="357">
        <f>'Cost Drivers'!AH44</f>
        <v/>
      </c>
      <c r="AI23" s="357">
        <f>'Cost Drivers'!AI44</f>
        <v/>
      </c>
      <c r="AJ23" s="357">
        <f>'Cost Drivers'!AJ44</f>
        <v/>
      </c>
      <c r="AK23" s="357">
        <f>'Cost Drivers'!AK44</f>
        <v/>
      </c>
      <c r="AL23" s="357">
        <f>'Cost Drivers'!AL44</f>
        <v/>
      </c>
      <c r="AM23" s="357">
        <f>'Cost Drivers'!AM44</f>
        <v/>
      </c>
      <c r="AN23" s="357">
        <f>'Cost Drivers'!AN44</f>
        <v/>
      </c>
      <c r="AO23" s="357">
        <f>'Cost Drivers'!AO44</f>
        <v/>
      </c>
      <c r="AP23" s="357">
        <f>'Cost Drivers'!AP44</f>
        <v/>
      </c>
      <c r="AQ23" s="357">
        <f>'Cost Drivers'!AQ44</f>
        <v/>
      </c>
      <c r="AR23" s="357">
        <f>'Cost Drivers'!AR44</f>
        <v/>
      </c>
      <c r="AS23" s="357">
        <f>'Cost Drivers'!AS44</f>
        <v/>
      </c>
      <c r="AT23" s="357">
        <f>'Cost Drivers'!AT44</f>
        <v/>
      </c>
      <c r="AU23" s="357">
        <f>'Cost Drivers'!AU44</f>
        <v/>
      </c>
      <c r="AV23" s="357">
        <f>'Cost Drivers'!AV44</f>
        <v/>
      </c>
      <c r="AW23" s="357">
        <f>'Cost Drivers'!AW44</f>
        <v/>
      </c>
    </row>
    <row r="24" customFormat="1" s="357">
      <c r="A24" s="1" t="n"/>
      <c r="B24" s="120" t="inlineStr">
        <is>
          <t>Software Licences</t>
        </is>
      </c>
      <c r="C24" s="357">
        <f>'Cost Drivers'!C47</f>
        <v/>
      </c>
      <c r="D24" s="357">
        <f>'Cost Drivers'!D47</f>
        <v/>
      </c>
      <c r="E24" s="357">
        <f>'Cost Drivers'!E47</f>
        <v/>
      </c>
      <c r="F24" s="357">
        <f>'Cost Drivers'!F47</f>
        <v/>
      </c>
      <c r="G24" s="358" t="n"/>
      <c r="H24" s="357">
        <f>'Cost Drivers'!H47</f>
        <v/>
      </c>
      <c r="I24" s="357">
        <f>'Cost Drivers'!I47</f>
        <v/>
      </c>
      <c r="J24" s="357">
        <f>'Cost Drivers'!J47</f>
        <v/>
      </c>
      <c r="K24" s="357">
        <f>'Cost Drivers'!K47</f>
        <v/>
      </c>
      <c r="L24" s="357">
        <f>'Cost Drivers'!L47</f>
        <v/>
      </c>
      <c r="M24" s="357">
        <f>'Cost Drivers'!M47</f>
        <v/>
      </c>
      <c r="N24" s="357">
        <f>'Cost Drivers'!N47</f>
        <v/>
      </c>
      <c r="O24" s="357">
        <f>'Cost Drivers'!O47</f>
        <v/>
      </c>
      <c r="P24" s="357">
        <f>'Cost Drivers'!P47</f>
        <v/>
      </c>
      <c r="Q24" s="357">
        <f>'Cost Drivers'!Q47</f>
        <v/>
      </c>
      <c r="R24" s="357">
        <f>'Cost Drivers'!R47</f>
        <v/>
      </c>
      <c r="S24" s="357">
        <f>'Cost Drivers'!S47</f>
        <v/>
      </c>
      <c r="T24" s="357">
        <f>'Cost Drivers'!T47</f>
        <v/>
      </c>
      <c r="U24" s="357">
        <f>'Cost Drivers'!U47</f>
        <v/>
      </c>
      <c r="V24" s="357">
        <f>'Cost Drivers'!V47</f>
        <v/>
      </c>
      <c r="W24" s="357">
        <f>'Cost Drivers'!W47</f>
        <v/>
      </c>
      <c r="X24" s="357">
        <f>'Cost Drivers'!X47</f>
        <v/>
      </c>
      <c r="Y24" s="357">
        <f>'Cost Drivers'!Y47</f>
        <v/>
      </c>
      <c r="Z24" s="357">
        <f>'Cost Drivers'!Z47</f>
        <v/>
      </c>
      <c r="AA24" s="357">
        <f>'Cost Drivers'!AA47</f>
        <v/>
      </c>
      <c r="AB24" s="357">
        <f>'Cost Drivers'!AB47</f>
        <v/>
      </c>
      <c r="AC24" s="357">
        <f>'Cost Drivers'!AC47</f>
        <v/>
      </c>
      <c r="AD24" s="357">
        <f>'Cost Drivers'!AD47</f>
        <v/>
      </c>
      <c r="AE24" s="357">
        <f>'Cost Drivers'!AE47</f>
        <v/>
      </c>
      <c r="AF24" s="357">
        <f>'Cost Drivers'!AF47</f>
        <v/>
      </c>
      <c r="AG24" s="357">
        <f>'Cost Drivers'!AG47</f>
        <v/>
      </c>
      <c r="AH24" s="357">
        <f>'Cost Drivers'!AH47</f>
        <v/>
      </c>
      <c r="AI24" s="357">
        <f>'Cost Drivers'!AI47</f>
        <v/>
      </c>
      <c r="AJ24" s="357">
        <f>'Cost Drivers'!AJ47</f>
        <v/>
      </c>
      <c r="AK24" s="357">
        <f>'Cost Drivers'!AK47</f>
        <v/>
      </c>
      <c r="AL24" s="357">
        <f>'Cost Drivers'!AL47</f>
        <v/>
      </c>
      <c r="AM24" s="357">
        <f>'Cost Drivers'!AM47</f>
        <v/>
      </c>
      <c r="AN24" s="357">
        <f>'Cost Drivers'!AN47</f>
        <v/>
      </c>
      <c r="AO24" s="357">
        <f>'Cost Drivers'!AO47</f>
        <v/>
      </c>
      <c r="AP24" s="357">
        <f>'Cost Drivers'!AP47</f>
        <v/>
      </c>
      <c r="AQ24" s="357">
        <f>'Cost Drivers'!AQ47</f>
        <v/>
      </c>
      <c r="AR24" s="357">
        <f>'Cost Drivers'!AR47</f>
        <v/>
      </c>
      <c r="AS24" s="357">
        <f>'Cost Drivers'!AS47</f>
        <v/>
      </c>
      <c r="AT24" s="357">
        <f>'Cost Drivers'!AT47</f>
        <v/>
      </c>
      <c r="AU24" s="357">
        <f>'Cost Drivers'!AU47</f>
        <v/>
      </c>
      <c r="AV24" s="357">
        <f>'Cost Drivers'!AV47</f>
        <v/>
      </c>
      <c r="AW24" s="357">
        <f>'Cost Drivers'!AW47</f>
        <v/>
      </c>
    </row>
    <row r="25" customFormat="1" s="357">
      <c r="A25" s="1" t="n"/>
      <c r="B25" s="120" t="inlineStr">
        <is>
          <t>Utilities</t>
        </is>
      </c>
      <c r="C25" s="357">
        <f>'Cost Drivers'!C50</f>
        <v/>
      </c>
      <c r="D25" s="357">
        <f>'Cost Drivers'!D50</f>
        <v/>
      </c>
      <c r="E25" s="357">
        <f>'Cost Drivers'!E50</f>
        <v/>
      </c>
      <c r="F25" s="357">
        <f>'Cost Drivers'!F50</f>
        <v/>
      </c>
      <c r="G25" s="358" t="n"/>
      <c r="H25" s="357">
        <f>'Cost Drivers'!H50</f>
        <v/>
      </c>
      <c r="I25" s="357">
        <f>'Cost Drivers'!I50</f>
        <v/>
      </c>
      <c r="J25" s="357">
        <f>'Cost Drivers'!J50</f>
        <v/>
      </c>
      <c r="K25" s="357">
        <f>'Cost Drivers'!K50</f>
        <v/>
      </c>
      <c r="L25" s="357">
        <f>'Cost Drivers'!L50</f>
        <v/>
      </c>
      <c r="M25" s="357">
        <f>'Cost Drivers'!M50</f>
        <v/>
      </c>
      <c r="N25" s="357">
        <f>'Cost Drivers'!N50</f>
        <v/>
      </c>
      <c r="O25" s="357">
        <f>'Cost Drivers'!O50</f>
        <v/>
      </c>
      <c r="P25" s="357">
        <f>'Cost Drivers'!P50</f>
        <v/>
      </c>
      <c r="Q25" s="357">
        <f>'Cost Drivers'!Q50</f>
        <v/>
      </c>
      <c r="R25" s="357">
        <f>'Cost Drivers'!R50</f>
        <v/>
      </c>
      <c r="S25" s="357">
        <f>'Cost Drivers'!S50</f>
        <v/>
      </c>
      <c r="T25" s="357">
        <f>'Cost Drivers'!T50</f>
        <v/>
      </c>
      <c r="U25" s="357">
        <f>'Cost Drivers'!U50</f>
        <v/>
      </c>
      <c r="V25" s="357">
        <f>'Cost Drivers'!V50</f>
        <v/>
      </c>
      <c r="W25" s="357">
        <f>'Cost Drivers'!W50</f>
        <v/>
      </c>
      <c r="X25" s="357">
        <f>'Cost Drivers'!X50</f>
        <v/>
      </c>
      <c r="Y25" s="357">
        <f>'Cost Drivers'!Y50</f>
        <v/>
      </c>
      <c r="Z25" s="357">
        <f>'Cost Drivers'!Z50</f>
        <v/>
      </c>
      <c r="AA25" s="357">
        <f>'Cost Drivers'!AA50</f>
        <v/>
      </c>
      <c r="AB25" s="357">
        <f>'Cost Drivers'!AB50</f>
        <v/>
      </c>
      <c r="AC25" s="357">
        <f>'Cost Drivers'!AC50</f>
        <v/>
      </c>
      <c r="AD25" s="357">
        <f>'Cost Drivers'!AD50</f>
        <v/>
      </c>
      <c r="AE25" s="357">
        <f>'Cost Drivers'!AE50</f>
        <v/>
      </c>
      <c r="AF25" s="357">
        <f>'Cost Drivers'!AF50</f>
        <v/>
      </c>
      <c r="AG25" s="357">
        <f>'Cost Drivers'!AG50</f>
        <v/>
      </c>
      <c r="AH25" s="357">
        <f>'Cost Drivers'!AH50</f>
        <v/>
      </c>
      <c r="AI25" s="357">
        <f>'Cost Drivers'!AI50</f>
        <v/>
      </c>
      <c r="AJ25" s="357">
        <f>'Cost Drivers'!AJ50</f>
        <v/>
      </c>
      <c r="AK25" s="357">
        <f>'Cost Drivers'!AK50</f>
        <v/>
      </c>
      <c r="AL25" s="357">
        <f>'Cost Drivers'!AL50</f>
        <v/>
      </c>
      <c r="AM25" s="357">
        <f>'Cost Drivers'!AM50</f>
        <v/>
      </c>
      <c r="AN25" s="357">
        <f>'Cost Drivers'!AN50</f>
        <v/>
      </c>
      <c r="AO25" s="357">
        <f>'Cost Drivers'!AO50</f>
        <v/>
      </c>
      <c r="AP25" s="357">
        <f>'Cost Drivers'!AP50</f>
        <v/>
      </c>
      <c r="AQ25" s="357">
        <f>'Cost Drivers'!AQ50</f>
        <v/>
      </c>
      <c r="AR25" s="357">
        <f>'Cost Drivers'!AR50</f>
        <v/>
      </c>
      <c r="AS25" s="357">
        <f>'Cost Drivers'!AS50</f>
        <v/>
      </c>
      <c r="AT25" s="357">
        <f>'Cost Drivers'!AT50</f>
        <v/>
      </c>
      <c r="AU25" s="357">
        <f>'Cost Drivers'!AU50</f>
        <v/>
      </c>
      <c r="AV25" s="357">
        <f>'Cost Drivers'!AV50</f>
        <v/>
      </c>
      <c r="AW25" s="357">
        <f>'Cost Drivers'!AW50</f>
        <v/>
      </c>
    </row>
    <row r="26" customFormat="1" s="357">
      <c r="A26" s="1" t="n"/>
      <c r="B26" s="120" t="inlineStr">
        <is>
          <t>Other Fixed Expenses 1</t>
        </is>
      </c>
      <c r="C26" s="357">
        <f>'Cost Drivers'!C53</f>
        <v/>
      </c>
      <c r="D26" s="357">
        <f>'Cost Drivers'!D53</f>
        <v/>
      </c>
      <c r="E26" s="357">
        <f>'Cost Drivers'!E53</f>
        <v/>
      </c>
      <c r="F26" s="357">
        <f>'Cost Drivers'!F53</f>
        <v/>
      </c>
      <c r="G26" s="358" t="n"/>
      <c r="H26" s="357">
        <f>'Cost Drivers'!H53</f>
        <v/>
      </c>
      <c r="I26" s="357">
        <f>'Cost Drivers'!I53</f>
        <v/>
      </c>
      <c r="J26" s="357">
        <f>'Cost Drivers'!J53</f>
        <v/>
      </c>
      <c r="K26" s="357">
        <f>'Cost Drivers'!K53</f>
        <v/>
      </c>
      <c r="L26" s="357">
        <f>'Cost Drivers'!L53</f>
        <v/>
      </c>
      <c r="M26" s="357">
        <f>'Cost Drivers'!M53</f>
        <v/>
      </c>
      <c r="N26" s="357">
        <f>'Cost Drivers'!N53</f>
        <v/>
      </c>
      <c r="O26" s="357">
        <f>'Cost Drivers'!O53</f>
        <v/>
      </c>
      <c r="P26" s="357">
        <f>'Cost Drivers'!P53</f>
        <v/>
      </c>
      <c r="Q26" s="357">
        <f>'Cost Drivers'!Q53</f>
        <v/>
      </c>
      <c r="R26" s="357">
        <f>'Cost Drivers'!R53</f>
        <v/>
      </c>
      <c r="S26" s="357">
        <f>'Cost Drivers'!S53</f>
        <v/>
      </c>
      <c r="T26" s="357">
        <f>'Cost Drivers'!T53</f>
        <v/>
      </c>
      <c r="U26" s="357">
        <f>'Cost Drivers'!U53</f>
        <v/>
      </c>
      <c r="V26" s="357">
        <f>'Cost Drivers'!V53</f>
        <v/>
      </c>
      <c r="W26" s="357">
        <f>'Cost Drivers'!W53</f>
        <v/>
      </c>
      <c r="X26" s="357">
        <f>'Cost Drivers'!X53</f>
        <v/>
      </c>
      <c r="Y26" s="357">
        <f>'Cost Drivers'!Y53</f>
        <v/>
      </c>
      <c r="Z26" s="357">
        <f>'Cost Drivers'!Z53</f>
        <v/>
      </c>
      <c r="AA26" s="357">
        <f>'Cost Drivers'!AA53</f>
        <v/>
      </c>
      <c r="AB26" s="357">
        <f>'Cost Drivers'!AB53</f>
        <v/>
      </c>
      <c r="AC26" s="357">
        <f>'Cost Drivers'!AC53</f>
        <v/>
      </c>
      <c r="AD26" s="357">
        <f>'Cost Drivers'!AD53</f>
        <v/>
      </c>
      <c r="AE26" s="357">
        <f>'Cost Drivers'!AE53</f>
        <v/>
      </c>
      <c r="AF26" s="357">
        <f>'Cost Drivers'!AF53</f>
        <v/>
      </c>
      <c r="AG26" s="357">
        <f>'Cost Drivers'!AG53</f>
        <v/>
      </c>
      <c r="AH26" s="357">
        <f>'Cost Drivers'!AH53</f>
        <v/>
      </c>
      <c r="AI26" s="357">
        <f>'Cost Drivers'!AI53</f>
        <v/>
      </c>
      <c r="AJ26" s="357">
        <f>'Cost Drivers'!AJ53</f>
        <v/>
      </c>
      <c r="AK26" s="357">
        <f>'Cost Drivers'!AK53</f>
        <v/>
      </c>
      <c r="AL26" s="357">
        <f>'Cost Drivers'!AL53</f>
        <v/>
      </c>
      <c r="AM26" s="357">
        <f>'Cost Drivers'!AM53</f>
        <v/>
      </c>
      <c r="AN26" s="357">
        <f>'Cost Drivers'!AN53</f>
        <v/>
      </c>
      <c r="AO26" s="357">
        <f>'Cost Drivers'!AO53</f>
        <v/>
      </c>
      <c r="AP26" s="357">
        <f>'Cost Drivers'!AP53</f>
        <v/>
      </c>
      <c r="AQ26" s="357">
        <f>'Cost Drivers'!AQ53</f>
        <v/>
      </c>
      <c r="AR26" s="357">
        <f>'Cost Drivers'!AR53</f>
        <v/>
      </c>
      <c r="AS26" s="357">
        <f>'Cost Drivers'!AS53</f>
        <v/>
      </c>
      <c r="AT26" s="357">
        <f>'Cost Drivers'!AT53</f>
        <v/>
      </c>
      <c r="AU26" s="357">
        <f>'Cost Drivers'!AU53</f>
        <v/>
      </c>
      <c r="AV26" s="357">
        <f>'Cost Drivers'!AV53</f>
        <v/>
      </c>
      <c r="AW26" s="357">
        <f>'Cost Drivers'!AW53</f>
        <v/>
      </c>
    </row>
    <row r="27" customFormat="1" s="357">
      <c r="A27" s="1" t="n"/>
      <c r="B27" s="120" t="inlineStr">
        <is>
          <t>Other Fixed Expenses 2</t>
        </is>
      </c>
      <c r="C27" s="357">
        <f>'Cost Drivers'!C56</f>
        <v/>
      </c>
      <c r="D27" s="357">
        <f>'Cost Drivers'!D56</f>
        <v/>
      </c>
      <c r="E27" s="357">
        <f>'Cost Drivers'!E56</f>
        <v/>
      </c>
      <c r="F27" s="357">
        <f>'Cost Drivers'!F56</f>
        <v/>
      </c>
      <c r="G27" s="358" t="n"/>
      <c r="H27" s="357">
        <f>'Cost Drivers'!H56</f>
        <v/>
      </c>
      <c r="I27" s="357">
        <f>'Cost Drivers'!I56</f>
        <v/>
      </c>
      <c r="J27" s="357">
        <f>'Cost Drivers'!J56</f>
        <v/>
      </c>
      <c r="K27" s="357">
        <f>'Cost Drivers'!K56</f>
        <v/>
      </c>
      <c r="L27" s="357">
        <f>'Cost Drivers'!L56</f>
        <v/>
      </c>
      <c r="M27" s="357">
        <f>'Cost Drivers'!M56</f>
        <v/>
      </c>
      <c r="N27" s="357">
        <f>'Cost Drivers'!N56</f>
        <v/>
      </c>
      <c r="O27" s="357">
        <f>'Cost Drivers'!O56</f>
        <v/>
      </c>
      <c r="P27" s="357">
        <f>'Cost Drivers'!P56</f>
        <v/>
      </c>
      <c r="Q27" s="357">
        <f>'Cost Drivers'!Q56</f>
        <v/>
      </c>
      <c r="R27" s="357">
        <f>'Cost Drivers'!R56</f>
        <v/>
      </c>
      <c r="S27" s="357">
        <f>'Cost Drivers'!S56</f>
        <v/>
      </c>
      <c r="T27" s="357">
        <f>'Cost Drivers'!T56</f>
        <v/>
      </c>
      <c r="U27" s="357">
        <f>'Cost Drivers'!U56</f>
        <v/>
      </c>
      <c r="V27" s="357">
        <f>'Cost Drivers'!V56</f>
        <v/>
      </c>
      <c r="W27" s="357">
        <f>'Cost Drivers'!W56</f>
        <v/>
      </c>
      <c r="X27" s="357">
        <f>'Cost Drivers'!X56</f>
        <v/>
      </c>
      <c r="Y27" s="357">
        <f>'Cost Drivers'!Y56</f>
        <v/>
      </c>
      <c r="Z27" s="357">
        <f>'Cost Drivers'!Z56</f>
        <v/>
      </c>
      <c r="AA27" s="357">
        <f>'Cost Drivers'!AA56</f>
        <v/>
      </c>
      <c r="AB27" s="357">
        <f>'Cost Drivers'!AB56</f>
        <v/>
      </c>
      <c r="AC27" s="357">
        <f>'Cost Drivers'!AC56</f>
        <v/>
      </c>
      <c r="AD27" s="357">
        <f>'Cost Drivers'!AD56</f>
        <v/>
      </c>
      <c r="AE27" s="357">
        <f>'Cost Drivers'!AE56</f>
        <v/>
      </c>
      <c r="AF27" s="357">
        <f>'Cost Drivers'!AF56</f>
        <v/>
      </c>
      <c r="AG27" s="357">
        <f>'Cost Drivers'!AG56</f>
        <v/>
      </c>
      <c r="AH27" s="357">
        <f>'Cost Drivers'!AH56</f>
        <v/>
      </c>
      <c r="AI27" s="357">
        <f>'Cost Drivers'!AI56</f>
        <v/>
      </c>
      <c r="AJ27" s="357">
        <f>'Cost Drivers'!AJ56</f>
        <v/>
      </c>
      <c r="AK27" s="357">
        <f>'Cost Drivers'!AK56</f>
        <v/>
      </c>
      <c r="AL27" s="357">
        <f>'Cost Drivers'!AL56</f>
        <v/>
      </c>
      <c r="AM27" s="357">
        <f>'Cost Drivers'!AM56</f>
        <v/>
      </c>
      <c r="AN27" s="357">
        <f>'Cost Drivers'!AN56</f>
        <v/>
      </c>
      <c r="AO27" s="357">
        <f>'Cost Drivers'!AO56</f>
        <v/>
      </c>
      <c r="AP27" s="357">
        <f>'Cost Drivers'!AP56</f>
        <v/>
      </c>
      <c r="AQ27" s="357">
        <f>'Cost Drivers'!AQ56</f>
        <v/>
      </c>
      <c r="AR27" s="357">
        <f>'Cost Drivers'!AR56</f>
        <v/>
      </c>
      <c r="AS27" s="357">
        <f>'Cost Drivers'!AS56</f>
        <v/>
      </c>
      <c r="AT27" s="357">
        <f>'Cost Drivers'!AT56</f>
        <v/>
      </c>
      <c r="AU27" s="357">
        <f>'Cost Drivers'!AU56</f>
        <v/>
      </c>
      <c r="AV27" s="357">
        <f>'Cost Drivers'!AV56</f>
        <v/>
      </c>
      <c r="AW27" s="357">
        <f>'Cost Drivers'!AW56</f>
        <v/>
      </c>
    </row>
    <row r="28" customFormat="1" s="357">
      <c r="A28" s="1" t="n"/>
      <c r="B28" s="120" t="inlineStr">
        <is>
          <t>Other Fixed Expenses 3</t>
        </is>
      </c>
      <c r="C28" s="357">
        <f>'Cost Drivers'!C59</f>
        <v/>
      </c>
      <c r="D28" s="357">
        <f>'Cost Drivers'!D59</f>
        <v/>
      </c>
      <c r="E28" s="357">
        <f>'Cost Drivers'!E59</f>
        <v/>
      </c>
      <c r="F28" s="357">
        <f>'Cost Drivers'!F59</f>
        <v/>
      </c>
      <c r="G28" s="358" t="n"/>
      <c r="H28" s="357">
        <f>'Cost Drivers'!H59</f>
        <v/>
      </c>
      <c r="I28" s="357">
        <f>'Cost Drivers'!I59</f>
        <v/>
      </c>
      <c r="J28" s="357">
        <f>'Cost Drivers'!J59</f>
        <v/>
      </c>
      <c r="K28" s="357">
        <f>'Cost Drivers'!K59</f>
        <v/>
      </c>
      <c r="L28" s="357">
        <f>'Cost Drivers'!L59</f>
        <v/>
      </c>
      <c r="M28" s="357">
        <f>'Cost Drivers'!M59</f>
        <v/>
      </c>
      <c r="N28" s="357">
        <f>'Cost Drivers'!N59</f>
        <v/>
      </c>
      <c r="O28" s="357">
        <f>'Cost Drivers'!O59</f>
        <v/>
      </c>
      <c r="P28" s="357">
        <f>'Cost Drivers'!P59</f>
        <v/>
      </c>
      <c r="Q28" s="357">
        <f>'Cost Drivers'!Q59</f>
        <v/>
      </c>
      <c r="R28" s="357">
        <f>'Cost Drivers'!R59</f>
        <v/>
      </c>
      <c r="S28" s="357">
        <f>'Cost Drivers'!S59</f>
        <v/>
      </c>
      <c r="T28" s="357">
        <f>'Cost Drivers'!T59</f>
        <v/>
      </c>
      <c r="U28" s="357">
        <f>'Cost Drivers'!U59</f>
        <v/>
      </c>
      <c r="V28" s="357">
        <f>'Cost Drivers'!V59</f>
        <v/>
      </c>
      <c r="W28" s="357">
        <f>'Cost Drivers'!W59</f>
        <v/>
      </c>
      <c r="X28" s="357">
        <f>'Cost Drivers'!X59</f>
        <v/>
      </c>
      <c r="Y28" s="357">
        <f>'Cost Drivers'!Y59</f>
        <v/>
      </c>
      <c r="Z28" s="357">
        <f>'Cost Drivers'!Z59</f>
        <v/>
      </c>
      <c r="AA28" s="357">
        <f>'Cost Drivers'!AA59</f>
        <v/>
      </c>
      <c r="AB28" s="357">
        <f>'Cost Drivers'!AB59</f>
        <v/>
      </c>
      <c r="AC28" s="357">
        <f>'Cost Drivers'!AC59</f>
        <v/>
      </c>
      <c r="AD28" s="357">
        <f>'Cost Drivers'!AD59</f>
        <v/>
      </c>
      <c r="AE28" s="357">
        <f>'Cost Drivers'!AE59</f>
        <v/>
      </c>
      <c r="AF28" s="357">
        <f>'Cost Drivers'!AF59</f>
        <v/>
      </c>
      <c r="AG28" s="357">
        <f>'Cost Drivers'!AG59</f>
        <v/>
      </c>
      <c r="AH28" s="357">
        <f>'Cost Drivers'!AH59</f>
        <v/>
      </c>
      <c r="AI28" s="357">
        <f>'Cost Drivers'!AI59</f>
        <v/>
      </c>
      <c r="AJ28" s="357">
        <f>'Cost Drivers'!AJ59</f>
        <v/>
      </c>
      <c r="AK28" s="357">
        <f>'Cost Drivers'!AK59</f>
        <v/>
      </c>
      <c r="AL28" s="357">
        <f>'Cost Drivers'!AL59</f>
        <v/>
      </c>
      <c r="AM28" s="357">
        <f>'Cost Drivers'!AM59</f>
        <v/>
      </c>
      <c r="AN28" s="357">
        <f>'Cost Drivers'!AN59</f>
        <v/>
      </c>
      <c r="AO28" s="357">
        <f>'Cost Drivers'!AO59</f>
        <v/>
      </c>
      <c r="AP28" s="357">
        <f>'Cost Drivers'!AP59</f>
        <v/>
      </c>
      <c r="AQ28" s="357">
        <f>'Cost Drivers'!AQ59</f>
        <v/>
      </c>
      <c r="AR28" s="357">
        <f>'Cost Drivers'!AR59</f>
        <v/>
      </c>
      <c r="AS28" s="357">
        <f>'Cost Drivers'!AS59</f>
        <v/>
      </c>
      <c r="AT28" s="357">
        <f>'Cost Drivers'!AT59</f>
        <v/>
      </c>
      <c r="AU28" s="357">
        <f>'Cost Drivers'!AU59</f>
        <v/>
      </c>
      <c r="AV28" s="357">
        <f>'Cost Drivers'!AV59</f>
        <v/>
      </c>
      <c r="AW28" s="357">
        <f>'Cost Drivers'!AW59</f>
        <v/>
      </c>
    </row>
    <row r="29" customFormat="1" s="357">
      <c r="A29" s="1" t="n"/>
      <c r="B29" s="120" t="inlineStr">
        <is>
          <t>Other Fixed Expenses 4</t>
        </is>
      </c>
      <c r="C29" s="357">
        <f>'Cost Drivers'!C62</f>
        <v/>
      </c>
      <c r="D29" s="357">
        <f>'Cost Drivers'!D62</f>
        <v/>
      </c>
      <c r="E29" s="357">
        <f>'Cost Drivers'!E62</f>
        <v/>
      </c>
      <c r="F29" s="357">
        <f>'Cost Drivers'!F62</f>
        <v/>
      </c>
      <c r="G29" s="358" t="n"/>
      <c r="H29" s="357">
        <f>'Cost Drivers'!H62</f>
        <v/>
      </c>
      <c r="I29" s="357">
        <f>'Cost Drivers'!I62</f>
        <v/>
      </c>
      <c r="J29" s="357">
        <f>'Cost Drivers'!J62</f>
        <v/>
      </c>
      <c r="K29" s="357">
        <f>'Cost Drivers'!K62</f>
        <v/>
      </c>
      <c r="L29" s="357">
        <f>'Cost Drivers'!L62</f>
        <v/>
      </c>
      <c r="M29" s="357">
        <f>'Cost Drivers'!M62</f>
        <v/>
      </c>
      <c r="N29" s="357">
        <f>'Cost Drivers'!N62</f>
        <v/>
      </c>
      <c r="O29" s="357">
        <f>'Cost Drivers'!O62</f>
        <v/>
      </c>
      <c r="P29" s="357">
        <f>'Cost Drivers'!P62</f>
        <v/>
      </c>
      <c r="Q29" s="357">
        <f>'Cost Drivers'!Q62</f>
        <v/>
      </c>
      <c r="R29" s="357">
        <f>'Cost Drivers'!R62</f>
        <v/>
      </c>
      <c r="S29" s="357">
        <f>'Cost Drivers'!S62</f>
        <v/>
      </c>
      <c r="T29" s="357">
        <f>'Cost Drivers'!T62</f>
        <v/>
      </c>
      <c r="U29" s="357">
        <f>'Cost Drivers'!U62</f>
        <v/>
      </c>
      <c r="V29" s="357">
        <f>'Cost Drivers'!V62</f>
        <v/>
      </c>
      <c r="W29" s="357">
        <f>'Cost Drivers'!W62</f>
        <v/>
      </c>
      <c r="X29" s="357">
        <f>'Cost Drivers'!X62</f>
        <v/>
      </c>
      <c r="Y29" s="357">
        <f>'Cost Drivers'!Y62</f>
        <v/>
      </c>
      <c r="Z29" s="357">
        <f>'Cost Drivers'!Z62</f>
        <v/>
      </c>
      <c r="AA29" s="357">
        <f>'Cost Drivers'!AA62</f>
        <v/>
      </c>
      <c r="AB29" s="357">
        <f>'Cost Drivers'!AB62</f>
        <v/>
      </c>
      <c r="AC29" s="357">
        <f>'Cost Drivers'!AC62</f>
        <v/>
      </c>
      <c r="AD29" s="357">
        <f>'Cost Drivers'!AD62</f>
        <v/>
      </c>
      <c r="AE29" s="357">
        <f>'Cost Drivers'!AE62</f>
        <v/>
      </c>
      <c r="AF29" s="357">
        <f>'Cost Drivers'!AF62</f>
        <v/>
      </c>
      <c r="AG29" s="357">
        <f>'Cost Drivers'!AG62</f>
        <v/>
      </c>
      <c r="AH29" s="357">
        <f>'Cost Drivers'!AH62</f>
        <v/>
      </c>
      <c r="AI29" s="357">
        <f>'Cost Drivers'!AI62</f>
        <v/>
      </c>
      <c r="AJ29" s="357">
        <f>'Cost Drivers'!AJ62</f>
        <v/>
      </c>
      <c r="AK29" s="357">
        <f>'Cost Drivers'!AK62</f>
        <v/>
      </c>
      <c r="AL29" s="357">
        <f>'Cost Drivers'!AL62</f>
        <v/>
      </c>
      <c r="AM29" s="357">
        <f>'Cost Drivers'!AM62</f>
        <v/>
      </c>
      <c r="AN29" s="357">
        <f>'Cost Drivers'!AN62</f>
        <v/>
      </c>
      <c r="AO29" s="357">
        <f>'Cost Drivers'!AO62</f>
        <v/>
      </c>
      <c r="AP29" s="357">
        <f>'Cost Drivers'!AP62</f>
        <v/>
      </c>
      <c r="AQ29" s="357">
        <f>'Cost Drivers'!AQ62</f>
        <v/>
      </c>
      <c r="AR29" s="357">
        <f>'Cost Drivers'!AR62</f>
        <v/>
      </c>
      <c r="AS29" s="357">
        <f>'Cost Drivers'!AS62</f>
        <v/>
      </c>
      <c r="AT29" s="357">
        <f>'Cost Drivers'!AT62</f>
        <v/>
      </c>
      <c r="AU29" s="357">
        <f>'Cost Drivers'!AU62</f>
        <v/>
      </c>
      <c r="AV29" s="357">
        <f>'Cost Drivers'!AV62</f>
        <v/>
      </c>
      <c r="AW29" s="357">
        <f>'Cost Drivers'!AW62</f>
        <v/>
      </c>
    </row>
    <row r="30" customFormat="1" s="357">
      <c r="A30" s="1" t="n"/>
      <c r="B30" s="115" t="inlineStr">
        <is>
          <t>Operating Expenses</t>
        </is>
      </c>
      <c r="C30" s="359">
        <f>SUM(C12:C29)</f>
        <v/>
      </c>
      <c r="D30" s="359">
        <f>SUM(D12:D29)</f>
        <v/>
      </c>
      <c r="E30" s="359">
        <f>SUM(E12:E29)</f>
        <v/>
      </c>
      <c r="F30" s="359">
        <f>SUM(F12:F29)</f>
        <v/>
      </c>
      <c r="G30" s="360" t="n"/>
      <c r="H30" s="359">
        <f>SUM(H12:H29)</f>
        <v/>
      </c>
      <c r="I30" s="359">
        <f>SUM(I12:I29)</f>
        <v/>
      </c>
      <c r="J30" s="359">
        <f>SUM(J12:J29)</f>
        <v/>
      </c>
      <c r="K30" s="359">
        <f>SUM(K12:K29)</f>
        <v/>
      </c>
      <c r="L30" s="359">
        <f>SUM(L12:L29)</f>
        <v/>
      </c>
      <c r="M30" s="359">
        <f>SUM(M12:M29)</f>
        <v/>
      </c>
      <c r="N30" s="359">
        <f>SUM(N12:N29)</f>
        <v/>
      </c>
      <c r="O30" s="359">
        <f>SUM(O12:O29)</f>
        <v/>
      </c>
      <c r="P30" s="359">
        <f>SUM(P12:P29)</f>
        <v/>
      </c>
      <c r="Q30" s="359">
        <f>SUM(Q12:Q29)</f>
        <v/>
      </c>
      <c r="R30" s="359">
        <f>SUM(R12:R29)</f>
        <v/>
      </c>
      <c r="S30" s="359">
        <f>SUM(S12:S29)</f>
        <v/>
      </c>
      <c r="T30" s="359">
        <f>SUM(T12:T29)</f>
        <v/>
      </c>
      <c r="U30" s="359">
        <f>SUM(U12:U29)</f>
        <v/>
      </c>
      <c r="V30" s="359">
        <f>SUM(V12:V29)</f>
        <v/>
      </c>
      <c r="W30" s="359">
        <f>SUM(W12:W29)</f>
        <v/>
      </c>
      <c r="X30" s="359">
        <f>SUM(X12:X29)</f>
        <v/>
      </c>
      <c r="Y30" s="359">
        <f>SUM(Y12:Y29)</f>
        <v/>
      </c>
      <c r="Z30" s="359">
        <f>SUM(Z12:Z29)</f>
        <v/>
      </c>
      <c r="AA30" s="359">
        <f>SUM(AA12:AA29)</f>
        <v/>
      </c>
      <c r="AB30" s="359">
        <f>SUM(AB12:AB29)</f>
        <v/>
      </c>
      <c r="AC30" s="359">
        <f>SUM(AC12:AC29)</f>
        <v/>
      </c>
      <c r="AD30" s="359">
        <f>SUM(AD12:AD29)</f>
        <v/>
      </c>
      <c r="AE30" s="359">
        <f>SUM(AE12:AE29)</f>
        <v/>
      </c>
      <c r="AF30" s="359">
        <f>SUM(AF12:AF29)</f>
        <v/>
      </c>
      <c r="AG30" s="359">
        <f>SUM(AG12:AG29)</f>
        <v/>
      </c>
      <c r="AH30" s="359">
        <f>SUM(AH12:AH29)</f>
        <v/>
      </c>
      <c r="AI30" s="359">
        <f>SUM(AI12:AI29)</f>
        <v/>
      </c>
      <c r="AJ30" s="359">
        <f>SUM(AJ12:AJ29)</f>
        <v/>
      </c>
      <c r="AK30" s="359">
        <f>SUM(AK12:AK29)</f>
        <v/>
      </c>
      <c r="AL30" s="359">
        <f>SUM(AL12:AL29)</f>
        <v/>
      </c>
      <c r="AM30" s="359">
        <f>SUM(AM12:AM29)</f>
        <v/>
      </c>
      <c r="AN30" s="359">
        <f>SUM(AN12:AN29)</f>
        <v/>
      </c>
      <c r="AO30" s="359">
        <f>SUM(AO12:AO29)</f>
        <v/>
      </c>
      <c r="AP30" s="359">
        <f>SUM(AP12:AP29)</f>
        <v/>
      </c>
      <c r="AQ30" s="359">
        <f>SUM(AQ12:AQ29)</f>
        <v/>
      </c>
      <c r="AR30" s="359">
        <f>SUM(AR12:AR29)</f>
        <v/>
      </c>
      <c r="AS30" s="359">
        <f>SUM(AS12:AS29)</f>
        <v/>
      </c>
      <c r="AT30" s="359">
        <f>SUM(AT12:AT29)</f>
        <v/>
      </c>
      <c r="AU30" s="359">
        <f>SUM(AU12:AU29)</f>
        <v/>
      </c>
      <c r="AV30" s="359">
        <f>SUM(AV12:AV29)</f>
        <v/>
      </c>
      <c r="AW30" s="359">
        <f>SUM(AW12:AW29)</f>
        <v/>
      </c>
    </row>
    <row r="32">
      <c r="B32" s="121" t="inlineStr">
        <is>
          <t>EBITDA</t>
        </is>
      </c>
      <c r="C32" s="361">
        <f>C10+C30</f>
        <v/>
      </c>
      <c r="D32" s="361">
        <f>D10+D30</f>
        <v/>
      </c>
      <c r="E32" s="361">
        <f>E10+E30</f>
        <v/>
      </c>
      <c r="F32" s="361">
        <f>F10+F30</f>
        <v/>
      </c>
      <c r="G32" s="358" t="n"/>
      <c r="H32" s="361">
        <f>H10+H30</f>
        <v/>
      </c>
      <c r="I32" s="361">
        <f>I10+I30</f>
        <v/>
      </c>
      <c r="J32" s="361">
        <f>J10+J30</f>
        <v/>
      </c>
      <c r="K32" s="361">
        <f>K10+K30</f>
        <v/>
      </c>
      <c r="L32" s="361">
        <f>L10+L30</f>
        <v/>
      </c>
      <c r="M32" s="361">
        <f>M10+M30</f>
        <v/>
      </c>
      <c r="N32" s="361">
        <f>N10+N30</f>
        <v/>
      </c>
      <c r="O32" s="361">
        <f>O10+O30</f>
        <v/>
      </c>
      <c r="P32" s="361">
        <f>P10+P30</f>
        <v/>
      </c>
      <c r="Q32" s="361">
        <f>Q10+Q30</f>
        <v/>
      </c>
      <c r="R32" s="361">
        <f>R10+R30</f>
        <v/>
      </c>
      <c r="S32" s="361">
        <f>S10+S30</f>
        <v/>
      </c>
      <c r="T32" s="361">
        <f>T10+T30</f>
        <v/>
      </c>
      <c r="U32" s="361">
        <f>U10+U30</f>
        <v/>
      </c>
      <c r="V32" s="361">
        <f>V10+V30</f>
        <v/>
      </c>
      <c r="W32" s="361">
        <f>W10+W30</f>
        <v/>
      </c>
      <c r="X32" s="361">
        <f>X10+X30</f>
        <v/>
      </c>
      <c r="Y32" s="361">
        <f>Y10+Y30</f>
        <v/>
      </c>
      <c r="Z32" s="361">
        <f>Z10+Z30</f>
        <v/>
      </c>
      <c r="AA32" s="361">
        <f>AA10+AA30</f>
        <v/>
      </c>
      <c r="AB32" s="361">
        <f>AB10+AB30</f>
        <v/>
      </c>
      <c r="AC32" s="361">
        <f>AC10+AC30</f>
        <v/>
      </c>
      <c r="AD32" s="361">
        <f>AD10+AD30</f>
        <v/>
      </c>
      <c r="AE32" s="361">
        <f>AE10+AE30</f>
        <v/>
      </c>
      <c r="AF32" s="361">
        <f>AF10+AF30</f>
        <v/>
      </c>
      <c r="AG32" s="361">
        <f>AG10+AG30</f>
        <v/>
      </c>
      <c r="AH32" s="361">
        <f>AH10+AH30</f>
        <v/>
      </c>
      <c r="AI32" s="361">
        <f>AI10+AI30</f>
        <v/>
      </c>
      <c r="AJ32" s="361">
        <f>AJ10+AJ30</f>
        <v/>
      </c>
      <c r="AK32" s="361">
        <f>AK10+AK30</f>
        <v/>
      </c>
      <c r="AL32" s="361">
        <f>AL10+AL30</f>
        <v/>
      </c>
      <c r="AM32" s="361">
        <f>AM10+AM30</f>
        <v/>
      </c>
      <c r="AN32" s="361">
        <f>AN10+AN30</f>
        <v/>
      </c>
      <c r="AO32" s="361">
        <f>AO10+AO30</f>
        <v/>
      </c>
      <c r="AP32" s="361">
        <f>AP10+AP30</f>
        <v/>
      </c>
      <c r="AQ32" s="361">
        <f>AQ10+AQ30</f>
        <v/>
      </c>
      <c r="AR32" s="361">
        <f>AR10+AR30</f>
        <v/>
      </c>
      <c r="AS32" s="361">
        <f>AS10+AS30</f>
        <v/>
      </c>
      <c r="AT32" s="361">
        <f>AT10+AT30</f>
        <v/>
      </c>
      <c r="AU32" s="361">
        <f>AU10+AU30</f>
        <v/>
      </c>
      <c r="AV32" s="361">
        <f>AV10+AV30</f>
        <v/>
      </c>
      <c r="AW32" s="361">
        <f>AW10+AW30</f>
        <v/>
      </c>
    </row>
    <row r="33">
      <c r="B33" s="1" t="inlineStr">
        <is>
          <t xml:space="preserve">Depreciation </t>
        </is>
      </c>
      <c r="C33" s="362">
        <f>'Balance Sheet Schedules'!C13</f>
        <v/>
      </c>
      <c r="D33" s="362">
        <f>'Balance Sheet Schedules'!D13</f>
        <v/>
      </c>
      <c r="E33" s="362">
        <f>'Balance Sheet Schedules'!E13</f>
        <v/>
      </c>
      <c r="F33" s="362">
        <f>'Balance Sheet Schedules'!F13</f>
        <v/>
      </c>
      <c r="G33" s="363" t="n"/>
      <c r="H33" s="362">
        <f>'Balance Sheet Schedules'!H13</f>
        <v/>
      </c>
      <c r="I33" s="362">
        <f>'Balance Sheet Schedules'!I13</f>
        <v/>
      </c>
      <c r="J33" s="362">
        <f>'Balance Sheet Schedules'!J13</f>
        <v/>
      </c>
      <c r="K33" s="362">
        <f>'Balance Sheet Schedules'!K13</f>
        <v/>
      </c>
      <c r="L33" s="362">
        <f>'Balance Sheet Schedules'!L13</f>
        <v/>
      </c>
      <c r="M33" s="362">
        <f>'Balance Sheet Schedules'!M13</f>
        <v/>
      </c>
      <c r="N33" s="362">
        <f>'Balance Sheet Schedules'!N13</f>
        <v/>
      </c>
      <c r="O33" s="362">
        <f>'Balance Sheet Schedules'!O13</f>
        <v/>
      </c>
      <c r="P33" s="362">
        <f>'Balance Sheet Schedules'!P13</f>
        <v/>
      </c>
      <c r="Q33" s="362">
        <f>'Balance Sheet Schedules'!Q13</f>
        <v/>
      </c>
      <c r="R33" s="362">
        <f>'Balance Sheet Schedules'!R13</f>
        <v/>
      </c>
      <c r="S33" s="362">
        <f>'Balance Sheet Schedules'!S13</f>
        <v/>
      </c>
      <c r="T33" s="362">
        <f>'Balance Sheet Schedules'!T13</f>
        <v/>
      </c>
      <c r="U33" s="362">
        <f>'Balance Sheet Schedules'!U13</f>
        <v/>
      </c>
      <c r="V33" s="362">
        <f>'Balance Sheet Schedules'!V13</f>
        <v/>
      </c>
      <c r="W33" s="362">
        <f>'Balance Sheet Schedules'!W13</f>
        <v/>
      </c>
      <c r="X33" s="362">
        <f>'Balance Sheet Schedules'!X13</f>
        <v/>
      </c>
      <c r="Y33" s="362">
        <f>'Balance Sheet Schedules'!Y13</f>
        <v/>
      </c>
      <c r="Z33" s="362">
        <f>'Balance Sheet Schedules'!Z13</f>
        <v/>
      </c>
      <c r="AA33" s="362">
        <f>'Balance Sheet Schedules'!AA13</f>
        <v/>
      </c>
      <c r="AB33" s="362">
        <f>'Balance Sheet Schedules'!AB13</f>
        <v/>
      </c>
      <c r="AC33" s="362">
        <f>'Balance Sheet Schedules'!AC13</f>
        <v/>
      </c>
      <c r="AD33" s="362">
        <f>'Balance Sheet Schedules'!AD13</f>
        <v/>
      </c>
      <c r="AE33" s="362">
        <f>'Balance Sheet Schedules'!AE13</f>
        <v/>
      </c>
      <c r="AF33" s="362">
        <f>'Balance Sheet Schedules'!AF13</f>
        <v/>
      </c>
      <c r="AG33" s="362">
        <f>'Balance Sheet Schedules'!AG13</f>
        <v/>
      </c>
      <c r="AH33" s="362">
        <f>'Balance Sheet Schedules'!AH13</f>
        <v/>
      </c>
      <c r="AI33" s="362">
        <f>'Balance Sheet Schedules'!AI13</f>
        <v/>
      </c>
      <c r="AJ33" s="362">
        <f>'Balance Sheet Schedules'!AJ13</f>
        <v/>
      </c>
      <c r="AK33" s="362">
        <f>'Balance Sheet Schedules'!AK13</f>
        <v/>
      </c>
      <c r="AL33" s="362">
        <f>'Balance Sheet Schedules'!AL13</f>
        <v/>
      </c>
      <c r="AM33" s="362">
        <f>'Balance Sheet Schedules'!AM13</f>
        <v/>
      </c>
      <c r="AN33" s="362">
        <f>'Balance Sheet Schedules'!AN13</f>
        <v/>
      </c>
      <c r="AO33" s="362">
        <f>'Balance Sheet Schedules'!AO13</f>
        <v/>
      </c>
      <c r="AP33" s="362">
        <f>'Balance Sheet Schedules'!AP13</f>
        <v/>
      </c>
      <c r="AQ33" s="362">
        <f>'Balance Sheet Schedules'!AQ13</f>
        <v/>
      </c>
      <c r="AR33" s="362">
        <f>'Balance Sheet Schedules'!AR13</f>
        <v/>
      </c>
      <c r="AS33" s="362">
        <f>'Balance Sheet Schedules'!AS13</f>
        <v/>
      </c>
      <c r="AT33" s="362">
        <f>'Balance Sheet Schedules'!AT13</f>
        <v/>
      </c>
      <c r="AU33" s="362">
        <f>'Balance Sheet Schedules'!AU13</f>
        <v/>
      </c>
      <c r="AV33" s="362">
        <f>'Balance Sheet Schedules'!AV13</f>
        <v/>
      </c>
      <c r="AW33" s="362">
        <f>'Balance Sheet Schedules'!AW13</f>
        <v/>
      </c>
    </row>
    <row r="34">
      <c r="B34" s="1" t="inlineStr">
        <is>
          <t>Amortisation</t>
        </is>
      </c>
      <c r="C34" s="362">
        <f>'Balance Sheet Schedules'!C23</f>
        <v/>
      </c>
      <c r="D34" s="362">
        <f>'Balance Sheet Schedules'!D23</f>
        <v/>
      </c>
      <c r="E34" s="362">
        <f>'Balance Sheet Schedules'!E23</f>
        <v/>
      </c>
      <c r="F34" s="362">
        <f>'Balance Sheet Schedules'!F23</f>
        <v/>
      </c>
      <c r="G34" s="363" t="n"/>
      <c r="H34" s="362">
        <f>'Balance Sheet Schedules'!H23</f>
        <v/>
      </c>
      <c r="I34" s="362">
        <f>'Balance Sheet Schedules'!I23</f>
        <v/>
      </c>
      <c r="J34" s="362">
        <f>'Balance Sheet Schedules'!J23</f>
        <v/>
      </c>
      <c r="K34" s="362">
        <f>'Balance Sheet Schedules'!K23</f>
        <v/>
      </c>
      <c r="L34" s="362">
        <f>'Balance Sheet Schedules'!L23</f>
        <v/>
      </c>
      <c r="M34" s="362">
        <f>'Balance Sheet Schedules'!M23</f>
        <v/>
      </c>
      <c r="N34" s="362">
        <f>'Balance Sheet Schedules'!N23</f>
        <v/>
      </c>
      <c r="O34" s="362">
        <f>'Balance Sheet Schedules'!O23</f>
        <v/>
      </c>
      <c r="P34" s="362">
        <f>'Balance Sheet Schedules'!P23</f>
        <v/>
      </c>
      <c r="Q34" s="362">
        <f>'Balance Sheet Schedules'!Q23</f>
        <v/>
      </c>
      <c r="R34" s="362">
        <f>'Balance Sheet Schedules'!R23</f>
        <v/>
      </c>
      <c r="S34" s="362">
        <f>'Balance Sheet Schedules'!S23</f>
        <v/>
      </c>
      <c r="T34" s="362">
        <f>'Balance Sheet Schedules'!T23</f>
        <v/>
      </c>
      <c r="U34" s="362">
        <f>'Balance Sheet Schedules'!U23</f>
        <v/>
      </c>
      <c r="V34" s="362">
        <f>'Balance Sheet Schedules'!V23</f>
        <v/>
      </c>
      <c r="W34" s="362">
        <f>'Balance Sheet Schedules'!W23</f>
        <v/>
      </c>
      <c r="X34" s="362">
        <f>'Balance Sheet Schedules'!X23</f>
        <v/>
      </c>
      <c r="Y34" s="362">
        <f>'Balance Sheet Schedules'!Y23</f>
        <v/>
      </c>
      <c r="Z34" s="362">
        <f>'Balance Sheet Schedules'!Z23</f>
        <v/>
      </c>
      <c r="AA34" s="362">
        <f>'Balance Sheet Schedules'!AA23</f>
        <v/>
      </c>
      <c r="AB34" s="362">
        <f>'Balance Sheet Schedules'!AB23</f>
        <v/>
      </c>
      <c r="AC34" s="362">
        <f>'Balance Sheet Schedules'!AC23</f>
        <v/>
      </c>
      <c r="AD34" s="362">
        <f>'Balance Sheet Schedules'!AD23</f>
        <v/>
      </c>
      <c r="AE34" s="362">
        <f>'Balance Sheet Schedules'!AE23</f>
        <v/>
      </c>
      <c r="AF34" s="362">
        <f>'Balance Sheet Schedules'!AF23</f>
        <v/>
      </c>
      <c r="AG34" s="362">
        <f>'Balance Sheet Schedules'!AG23</f>
        <v/>
      </c>
      <c r="AH34" s="362">
        <f>'Balance Sheet Schedules'!AH23</f>
        <v/>
      </c>
      <c r="AI34" s="362">
        <f>'Balance Sheet Schedules'!AI23</f>
        <v/>
      </c>
      <c r="AJ34" s="362">
        <f>'Balance Sheet Schedules'!AJ23</f>
        <v/>
      </c>
      <c r="AK34" s="362">
        <f>'Balance Sheet Schedules'!AK23</f>
        <v/>
      </c>
      <c r="AL34" s="362">
        <f>'Balance Sheet Schedules'!AL23</f>
        <v/>
      </c>
      <c r="AM34" s="362">
        <f>'Balance Sheet Schedules'!AM23</f>
        <v/>
      </c>
      <c r="AN34" s="362">
        <f>'Balance Sheet Schedules'!AN23</f>
        <v/>
      </c>
      <c r="AO34" s="362">
        <f>'Balance Sheet Schedules'!AO23</f>
        <v/>
      </c>
      <c r="AP34" s="362">
        <f>'Balance Sheet Schedules'!AP23</f>
        <v/>
      </c>
      <c r="AQ34" s="362">
        <f>'Balance Sheet Schedules'!AQ23</f>
        <v/>
      </c>
      <c r="AR34" s="362">
        <f>'Balance Sheet Schedules'!AR23</f>
        <v/>
      </c>
      <c r="AS34" s="362">
        <f>'Balance Sheet Schedules'!AS23</f>
        <v/>
      </c>
      <c r="AT34" s="362">
        <f>'Balance Sheet Schedules'!AT23</f>
        <v/>
      </c>
      <c r="AU34" s="362">
        <f>'Balance Sheet Schedules'!AU23</f>
        <v/>
      </c>
      <c r="AV34" s="362">
        <f>'Balance Sheet Schedules'!AV23</f>
        <v/>
      </c>
      <c r="AW34" s="362">
        <f>'Balance Sheet Schedules'!AW23</f>
        <v/>
      </c>
    </row>
    <row r="36">
      <c r="B36" s="115" t="inlineStr">
        <is>
          <t>EBIT</t>
        </is>
      </c>
      <c r="C36" s="359">
        <f>SUM(C32:C34)</f>
        <v/>
      </c>
      <c r="D36" s="359">
        <f>SUM(D32:D34)</f>
        <v/>
      </c>
      <c r="E36" s="359">
        <f>SUM(E32:E34)</f>
        <v/>
      </c>
      <c r="F36" s="359">
        <f>SUM(F32:F34)</f>
        <v/>
      </c>
      <c r="G36" s="360" t="n"/>
      <c r="H36" s="359">
        <f>SUM(H32:H34)</f>
        <v/>
      </c>
      <c r="I36" s="359">
        <f>SUM(I32:I34)</f>
        <v/>
      </c>
      <c r="J36" s="359">
        <f>SUM(J32:J34)</f>
        <v/>
      </c>
      <c r="K36" s="359">
        <f>SUM(K32:K34)</f>
        <v/>
      </c>
      <c r="L36" s="359">
        <f>SUM(L32:L34)</f>
        <v/>
      </c>
      <c r="M36" s="359">
        <f>SUM(M32:M34)</f>
        <v/>
      </c>
      <c r="N36" s="359">
        <f>SUM(N32:N34)</f>
        <v/>
      </c>
      <c r="O36" s="359">
        <f>SUM(O32:O34)</f>
        <v/>
      </c>
      <c r="P36" s="359">
        <f>SUM(P32:P34)</f>
        <v/>
      </c>
      <c r="Q36" s="359">
        <f>SUM(Q32:Q34)</f>
        <v/>
      </c>
      <c r="R36" s="359">
        <f>SUM(R32:R34)</f>
        <v/>
      </c>
      <c r="S36" s="359">
        <f>SUM(S32:S34)</f>
        <v/>
      </c>
      <c r="T36" s="359">
        <f>SUM(T32:T34)</f>
        <v/>
      </c>
      <c r="U36" s="359">
        <f>SUM(U32:U34)</f>
        <v/>
      </c>
      <c r="V36" s="359">
        <f>SUM(V32:V34)</f>
        <v/>
      </c>
      <c r="W36" s="359">
        <f>SUM(W32:W34)</f>
        <v/>
      </c>
      <c r="X36" s="359">
        <f>SUM(X32:X34)</f>
        <v/>
      </c>
      <c r="Y36" s="359">
        <f>SUM(Y32:Y34)</f>
        <v/>
      </c>
      <c r="Z36" s="359">
        <f>SUM(Z32:Z34)</f>
        <v/>
      </c>
      <c r="AA36" s="359">
        <f>SUM(AA32:AA34)</f>
        <v/>
      </c>
      <c r="AB36" s="359">
        <f>SUM(AB32:AB34)</f>
        <v/>
      </c>
      <c r="AC36" s="359">
        <f>SUM(AC32:AC34)</f>
        <v/>
      </c>
      <c r="AD36" s="359">
        <f>SUM(AD32:AD34)</f>
        <v/>
      </c>
      <c r="AE36" s="359">
        <f>SUM(AE32:AE34)</f>
        <v/>
      </c>
      <c r="AF36" s="359">
        <f>SUM(AF32:AF34)</f>
        <v/>
      </c>
      <c r="AG36" s="359">
        <f>SUM(AG32:AG34)</f>
        <v/>
      </c>
      <c r="AH36" s="359">
        <f>SUM(AH32:AH34)</f>
        <v/>
      </c>
      <c r="AI36" s="359">
        <f>SUM(AI32:AI34)</f>
        <v/>
      </c>
      <c r="AJ36" s="359">
        <f>SUM(AJ32:AJ34)</f>
        <v/>
      </c>
      <c r="AK36" s="359">
        <f>SUM(AK32:AK34)</f>
        <v/>
      </c>
      <c r="AL36" s="359">
        <f>SUM(AL32:AL34)</f>
        <v/>
      </c>
      <c r="AM36" s="359">
        <f>SUM(AM32:AM34)</f>
        <v/>
      </c>
      <c r="AN36" s="359">
        <f>SUM(AN32:AN34)</f>
        <v/>
      </c>
      <c r="AO36" s="359">
        <f>SUM(AO32:AO34)</f>
        <v/>
      </c>
      <c r="AP36" s="359">
        <f>SUM(AP32:AP34)</f>
        <v/>
      </c>
      <c r="AQ36" s="359">
        <f>SUM(AQ32:AQ34)</f>
        <v/>
      </c>
      <c r="AR36" s="359">
        <f>SUM(AR32:AR34)</f>
        <v/>
      </c>
      <c r="AS36" s="359">
        <f>SUM(AS32:AS34)</f>
        <v/>
      </c>
      <c r="AT36" s="359">
        <f>SUM(AT32:AT34)</f>
        <v/>
      </c>
      <c r="AU36" s="359">
        <f>SUM(AU32:AU34)</f>
        <v/>
      </c>
      <c r="AV36" s="359">
        <f>SUM(AV32:AV34)</f>
        <v/>
      </c>
      <c r="AW36" s="359">
        <f>SUM(AW32:AW34)</f>
        <v/>
      </c>
    </row>
    <row r="37">
      <c r="B37" s="1" t="inlineStr">
        <is>
          <t>Interest</t>
        </is>
      </c>
      <c r="C37" s="362">
        <f>'Balance Sheet Schedules'!C53</f>
        <v/>
      </c>
      <c r="D37" s="362">
        <f>'Balance Sheet Schedules'!D53</f>
        <v/>
      </c>
      <c r="E37" s="362">
        <f>'Balance Sheet Schedules'!E53</f>
        <v/>
      </c>
      <c r="F37" s="362">
        <f>'Balance Sheet Schedules'!F53</f>
        <v/>
      </c>
      <c r="G37" s="363" t="n"/>
      <c r="H37" s="362">
        <f>'Balance Sheet Schedules'!H53</f>
        <v/>
      </c>
      <c r="I37" s="362">
        <f>'Balance Sheet Schedules'!I53</f>
        <v/>
      </c>
      <c r="J37" s="362">
        <f>'Balance Sheet Schedules'!J53</f>
        <v/>
      </c>
      <c r="K37" s="362">
        <f>'Balance Sheet Schedules'!K53</f>
        <v/>
      </c>
      <c r="L37" s="362">
        <f>'Balance Sheet Schedules'!L53</f>
        <v/>
      </c>
      <c r="M37" s="362">
        <f>'Balance Sheet Schedules'!M53</f>
        <v/>
      </c>
      <c r="N37" s="362">
        <f>'Balance Sheet Schedules'!N53</f>
        <v/>
      </c>
      <c r="O37" s="362">
        <f>'Balance Sheet Schedules'!O53</f>
        <v/>
      </c>
      <c r="P37" s="362">
        <f>'Balance Sheet Schedules'!P53</f>
        <v/>
      </c>
      <c r="Q37" s="362">
        <f>'Balance Sheet Schedules'!Q53</f>
        <v/>
      </c>
      <c r="R37" s="362">
        <f>'Balance Sheet Schedules'!R53</f>
        <v/>
      </c>
      <c r="S37" s="362">
        <f>'Balance Sheet Schedules'!S53</f>
        <v/>
      </c>
      <c r="T37" s="362">
        <f>'Balance Sheet Schedules'!T53</f>
        <v/>
      </c>
      <c r="U37" s="362">
        <f>'Balance Sheet Schedules'!U53</f>
        <v/>
      </c>
      <c r="V37" s="362">
        <f>'Balance Sheet Schedules'!V53</f>
        <v/>
      </c>
      <c r="W37" s="362">
        <f>'Balance Sheet Schedules'!W53</f>
        <v/>
      </c>
      <c r="X37" s="362">
        <f>'Balance Sheet Schedules'!X53</f>
        <v/>
      </c>
      <c r="Y37" s="362">
        <f>'Balance Sheet Schedules'!Y53</f>
        <v/>
      </c>
      <c r="Z37" s="362">
        <f>'Balance Sheet Schedules'!Z53</f>
        <v/>
      </c>
      <c r="AA37" s="362">
        <f>'Balance Sheet Schedules'!AA53</f>
        <v/>
      </c>
      <c r="AB37" s="362">
        <f>'Balance Sheet Schedules'!AB53</f>
        <v/>
      </c>
      <c r="AC37" s="362">
        <f>'Balance Sheet Schedules'!AC53</f>
        <v/>
      </c>
      <c r="AD37" s="362">
        <f>'Balance Sheet Schedules'!AD53</f>
        <v/>
      </c>
      <c r="AE37" s="362">
        <f>'Balance Sheet Schedules'!AE53</f>
        <v/>
      </c>
      <c r="AF37" s="362">
        <f>'Balance Sheet Schedules'!AF53</f>
        <v/>
      </c>
      <c r="AG37" s="362">
        <f>'Balance Sheet Schedules'!AG53</f>
        <v/>
      </c>
      <c r="AH37" s="362">
        <f>'Balance Sheet Schedules'!AH53</f>
        <v/>
      </c>
      <c r="AI37" s="362">
        <f>'Balance Sheet Schedules'!AI53</f>
        <v/>
      </c>
      <c r="AJ37" s="362">
        <f>'Balance Sheet Schedules'!AJ53</f>
        <v/>
      </c>
      <c r="AK37" s="362">
        <f>'Balance Sheet Schedules'!AK53</f>
        <v/>
      </c>
      <c r="AL37" s="362">
        <f>'Balance Sheet Schedules'!AL53</f>
        <v/>
      </c>
      <c r="AM37" s="362">
        <f>'Balance Sheet Schedules'!AM53</f>
        <v/>
      </c>
      <c r="AN37" s="362">
        <f>'Balance Sheet Schedules'!AN53</f>
        <v/>
      </c>
      <c r="AO37" s="362">
        <f>'Balance Sheet Schedules'!AO53</f>
        <v/>
      </c>
      <c r="AP37" s="362">
        <f>'Balance Sheet Schedules'!AP53</f>
        <v/>
      </c>
      <c r="AQ37" s="362">
        <f>'Balance Sheet Schedules'!AQ53</f>
        <v/>
      </c>
      <c r="AR37" s="362">
        <f>'Balance Sheet Schedules'!AR53</f>
        <v/>
      </c>
      <c r="AS37" s="362">
        <f>'Balance Sheet Schedules'!AS53</f>
        <v/>
      </c>
      <c r="AT37" s="362">
        <f>'Balance Sheet Schedules'!AT53</f>
        <v/>
      </c>
      <c r="AU37" s="362">
        <f>'Balance Sheet Schedules'!AU53</f>
        <v/>
      </c>
      <c r="AV37" s="362">
        <f>'Balance Sheet Schedules'!AV53</f>
        <v/>
      </c>
      <c r="AW37" s="362">
        <f>'Balance Sheet Schedules'!AW53</f>
        <v/>
      </c>
    </row>
    <row r="39" customFormat="1" s="2">
      <c r="B39" s="115" t="inlineStr">
        <is>
          <t>PBT</t>
        </is>
      </c>
      <c r="C39" s="359">
        <f>SUM(C36:C37)</f>
        <v/>
      </c>
      <c r="D39" s="359">
        <f>SUM(D36:D37)</f>
        <v/>
      </c>
      <c r="E39" s="359">
        <f>SUM(E36:E37)</f>
        <v/>
      </c>
      <c r="F39" s="359">
        <f>SUM(F36:F37)</f>
        <v/>
      </c>
      <c r="G39" s="360" t="n"/>
      <c r="H39" s="359">
        <f>SUM(H36:H37)</f>
        <v/>
      </c>
      <c r="I39" s="359">
        <f>SUM(I36:I37)</f>
        <v/>
      </c>
      <c r="J39" s="359">
        <f>SUM(J36:J37)</f>
        <v/>
      </c>
      <c r="K39" s="359">
        <f>SUM(K36:K37)</f>
        <v/>
      </c>
      <c r="L39" s="359">
        <f>SUM(L36:L37)</f>
        <v/>
      </c>
      <c r="M39" s="359">
        <f>SUM(M36:M37)</f>
        <v/>
      </c>
      <c r="N39" s="359">
        <f>SUM(N36:N37)</f>
        <v/>
      </c>
      <c r="O39" s="359">
        <f>SUM(O36:O37)</f>
        <v/>
      </c>
      <c r="P39" s="359">
        <f>SUM(P36:P37)</f>
        <v/>
      </c>
      <c r="Q39" s="359">
        <f>SUM(Q36:Q37)</f>
        <v/>
      </c>
      <c r="R39" s="359">
        <f>SUM(R36:R37)</f>
        <v/>
      </c>
      <c r="S39" s="359">
        <f>SUM(S36:S37)</f>
        <v/>
      </c>
      <c r="T39" s="359">
        <f>SUM(T36:T37)</f>
        <v/>
      </c>
      <c r="U39" s="359">
        <f>SUM(U36:U37)</f>
        <v/>
      </c>
      <c r="V39" s="359">
        <f>SUM(V36:V37)</f>
        <v/>
      </c>
      <c r="W39" s="359">
        <f>SUM(W36:W37)</f>
        <v/>
      </c>
      <c r="X39" s="359">
        <f>SUM(X36:X37)</f>
        <v/>
      </c>
      <c r="Y39" s="359">
        <f>SUM(Y36:Y37)</f>
        <v/>
      </c>
      <c r="Z39" s="359">
        <f>SUM(Z36:Z37)</f>
        <v/>
      </c>
      <c r="AA39" s="359">
        <f>SUM(AA36:AA37)</f>
        <v/>
      </c>
      <c r="AB39" s="359">
        <f>SUM(AB36:AB37)</f>
        <v/>
      </c>
      <c r="AC39" s="359">
        <f>SUM(AC36:AC37)</f>
        <v/>
      </c>
      <c r="AD39" s="359">
        <f>SUM(AD36:AD37)</f>
        <v/>
      </c>
      <c r="AE39" s="359">
        <f>SUM(AE36:AE37)</f>
        <v/>
      </c>
      <c r="AF39" s="359">
        <f>SUM(AF36:AF37)</f>
        <v/>
      </c>
      <c r="AG39" s="359">
        <f>SUM(AG36:AG37)</f>
        <v/>
      </c>
      <c r="AH39" s="359">
        <f>SUM(AH36:AH37)</f>
        <v/>
      </c>
      <c r="AI39" s="359">
        <f>SUM(AI36:AI37)</f>
        <v/>
      </c>
      <c r="AJ39" s="359">
        <f>SUM(AJ36:AJ37)</f>
        <v/>
      </c>
      <c r="AK39" s="359">
        <f>SUM(AK36:AK37)</f>
        <v/>
      </c>
      <c r="AL39" s="359">
        <f>SUM(AL36:AL37)</f>
        <v/>
      </c>
      <c r="AM39" s="359">
        <f>SUM(AM36:AM37)</f>
        <v/>
      </c>
      <c r="AN39" s="359">
        <f>SUM(AN36:AN37)</f>
        <v/>
      </c>
      <c r="AO39" s="359">
        <f>SUM(AO36:AO37)</f>
        <v/>
      </c>
      <c r="AP39" s="359">
        <f>SUM(AP36:AP37)</f>
        <v/>
      </c>
      <c r="AQ39" s="359">
        <f>SUM(AQ36:AQ37)</f>
        <v/>
      </c>
      <c r="AR39" s="359">
        <f>SUM(AR36:AR37)</f>
        <v/>
      </c>
      <c r="AS39" s="359">
        <f>SUM(AS36:AS37)</f>
        <v/>
      </c>
      <c r="AT39" s="359">
        <f>SUM(AT36:AT37)</f>
        <v/>
      </c>
      <c r="AU39" s="359">
        <f>SUM(AU36:AU37)</f>
        <v/>
      </c>
      <c r="AV39" s="359">
        <f>SUM(AV36:AV37)</f>
        <v/>
      </c>
      <c r="AW39" s="359">
        <f>SUM(AW36:AW37)</f>
        <v/>
      </c>
    </row>
    <row r="40">
      <c r="B40" s="1" t="inlineStr">
        <is>
          <t>Tax</t>
        </is>
      </c>
      <c r="C40" s="362">
        <f>IF(C39&gt;0,C39*-DCF!$C$51,0)</f>
        <v/>
      </c>
      <c r="D40" s="362">
        <f>IF(D39&gt;0,D39*-DCF!$C$51,0)</f>
        <v/>
      </c>
      <c r="E40" s="362">
        <f>IF(E39&gt;0,E39*-DCF!$C$51,0)</f>
        <v/>
      </c>
      <c r="F40" s="362">
        <f>IF(F39&gt;0,F39*-DCF!$C$51,0)</f>
        <v/>
      </c>
      <c r="G40" s="362" t="n"/>
      <c r="H40" s="362">
        <f>SUMIF($C$5:$F$6,H5,$C$40:$F$40)/COUNTIF($H$5:$AW$5,H5)</f>
        <v/>
      </c>
      <c r="I40" s="362">
        <f>SUMIF($C$5:$F$6,I5,$C$40:$F$40)/COUNTIF($H$5:$AW$5,I5)</f>
        <v/>
      </c>
      <c r="J40" s="362">
        <f>SUMIF($C$5:$F$6,J5,$C$40:$F$40)/COUNTIF($H$5:$AW$5,J5)</f>
        <v/>
      </c>
      <c r="K40" s="362">
        <f>SUMIF($C$5:$F$6,K5,$C$40:$F$40)/COUNTIF($H$5:$AW$5,K5)</f>
        <v/>
      </c>
      <c r="L40" s="362">
        <f>SUMIF($C$5:$F$6,L5,$C$40:$F$40)/COUNTIF($H$5:$AW$5,L5)</f>
        <v/>
      </c>
      <c r="M40" s="362">
        <f>SUMIF($C$5:$F$6,M5,$C$40:$F$40)/COUNTIF($H$5:$AW$5,M5)</f>
        <v/>
      </c>
      <c r="N40" s="362">
        <f>SUMIF($C$5:$F$6,N5,$C$40:$F$40)/COUNTIF($H$5:$AW$5,N5)</f>
        <v/>
      </c>
      <c r="O40" s="362">
        <f>SUMIF($C$5:$F$6,O5,$C$40:$F$40)/COUNTIF($H$5:$AW$5,O5)</f>
        <v/>
      </c>
      <c r="P40" s="362">
        <f>SUMIF($C$5:$F$6,P5,$C$40:$F$40)/COUNTIF($H$5:$AW$5,P5)</f>
        <v/>
      </c>
      <c r="Q40" s="362">
        <f>SUMIF($C$5:$F$6,Q5,$C$40:$F$40)/COUNTIF($H$5:$AW$5,Q5)</f>
        <v/>
      </c>
      <c r="R40" s="362">
        <f>SUMIF($C$5:$F$6,R5,$C$40:$F$40)/COUNTIF($H$5:$AW$5,R5)</f>
        <v/>
      </c>
      <c r="S40" s="362">
        <f>SUMIF($C$5:$F$6,S5,$C$40:$F$40)/COUNTIF($H$5:$AW$5,S5)</f>
        <v/>
      </c>
      <c r="T40" s="362">
        <f>SUMIF($C$5:$F$6,T5,$C$40:$F$40)/COUNTIF($H$5:$AW$5,T5)</f>
        <v/>
      </c>
      <c r="U40" s="362">
        <f>SUMIF($C$5:$F$6,U5,$C$40:$F$40)/COUNTIF($H$5:$AW$5,U5)</f>
        <v/>
      </c>
      <c r="V40" s="362">
        <f>SUMIF($C$5:$F$6,V5,$C$40:$F$40)/COUNTIF($H$5:$AW$5,V5)</f>
        <v/>
      </c>
      <c r="W40" s="362">
        <f>SUMIF($C$5:$F$6,W5,$C$40:$F$40)/COUNTIF($H$5:$AW$5,W5)</f>
        <v/>
      </c>
      <c r="X40" s="362">
        <f>SUMIF($C$5:$F$6,X5,$C$40:$F$40)/COUNTIF($H$5:$AW$5,X5)</f>
        <v/>
      </c>
      <c r="Y40" s="362">
        <f>SUMIF($C$5:$F$6,Y5,$C$40:$F$40)/COUNTIF($H$5:$AW$5,Y5)</f>
        <v/>
      </c>
      <c r="Z40" s="362">
        <f>SUMIF($C$5:$F$6,Z5,$C$40:$F$40)/COUNTIF($H$5:$AW$5,Z5)</f>
        <v/>
      </c>
      <c r="AA40" s="362">
        <f>SUMIF($C$5:$F$6,AA5,$C$40:$F$40)/COUNTIF($H$5:$AW$5,AA5)</f>
        <v/>
      </c>
      <c r="AB40" s="362">
        <f>SUMIF($C$5:$F$6,AB5,$C$40:$F$40)/COUNTIF($H$5:$AW$5,AB5)</f>
        <v/>
      </c>
      <c r="AC40" s="362">
        <f>SUMIF($C$5:$F$6,AC5,$C$40:$F$40)/COUNTIF($H$5:$AW$5,AC5)</f>
        <v/>
      </c>
      <c r="AD40" s="362">
        <f>SUMIF($C$5:$F$6,AD5,$C$40:$F$40)/COUNTIF($H$5:$AW$5,AD5)</f>
        <v/>
      </c>
      <c r="AE40" s="362">
        <f>SUMIF($C$5:$F$6,AE5,$C$40:$F$40)/COUNTIF($H$5:$AW$5,AE5)</f>
        <v/>
      </c>
      <c r="AF40" s="362">
        <f>SUMIF($C$5:$F$6,AF5,$C$40:$F$40)/COUNTIF($H$5:$AW$5,AF5)</f>
        <v/>
      </c>
      <c r="AG40" s="362">
        <f>SUMIF($C$5:$F$6,AG5,$C$40:$F$40)/COUNTIF($H$5:$AW$5,AG5)</f>
        <v/>
      </c>
      <c r="AH40" s="362">
        <f>SUMIF($C$5:$F$6,AH5,$C$40:$F$40)/COUNTIF($H$5:$AW$5,AH5)</f>
        <v/>
      </c>
      <c r="AI40" s="362">
        <f>SUMIF($C$5:$F$6,AI5,$C$40:$F$40)/COUNTIF($H$5:$AW$5,AI5)</f>
        <v/>
      </c>
      <c r="AJ40" s="362">
        <f>SUMIF($C$5:$F$6,AJ5,$C$40:$F$40)/COUNTIF($H$5:$AW$5,AJ5)</f>
        <v/>
      </c>
      <c r="AK40" s="362">
        <f>SUMIF($C$5:$F$6,AK5,$C$40:$F$40)/COUNTIF($H$5:$AW$5,AK5)</f>
        <v/>
      </c>
      <c r="AL40" s="362">
        <f>SUMIF($C$5:$F$6,AL5,$C$40:$F$40)/COUNTIF($H$5:$AW$5,AL5)</f>
        <v/>
      </c>
      <c r="AM40" s="362">
        <f>SUMIF($C$5:$F$6,AM5,$C$40:$F$40)/COUNTIF($H$5:$AW$5,AM5)</f>
        <v/>
      </c>
      <c r="AN40" s="362">
        <f>SUMIF($C$5:$F$6,AN5,$C$40:$F$40)/COUNTIF($H$5:$AW$5,AN5)</f>
        <v/>
      </c>
      <c r="AO40" s="362">
        <f>SUMIF($C$5:$F$6,AO5,$C$40:$F$40)/COUNTIF($H$5:$AW$5,AO5)</f>
        <v/>
      </c>
      <c r="AP40" s="362">
        <f>SUMIF($C$5:$F$6,AP5,$C$40:$F$40)/COUNTIF($H$5:$AW$5,AP5)</f>
        <v/>
      </c>
      <c r="AQ40" s="362">
        <f>SUMIF($C$5:$F$6,AQ5,$C$40:$F$40)/COUNTIF($H$5:$AW$5,AQ5)</f>
        <v/>
      </c>
      <c r="AR40" s="362">
        <f>SUMIF($C$5:$F$6,AR5,$C$40:$F$40)/COUNTIF($H$5:$AW$5,AR5)</f>
        <v/>
      </c>
      <c r="AS40" s="362">
        <f>SUMIF($C$5:$F$6,AS5,$C$40:$F$40)/COUNTIF($H$5:$AW$5,AS5)</f>
        <v/>
      </c>
      <c r="AT40" s="362">
        <f>SUMIF($C$5:$F$6,AT5,$C$40:$F$40)/COUNTIF($H$5:$AW$5,AT5)</f>
        <v/>
      </c>
      <c r="AU40" s="362">
        <f>SUMIF($C$5:$F$6,AU5,$C$40:$F$40)/COUNTIF($H$5:$AW$5,AU5)</f>
        <v/>
      </c>
      <c r="AV40" s="362">
        <f>SUMIF($C$5:$F$6,AV5,$C$40:$F$40)/COUNTIF($H$5:$AW$5,AV5)</f>
        <v/>
      </c>
      <c r="AW40" s="362">
        <f>SUMIF($C$5:$F$6,AW5,$C$40:$F$40)/COUNTIF($H$5:$AW$5,AW5)</f>
        <v/>
      </c>
    </row>
    <row r="41">
      <c r="C41" s="357" t="n"/>
      <c r="D41" s="357" t="n"/>
      <c r="E41" s="357" t="n"/>
      <c r="F41" s="357" t="n"/>
      <c r="G41" s="358" t="n"/>
      <c r="H41" s="357" t="n"/>
      <c r="I41" s="357" t="n"/>
      <c r="J41" s="357" t="n"/>
      <c r="K41" s="357" t="n"/>
      <c r="L41" s="357" t="n"/>
      <c r="M41" s="357" t="n"/>
      <c r="N41" s="357" t="n"/>
      <c r="O41" s="357" t="n"/>
      <c r="P41" s="357" t="n"/>
      <c r="Q41" s="357" t="n"/>
      <c r="R41" s="357" t="n"/>
      <c r="S41" s="357" t="n"/>
      <c r="T41" s="357" t="n"/>
      <c r="U41" s="357" t="n"/>
      <c r="V41" s="357" t="n"/>
      <c r="W41" s="357" t="n"/>
      <c r="X41" s="357" t="n"/>
      <c r="Y41" s="357" t="n"/>
      <c r="Z41" s="357" t="n"/>
      <c r="AA41" s="357" t="n"/>
      <c r="AB41" s="357" t="n"/>
      <c r="AC41" s="357" t="n"/>
      <c r="AD41" s="357" t="n"/>
      <c r="AE41" s="357" t="n"/>
      <c r="AF41" s="357" t="n"/>
      <c r="AG41" s="357" t="n"/>
      <c r="AH41" s="357" t="n"/>
      <c r="AI41" s="357" t="n"/>
      <c r="AJ41" s="357" t="n"/>
      <c r="AK41" s="357" t="n"/>
      <c r="AL41" s="357" t="n"/>
      <c r="AM41" s="357" t="n"/>
      <c r="AN41" s="357" t="n"/>
      <c r="AO41" s="357" t="n"/>
      <c r="AP41" s="357" t="n"/>
      <c r="AQ41" s="357" t="n"/>
      <c r="AR41" s="357" t="n"/>
      <c r="AS41" s="357" t="n"/>
      <c r="AT41" s="357" t="n"/>
      <c r="AU41" s="357" t="n"/>
      <c r="AV41" s="357" t="n"/>
      <c r="AW41" s="357" t="n"/>
    </row>
    <row r="42" ht="14" customFormat="1" customHeight="1" s="2" thickBot="1">
      <c r="B42" s="105" t="inlineStr">
        <is>
          <t>PAT</t>
        </is>
      </c>
      <c r="C42" s="364">
        <f>SUM(C39:C40)</f>
        <v/>
      </c>
      <c r="D42" s="364">
        <f>SUM(D39:D40)</f>
        <v/>
      </c>
      <c r="E42" s="364">
        <f>SUM(E39:E40)</f>
        <v/>
      </c>
      <c r="F42" s="364">
        <f>SUM(F39:F40)</f>
        <v/>
      </c>
      <c r="G42" s="360" t="n"/>
      <c r="H42" s="364">
        <f>SUM(H39:H40)</f>
        <v/>
      </c>
      <c r="I42" s="364">
        <f>SUM(I39:I40)</f>
        <v/>
      </c>
      <c r="J42" s="364">
        <f>SUM(J39:J40)</f>
        <v/>
      </c>
      <c r="K42" s="364">
        <f>SUM(K39:K40)</f>
        <v/>
      </c>
      <c r="L42" s="364">
        <f>SUM(L39:L40)</f>
        <v/>
      </c>
      <c r="M42" s="364">
        <f>SUM(M39:M40)</f>
        <v/>
      </c>
      <c r="N42" s="364">
        <f>SUM(N39:N40)</f>
        <v/>
      </c>
      <c r="O42" s="364">
        <f>SUM(O39:O40)</f>
        <v/>
      </c>
      <c r="P42" s="364">
        <f>SUM(P39:P40)</f>
        <v/>
      </c>
      <c r="Q42" s="364">
        <f>SUM(Q39:Q40)</f>
        <v/>
      </c>
      <c r="R42" s="364">
        <f>SUM(R39:R40)</f>
        <v/>
      </c>
      <c r="S42" s="364">
        <f>SUM(S39:S40)</f>
        <v/>
      </c>
      <c r="T42" s="364">
        <f>SUM(T39:T40)</f>
        <v/>
      </c>
      <c r="U42" s="364">
        <f>SUM(U39:U40)</f>
        <v/>
      </c>
      <c r="V42" s="364">
        <f>SUM(V39:V40)</f>
        <v/>
      </c>
      <c r="W42" s="364">
        <f>SUM(W39:W40)</f>
        <v/>
      </c>
      <c r="X42" s="364">
        <f>SUM(X39:X40)</f>
        <v/>
      </c>
      <c r="Y42" s="364">
        <f>SUM(Y39:Y40)</f>
        <v/>
      </c>
      <c r="Z42" s="364">
        <f>SUM(Z39:Z40)</f>
        <v/>
      </c>
      <c r="AA42" s="364">
        <f>SUM(AA39:AA40)</f>
        <v/>
      </c>
      <c r="AB42" s="364">
        <f>SUM(AB39:AB40)</f>
        <v/>
      </c>
      <c r="AC42" s="364">
        <f>SUM(AC39:AC40)</f>
        <v/>
      </c>
      <c r="AD42" s="364">
        <f>SUM(AD39:AD40)</f>
        <v/>
      </c>
      <c r="AE42" s="364">
        <f>SUM(AE39:AE40)</f>
        <v/>
      </c>
      <c r="AF42" s="364">
        <f>SUM(AF39:AF40)</f>
        <v/>
      </c>
      <c r="AG42" s="364">
        <f>SUM(AG39:AG40)</f>
        <v/>
      </c>
      <c r="AH42" s="364">
        <f>SUM(AH39:AH40)</f>
        <v/>
      </c>
      <c r="AI42" s="364">
        <f>SUM(AI39:AI40)</f>
        <v/>
      </c>
      <c r="AJ42" s="364">
        <f>SUM(AJ39:AJ40)</f>
        <v/>
      </c>
      <c r="AK42" s="364">
        <f>SUM(AK39:AK40)</f>
        <v/>
      </c>
      <c r="AL42" s="364">
        <f>SUM(AL39:AL40)</f>
        <v/>
      </c>
      <c r="AM42" s="364">
        <f>SUM(AM39:AM40)</f>
        <v/>
      </c>
      <c r="AN42" s="364">
        <f>SUM(AN39:AN40)</f>
        <v/>
      </c>
      <c r="AO42" s="364">
        <f>SUM(AO39:AO40)</f>
        <v/>
      </c>
      <c r="AP42" s="364">
        <f>SUM(AP39:AP40)</f>
        <v/>
      </c>
      <c r="AQ42" s="364">
        <f>SUM(AQ39:AQ40)</f>
        <v/>
      </c>
      <c r="AR42" s="364">
        <f>SUM(AR39:AR40)</f>
        <v/>
      </c>
      <c r="AS42" s="364">
        <f>SUM(AS39:AS40)</f>
        <v/>
      </c>
      <c r="AT42" s="364">
        <f>SUM(AT39:AT40)</f>
        <v/>
      </c>
      <c r="AU42" s="364">
        <f>SUM(AU39:AU40)</f>
        <v/>
      </c>
      <c r="AV42" s="364">
        <f>SUM(AV39:AV40)</f>
        <v/>
      </c>
      <c r="AW42" s="364">
        <f>SUM(AW39:AW40)</f>
        <v/>
      </c>
    </row>
  </sheetData>
  <mergeCells count="6">
    <mergeCell ref="G5:G6"/>
    <mergeCell ref="E5:E6"/>
    <mergeCell ref="F5:F6"/>
    <mergeCell ref="D5:D6"/>
    <mergeCell ref="B5:B6"/>
    <mergeCell ref="C5:C6"/>
  </mergeCells>
  <pageMargins left="0.7" right="0.7" top="0.75" bottom="0.75" header="0.3" footer="0.3"/>
  <pageSetup orientation="portrait" scale="1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W31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4" sqref="C14:F14"/>
    </sheetView>
  </sheetViews>
  <sheetFormatPr baseColWidth="10" defaultColWidth="12.5" defaultRowHeight="13"/>
  <cols>
    <col width="4" customWidth="1" style="1" min="1" max="1"/>
    <col width="26" customWidth="1" style="1" min="2" max="2"/>
    <col outlineLevel="1" width="12.5" customWidth="1" style="1" min="3" max="6"/>
    <col width="6" customWidth="1" style="1" min="7" max="7"/>
    <col width="12.5" customWidth="1" style="1" min="8" max="16384"/>
  </cols>
  <sheetData>
    <row r="2">
      <c r="B2" s="2">
        <f>DCF!B2</f>
        <v/>
      </c>
    </row>
    <row r="3">
      <c r="B3" s="2" t="inlineStr">
        <is>
          <t>Cashflow</t>
        </is>
      </c>
    </row>
    <row r="5">
      <c r="B5" s="305">
        <f t="array" ref="B5:B6">'Revenue Driver'!B5:B6</f>
        <v/>
      </c>
      <c r="C5" s="295">
        <f t="array" ref="C5:C6">'Revenue Driver'!C5:C6</f>
        <v/>
      </c>
      <c r="D5" s="295">
        <f t="array" ref="D5:D6">'Revenue Driver'!D5:D6</f>
        <v/>
      </c>
      <c r="E5" s="295">
        <f t="array" ref="E5:E6">'Revenue Driver'!E5:E6</f>
        <v/>
      </c>
      <c r="F5" s="295">
        <f t="array" ref="F5:F6">'Revenue Driver'!F5:F6</f>
        <v/>
      </c>
      <c r="G5" s="292" t="n"/>
      <c r="H5" s="7">
        <f t="array" ref="H5:H6">'Revenue Driver'!H5:H6</f>
        <v/>
      </c>
      <c r="I5" s="7">
        <f t="array" ref="I5:I6">'Revenue Driver'!I5:I6</f>
        <v/>
      </c>
      <c r="J5" s="7">
        <f t="array" ref="J5:J6">'Revenue Driver'!J5:J6</f>
        <v/>
      </c>
      <c r="K5" s="7">
        <f t="array" ref="K5:K6">'Revenue Driver'!K5:K6</f>
        <v/>
      </c>
      <c r="L5" s="7">
        <f t="array" ref="L5:L6">'Revenue Driver'!L5:L6</f>
        <v/>
      </c>
      <c r="M5" s="7">
        <f t="array" ref="M5:M6">'Revenue Driver'!M5:M6</f>
        <v/>
      </c>
      <c r="N5" s="7">
        <f t="array" ref="N5:N6">'Revenue Driver'!N5:N6</f>
        <v/>
      </c>
      <c r="O5" s="7">
        <f t="array" ref="O5:O6">'Revenue Driver'!O5:O6</f>
        <v/>
      </c>
      <c r="P5" s="7">
        <f t="array" ref="P5:P6">'Revenue Driver'!P5:P6</f>
        <v/>
      </c>
      <c r="Q5" s="7">
        <f t="array" ref="Q5:Q6">'Revenue Driver'!Q5:Q6</f>
        <v/>
      </c>
      <c r="R5" s="7">
        <f t="array" ref="R5:R6">'Revenue Driver'!R5:R6</f>
        <v/>
      </c>
      <c r="S5" s="7">
        <f t="array" ref="S5:S6">'Revenue Driver'!S5:S6</f>
        <v/>
      </c>
      <c r="T5" s="7">
        <f t="array" ref="T5:T6">'Revenue Driver'!T5:T6</f>
        <v/>
      </c>
      <c r="U5" s="7">
        <f t="array" ref="U5:U6">'Revenue Driver'!U5:U6</f>
        <v/>
      </c>
      <c r="V5" s="7">
        <f t="array" ref="V5:V6">'Revenue Driver'!V5:V6</f>
        <v/>
      </c>
      <c r="W5" s="7">
        <f t="array" ref="W5:W6">'Revenue Driver'!W5:W6</f>
        <v/>
      </c>
      <c r="X5" s="7">
        <f t="array" ref="X5:X6">'Revenue Driver'!X5:X6</f>
        <v/>
      </c>
      <c r="Y5" s="7">
        <f t="array" ref="Y5:Y6">'Revenue Driver'!Y5:Y6</f>
        <v/>
      </c>
      <c r="Z5" s="7">
        <f t="array" ref="Z5:Z6">'Revenue Driver'!Z5:Z6</f>
        <v/>
      </c>
      <c r="AA5" s="7">
        <f t="array" ref="AA5:AA6">'Revenue Driver'!AA5:AA6</f>
        <v/>
      </c>
      <c r="AB5" s="7">
        <f t="array" ref="AB5:AB6">'Revenue Driver'!AB5:AB6</f>
        <v/>
      </c>
      <c r="AC5" s="7">
        <f t="array" ref="AC5:AC6">'Revenue Driver'!AC5:AC6</f>
        <v/>
      </c>
      <c r="AD5" s="7">
        <f t="array" ref="AD5:AD6">'Revenue Driver'!AD5:AD6</f>
        <v/>
      </c>
      <c r="AE5" s="7">
        <f t="array" ref="AE5:AE6">'Revenue Driver'!AE5:AE6</f>
        <v/>
      </c>
      <c r="AF5" s="7">
        <f t="array" ref="AF5:AF6">'Revenue Driver'!AF5:AF6</f>
        <v/>
      </c>
      <c r="AG5" s="7">
        <f t="array" ref="AG5:AG6">'Revenue Driver'!AG5:AG6</f>
        <v/>
      </c>
      <c r="AH5" s="7">
        <f t="array" ref="AH5:AH6">'Revenue Driver'!AH5:AH6</f>
        <v/>
      </c>
      <c r="AI5" s="7">
        <f t="array" ref="AI5:AI6">'Revenue Driver'!AI5:AI6</f>
        <v/>
      </c>
      <c r="AJ5" s="7">
        <f t="array" ref="AJ5:AJ6">'Revenue Driver'!AJ5:AJ6</f>
        <v/>
      </c>
      <c r="AK5" s="7">
        <f t="array" ref="AK5:AK6">'Revenue Driver'!AK5:AK6</f>
        <v/>
      </c>
      <c r="AL5" s="7">
        <f t="array" ref="AL5:AL6">'Revenue Driver'!AL5:AL6</f>
        <v/>
      </c>
      <c r="AM5" s="7">
        <f t="array" ref="AM5:AM6">'Revenue Driver'!AM5:AM6</f>
        <v/>
      </c>
      <c r="AN5" s="7">
        <f t="array" ref="AN5:AN6">'Revenue Driver'!AN5:AN6</f>
        <v/>
      </c>
      <c r="AO5" s="7">
        <f t="array" ref="AO5:AO6">'Revenue Driver'!AO5:AO6</f>
        <v/>
      </c>
      <c r="AP5" s="7">
        <f t="array" ref="AP5:AP6">'Revenue Driver'!AP5:AP6</f>
        <v/>
      </c>
      <c r="AQ5" s="7">
        <f t="array" ref="AQ5:AQ6">'Revenue Driver'!AQ5:AQ6</f>
        <v/>
      </c>
      <c r="AR5" s="7">
        <f t="array" ref="AR5:AR6">'Revenue Driver'!AR5:AR6</f>
        <v/>
      </c>
      <c r="AS5" s="7">
        <f t="array" ref="AS5:AS6">'Revenue Driver'!AS5:AS6</f>
        <v/>
      </c>
      <c r="AT5" s="7">
        <f t="array" ref="AT5:AT6">'Revenue Driver'!AT5:AT6</f>
        <v/>
      </c>
      <c r="AU5" s="7">
        <f t="array" ref="AU5:AU6">'Revenue Driver'!AU5:AU6</f>
        <v/>
      </c>
      <c r="AV5" s="7">
        <f t="array" ref="AV5:AV6">'Revenue Driver'!AV5:AV6</f>
        <v/>
      </c>
      <c r="AW5" s="7">
        <f t="array" ref="AW5:AW6">'Revenue Driver'!AW5:AW6</f>
        <v/>
      </c>
    </row>
    <row r="6">
      <c r="H6" s="8" t="n">
        <v>45497</v>
      </c>
      <c r="I6" s="8" t="n">
        <v>45535</v>
      </c>
      <c r="J6" s="8" t="n">
        <v>45565</v>
      </c>
      <c r="K6" s="8" t="n">
        <v>45596</v>
      </c>
      <c r="L6" s="8" t="n">
        <v>45626</v>
      </c>
      <c r="M6" s="8" t="n">
        <v>45657</v>
      </c>
      <c r="N6" s="8" t="n">
        <v>45688</v>
      </c>
      <c r="O6" s="8" t="n">
        <v>45716</v>
      </c>
      <c r="P6" s="8" t="n">
        <v>45747</v>
      </c>
      <c r="Q6" s="8" t="n">
        <v>45777</v>
      </c>
      <c r="R6" s="8" t="n">
        <v>45808</v>
      </c>
      <c r="S6" s="8" t="n">
        <v>45838</v>
      </c>
      <c r="T6" s="8" t="n">
        <v>45869</v>
      </c>
      <c r="U6" s="8" t="n">
        <v>45900</v>
      </c>
      <c r="V6" s="8" t="n">
        <v>45930</v>
      </c>
      <c r="W6" s="8" t="n">
        <v>45961</v>
      </c>
      <c r="X6" s="8" t="n">
        <v>45991</v>
      </c>
      <c r="Y6" s="8" t="n">
        <v>46022</v>
      </c>
      <c r="Z6" s="8" t="n">
        <v>46053</v>
      </c>
      <c r="AA6" s="8" t="n">
        <v>46081</v>
      </c>
      <c r="AB6" s="8" t="n">
        <v>46112</v>
      </c>
      <c r="AC6" s="8" t="n">
        <v>46142</v>
      </c>
      <c r="AD6" s="8" t="n">
        <v>46173</v>
      </c>
      <c r="AE6" s="8" t="n">
        <v>46203</v>
      </c>
      <c r="AF6" s="8" t="n">
        <v>46234</v>
      </c>
      <c r="AG6" s="8" t="n">
        <v>46265</v>
      </c>
      <c r="AH6" s="8" t="n">
        <v>46295</v>
      </c>
      <c r="AI6" s="8" t="n">
        <v>46326</v>
      </c>
      <c r="AJ6" s="8" t="n">
        <v>46356</v>
      </c>
      <c r="AK6" s="8" t="n">
        <v>46387</v>
      </c>
      <c r="AL6" s="8" t="n">
        <v>46418</v>
      </c>
      <c r="AM6" s="8" t="n">
        <v>46446</v>
      </c>
      <c r="AN6" s="8" t="n">
        <v>46477</v>
      </c>
      <c r="AO6" s="8" t="n">
        <v>46507</v>
      </c>
      <c r="AP6" s="8" t="n">
        <v>46538</v>
      </c>
      <c r="AQ6" s="8" t="n">
        <v>46568</v>
      </c>
      <c r="AR6" s="8" t="n">
        <v>46599</v>
      </c>
      <c r="AS6" s="8" t="n">
        <v>46630</v>
      </c>
      <c r="AT6" s="8" t="n">
        <v>46660</v>
      </c>
      <c r="AU6" s="8" t="n">
        <v>46691</v>
      </c>
      <c r="AV6" s="8" t="n">
        <v>46721</v>
      </c>
      <c r="AW6" s="8" t="n">
        <v>46752</v>
      </c>
    </row>
    <row r="8">
      <c r="B8" s="1" t="inlineStr">
        <is>
          <t>Net Income</t>
        </is>
      </c>
      <c r="C8" s="357">
        <f>'Income Statement'!C42</f>
        <v/>
      </c>
      <c r="D8" s="357">
        <f>'Income Statement'!D42</f>
        <v/>
      </c>
      <c r="E8" s="357">
        <f>'Income Statement'!E42</f>
        <v/>
      </c>
      <c r="F8" s="357">
        <f>'Income Statement'!F42</f>
        <v/>
      </c>
      <c r="G8" s="357" t="n"/>
      <c r="H8" s="357">
        <f>'Income Statement'!H42</f>
        <v/>
      </c>
      <c r="I8" s="362">
        <f>'Income Statement'!I42</f>
        <v/>
      </c>
      <c r="J8" s="362">
        <f>'Income Statement'!J42</f>
        <v/>
      </c>
      <c r="K8" s="362">
        <f>'Income Statement'!K42</f>
        <v/>
      </c>
      <c r="L8" s="362">
        <f>'Income Statement'!L42</f>
        <v/>
      </c>
      <c r="M8" s="362">
        <f>'Income Statement'!M42</f>
        <v/>
      </c>
      <c r="N8" s="362">
        <f>'Income Statement'!N42</f>
        <v/>
      </c>
      <c r="O8" s="362">
        <f>'Income Statement'!O42</f>
        <v/>
      </c>
      <c r="P8" s="362">
        <f>'Income Statement'!P42</f>
        <v/>
      </c>
      <c r="Q8" s="362">
        <f>'Income Statement'!Q42</f>
        <v/>
      </c>
      <c r="R8" s="362">
        <f>'Income Statement'!R42</f>
        <v/>
      </c>
      <c r="S8" s="362">
        <f>'Income Statement'!S42</f>
        <v/>
      </c>
      <c r="T8" s="362">
        <f>'Income Statement'!T42</f>
        <v/>
      </c>
      <c r="U8" s="362">
        <f>'Income Statement'!U42</f>
        <v/>
      </c>
      <c r="V8" s="362">
        <f>'Income Statement'!V42</f>
        <v/>
      </c>
      <c r="W8" s="362">
        <f>'Income Statement'!W42</f>
        <v/>
      </c>
      <c r="X8" s="362">
        <f>'Income Statement'!X42</f>
        <v/>
      </c>
      <c r="Y8" s="362">
        <f>'Income Statement'!Y42</f>
        <v/>
      </c>
      <c r="Z8" s="362">
        <f>'Income Statement'!Z42</f>
        <v/>
      </c>
      <c r="AA8" s="362">
        <f>'Income Statement'!AA42</f>
        <v/>
      </c>
      <c r="AB8" s="362">
        <f>'Income Statement'!AB42</f>
        <v/>
      </c>
      <c r="AC8" s="362">
        <f>'Income Statement'!AC42</f>
        <v/>
      </c>
      <c r="AD8" s="362">
        <f>'Income Statement'!AD42</f>
        <v/>
      </c>
      <c r="AE8" s="362">
        <f>'Income Statement'!AE42</f>
        <v/>
      </c>
      <c r="AF8" s="362">
        <f>'Income Statement'!AF42</f>
        <v/>
      </c>
      <c r="AG8" s="362">
        <f>'Income Statement'!AG42</f>
        <v/>
      </c>
      <c r="AH8" s="362">
        <f>'Income Statement'!AH42</f>
        <v/>
      </c>
      <c r="AI8" s="362">
        <f>'Income Statement'!AI42</f>
        <v/>
      </c>
      <c r="AJ8" s="362">
        <f>'Income Statement'!AJ42</f>
        <v/>
      </c>
      <c r="AK8" s="362">
        <f>'Income Statement'!AK42</f>
        <v/>
      </c>
      <c r="AL8" s="362">
        <f>'Income Statement'!AL42</f>
        <v/>
      </c>
      <c r="AM8" s="362">
        <f>'Income Statement'!AM42</f>
        <v/>
      </c>
      <c r="AN8" s="362">
        <f>'Income Statement'!AN42</f>
        <v/>
      </c>
      <c r="AO8" s="362">
        <f>'Income Statement'!AO42</f>
        <v/>
      </c>
      <c r="AP8" s="362">
        <f>'Income Statement'!AP42</f>
        <v/>
      </c>
      <c r="AQ8" s="362">
        <f>'Income Statement'!AQ42</f>
        <v/>
      </c>
      <c r="AR8" s="362">
        <f>'Income Statement'!AR42</f>
        <v/>
      </c>
      <c r="AS8" s="362">
        <f>'Income Statement'!AS42</f>
        <v/>
      </c>
      <c r="AT8" s="362">
        <f>'Income Statement'!AT42</f>
        <v/>
      </c>
      <c r="AU8" s="362">
        <f>'Income Statement'!AU42</f>
        <v/>
      </c>
      <c r="AV8" s="362">
        <f>'Income Statement'!AV42</f>
        <v/>
      </c>
      <c r="AW8" s="362">
        <f>'Income Statement'!AW42</f>
        <v/>
      </c>
    </row>
    <row r="9">
      <c r="B9" s="1" t="inlineStr">
        <is>
          <t>Add: Depreciation</t>
        </is>
      </c>
      <c r="C9" s="357">
        <f>-'Income Statement'!C33</f>
        <v/>
      </c>
      <c r="D9" s="357">
        <f>-'Income Statement'!D33</f>
        <v/>
      </c>
      <c r="E9" s="357">
        <f>-'Income Statement'!E33</f>
        <v/>
      </c>
      <c r="F9" s="357">
        <f>-'Income Statement'!F33</f>
        <v/>
      </c>
      <c r="G9" s="357" t="n"/>
      <c r="H9" s="357">
        <f>-'Income Statement'!H33</f>
        <v/>
      </c>
      <c r="I9" s="362">
        <f>-'Income Statement'!I33</f>
        <v/>
      </c>
      <c r="J9" s="362">
        <f>-'Income Statement'!J33</f>
        <v/>
      </c>
      <c r="K9" s="362">
        <f>-'Income Statement'!K33</f>
        <v/>
      </c>
      <c r="L9" s="362">
        <f>-'Income Statement'!L33</f>
        <v/>
      </c>
      <c r="M9" s="362">
        <f>-'Income Statement'!M33</f>
        <v/>
      </c>
      <c r="N9" s="362">
        <f>-'Income Statement'!N33</f>
        <v/>
      </c>
      <c r="O9" s="362">
        <f>-'Income Statement'!O33</f>
        <v/>
      </c>
      <c r="P9" s="362">
        <f>-'Income Statement'!P33</f>
        <v/>
      </c>
      <c r="Q9" s="362">
        <f>-'Income Statement'!Q33</f>
        <v/>
      </c>
      <c r="R9" s="362">
        <f>-'Income Statement'!R33</f>
        <v/>
      </c>
      <c r="S9" s="362">
        <f>-'Income Statement'!S33</f>
        <v/>
      </c>
      <c r="T9" s="362">
        <f>-'Income Statement'!T33</f>
        <v/>
      </c>
      <c r="U9" s="362">
        <f>-'Income Statement'!U33</f>
        <v/>
      </c>
      <c r="V9" s="362">
        <f>-'Income Statement'!V33</f>
        <v/>
      </c>
      <c r="W9" s="362">
        <f>-'Income Statement'!W33</f>
        <v/>
      </c>
      <c r="X9" s="362">
        <f>-'Income Statement'!X33</f>
        <v/>
      </c>
      <c r="Y9" s="362">
        <f>-'Income Statement'!Y33</f>
        <v/>
      </c>
      <c r="Z9" s="362">
        <f>-'Income Statement'!Z33</f>
        <v/>
      </c>
      <c r="AA9" s="362">
        <f>-'Income Statement'!AA33</f>
        <v/>
      </c>
      <c r="AB9" s="362">
        <f>-'Income Statement'!AB33</f>
        <v/>
      </c>
      <c r="AC9" s="362">
        <f>-'Income Statement'!AC33</f>
        <v/>
      </c>
      <c r="AD9" s="362">
        <f>-'Income Statement'!AD33</f>
        <v/>
      </c>
      <c r="AE9" s="362">
        <f>-'Income Statement'!AE33</f>
        <v/>
      </c>
      <c r="AF9" s="362">
        <f>-'Income Statement'!AF33</f>
        <v/>
      </c>
      <c r="AG9" s="362">
        <f>-'Income Statement'!AG33</f>
        <v/>
      </c>
      <c r="AH9" s="362">
        <f>-'Income Statement'!AH33</f>
        <v/>
      </c>
      <c r="AI9" s="362">
        <f>-'Income Statement'!AI33</f>
        <v/>
      </c>
      <c r="AJ9" s="362">
        <f>-'Income Statement'!AJ33</f>
        <v/>
      </c>
      <c r="AK9" s="362">
        <f>-'Income Statement'!AK33</f>
        <v/>
      </c>
      <c r="AL9" s="362">
        <f>-'Income Statement'!AL33</f>
        <v/>
      </c>
      <c r="AM9" s="362">
        <f>-'Income Statement'!AM33</f>
        <v/>
      </c>
      <c r="AN9" s="362">
        <f>-'Income Statement'!AN33</f>
        <v/>
      </c>
      <c r="AO9" s="362">
        <f>-'Income Statement'!AO33</f>
        <v/>
      </c>
      <c r="AP9" s="362">
        <f>-'Income Statement'!AP33</f>
        <v/>
      </c>
      <c r="AQ9" s="362">
        <f>-'Income Statement'!AQ33</f>
        <v/>
      </c>
      <c r="AR9" s="362">
        <f>-'Income Statement'!AR33</f>
        <v/>
      </c>
      <c r="AS9" s="362">
        <f>-'Income Statement'!AS33</f>
        <v/>
      </c>
      <c r="AT9" s="362">
        <f>-'Income Statement'!AT33</f>
        <v/>
      </c>
      <c r="AU9" s="362">
        <f>-'Income Statement'!AU33</f>
        <v/>
      </c>
      <c r="AV9" s="362">
        <f>-'Income Statement'!AV33</f>
        <v/>
      </c>
      <c r="AW9" s="362">
        <f>-'Income Statement'!AW33</f>
        <v/>
      </c>
    </row>
    <row r="10">
      <c r="B10" s="1" t="inlineStr">
        <is>
          <t>Add: Amortisation</t>
        </is>
      </c>
      <c r="C10" s="362">
        <f>-('Income Statement'!C34)</f>
        <v/>
      </c>
      <c r="D10" s="362">
        <f>-('Income Statement'!D34)</f>
        <v/>
      </c>
      <c r="E10" s="362">
        <f>-('Income Statement'!E34)</f>
        <v/>
      </c>
      <c r="F10" s="362">
        <f>-('Income Statement'!F34)</f>
        <v/>
      </c>
      <c r="G10" s="362" t="n"/>
      <c r="H10" s="362">
        <f>-('Income Statement'!H34)</f>
        <v/>
      </c>
      <c r="I10" s="362">
        <f>-('Income Statement'!I34)</f>
        <v/>
      </c>
      <c r="J10" s="362">
        <f>-('Income Statement'!J34)</f>
        <v/>
      </c>
      <c r="K10" s="362">
        <f>-('Income Statement'!K34)</f>
        <v/>
      </c>
      <c r="L10" s="362">
        <f>-('Income Statement'!L34)</f>
        <v/>
      </c>
      <c r="M10" s="362">
        <f>-('Income Statement'!M34)</f>
        <v/>
      </c>
      <c r="N10" s="362">
        <f>-('Income Statement'!N34)</f>
        <v/>
      </c>
      <c r="O10" s="362">
        <f>-('Income Statement'!O34)</f>
        <v/>
      </c>
      <c r="P10" s="362">
        <f>-('Income Statement'!P34)</f>
        <v/>
      </c>
      <c r="Q10" s="362">
        <f>-('Income Statement'!Q34)</f>
        <v/>
      </c>
      <c r="R10" s="362">
        <f>-('Income Statement'!R34)</f>
        <v/>
      </c>
      <c r="S10" s="362">
        <f>-('Income Statement'!S34)</f>
        <v/>
      </c>
      <c r="T10" s="362">
        <f>-('Income Statement'!T34)</f>
        <v/>
      </c>
      <c r="U10" s="362">
        <f>-('Income Statement'!U34)</f>
        <v/>
      </c>
      <c r="V10" s="362">
        <f>-('Income Statement'!V34)</f>
        <v/>
      </c>
      <c r="W10" s="362">
        <f>-('Income Statement'!W34)</f>
        <v/>
      </c>
      <c r="X10" s="362">
        <f>-('Income Statement'!X34)</f>
        <v/>
      </c>
      <c r="Y10" s="362">
        <f>-('Income Statement'!Y34)</f>
        <v/>
      </c>
      <c r="Z10" s="362">
        <f>-('Income Statement'!Z34)</f>
        <v/>
      </c>
      <c r="AA10" s="362">
        <f>-('Income Statement'!AA34)</f>
        <v/>
      </c>
      <c r="AB10" s="362">
        <f>-('Income Statement'!AB34)</f>
        <v/>
      </c>
      <c r="AC10" s="362">
        <f>-('Income Statement'!AC34)</f>
        <v/>
      </c>
      <c r="AD10" s="362">
        <f>-('Income Statement'!AD34)</f>
        <v/>
      </c>
      <c r="AE10" s="362">
        <f>-('Income Statement'!AE34)</f>
        <v/>
      </c>
      <c r="AF10" s="362">
        <f>-('Income Statement'!AF34)</f>
        <v/>
      </c>
      <c r="AG10" s="362">
        <f>-('Income Statement'!AG34)</f>
        <v/>
      </c>
      <c r="AH10" s="362">
        <f>-('Income Statement'!AH34)</f>
        <v/>
      </c>
      <c r="AI10" s="362">
        <f>-('Income Statement'!AI34)</f>
        <v/>
      </c>
      <c r="AJ10" s="362">
        <f>-('Income Statement'!AJ34)</f>
        <v/>
      </c>
      <c r="AK10" s="362">
        <f>-('Income Statement'!AK34)</f>
        <v/>
      </c>
      <c r="AL10" s="362">
        <f>-('Income Statement'!AL34)</f>
        <v/>
      </c>
      <c r="AM10" s="362">
        <f>-('Income Statement'!AM34)</f>
        <v/>
      </c>
      <c r="AN10" s="362">
        <f>-('Income Statement'!AN34)</f>
        <v/>
      </c>
      <c r="AO10" s="362">
        <f>-('Income Statement'!AO34)</f>
        <v/>
      </c>
      <c r="AP10" s="362">
        <f>-('Income Statement'!AP34)</f>
        <v/>
      </c>
      <c r="AQ10" s="362">
        <f>-('Income Statement'!AQ34)</f>
        <v/>
      </c>
      <c r="AR10" s="362">
        <f>-('Income Statement'!AR34)</f>
        <v/>
      </c>
      <c r="AS10" s="362">
        <f>-('Income Statement'!AS34)</f>
        <v/>
      </c>
      <c r="AT10" s="362">
        <f>-('Income Statement'!AT34)</f>
        <v/>
      </c>
      <c r="AU10" s="362">
        <f>-('Income Statement'!AU34)</f>
        <v/>
      </c>
      <c r="AV10" s="362">
        <f>-('Income Statement'!AV34)</f>
        <v/>
      </c>
      <c r="AW10" s="362">
        <f>-('Income Statement'!AW34)</f>
        <v/>
      </c>
    </row>
    <row r="11">
      <c r="B11" s="95" t="inlineStr">
        <is>
          <t>Change in Working Capital</t>
        </is>
      </c>
      <c r="C11" s="357" t="n"/>
      <c r="D11" s="357" t="n"/>
      <c r="E11" s="357" t="n"/>
      <c r="F11" s="357" t="n"/>
      <c r="G11" s="357" t="n"/>
      <c r="H11" s="357" t="n"/>
      <c r="I11" s="362" t="n"/>
      <c r="J11" s="362" t="n"/>
      <c r="K11" s="362" t="n"/>
      <c r="L11" s="362" t="n"/>
      <c r="M11" s="362" t="n"/>
      <c r="N11" s="362" t="n"/>
      <c r="O11" s="362" t="n"/>
      <c r="P11" s="362" t="n"/>
      <c r="Q11" s="362" t="n"/>
      <c r="R11" s="362" t="n"/>
      <c r="S11" s="362" t="n"/>
      <c r="T11" s="362" t="n"/>
      <c r="U11" s="362" t="n"/>
      <c r="V11" s="362" t="n"/>
      <c r="W11" s="362" t="n"/>
      <c r="X11" s="362" t="n"/>
      <c r="Y11" s="362" t="n"/>
      <c r="Z11" s="362" t="n"/>
      <c r="AA11" s="362" t="n"/>
      <c r="AB11" s="362" t="n"/>
      <c r="AC11" s="362" t="n"/>
      <c r="AD11" s="362" t="n"/>
      <c r="AE11" s="362" t="n"/>
      <c r="AF11" s="362" t="n"/>
      <c r="AG11" s="362" t="n"/>
      <c r="AH11" s="362" t="n"/>
      <c r="AI11" s="362" t="n"/>
      <c r="AJ11" s="362" t="n"/>
      <c r="AK11" s="362" t="n"/>
      <c r="AL11" s="362" t="n"/>
      <c r="AM11" s="362" t="n"/>
      <c r="AN11" s="362" t="n"/>
      <c r="AO11" s="362" t="n"/>
      <c r="AP11" s="362" t="n"/>
      <c r="AQ11" s="362" t="n"/>
      <c r="AR11" s="362" t="n"/>
      <c r="AS11" s="362" t="n"/>
      <c r="AT11" s="362" t="n"/>
      <c r="AU11" s="362" t="n"/>
      <c r="AV11" s="362" t="n"/>
      <c r="AW11" s="362" t="n"/>
    </row>
    <row r="12">
      <c r="B12" s="1" t="inlineStr">
        <is>
          <t>Changes in Current Assets</t>
        </is>
      </c>
      <c r="C12" s="357">
        <f>-SUM('Balance Sheet'!C10:C11)</f>
        <v/>
      </c>
      <c r="D12" s="357">
        <f>SUM('Balance Sheet'!C10:C11)-SUM('Balance Sheet'!D10:D11)</f>
        <v/>
      </c>
      <c r="E12" s="357">
        <f>SUM('Balance Sheet'!D10:D11)-SUM('Balance Sheet'!E10:E11)</f>
        <v/>
      </c>
      <c r="F12" s="357">
        <f>SUM('Balance Sheet'!E10:E11)-SUM('Balance Sheet'!F10:F11)</f>
        <v/>
      </c>
      <c r="G12" s="357" t="n"/>
      <c r="H12" s="362">
        <f>SUM('Balance Sheet'!H10:H11)-SUM('Balance Sheet'!I10:I11)</f>
        <v/>
      </c>
      <c r="I12" s="362">
        <f>SUM('Balance Sheet'!I10:I11)-SUM('Balance Sheet'!J10:J11)</f>
        <v/>
      </c>
      <c r="J12" s="362">
        <f>SUM('Balance Sheet'!J10:J11)-SUM('Balance Sheet'!K10:K11)</f>
        <v/>
      </c>
      <c r="K12" s="362">
        <f>SUM('Balance Sheet'!K10:K11)-SUM('Balance Sheet'!L10:L11)</f>
        <v/>
      </c>
      <c r="L12" s="362">
        <f>SUM('Balance Sheet'!L10:L11)-SUM('Balance Sheet'!M10:M11)</f>
        <v/>
      </c>
      <c r="M12" s="362">
        <f>SUM('Balance Sheet'!M10:M11)-SUM('Balance Sheet'!N10:N11)</f>
        <v/>
      </c>
      <c r="N12" s="362">
        <f>SUM('Balance Sheet'!N10:N11)-SUM('Balance Sheet'!O10:O11)</f>
        <v/>
      </c>
      <c r="O12" s="362">
        <f>SUM('Balance Sheet'!O10:O11)-SUM('Balance Sheet'!P10:P11)</f>
        <v/>
      </c>
      <c r="P12" s="362">
        <f>SUM('Balance Sheet'!P10:P11)-SUM('Balance Sheet'!Q10:Q11)</f>
        <v/>
      </c>
      <c r="Q12" s="362">
        <f>SUM('Balance Sheet'!Q10:Q11)-SUM('Balance Sheet'!R10:R11)</f>
        <v/>
      </c>
      <c r="R12" s="362">
        <f>SUM('Balance Sheet'!R10:R11)-SUM('Balance Sheet'!S10:S11)</f>
        <v/>
      </c>
      <c r="S12" s="362">
        <f>SUM('Balance Sheet'!S10:S11)-SUM('Balance Sheet'!T10:T11)</f>
        <v/>
      </c>
      <c r="T12" s="362">
        <f>SUM('Balance Sheet'!T10:T11)-SUM('Balance Sheet'!U10:U11)</f>
        <v/>
      </c>
      <c r="U12" s="362">
        <f>SUM('Balance Sheet'!U10:U11)-SUM('Balance Sheet'!V10:V11)</f>
        <v/>
      </c>
      <c r="V12" s="362">
        <f>SUM('Balance Sheet'!V10:V11)-SUM('Balance Sheet'!W10:W11)</f>
        <v/>
      </c>
      <c r="W12" s="362">
        <f>SUM('Balance Sheet'!W10:W11)-SUM('Balance Sheet'!X10:X11)</f>
        <v/>
      </c>
      <c r="X12" s="362">
        <f>SUM('Balance Sheet'!X10:X11)-SUM('Balance Sheet'!Y10:Y11)</f>
        <v/>
      </c>
      <c r="Y12" s="362">
        <f>SUM('Balance Sheet'!Y10:Y11)-SUM('Balance Sheet'!Z10:Z11)</f>
        <v/>
      </c>
      <c r="Z12" s="362">
        <f>SUM('Balance Sheet'!Z10:Z11)-SUM('Balance Sheet'!AA10:AA11)</f>
        <v/>
      </c>
      <c r="AA12" s="362">
        <f>SUM('Balance Sheet'!AA10:AA11)-SUM('Balance Sheet'!AB10:AB11)</f>
        <v/>
      </c>
      <c r="AB12" s="362">
        <f>SUM('Balance Sheet'!AB10:AB11)-SUM('Balance Sheet'!AC10:AC11)</f>
        <v/>
      </c>
      <c r="AC12" s="362">
        <f>SUM('Balance Sheet'!AC10:AC11)-SUM('Balance Sheet'!AD10:AD11)</f>
        <v/>
      </c>
      <c r="AD12" s="362">
        <f>SUM('Balance Sheet'!AD10:AD11)-SUM('Balance Sheet'!AE10:AE11)</f>
        <v/>
      </c>
      <c r="AE12" s="362">
        <f>SUM('Balance Sheet'!AE10:AE11)-SUM('Balance Sheet'!AF10:AF11)</f>
        <v/>
      </c>
      <c r="AF12" s="362">
        <f>SUM('Balance Sheet'!AF10:AF11)-SUM('Balance Sheet'!AG10:AG11)</f>
        <v/>
      </c>
      <c r="AG12" s="362">
        <f>SUM('Balance Sheet'!AG10:AG11)-SUM('Balance Sheet'!AH10:AH11)</f>
        <v/>
      </c>
      <c r="AH12" s="362">
        <f>SUM('Balance Sheet'!AH10:AH11)-SUM('Balance Sheet'!AI10:AI11)</f>
        <v/>
      </c>
      <c r="AI12" s="362">
        <f>SUM('Balance Sheet'!AI10:AI11)-SUM('Balance Sheet'!AJ10:AJ11)</f>
        <v/>
      </c>
      <c r="AJ12" s="362">
        <f>SUM('Balance Sheet'!AJ10:AJ11)-SUM('Balance Sheet'!AK10:AK11)</f>
        <v/>
      </c>
      <c r="AK12" s="362">
        <f>SUM('Balance Sheet'!AK10:AK11)-SUM('Balance Sheet'!AL10:AL11)</f>
        <v/>
      </c>
      <c r="AL12" s="362">
        <f>SUM('Balance Sheet'!AL10:AL11)-SUM('Balance Sheet'!AM10:AM11)</f>
        <v/>
      </c>
      <c r="AM12" s="362">
        <f>SUM('Balance Sheet'!AM10:AM11)-SUM('Balance Sheet'!AN10:AN11)</f>
        <v/>
      </c>
      <c r="AN12" s="362">
        <f>SUM('Balance Sheet'!AN10:AN11)-SUM('Balance Sheet'!AO10:AO11)</f>
        <v/>
      </c>
      <c r="AO12" s="362">
        <f>SUM('Balance Sheet'!AO10:AO11)-SUM('Balance Sheet'!AP10:AP11)</f>
        <v/>
      </c>
      <c r="AP12" s="362">
        <f>SUM('Balance Sheet'!AP10:AP11)-SUM('Balance Sheet'!AQ10:AQ11)</f>
        <v/>
      </c>
      <c r="AQ12" s="362">
        <f>SUM('Balance Sheet'!AQ10:AQ11)-SUM('Balance Sheet'!AR10:AR11)</f>
        <v/>
      </c>
      <c r="AR12" s="362">
        <f>SUM('Balance Sheet'!AR10:AR11)-SUM('Balance Sheet'!AS10:AS11)</f>
        <v/>
      </c>
      <c r="AS12" s="362">
        <f>SUM('Balance Sheet'!AS10:AS11)-SUM('Balance Sheet'!AT10:AT11)</f>
        <v/>
      </c>
      <c r="AT12" s="362">
        <f>SUM('Balance Sheet'!AT10:AT11)-SUM('Balance Sheet'!AU10:AU11)</f>
        <v/>
      </c>
      <c r="AU12" s="362">
        <f>SUM('Balance Sheet'!AU10:AU11)-SUM('Balance Sheet'!AV10:AV11)</f>
        <v/>
      </c>
      <c r="AV12" s="362">
        <f>SUM('Balance Sheet'!AV10:AV11)-SUM('Balance Sheet'!AW10:AW11)</f>
        <v/>
      </c>
      <c r="AW12" s="362">
        <f>SUM('Balance Sheet'!AW10:AW11)-SUM('Balance Sheet'!AX10:AX11)</f>
        <v/>
      </c>
    </row>
    <row r="13">
      <c r="B13" s="1" t="inlineStr">
        <is>
          <t>Changes in Current Liabilities</t>
        </is>
      </c>
      <c r="C13" s="357">
        <f>SUM('Balance Sheet'!C20:C21)</f>
        <v/>
      </c>
      <c r="D13" s="357">
        <f>SUM('Balance Sheet'!D20:D21)-SUM('Balance Sheet'!C20:C21)</f>
        <v/>
      </c>
      <c r="E13" s="357">
        <f>SUM('Balance Sheet'!E20:E21)-SUM('Balance Sheet'!D20:D21)</f>
        <v/>
      </c>
      <c r="F13" s="357">
        <f>SUM('Balance Sheet'!F20:F21)-SUM('Balance Sheet'!E20:E21)</f>
        <v/>
      </c>
      <c r="G13" s="357" t="n"/>
      <c r="H13" s="362">
        <f>SUM('Balance Sheet'!I20:I21)-SUM('Balance Sheet'!H20:H21)</f>
        <v/>
      </c>
      <c r="I13" s="362">
        <f>SUM('Balance Sheet'!J20:J21)-SUM('Balance Sheet'!I20:I21)</f>
        <v/>
      </c>
      <c r="J13" s="362">
        <f>SUM('Balance Sheet'!K20:K21)-SUM('Balance Sheet'!J20:J21)</f>
        <v/>
      </c>
      <c r="K13" s="362">
        <f>SUM('Balance Sheet'!L20:L21)-SUM('Balance Sheet'!K20:K21)</f>
        <v/>
      </c>
      <c r="L13" s="362">
        <f>SUM('Balance Sheet'!M20:M21)-SUM('Balance Sheet'!L20:L21)</f>
        <v/>
      </c>
      <c r="M13" s="362">
        <f>SUM('Balance Sheet'!N20:N21)-SUM('Balance Sheet'!M20:M21)</f>
        <v/>
      </c>
      <c r="N13" s="362">
        <f>SUM('Balance Sheet'!O20:O21)-SUM('Balance Sheet'!N20:N21)</f>
        <v/>
      </c>
      <c r="O13" s="362">
        <f>SUM('Balance Sheet'!P20:P21)-SUM('Balance Sheet'!O20:O21)</f>
        <v/>
      </c>
      <c r="P13" s="362">
        <f>SUM('Balance Sheet'!Q20:Q21)-SUM('Balance Sheet'!P20:P21)</f>
        <v/>
      </c>
      <c r="Q13" s="362">
        <f>SUM('Balance Sheet'!R20:R21)-SUM('Balance Sheet'!Q20:Q21)</f>
        <v/>
      </c>
      <c r="R13" s="362">
        <f>SUM('Balance Sheet'!S20:S21)-SUM('Balance Sheet'!R20:R21)</f>
        <v/>
      </c>
      <c r="S13" s="362">
        <f>SUM('Balance Sheet'!T20:T21)-SUM('Balance Sheet'!S20:S21)</f>
        <v/>
      </c>
      <c r="T13" s="362">
        <f>SUM('Balance Sheet'!U20:U21)-SUM('Balance Sheet'!T20:T21)</f>
        <v/>
      </c>
      <c r="U13" s="362">
        <f>SUM('Balance Sheet'!V20:V21)-SUM('Balance Sheet'!U20:U21)</f>
        <v/>
      </c>
      <c r="V13" s="362">
        <f>SUM('Balance Sheet'!W20:W21)-SUM('Balance Sheet'!V20:V21)</f>
        <v/>
      </c>
      <c r="W13" s="362">
        <f>SUM('Balance Sheet'!X20:X21)-SUM('Balance Sheet'!W20:W21)</f>
        <v/>
      </c>
      <c r="X13" s="362">
        <f>SUM('Balance Sheet'!Y20:Y21)-SUM('Balance Sheet'!X20:X21)</f>
        <v/>
      </c>
      <c r="Y13" s="362">
        <f>SUM('Balance Sheet'!Z20:Z21)-SUM('Balance Sheet'!Y20:Y21)</f>
        <v/>
      </c>
      <c r="Z13" s="362">
        <f>SUM('Balance Sheet'!AA20:AA21)-SUM('Balance Sheet'!Z20:Z21)</f>
        <v/>
      </c>
      <c r="AA13" s="362">
        <f>SUM('Balance Sheet'!AB20:AB21)-SUM('Balance Sheet'!AA20:AA21)</f>
        <v/>
      </c>
      <c r="AB13" s="362">
        <f>SUM('Balance Sheet'!AC20:AC21)-SUM('Balance Sheet'!AB20:AB21)</f>
        <v/>
      </c>
      <c r="AC13" s="362">
        <f>SUM('Balance Sheet'!AD20:AD21)-SUM('Balance Sheet'!AC20:AC21)</f>
        <v/>
      </c>
      <c r="AD13" s="362">
        <f>SUM('Balance Sheet'!AE20:AE21)-SUM('Balance Sheet'!AD20:AD21)</f>
        <v/>
      </c>
      <c r="AE13" s="362">
        <f>SUM('Balance Sheet'!AF20:AF21)-SUM('Balance Sheet'!AE20:AE21)</f>
        <v/>
      </c>
      <c r="AF13" s="362">
        <f>SUM('Balance Sheet'!AG20:AG21)-SUM('Balance Sheet'!AF20:AF21)</f>
        <v/>
      </c>
      <c r="AG13" s="362">
        <f>SUM('Balance Sheet'!AH20:AH21)-SUM('Balance Sheet'!AG20:AG21)</f>
        <v/>
      </c>
      <c r="AH13" s="362">
        <f>SUM('Balance Sheet'!AI20:AI21)-SUM('Balance Sheet'!AH20:AH21)</f>
        <v/>
      </c>
      <c r="AI13" s="362">
        <f>SUM('Balance Sheet'!AJ20:AJ21)-SUM('Balance Sheet'!AI20:AI21)</f>
        <v/>
      </c>
      <c r="AJ13" s="362">
        <f>SUM('Balance Sheet'!AK20:AK21)-SUM('Balance Sheet'!AJ20:AJ21)</f>
        <v/>
      </c>
      <c r="AK13" s="362">
        <f>SUM('Balance Sheet'!AL20:AL21)-SUM('Balance Sheet'!AK20:AK21)</f>
        <v/>
      </c>
      <c r="AL13" s="362">
        <f>SUM('Balance Sheet'!AM20:AM21)-SUM('Balance Sheet'!AL20:AL21)</f>
        <v/>
      </c>
      <c r="AM13" s="362">
        <f>SUM('Balance Sheet'!AN20:AN21)-SUM('Balance Sheet'!AM20:AM21)</f>
        <v/>
      </c>
      <c r="AN13" s="362">
        <f>SUM('Balance Sheet'!AO20:AO21)-SUM('Balance Sheet'!AN20:AN21)</f>
        <v/>
      </c>
      <c r="AO13" s="362">
        <f>SUM('Balance Sheet'!AP20:AP21)-SUM('Balance Sheet'!AO20:AO21)</f>
        <v/>
      </c>
      <c r="AP13" s="362">
        <f>SUM('Balance Sheet'!AQ20:AQ21)-SUM('Balance Sheet'!AP20:AP21)</f>
        <v/>
      </c>
      <c r="AQ13" s="362">
        <f>SUM('Balance Sheet'!AR20:AR21)-SUM('Balance Sheet'!AQ20:AQ21)</f>
        <v/>
      </c>
      <c r="AR13" s="362">
        <f>SUM('Balance Sheet'!AS20:AS21)-SUM('Balance Sheet'!AR20:AR21)</f>
        <v/>
      </c>
      <c r="AS13" s="362">
        <f>SUM('Balance Sheet'!AT20:AT21)-SUM('Balance Sheet'!AS20:AS21)</f>
        <v/>
      </c>
      <c r="AT13" s="362">
        <f>SUM('Balance Sheet'!AU20:AU21)-SUM('Balance Sheet'!AT20:AT21)</f>
        <v/>
      </c>
      <c r="AU13" s="362">
        <f>SUM('Balance Sheet'!AV20:AV21)-SUM('Balance Sheet'!AU20:AU21)</f>
        <v/>
      </c>
      <c r="AV13" s="362">
        <f>SUM('Balance Sheet'!AW20:AW21)-SUM('Balance Sheet'!AV20:AV21)</f>
        <v/>
      </c>
      <c r="AW13" s="362">
        <f>SUM('Balance Sheet'!AX20:AX21)-SUM('Balance Sheet'!AW20:AW21)</f>
        <v/>
      </c>
    </row>
    <row r="14">
      <c r="B14" s="128" t="inlineStr">
        <is>
          <t>Cash Flow from Operations</t>
        </is>
      </c>
      <c r="C14" s="365">
        <f>SUM(C8:C13)</f>
        <v/>
      </c>
      <c r="D14" s="365">
        <f>SUM(D8:D13)</f>
        <v/>
      </c>
      <c r="E14" s="365">
        <f>SUM(E8:E13)</f>
        <v/>
      </c>
      <c r="F14" s="365">
        <f>SUM(F8:F13)</f>
        <v/>
      </c>
      <c r="G14" s="357" t="n"/>
      <c r="H14" s="365">
        <f>SUM(H8:H13)</f>
        <v/>
      </c>
      <c r="I14" s="366">
        <f>SUM(I8:I13)</f>
        <v/>
      </c>
      <c r="J14" s="366">
        <f>SUM(J8:J13)</f>
        <v/>
      </c>
      <c r="K14" s="366">
        <f>SUM(K8:K13)</f>
        <v/>
      </c>
      <c r="L14" s="366">
        <f>SUM(L8:L13)</f>
        <v/>
      </c>
      <c r="M14" s="366">
        <f>SUM(M8:M13)</f>
        <v/>
      </c>
      <c r="N14" s="366">
        <f>SUM(N8:N13)</f>
        <v/>
      </c>
      <c r="O14" s="366">
        <f>SUM(O8:O13)</f>
        <v/>
      </c>
      <c r="P14" s="366">
        <f>SUM(P8:P13)</f>
        <v/>
      </c>
      <c r="Q14" s="366">
        <f>SUM(Q8:Q13)</f>
        <v/>
      </c>
      <c r="R14" s="366">
        <f>SUM(R8:R13)</f>
        <v/>
      </c>
      <c r="S14" s="366">
        <f>SUM(S8:S13)</f>
        <v/>
      </c>
      <c r="T14" s="366">
        <f>SUM(T8:T13)</f>
        <v/>
      </c>
      <c r="U14" s="366">
        <f>SUM(U8:U13)</f>
        <v/>
      </c>
      <c r="V14" s="366">
        <f>SUM(V8:V13)</f>
        <v/>
      </c>
      <c r="W14" s="366">
        <f>SUM(W8:W13)</f>
        <v/>
      </c>
      <c r="X14" s="366">
        <f>SUM(X8:X13)</f>
        <v/>
      </c>
      <c r="Y14" s="366">
        <f>SUM(Y8:Y13)</f>
        <v/>
      </c>
      <c r="Z14" s="366">
        <f>SUM(Z8:Z13)</f>
        <v/>
      </c>
      <c r="AA14" s="366">
        <f>SUM(AA8:AA13)</f>
        <v/>
      </c>
      <c r="AB14" s="366">
        <f>SUM(AB8:AB13)</f>
        <v/>
      </c>
      <c r="AC14" s="366">
        <f>SUM(AC8:AC13)</f>
        <v/>
      </c>
      <c r="AD14" s="366">
        <f>SUM(AD8:AD13)</f>
        <v/>
      </c>
      <c r="AE14" s="366">
        <f>SUM(AE8:AE13)</f>
        <v/>
      </c>
      <c r="AF14" s="366">
        <f>SUM(AF8:AF13)</f>
        <v/>
      </c>
      <c r="AG14" s="366">
        <f>SUM(AG8:AG13)</f>
        <v/>
      </c>
      <c r="AH14" s="366">
        <f>SUM(AH8:AH13)</f>
        <v/>
      </c>
      <c r="AI14" s="366">
        <f>SUM(AI8:AI13)</f>
        <v/>
      </c>
      <c r="AJ14" s="366">
        <f>SUM(AJ8:AJ13)</f>
        <v/>
      </c>
      <c r="AK14" s="366">
        <f>SUM(AK8:AK13)</f>
        <v/>
      </c>
      <c r="AL14" s="366">
        <f>SUM(AL8:AL13)</f>
        <v/>
      </c>
      <c r="AM14" s="366">
        <f>SUM(AM8:AM13)</f>
        <v/>
      </c>
      <c r="AN14" s="366">
        <f>SUM(AN8:AN13)</f>
        <v/>
      </c>
      <c r="AO14" s="366">
        <f>SUM(AO8:AO13)</f>
        <v/>
      </c>
      <c r="AP14" s="366">
        <f>SUM(AP8:AP13)</f>
        <v/>
      </c>
      <c r="AQ14" s="366">
        <f>SUM(AQ8:AQ13)</f>
        <v/>
      </c>
      <c r="AR14" s="366">
        <f>SUM(AR8:AR13)</f>
        <v/>
      </c>
      <c r="AS14" s="366">
        <f>SUM(AS8:AS13)</f>
        <v/>
      </c>
      <c r="AT14" s="366">
        <f>SUM(AT8:AT13)</f>
        <v/>
      </c>
      <c r="AU14" s="366">
        <f>SUM(AU8:AU13)</f>
        <v/>
      </c>
      <c r="AV14" s="366">
        <f>SUM(AV8:AV13)</f>
        <v/>
      </c>
      <c r="AW14" s="366">
        <f>SUM(AW8:AW13)</f>
        <v/>
      </c>
    </row>
    <row r="15">
      <c r="C15" s="357" t="n"/>
      <c r="D15" s="357" t="n"/>
      <c r="E15" s="357" t="n"/>
      <c r="F15" s="357" t="n"/>
      <c r="G15" s="357" t="n"/>
      <c r="H15" s="357" t="n"/>
      <c r="I15" s="362" t="n"/>
      <c r="J15" s="362" t="n"/>
      <c r="K15" s="362" t="n"/>
      <c r="L15" s="362" t="n"/>
      <c r="M15" s="362" t="n"/>
      <c r="N15" s="362" t="n"/>
      <c r="O15" s="362" t="n"/>
      <c r="P15" s="362" t="n"/>
      <c r="Q15" s="362" t="n"/>
      <c r="R15" s="362" t="n"/>
      <c r="S15" s="362" t="n"/>
      <c r="T15" s="362" t="n"/>
      <c r="U15" s="362" t="n"/>
      <c r="V15" s="362" t="n"/>
      <c r="W15" s="362" t="n"/>
      <c r="X15" s="362" t="n"/>
      <c r="Y15" s="362" t="n"/>
      <c r="Z15" s="362" t="n"/>
      <c r="AA15" s="362" t="n"/>
      <c r="AB15" s="362" t="n"/>
      <c r="AC15" s="362" t="n"/>
      <c r="AD15" s="362" t="n"/>
      <c r="AE15" s="362" t="n"/>
      <c r="AF15" s="362" t="n"/>
      <c r="AG15" s="362" t="n"/>
      <c r="AH15" s="362" t="n"/>
      <c r="AI15" s="362" t="n"/>
      <c r="AJ15" s="362" t="n"/>
      <c r="AK15" s="362" t="n"/>
      <c r="AL15" s="362" t="n"/>
      <c r="AM15" s="362" t="n"/>
      <c r="AN15" s="362" t="n"/>
      <c r="AO15" s="362" t="n"/>
      <c r="AP15" s="362" t="n"/>
      <c r="AQ15" s="362" t="n"/>
      <c r="AR15" s="362" t="n"/>
      <c r="AS15" s="362" t="n"/>
      <c r="AT15" s="362" t="n"/>
      <c r="AU15" s="362" t="n"/>
      <c r="AV15" s="362" t="n"/>
      <c r="AW15" s="362" t="n"/>
    </row>
    <row r="16">
      <c r="C16" s="357" t="n"/>
      <c r="D16" s="357" t="n"/>
      <c r="E16" s="357" t="n"/>
      <c r="F16" s="357" t="n"/>
      <c r="G16" s="357" t="n"/>
      <c r="H16" s="357" t="n"/>
      <c r="I16" s="362" t="n"/>
      <c r="J16" s="362" t="n"/>
      <c r="K16" s="362" t="n"/>
      <c r="L16" s="362" t="n"/>
      <c r="M16" s="362" t="n"/>
      <c r="N16" s="362" t="n"/>
      <c r="O16" s="362" t="n"/>
      <c r="P16" s="362" t="n"/>
      <c r="Q16" s="362" t="n"/>
      <c r="R16" s="362" t="n"/>
      <c r="S16" s="362" t="n"/>
      <c r="T16" s="362" t="n"/>
      <c r="U16" s="362" t="n"/>
      <c r="V16" s="362" t="n"/>
      <c r="W16" s="362" t="n"/>
      <c r="X16" s="362" t="n"/>
      <c r="Y16" s="362" t="n"/>
      <c r="Z16" s="362" t="n"/>
      <c r="AA16" s="362" t="n"/>
      <c r="AB16" s="362" t="n"/>
      <c r="AC16" s="362" t="n"/>
      <c r="AD16" s="362" t="n"/>
      <c r="AE16" s="362" t="n"/>
      <c r="AF16" s="362" t="n"/>
      <c r="AG16" s="362" t="n"/>
      <c r="AH16" s="362" t="n"/>
      <c r="AI16" s="362" t="n"/>
      <c r="AJ16" s="362" t="n"/>
      <c r="AK16" s="362" t="n"/>
      <c r="AL16" s="362" t="n"/>
      <c r="AM16" s="362" t="n"/>
      <c r="AN16" s="362" t="n"/>
      <c r="AO16" s="362" t="n"/>
      <c r="AP16" s="362" t="n"/>
      <c r="AQ16" s="362" t="n"/>
      <c r="AR16" s="362" t="n"/>
      <c r="AS16" s="362" t="n"/>
      <c r="AT16" s="362" t="n"/>
      <c r="AU16" s="362" t="n"/>
      <c r="AV16" s="362" t="n"/>
      <c r="AW16" s="362" t="n"/>
    </row>
    <row r="17">
      <c r="B17" s="1" t="inlineStr">
        <is>
          <t>Capital Expenditure</t>
        </is>
      </c>
      <c r="C17" s="357">
        <f>-('Balance Sheet Schedules'!C12+'Balance Sheet Schedules'!C22)</f>
        <v/>
      </c>
      <c r="D17" s="357">
        <f>-('Balance Sheet Schedules'!D12+'Balance Sheet Schedules'!D22)</f>
        <v/>
      </c>
      <c r="E17" s="357">
        <f>-('Balance Sheet Schedules'!E12+'Balance Sheet Schedules'!E22)</f>
        <v/>
      </c>
      <c r="F17" s="357">
        <f>-('Balance Sheet Schedules'!F12+'Balance Sheet Schedules'!F22)</f>
        <v/>
      </c>
      <c r="G17" s="357" t="n"/>
      <c r="H17" s="357">
        <f>-('Balance Sheet Schedules'!H12+'Balance Sheet Schedules'!H22)</f>
        <v/>
      </c>
      <c r="I17" s="357">
        <f>-('Balance Sheet Schedules'!I12+'Balance Sheet Schedules'!I22)</f>
        <v/>
      </c>
      <c r="J17" s="357">
        <f>-('Balance Sheet Schedules'!J12+'Balance Sheet Schedules'!J22)</f>
        <v/>
      </c>
      <c r="K17" s="357">
        <f>-('Balance Sheet Schedules'!K12+'Balance Sheet Schedules'!K22)</f>
        <v/>
      </c>
      <c r="L17" s="357">
        <f>-('Balance Sheet Schedules'!L12+'Balance Sheet Schedules'!L22)</f>
        <v/>
      </c>
      <c r="M17" s="357">
        <f>-('Balance Sheet Schedules'!M12+'Balance Sheet Schedules'!M22)</f>
        <v/>
      </c>
      <c r="N17" s="357">
        <f>-('Balance Sheet Schedules'!N12+'Balance Sheet Schedules'!N22)</f>
        <v/>
      </c>
      <c r="O17" s="357">
        <f>-('Balance Sheet Schedules'!O12+'Balance Sheet Schedules'!O22)</f>
        <v/>
      </c>
      <c r="P17" s="357">
        <f>-('Balance Sheet Schedules'!P12+'Balance Sheet Schedules'!P22)</f>
        <v/>
      </c>
      <c r="Q17" s="357">
        <f>-('Balance Sheet Schedules'!Q12+'Balance Sheet Schedules'!Q22)</f>
        <v/>
      </c>
      <c r="R17" s="357">
        <f>-('Balance Sheet Schedules'!R12+'Balance Sheet Schedules'!R22)</f>
        <v/>
      </c>
      <c r="S17" s="357">
        <f>-('Balance Sheet Schedules'!S12+'Balance Sheet Schedules'!S22)</f>
        <v/>
      </c>
      <c r="T17" s="357">
        <f>-('Balance Sheet Schedules'!T12+'Balance Sheet Schedules'!T22)</f>
        <v/>
      </c>
      <c r="U17" s="357">
        <f>-('Balance Sheet Schedules'!U12+'Balance Sheet Schedules'!U22)</f>
        <v/>
      </c>
      <c r="V17" s="357">
        <f>-('Balance Sheet Schedules'!V12+'Balance Sheet Schedules'!V22)</f>
        <v/>
      </c>
      <c r="W17" s="357">
        <f>-('Balance Sheet Schedules'!W12+'Balance Sheet Schedules'!W22)</f>
        <v/>
      </c>
      <c r="X17" s="357">
        <f>-('Balance Sheet Schedules'!X12+'Balance Sheet Schedules'!X22)</f>
        <v/>
      </c>
      <c r="Y17" s="357">
        <f>-('Balance Sheet Schedules'!Y12+'Balance Sheet Schedules'!Y22)</f>
        <v/>
      </c>
      <c r="Z17" s="357">
        <f>-('Balance Sheet Schedules'!Z12+'Balance Sheet Schedules'!Z22)</f>
        <v/>
      </c>
      <c r="AA17" s="357">
        <f>-('Balance Sheet Schedules'!AA12+'Balance Sheet Schedules'!AA22)</f>
        <v/>
      </c>
      <c r="AB17" s="357">
        <f>-('Balance Sheet Schedules'!AB12+'Balance Sheet Schedules'!AB22)</f>
        <v/>
      </c>
      <c r="AC17" s="357">
        <f>-('Balance Sheet Schedules'!AC12+'Balance Sheet Schedules'!AC22)</f>
        <v/>
      </c>
      <c r="AD17" s="357">
        <f>-('Balance Sheet Schedules'!AD12+'Balance Sheet Schedules'!AD22)</f>
        <v/>
      </c>
      <c r="AE17" s="357">
        <f>-('Balance Sheet Schedules'!AE12+'Balance Sheet Schedules'!AE22)</f>
        <v/>
      </c>
      <c r="AF17" s="357">
        <f>-('Balance Sheet Schedules'!AF12+'Balance Sheet Schedules'!AF22)</f>
        <v/>
      </c>
      <c r="AG17" s="357">
        <f>-('Balance Sheet Schedules'!AG12+'Balance Sheet Schedules'!AG22)</f>
        <v/>
      </c>
      <c r="AH17" s="357">
        <f>-('Balance Sheet Schedules'!AH12+'Balance Sheet Schedules'!AH22)</f>
        <v/>
      </c>
      <c r="AI17" s="357">
        <f>-('Balance Sheet Schedules'!AI12+'Balance Sheet Schedules'!AI22)</f>
        <v/>
      </c>
      <c r="AJ17" s="357">
        <f>-('Balance Sheet Schedules'!AJ12+'Balance Sheet Schedules'!AJ22)</f>
        <v/>
      </c>
      <c r="AK17" s="357">
        <f>-('Balance Sheet Schedules'!AK12+'Balance Sheet Schedules'!AK22)</f>
        <v/>
      </c>
      <c r="AL17" s="357">
        <f>-('Balance Sheet Schedules'!AL12+'Balance Sheet Schedules'!AL22)</f>
        <v/>
      </c>
      <c r="AM17" s="357">
        <f>-('Balance Sheet Schedules'!AM12+'Balance Sheet Schedules'!AM22)</f>
        <v/>
      </c>
      <c r="AN17" s="357">
        <f>-('Balance Sheet Schedules'!AN12+'Balance Sheet Schedules'!AN22)</f>
        <v/>
      </c>
      <c r="AO17" s="357">
        <f>-('Balance Sheet Schedules'!AO12+'Balance Sheet Schedules'!AO22)</f>
        <v/>
      </c>
      <c r="AP17" s="357">
        <f>-('Balance Sheet Schedules'!AP12+'Balance Sheet Schedules'!AP22)</f>
        <v/>
      </c>
      <c r="AQ17" s="357">
        <f>-('Balance Sheet Schedules'!AQ12+'Balance Sheet Schedules'!AQ22)</f>
        <v/>
      </c>
      <c r="AR17" s="357">
        <f>-('Balance Sheet Schedules'!AR12+'Balance Sheet Schedules'!AR22)</f>
        <v/>
      </c>
      <c r="AS17" s="357">
        <f>-('Balance Sheet Schedules'!AS12+'Balance Sheet Schedules'!AS22)</f>
        <v/>
      </c>
      <c r="AT17" s="357">
        <f>-('Balance Sheet Schedules'!AT12+'Balance Sheet Schedules'!AT22)</f>
        <v/>
      </c>
      <c r="AU17" s="357">
        <f>-('Balance Sheet Schedules'!AU12+'Balance Sheet Schedules'!AU22)</f>
        <v/>
      </c>
      <c r="AV17" s="357">
        <f>-('Balance Sheet Schedules'!AV12+'Balance Sheet Schedules'!AV22)</f>
        <v/>
      </c>
      <c r="AW17" s="357">
        <f>-('Balance Sheet Schedules'!AW12+'Balance Sheet Schedules'!AW22)</f>
        <v/>
      </c>
    </row>
    <row r="18">
      <c r="B18" s="128" t="inlineStr">
        <is>
          <t>Cash Flow from Investments</t>
        </is>
      </c>
      <c r="C18" s="365">
        <f>C17</f>
        <v/>
      </c>
      <c r="D18" s="365">
        <f>D17</f>
        <v/>
      </c>
      <c r="E18" s="365">
        <f>E17</f>
        <v/>
      </c>
      <c r="F18" s="365">
        <f>F17</f>
        <v/>
      </c>
      <c r="G18" s="357" t="n"/>
      <c r="H18" s="365">
        <f>H17</f>
        <v/>
      </c>
      <c r="I18" s="366">
        <f>I17</f>
        <v/>
      </c>
      <c r="J18" s="366">
        <f>J17</f>
        <v/>
      </c>
      <c r="K18" s="366">
        <f>K17</f>
        <v/>
      </c>
      <c r="L18" s="366">
        <f>L17</f>
        <v/>
      </c>
      <c r="M18" s="366">
        <f>M17</f>
        <v/>
      </c>
      <c r="N18" s="366">
        <f>N17</f>
        <v/>
      </c>
      <c r="O18" s="366">
        <f>O17</f>
        <v/>
      </c>
      <c r="P18" s="366">
        <f>P17</f>
        <v/>
      </c>
      <c r="Q18" s="366">
        <f>Q17</f>
        <v/>
      </c>
      <c r="R18" s="366">
        <f>R17</f>
        <v/>
      </c>
      <c r="S18" s="366">
        <f>S17</f>
        <v/>
      </c>
      <c r="T18" s="366">
        <f>T17</f>
        <v/>
      </c>
      <c r="U18" s="366">
        <f>U17</f>
        <v/>
      </c>
      <c r="V18" s="366">
        <f>V17</f>
        <v/>
      </c>
      <c r="W18" s="366">
        <f>W17</f>
        <v/>
      </c>
      <c r="X18" s="366">
        <f>X17</f>
        <v/>
      </c>
      <c r="Y18" s="366">
        <f>Y17</f>
        <v/>
      </c>
      <c r="Z18" s="366">
        <f>Z17</f>
        <v/>
      </c>
      <c r="AA18" s="366">
        <f>AA17</f>
        <v/>
      </c>
      <c r="AB18" s="366">
        <f>AB17</f>
        <v/>
      </c>
      <c r="AC18" s="366">
        <f>AC17</f>
        <v/>
      </c>
      <c r="AD18" s="366">
        <f>AD17</f>
        <v/>
      </c>
      <c r="AE18" s="366">
        <f>AE17</f>
        <v/>
      </c>
      <c r="AF18" s="366">
        <f>AF17</f>
        <v/>
      </c>
      <c r="AG18" s="366">
        <f>AG17</f>
        <v/>
      </c>
      <c r="AH18" s="366">
        <f>AH17</f>
        <v/>
      </c>
      <c r="AI18" s="366">
        <f>AI17</f>
        <v/>
      </c>
      <c r="AJ18" s="366">
        <f>AJ17</f>
        <v/>
      </c>
      <c r="AK18" s="366">
        <f>AK17</f>
        <v/>
      </c>
      <c r="AL18" s="366">
        <f>AL17</f>
        <v/>
      </c>
      <c r="AM18" s="366">
        <f>AM17</f>
        <v/>
      </c>
      <c r="AN18" s="366">
        <f>AN17</f>
        <v/>
      </c>
      <c r="AO18" s="366">
        <f>AO17</f>
        <v/>
      </c>
      <c r="AP18" s="366">
        <f>AP17</f>
        <v/>
      </c>
      <c r="AQ18" s="366">
        <f>AQ17</f>
        <v/>
      </c>
      <c r="AR18" s="366">
        <f>AR17</f>
        <v/>
      </c>
      <c r="AS18" s="366">
        <f>AS17</f>
        <v/>
      </c>
      <c r="AT18" s="366">
        <f>AT17</f>
        <v/>
      </c>
      <c r="AU18" s="366">
        <f>AU17</f>
        <v/>
      </c>
      <c r="AV18" s="366">
        <f>AV17</f>
        <v/>
      </c>
      <c r="AW18" s="366">
        <f>AW17</f>
        <v/>
      </c>
    </row>
    <row r="19">
      <c r="C19" s="357" t="n"/>
      <c r="D19" s="357" t="n"/>
      <c r="E19" s="357" t="n"/>
      <c r="F19" s="357" t="n"/>
      <c r="G19" s="357" t="n"/>
      <c r="H19" s="357" t="n"/>
      <c r="I19" s="362" t="n"/>
      <c r="J19" s="362" t="n"/>
      <c r="K19" s="362" t="n"/>
      <c r="L19" s="362" t="n"/>
      <c r="M19" s="362" t="n"/>
      <c r="N19" s="362" t="n"/>
      <c r="O19" s="362" t="n"/>
      <c r="P19" s="362" t="n"/>
      <c r="Q19" s="362" t="n"/>
      <c r="R19" s="362" t="n"/>
      <c r="S19" s="362" t="n"/>
      <c r="T19" s="362" t="n"/>
      <c r="U19" s="362" t="n"/>
      <c r="V19" s="362" t="n"/>
      <c r="W19" s="362" t="n"/>
      <c r="X19" s="362" t="n"/>
      <c r="Y19" s="362" t="n"/>
      <c r="Z19" s="362" t="n"/>
      <c r="AA19" s="362" t="n"/>
      <c r="AB19" s="362" t="n"/>
      <c r="AC19" s="362" t="n"/>
      <c r="AD19" s="362" t="n"/>
      <c r="AE19" s="362" t="n"/>
      <c r="AF19" s="362" t="n"/>
      <c r="AG19" s="362" t="n"/>
      <c r="AH19" s="362" t="n"/>
      <c r="AI19" s="362" t="n"/>
      <c r="AJ19" s="362" t="n"/>
      <c r="AK19" s="362" t="n"/>
      <c r="AL19" s="362" t="n"/>
      <c r="AM19" s="362" t="n"/>
      <c r="AN19" s="362" t="n"/>
      <c r="AO19" s="362" t="n"/>
      <c r="AP19" s="362" t="n"/>
      <c r="AQ19" s="362" t="n"/>
      <c r="AR19" s="362" t="n"/>
      <c r="AS19" s="362" t="n"/>
      <c r="AT19" s="362" t="n"/>
      <c r="AU19" s="362" t="n"/>
      <c r="AV19" s="362" t="n"/>
      <c r="AW19" s="362" t="n"/>
    </row>
    <row r="20">
      <c r="C20" s="357" t="n"/>
      <c r="D20" s="357" t="n"/>
      <c r="E20" s="357" t="n"/>
      <c r="F20" s="357" t="n"/>
      <c r="G20" s="357" t="n"/>
      <c r="H20" s="357" t="n"/>
      <c r="I20" s="362" t="n"/>
      <c r="J20" s="362" t="n"/>
      <c r="K20" s="362" t="n"/>
      <c r="L20" s="362" t="n"/>
      <c r="M20" s="362" t="n"/>
      <c r="N20" s="362" t="n"/>
      <c r="O20" s="362" t="n"/>
      <c r="P20" s="362" t="n"/>
      <c r="Q20" s="362" t="n"/>
      <c r="R20" s="362" t="n"/>
      <c r="S20" s="362" t="n"/>
      <c r="T20" s="362" t="n"/>
      <c r="U20" s="362" t="n"/>
      <c r="V20" s="362" t="n"/>
      <c r="W20" s="362" t="n"/>
      <c r="X20" s="362" t="n"/>
      <c r="Y20" s="362" t="n"/>
      <c r="Z20" s="362" t="n"/>
      <c r="AA20" s="362" t="n"/>
      <c r="AB20" s="362" t="n"/>
      <c r="AC20" s="362" t="n"/>
      <c r="AD20" s="362" t="n"/>
      <c r="AE20" s="362" t="n"/>
      <c r="AF20" s="362" t="n"/>
      <c r="AG20" s="362" t="n"/>
      <c r="AH20" s="362" t="n"/>
      <c r="AI20" s="362" t="n"/>
      <c r="AJ20" s="362" t="n"/>
      <c r="AK20" s="362" t="n"/>
      <c r="AL20" s="362" t="n"/>
      <c r="AM20" s="362" t="n"/>
      <c r="AN20" s="362" t="n"/>
      <c r="AO20" s="362" t="n"/>
      <c r="AP20" s="362" t="n"/>
      <c r="AQ20" s="362" t="n"/>
      <c r="AR20" s="362" t="n"/>
      <c r="AS20" s="362" t="n"/>
      <c r="AT20" s="362" t="n"/>
      <c r="AU20" s="362" t="n"/>
      <c r="AV20" s="362" t="n"/>
      <c r="AW20" s="362" t="n"/>
    </row>
    <row r="21">
      <c r="B21" s="1" t="inlineStr">
        <is>
          <t>Equity Capital - Promoter</t>
        </is>
      </c>
      <c r="C21" s="357">
        <f>IFERROR('Balance Sheet'!C27-'Balance Sheet'!B27,)</f>
        <v/>
      </c>
      <c r="D21" s="357">
        <f>'Balance Sheet'!D27-'Balance Sheet'!C27</f>
        <v/>
      </c>
      <c r="E21" s="357">
        <f>'Balance Sheet'!E27-'Balance Sheet'!D27</f>
        <v/>
      </c>
      <c r="F21" s="357">
        <f>'Balance Sheet'!F27-'Balance Sheet'!E27</f>
        <v/>
      </c>
      <c r="G21" s="357" t="n"/>
      <c r="H21" s="362">
        <f>'Balance Sheet'!I27-'Balance Sheet'!H27</f>
        <v/>
      </c>
      <c r="I21" s="362">
        <f>'Balance Sheet'!J27-'Balance Sheet'!I27</f>
        <v/>
      </c>
      <c r="J21" s="362">
        <f>'Balance Sheet'!K27-'Balance Sheet'!J27</f>
        <v/>
      </c>
      <c r="K21" s="362">
        <f>'Balance Sheet'!L27-'Balance Sheet'!K27</f>
        <v/>
      </c>
      <c r="L21" s="362">
        <f>'Balance Sheet'!M27-'Balance Sheet'!L27</f>
        <v/>
      </c>
      <c r="M21" s="362">
        <f>'Balance Sheet'!N27-'Balance Sheet'!M27</f>
        <v/>
      </c>
      <c r="N21" s="362">
        <f>'Balance Sheet'!O27-'Balance Sheet'!N27</f>
        <v/>
      </c>
      <c r="O21" s="362">
        <f>'Balance Sheet'!P27-'Balance Sheet'!O27</f>
        <v/>
      </c>
      <c r="P21" s="362">
        <f>'Balance Sheet'!Q27-'Balance Sheet'!P27</f>
        <v/>
      </c>
      <c r="Q21" s="362">
        <f>'Balance Sheet'!R27-'Balance Sheet'!Q27</f>
        <v/>
      </c>
      <c r="R21" s="362">
        <f>'Balance Sheet'!S27-'Balance Sheet'!R27</f>
        <v/>
      </c>
      <c r="S21" s="362">
        <f>'Balance Sheet'!T27-'Balance Sheet'!S27</f>
        <v/>
      </c>
      <c r="T21" s="362">
        <f>'Balance Sheet'!U27-'Balance Sheet'!T27</f>
        <v/>
      </c>
      <c r="U21" s="362">
        <f>'Balance Sheet'!V27-'Balance Sheet'!U27</f>
        <v/>
      </c>
      <c r="V21" s="362">
        <f>'Balance Sheet'!W27-'Balance Sheet'!V27</f>
        <v/>
      </c>
      <c r="W21" s="362">
        <f>'Balance Sheet'!X27-'Balance Sheet'!W27</f>
        <v/>
      </c>
      <c r="X21" s="362">
        <f>'Balance Sheet'!Y27-'Balance Sheet'!X27</f>
        <v/>
      </c>
      <c r="Y21" s="362">
        <f>'Balance Sheet'!Z27-'Balance Sheet'!Y27</f>
        <v/>
      </c>
      <c r="Z21" s="362">
        <f>'Balance Sheet'!AA27-'Balance Sheet'!Z27</f>
        <v/>
      </c>
      <c r="AA21" s="362">
        <f>'Balance Sheet'!AB27-'Balance Sheet'!AA27</f>
        <v/>
      </c>
      <c r="AB21" s="362">
        <f>'Balance Sheet'!AC27-'Balance Sheet'!AB27</f>
        <v/>
      </c>
      <c r="AC21" s="362">
        <f>'Balance Sheet'!AD27-'Balance Sheet'!AC27</f>
        <v/>
      </c>
      <c r="AD21" s="362">
        <f>'Balance Sheet'!AE27-'Balance Sheet'!AD27</f>
        <v/>
      </c>
      <c r="AE21" s="362">
        <f>'Balance Sheet'!AF27-'Balance Sheet'!AE27</f>
        <v/>
      </c>
      <c r="AF21" s="362">
        <f>'Balance Sheet'!AG27-'Balance Sheet'!AF27</f>
        <v/>
      </c>
      <c r="AG21" s="362">
        <f>'Balance Sheet'!AH27-'Balance Sheet'!AG27</f>
        <v/>
      </c>
      <c r="AH21" s="362">
        <f>'Balance Sheet'!AI27-'Balance Sheet'!AH27</f>
        <v/>
      </c>
      <c r="AI21" s="362">
        <f>'Balance Sheet'!AJ27-'Balance Sheet'!AI27</f>
        <v/>
      </c>
      <c r="AJ21" s="362">
        <f>'Balance Sheet'!AK27-'Balance Sheet'!AJ27</f>
        <v/>
      </c>
      <c r="AK21" s="362">
        <f>'Balance Sheet'!AL27-'Balance Sheet'!AK27</f>
        <v/>
      </c>
      <c r="AL21" s="362">
        <f>'Balance Sheet'!AM27-'Balance Sheet'!AL27</f>
        <v/>
      </c>
      <c r="AM21" s="362">
        <f>'Balance Sheet'!AN27-'Balance Sheet'!AM27</f>
        <v/>
      </c>
      <c r="AN21" s="362">
        <f>'Balance Sheet'!AO27-'Balance Sheet'!AN27</f>
        <v/>
      </c>
      <c r="AO21" s="362">
        <f>'Balance Sheet'!AP27-'Balance Sheet'!AO27</f>
        <v/>
      </c>
      <c r="AP21" s="362">
        <f>'Balance Sheet'!AQ27-'Balance Sheet'!AP27</f>
        <v/>
      </c>
      <c r="AQ21" s="362">
        <f>'Balance Sheet'!AR27-'Balance Sheet'!AQ27</f>
        <v/>
      </c>
      <c r="AR21" s="362">
        <f>'Balance Sheet'!AS27-'Balance Sheet'!AR27</f>
        <v/>
      </c>
      <c r="AS21" s="362">
        <f>'Balance Sheet'!AT27-'Balance Sheet'!AS27</f>
        <v/>
      </c>
      <c r="AT21" s="362">
        <f>'Balance Sheet'!AU27-'Balance Sheet'!AT27</f>
        <v/>
      </c>
      <c r="AU21" s="362">
        <f>'Balance Sheet'!AV27-'Balance Sheet'!AU27</f>
        <v/>
      </c>
      <c r="AV21" s="362">
        <f>'Balance Sheet'!AW27-'Balance Sheet'!AV27</f>
        <v/>
      </c>
      <c r="AW21" s="362">
        <f>'Balance Sheet'!AX27-'Balance Sheet'!AW27</f>
        <v/>
      </c>
    </row>
    <row r="22">
      <c r="B22" s="1" t="inlineStr">
        <is>
          <t>Equity Capital - Investor</t>
        </is>
      </c>
      <c r="C22" s="357">
        <f>'Balance Sheet'!C28</f>
        <v/>
      </c>
      <c r="D22" s="357">
        <f>'Balance Sheet'!D28-'Balance Sheet'!C28</f>
        <v/>
      </c>
      <c r="E22" s="357">
        <f>'Balance Sheet'!E28-'Balance Sheet'!D28</f>
        <v/>
      </c>
      <c r="F22" s="357">
        <f>'Balance Sheet'!F28-'Balance Sheet'!E28</f>
        <v/>
      </c>
      <c r="G22" s="357" t="n"/>
      <c r="H22" s="362">
        <f>'Balance Sheet'!I28-'Balance Sheet'!H28</f>
        <v/>
      </c>
      <c r="I22" s="362">
        <f>'Balance Sheet'!J28-'Balance Sheet'!I28</f>
        <v/>
      </c>
      <c r="J22" s="362">
        <f>'Balance Sheet'!K28-'Balance Sheet'!J28</f>
        <v/>
      </c>
      <c r="K22" s="362">
        <f>'Balance Sheet'!L28-'Balance Sheet'!K28</f>
        <v/>
      </c>
      <c r="L22" s="362">
        <f>'Balance Sheet'!M28-'Balance Sheet'!L28</f>
        <v/>
      </c>
      <c r="M22" s="362">
        <f>'Balance Sheet'!N28-'Balance Sheet'!M28</f>
        <v/>
      </c>
      <c r="N22" s="362">
        <f>'Balance Sheet'!O28-'Balance Sheet'!N28</f>
        <v/>
      </c>
      <c r="O22" s="362">
        <f>'Balance Sheet'!P28-'Balance Sheet'!O28</f>
        <v/>
      </c>
      <c r="P22" s="362">
        <f>'Balance Sheet'!Q28-'Balance Sheet'!P28</f>
        <v/>
      </c>
      <c r="Q22" s="362">
        <f>'Balance Sheet'!R28-'Balance Sheet'!Q28</f>
        <v/>
      </c>
      <c r="R22" s="362">
        <f>'Balance Sheet'!S28-'Balance Sheet'!R28</f>
        <v/>
      </c>
      <c r="S22" s="362">
        <f>'Balance Sheet'!T28-'Balance Sheet'!S28</f>
        <v/>
      </c>
      <c r="T22" s="362">
        <f>'Balance Sheet'!U28-'Balance Sheet'!T28</f>
        <v/>
      </c>
      <c r="U22" s="362">
        <f>'Balance Sheet'!V28-'Balance Sheet'!U28</f>
        <v/>
      </c>
      <c r="V22" s="362">
        <f>'Balance Sheet'!W28-'Balance Sheet'!V28</f>
        <v/>
      </c>
      <c r="W22" s="362">
        <f>'Balance Sheet'!X28-'Balance Sheet'!W28</f>
        <v/>
      </c>
      <c r="X22" s="362">
        <f>'Balance Sheet'!Y28-'Balance Sheet'!X28</f>
        <v/>
      </c>
      <c r="Y22" s="362">
        <f>'Balance Sheet'!Z28-'Balance Sheet'!Y28</f>
        <v/>
      </c>
      <c r="Z22" s="362">
        <f>'Balance Sheet'!AA28-'Balance Sheet'!Z28</f>
        <v/>
      </c>
      <c r="AA22" s="362">
        <f>'Balance Sheet'!AB28-'Balance Sheet'!AA28</f>
        <v/>
      </c>
      <c r="AB22" s="362">
        <f>'Balance Sheet'!AC28-'Balance Sheet'!AB28</f>
        <v/>
      </c>
      <c r="AC22" s="362">
        <f>'Balance Sheet'!AD28-'Balance Sheet'!AC28</f>
        <v/>
      </c>
      <c r="AD22" s="362">
        <f>'Balance Sheet'!AE28-'Balance Sheet'!AD28</f>
        <v/>
      </c>
      <c r="AE22" s="362">
        <f>'Balance Sheet'!AF28-'Balance Sheet'!AE28</f>
        <v/>
      </c>
      <c r="AF22" s="362">
        <f>'Balance Sheet'!AG28-'Balance Sheet'!AF28</f>
        <v/>
      </c>
      <c r="AG22" s="362">
        <f>'Balance Sheet'!AH28-'Balance Sheet'!AG28</f>
        <v/>
      </c>
      <c r="AH22" s="362">
        <f>'Balance Sheet'!AI28-'Balance Sheet'!AH28</f>
        <v/>
      </c>
      <c r="AI22" s="362">
        <f>'Balance Sheet'!AJ28-'Balance Sheet'!AI28</f>
        <v/>
      </c>
      <c r="AJ22" s="362">
        <f>'Balance Sheet'!AK28-'Balance Sheet'!AJ28</f>
        <v/>
      </c>
      <c r="AK22" s="362">
        <f>'Balance Sheet'!AL28-'Balance Sheet'!AK28</f>
        <v/>
      </c>
      <c r="AL22" s="362">
        <f>'Balance Sheet'!AM28-'Balance Sheet'!AL28</f>
        <v/>
      </c>
      <c r="AM22" s="362">
        <f>'Balance Sheet'!AN28-'Balance Sheet'!AM28</f>
        <v/>
      </c>
      <c r="AN22" s="362">
        <f>'Balance Sheet'!AO28-'Balance Sheet'!AN28</f>
        <v/>
      </c>
      <c r="AO22" s="362">
        <f>'Balance Sheet'!AP28-'Balance Sheet'!AO28</f>
        <v/>
      </c>
      <c r="AP22" s="362">
        <f>'Balance Sheet'!AQ28-'Balance Sheet'!AP28</f>
        <v/>
      </c>
      <c r="AQ22" s="362">
        <f>'Balance Sheet'!AR28-'Balance Sheet'!AQ28</f>
        <v/>
      </c>
      <c r="AR22" s="362">
        <f>'Balance Sheet'!AS28-'Balance Sheet'!AR28</f>
        <v/>
      </c>
      <c r="AS22" s="362">
        <f>'Balance Sheet'!AT28-'Balance Sheet'!AS28</f>
        <v/>
      </c>
      <c r="AT22" s="362">
        <f>'Balance Sheet'!AU28-'Balance Sheet'!AT28</f>
        <v/>
      </c>
      <c r="AU22" s="362">
        <f>'Balance Sheet'!AV28-'Balance Sheet'!AU28</f>
        <v/>
      </c>
      <c r="AV22" s="362">
        <f>'Balance Sheet'!AW28-'Balance Sheet'!AV28</f>
        <v/>
      </c>
      <c r="AW22" s="362">
        <f>'Balance Sheet'!AX28-'Balance Sheet'!AW28</f>
        <v/>
      </c>
    </row>
    <row r="23">
      <c r="B23" s="1" t="inlineStr">
        <is>
          <t>Debt Repayment</t>
        </is>
      </c>
      <c r="C23" s="362">
        <f>'Balance Sheet'!C24-'Balance Sheet'!H24</f>
        <v/>
      </c>
      <c r="D23" s="362">
        <f>'Balance Sheet'!D24-'Balance Sheet'!C24</f>
        <v/>
      </c>
      <c r="E23" s="362">
        <f>'Balance Sheet'!E24-'Balance Sheet'!D24</f>
        <v/>
      </c>
      <c r="F23" s="362">
        <f>'Balance Sheet'!F24-'Balance Sheet'!E24</f>
        <v/>
      </c>
      <c r="G23" s="357" t="n"/>
      <c r="H23" s="362">
        <f>'Balance Sheet'!I24-'Balance Sheet'!H24</f>
        <v/>
      </c>
      <c r="I23" s="362">
        <f>'Balance Sheet'!J24-'Balance Sheet'!I24</f>
        <v/>
      </c>
      <c r="J23" s="362">
        <f>'Balance Sheet'!K24-'Balance Sheet'!J24</f>
        <v/>
      </c>
      <c r="K23" s="362">
        <f>'Balance Sheet'!L24-'Balance Sheet'!K24</f>
        <v/>
      </c>
      <c r="L23" s="362">
        <f>'Balance Sheet'!M24-'Balance Sheet'!L24</f>
        <v/>
      </c>
      <c r="M23" s="362">
        <f>'Balance Sheet'!N24-'Balance Sheet'!M24</f>
        <v/>
      </c>
      <c r="N23" s="362">
        <f>'Balance Sheet'!O24-'Balance Sheet'!N24</f>
        <v/>
      </c>
      <c r="O23" s="362">
        <f>'Balance Sheet'!P24-'Balance Sheet'!O24</f>
        <v/>
      </c>
      <c r="P23" s="362">
        <f>'Balance Sheet'!Q24-'Balance Sheet'!P24</f>
        <v/>
      </c>
      <c r="Q23" s="362">
        <f>'Balance Sheet'!R24-'Balance Sheet'!Q24</f>
        <v/>
      </c>
      <c r="R23" s="362">
        <f>'Balance Sheet'!S24-'Balance Sheet'!R24</f>
        <v/>
      </c>
      <c r="S23" s="362">
        <f>'Balance Sheet'!T24-'Balance Sheet'!S24</f>
        <v/>
      </c>
      <c r="T23" s="362">
        <f>'Balance Sheet'!U24-'Balance Sheet'!T24</f>
        <v/>
      </c>
      <c r="U23" s="362">
        <f>'Balance Sheet'!V24-'Balance Sheet'!U24</f>
        <v/>
      </c>
      <c r="V23" s="362">
        <f>'Balance Sheet'!W24-'Balance Sheet'!V24</f>
        <v/>
      </c>
      <c r="W23" s="362">
        <f>'Balance Sheet'!X24-'Balance Sheet'!W24</f>
        <v/>
      </c>
      <c r="X23" s="362">
        <f>'Balance Sheet'!Y24-'Balance Sheet'!X24</f>
        <v/>
      </c>
      <c r="Y23" s="362">
        <f>'Balance Sheet'!Z24-'Balance Sheet'!Y24</f>
        <v/>
      </c>
      <c r="Z23" s="362">
        <f>'Balance Sheet'!AA24-'Balance Sheet'!Z24</f>
        <v/>
      </c>
      <c r="AA23" s="362">
        <f>'Balance Sheet'!AB24-'Balance Sheet'!AA24</f>
        <v/>
      </c>
      <c r="AB23" s="362">
        <f>'Balance Sheet'!AC24-'Balance Sheet'!AB24</f>
        <v/>
      </c>
      <c r="AC23" s="362">
        <f>'Balance Sheet'!AD24-'Balance Sheet'!AC24</f>
        <v/>
      </c>
      <c r="AD23" s="362">
        <f>'Balance Sheet'!AE24-'Balance Sheet'!AD24</f>
        <v/>
      </c>
      <c r="AE23" s="362">
        <f>'Balance Sheet'!AF24-'Balance Sheet'!AE24</f>
        <v/>
      </c>
      <c r="AF23" s="362">
        <f>'Balance Sheet'!AG24-'Balance Sheet'!AF24</f>
        <v/>
      </c>
      <c r="AG23" s="362">
        <f>'Balance Sheet'!AH24-'Balance Sheet'!AG24</f>
        <v/>
      </c>
      <c r="AH23" s="362">
        <f>'Balance Sheet'!AI24-'Balance Sheet'!AH24</f>
        <v/>
      </c>
      <c r="AI23" s="362">
        <f>'Balance Sheet'!AJ24-'Balance Sheet'!AI24</f>
        <v/>
      </c>
      <c r="AJ23" s="362">
        <f>'Balance Sheet'!AK24-'Balance Sheet'!AJ24</f>
        <v/>
      </c>
      <c r="AK23" s="362">
        <f>'Balance Sheet'!AL24-'Balance Sheet'!AK24</f>
        <v/>
      </c>
      <c r="AL23" s="362">
        <f>'Balance Sheet'!AM24-'Balance Sheet'!AL24</f>
        <v/>
      </c>
      <c r="AM23" s="362">
        <f>'Balance Sheet'!AN24-'Balance Sheet'!AM24</f>
        <v/>
      </c>
      <c r="AN23" s="362">
        <f>'Balance Sheet'!AO24-'Balance Sheet'!AN24</f>
        <v/>
      </c>
      <c r="AO23" s="362">
        <f>'Balance Sheet'!AP24-'Balance Sheet'!AO24</f>
        <v/>
      </c>
      <c r="AP23" s="362">
        <f>'Balance Sheet'!AQ24-'Balance Sheet'!AP24</f>
        <v/>
      </c>
      <c r="AQ23" s="362">
        <f>'Balance Sheet'!AR24-'Balance Sheet'!AQ24</f>
        <v/>
      </c>
      <c r="AR23" s="362">
        <f>'Balance Sheet'!AS24-'Balance Sheet'!AR24</f>
        <v/>
      </c>
      <c r="AS23" s="362">
        <f>'Balance Sheet'!AT24-'Balance Sheet'!AS24</f>
        <v/>
      </c>
      <c r="AT23" s="362">
        <f>'Balance Sheet'!AU24-'Balance Sheet'!AT24</f>
        <v/>
      </c>
      <c r="AU23" s="362">
        <f>'Balance Sheet'!AV24-'Balance Sheet'!AU24</f>
        <v/>
      </c>
      <c r="AV23" s="362">
        <f>'Balance Sheet'!AW24-'Balance Sheet'!AV24</f>
        <v/>
      </c>
      <c r="AW23" s="362">
        <f>'Balance Sheet'!AX24-'Balance Sheet'!AW24</f>
        <v/>
      </c>
    </row>
    <row r="24">
      <c r="B24" s="128" t="inlineStr">
        <is>
          <t>Cash Flow from Financing</t>
        </is>
      </c>
      <c r="C24" s="366">
        <f>SUM(C21:C23)</f>
        <v/>
      </c>
      <c r="D24" s="366">
        <f>SUM(D21:D23)</f>
        <v/>
      </c>
      <c r="E24" s="366">
        <f>SUM(E21:E23)</f>
        <v/>
      </c>
      <c r="F24" s="366">
        <f>SUM(F21:F23)</f>
        <v/>
      </c>
      <c r="G24" s="357" t="n"/>
      <c r="H24" s="366">
        <f>SUM(H21:H23)</f>
        <v/>
      </c>
      <c r="I24" s="366">
        <f>SUM(I21:I23)</f>
        <v/>
      </c>
      <c r="J24" s="366">
        <f>SUM(J21:J23)</f>
        <v/>
      </c>
      <c r="K24" s="366">
        <f>SUM(K21:K23)</f>
        <v/>
      </c>
      <c r="L24" s="366">
        <f>SUM(L21:L23)</f>
        <v/>
      </c>
      <c r="M24" s="366">
        <f>SUM(M21:M23)</f>
        <v/>
      </c>
      <c r="N24" s="366">
        <f>SUM(N21:N23)</f>
        <v/>
      </c>
      <c r="O24" s="366">
        <f>SUM(O21:O23)</f>
        <v/>
      </c>
      <c r="P24" s="366">
        <f>SUM(P21:P23)</f>
        <v/>
      </c>
      <c r="Q24" s="366">
        <f>SUM(Q21:Q23)</f>
        <v/>
      </c>
      <c r="R24" s="366">
        <f>SUM(R21:R23)</f>
        <v/>
      </c>
      <c r="S24" s="366">
        <f>SUM(S21:S23)</f>
        <v/>
      </c>
      <c r="T24" s="366">
        <f>SUM(T21:T23)</f>
        <v/>
      </c>
      <c r="U24" s="366">
        <f>SUM(U21:U23)</f>
        <v/>
      </c>
      <c r="V24" s="366">
        <f>SUM(V21:V23)</f>
        <v/>
      </c>
      <c r="W24" s="366">
        <f>SUM(W21:W23)</f>
        <v/>
      </c>
      <c r="X24" s="366">
        <f>SUM(X21:X23)</f>
        <v/>
      </c>
      <c r="Y24" s="366">
        <f>SUM(Y21:Y23)</f>
        <v/>
      </c>
      <c r="Z24" s="366">
        <f>SUM(Z21:Z23)</f>
        <v/>
      </c>
      <c r="AA24" s="366">
        <f>SUM(AA21:AA23)</f>
        <v/>
      </c>
      <c r="AB24" s="366">
        <f>SUM(AB21:AB23)</f>
        <v/>
      </c>
      <c r="AC24" s="366">
        <f>SUM(AC21:AC23)</f>
        <v/>
      </c>
      <c r="AD24" s="366">
        <f>SUM(AD21:AD23)</f>
        <v/>
      </c>
      <c r="AE24" s="366">
        <f>SUM(AE21:AE23)</f>
        <v/>
      </c>
      <c r="AF24" s="366">
        <f>SUM(AF21:AF23)</f>
        <v/>
      </c>
      <c r="AG24" s="366">
        <f>SUM(AG21:AG23)</f>
        <v/>
      </c>
      <c r="AH24" s="366">
        <f>SUM(AH21:AH23)</f>
        <v/>
      </c>
      <c r="AI24" s="366">
        <f>SUM(AI21:AI23)</f>
        <v/>
      </c>
      <c r="AJ24" s="366">
        <f>SUM(AJ21:AJ23)</f>
        <v/>
      </c>
      <c r="AK24" s="366">
        <f>SUM(AK21:AK23)</f>
        <v/>
      </c>
      <c r="AL24" s="366">
        <f>SUM(AL21:AL23)</f>
        <v/>
      </c>
      <c r="AM24" s="366">
        <f>SUM(AM21:AM23)</f>
        <v/>
      </c>
      <c r="AN24" s="366">
        <f>SUM(AN21:AN23)</f>
        <v/>
      </c>
      <c r="AO24" s="366">
        <f>SUM(AO21:AO23)</f>
        <v/>
      </c>
      <c r="AP24" s="366">
        <f>SUM(AP21:AP23)</f>
        <v/>
      </c>
      <c r="AQ24" s="366">
        <f>SUM(AQ21:AQ23)</f>
        <v/>
      </c>
      <c r="AR24" s="366">
        <f>SUM(AR21:AR23)</f>
        <v/>
      </c>
      <c r="AS24" s="366">
        <f>SUM(AS21:AS23)</f>
        <v/>
      </c>
      <c r="AT24" s="366">
        <f>SUM(AT21:AT23)</f>
        <v/>
      </c>
      <c r="AU24" s="366">
        <f>SUM(AU21:AU23)</f>
        <v/>
      </c>
      <c r="AV24" s="366">
        <f>SUM(AV21:AV23)</f>
        <v/>
      </c>
      <c r="AW24" s="366">
        <f>SUM(AW21:AW23)</f>
        <v/>
      </c>
    </row>
    <row r="25">
      <c r="B25" s="2" t="n"/>
      <c r="C25" s="367" t="n"/>
      <c r="D25" s="367" t="n"/>
      <c r="E25" s="367" t="n"/>
      <c r="F25" s="367" t="n"/>
      <c r="G25" s="357" t="n"/>
      <c r="H25" s="367" t="n"/>
      <c r="I25" s="367" t="n"/>
      <c r="J25" s="367" t="n"/>
      <c r="K25" s="367" t="n"/>
      <c r="L25" s="367" t="n"/>
      <c r="M25" s="367" t="n"/>
      <c r="N25" s="367" t="n"/>
      <c r="O25" s="367" t="n"/>
      <c r="P25" s="367" t="n"/>
      <c r="Q25" s="367" t="n"/>
      <c r="R25" s="367" t="n"/>
      <c r="S25" s="367" t="n"/>
      <c r="T25" s="367" t="n"/>
      <c r="U25" s="367" t="n"/>
      <c r="V25" s="367" t="n"/>
      <c r="W25" s="367" t="n"/>
      <c r="X25" s="367" t="n"/>
      <c r="Y25" s="367" t="n"/>
      <c r="Z25" s="367" t="n"/>
      <c r="AA25" s="367" t="n"/>
      <c r="AB25" s="367" t="n"/>
      <c r="AC25" s="367" t="n"/>
      <c r="AD25" s="367" t="n"/>
      <c r="AE25" s="367" t="n"/>
      <c r="AF25" s="367" t="n"/>
      <c r="AG25" s="367" t="n"/>
      <c r="AH25" s="367" t="n"/>
      <c r="AI25" s="367" t="n"/>
      <c r="AJ25" s="367" t="n"/>
      <c r="AK25" s="367" t="n"/>
      <c r="AL25" s="367" t="n"/>
      <c r="AM25" s="367" t="n"/>
      <c r="AN25" s="367" t="n"/>
      <c r="AO25" s="367" t="n"/>
      <c r="AP25" s="367" t="n"/>
      <c r="AQ25" s="367" t="n"/>
      <c r="AR25" s="367" t="n"/>
      <c r="AS25" s="367" t="n"/>
      <c r="AT25" s="367" t="n"/>
      <c r="AU25" s="367" t="n"/>
      <c r="AV25" s="367" t="n"/>
      <c r="AW25" s="367" t="n"/>
    </row>
    <row r="26">
      <c r="C26" s="357" t="n"/>
      <c r="D26" s="357" t="n"/>
      <c r="E26" s="357" t="n"/>
      <c r="F26" s="357" t="n"/>
      <c r="G26" s="357" t="n"/>
      <c r="H26" s="357" t="n"/>
      <c r="I26" s="362" t="n"/>
      <c r="J26" s="362" t="n"/>
      <c r="K26" s="362" t="n"/>
      <c r="L26" s="362" t="n"/>
      <c r="M26" s="362" t="n"/>
      <c r="N26" s="362" t="n"/>
      <c r="O26" s="362" t="n"/>
      <c r="P26" s="362" t="n"/>
      <c r="Q26" s="362" t="n"/>
      <c r="R26" s="362" t="n"/>
      <c r="S26" s="362" t="n"/>
      <c r="T26" s="362" t="n"/>
      <c r="U26" s="362" t="n"/>
      <c r="V26" s="362" t="n"/>
      <c r="W26" s="362" t="n"/>
      <c r="X26" s="362" t="n"/>
      <c r="Y26" s="362" t="n"/>
      <c r="Z26" s="362" t="n"/>
      <c r="AA26" s="362" t="n"/>
      <c r="AB26" s="362" t="n"/>
      <c r="AC26" s="362" t="n"/>
      <c r="AD26" s="362" t="n"/>
      <c r="AE26" s="362" t="n"/>
      <c r="AF26" s="362" t="n"/>
      <c r="AG26" s="362" t="n"/>
      <c r="AH26" s="362" t="n"/>
      <c r="AI26" s="362" t="n"/>
      <c r="AJ26" s="362" t="n"/>
      <c r="AK26" s="362" t="n"/>
      <c r="AL26" s="362" t="n"/>
      <c r="AM26" s="362" t="n"/>
      <c r="AN26" s="362" t="n"/>
      <c r="AO26" s="362" t="n"/>
      <c r="AP26" s="362" t="n"/>
      <c r="AQ26" s="362" t="n"/>
      <c r="AR26" s="362" t="n"/>
      <c r="AS26" s="362" t="n"/>
      <c r="AT26" s="362" t="n"/>
      <c r="AU26" s="362" t="n"/>
      <c r="AV26" s="362" t="n"/>
      <c r="AW26" s="362" t="n"/>
    </row>
    <row r="27">
      <c r="B27" s="1" t="inlineStr">
        <is>
          <t>Cash Balance at Beginning</t>
        </is>
      </c>
      <c r="C27" s="368" t="n">
        <v>0</v>
      </c>
      <c r="D27" s="357">
        <f>C29</f>
        <v/>
      </c>
      <c r="E27" s="357">
        <f>D29</f>
        <v/>
      </c>
      <c r="F27" s="357">
        <f>E29</f>
        <v/>
      </c>
      <c r="G27" s="357" t="n"/>
      <c r="H27" s="362">
        <f>'Balance Sheet'!H9</f>
        <v/>
      </c>
      <c r="I27" s="362">
        <f>H29</f>
        <v/>
      </c>
      <c r="J27" s="362">
        <f>I29</f>
        <v/>
      </c>
      <c r="K27" s="362">
        <f>J29</f>
        <v/>
      </c>
      <c r="L27" s="362">
        <f>K29</f>
        <v/>
      </c>
      <c r="M27" s="362">
        <f>L29</f>
        <v/>
      </c>
      <c r="N27" s="362">
        <f>M29</f>
        <v/>
      </c>
      <c r="O27" s="362">
        <f>N29</f>
        <v/>
      </c>
      <c r="P27" s="362">
        <f>O29</f>
        <v/>
      </c>
      <c r="Q27" s="362">
        <f>P29</f>
        <v/>
      </c>
      <c r="R27" s="362">
        <f>Q29</f>
        <v/>
      </c>
      <c r="S27" s="362">
        <f>R29</f>
        <v/>
      </c>
      <c r="T27" s="362">
        <f>S29</f>
        <v/>
      </c>
      <c r="U27" s="362">
        <f>T29</f>
        <v/>
      </c>
      <c r="V27" s="362">
        <f>U29</f>
        <v/>
      </c>
      <c r="W27" s="362">
        <f>V29</f>
        <v/>
      </c>
      <c r="X27" s="362">
        <f>W29</f>
        <v/>
      </c>
      <c r="Y27" s="362">
        <f>X29</f>
        <v/>
      </c>
      <c r="Z27" s="362">
        <f>Y29</f>
        <v/>
      </c>
      <c r="AA27" s="362">
        <f>Z29</f>
        <v/>
      </c>
      <c r="AB27" s="362">
        <f>AA29</f>
        <v/>
      </c>
      <c r="AC27" s="362">
        <f>AB29</f>
        <v/>
      </c>
      <c r="AD27" s="362">
        <f>AC29</f>
        <v/>
      </c>
      <c r="AE27" s="362">
        <f>AD29</f>
        <v/>
      </c>
      <c r="AF27" s="362">
        <f>AE29</f>
        <v/>
      </c>
      <c r="AG27" s="362">
        <f>AF29</f>
        <v/>
      </c>
      <c r="AH27" s="362">
        <f>AG29</f>
        <v/>
      </c>
      <c r="AI27" s="362">
        <f>AH29</f>
        <v/>
      </c>
      <c r="AJ27" s="362">
        <f>AI29</f>
        <v/>
      </c>
      <c r="AK27" s="362">
        <f>AJ29</f>
        <v/>
      </c>
      <c r="AL27" s="362">
        <f>AK29</f>
        <v/>
      </c>
      <c r="AM27" s="362">
        <f>AL29</f>
        <v/>
      </c>
      <c r="AN27" s="362">
        <f>AM29</f>
        <v/>
      </c>
      <c r="AO27" s="362">
        <f>AN29</f>
        <v/>
      </c>
      <c r="AP27" s="362">
        <f>AO29</f>
        <v/>
      </c>
      <c r="AQ27" s="362">
        <f>AP29</f>
        <v/>
      </c>
      <c r="AR27" s="362">
        <f>AQ29</f>
        <v/>
      </c>
      <c r="AS27" s="362">
        <f>AR29</f>
        <v/>
      </c>
      <c r="AT27" s="362">
        <f>AS29</f>
        <v/>
      </c>
      <c r="AU27" s="362">
        <f>AT29</f>
        <v/>
      </c>
      <c r="AV27" s="362">
        <f>AU29</f>
        <v/>
      </c>
      <c r="AW27" s="362">
        <f>AV29</f>
        <v/>
      </c>
    </row>
    <row r="28">
      <c r="B28" s="1" t="inlineStr">
        <is>
          <t>Cash Flows for the Year</t>
        </is>
      </c>
      <c r="C28" s="357">
        <f>C24+C18+C14</f>
        <v/>
      </c>
      <c r="D28" s="357">
        <f>D24+D18+D14</f>
        <v/>
      </c>
      <c r="E28" s="357">
        <f>E24+E18+E14</f>
        <v/>
      </c>
      <c r="F28" s="357">
        <f>F24+F18+F14</f>
        <v/>
      </c>
      <c r="G28" s="357" t="n"/>
      <c r="H28" s="357">
        <f>H24+H18+H14</f>
        <v/>
      </c>
      <c r="I28" s="362">
        <f>I24+I18+I14</f>
        <v/>
      </c>
      <c r="J28" s="362">
        <f>J24+J18+J14</f>
        <v/>
      </c>
      <c r="K28" s="362">
        <f>K24+K18+K14</f>
        <v/>
      </c>
      <c r="L28" s="362">
        <f>L24+L18+L14</f>
        <v/>
      </c>
      <c r="M28" s="362">
        <f>M24+M18+M14</f>
        <v/>
      </c>
      <c r="N28" s="362">
        <f>N24+N18+N14</f>
        <v/>
      </c>
      <c r="O28" s="362">
        <f>O24+O18+O14</f>
        <v/>
      </c>
      <c r="P28" s="362">
        <f>P24+P18+P14</f>
        <v/>
      </c>
      <c r="Q28" s="362">
        <f>Q24+Q18+Q14</f>
        <v/>
      </c>
      <c r="R28" s="362">
        <f>R24+R18+R14</f>
        <v/>
      </c>
      <c r="S28" s="362">
        <f>S24+S18+S14</f>
        <v/>
      </c>
      <c r="T28" s="362">
        <f>T24+T18+T14</f>
        <v/>
      </c>
      <c r="U28" s="362">
        <f>U24+U18+U14</f>
        <v/>
      </c>
      <c r="V28" s="362">
        <f>V24+V18+V14</f>
        <v/>
      </c>
      <c r="W28" s="362">
        <f>W24+W18+W14</f>
        <v/>
      </c>
      <c r="X28" s="362">
        <f>X24+X18+X14</f>
        <v/>
      </c>
      <c r="Y28" s="362">
        <f>Y24+Y18+Y14</f>
        <v/>
      </c>
      <c r="Z28" s="362">
        <f>Z24+Z18+Z14</f>
        <v/>
      </c>
      <c r="AA28" s="362">
        <f>AA24+AA18+AA14</f>
        <v/>
      </c>
      <c r="AB28" s="362">
        <f>AB24+AB18+AB14</f>
        <v/>
      </c>
      <c r="AC28" s="362">
        <f>AC24+AC18+AC14</f>
        <v/>
      </c>
      <c r="AD28" s="362">
        <f>AD24+AD18+AD14</f>
        <v/>
      </c>
      <c r="AE28" s="362">
        <f>AE24+AE18+AE14</f>
        <v/>
      </c>
      <c r="AF28" s="362">
        <f>AF24+AF18+AF14</f>
        <v/>
      </c>
      <c r="AG28" s="362">
        <f>AG24+AG18+AG14</f>
        <v/>
      </c>
      <c r="AH28" s="362">
        <f>AH24+AH18+AH14</f>
        <v/>
      </c>
      <c r="AI28" s="362">
        <f>AI24+AI18+AI14</f>
        <v/>
      </c>
      <c r="AJ28" s="362">
        <f>AJ24+AJ18+AJ14</f>
        <v/>
      </c>
      <c r="AK28" s="362">
        <f>AK24+AK18+AK14</f>
        <v/>
      </c>
      <c r="AL28" s="362">
        <f>AL24+AL18+AL14</f>
        <v/>
      </c>
      <c r="AM28" s="362">
        <f>AM24+AM18+AM14</f>
        <v/>
      </c>
      <c r="AN28" s="362">
        <f>AN24+AN18+AN14</f>
        <v/>
      </c>
      <c r="AO28" s="362">
        <f>AO24+AO18+AO14</f>
        <v/>
      </c>
      <c r="AP28" s="362">
        <f>AP24+AP18+AP14</f>
        <v/>
      </c>
      <c r="AQ28" s="362">
        <f>AQ24+AQ18+AQ14</f>
        <v/>
      </c>
      <c r="AR28" s="362">
        <f>AR24+AR18+AR14</f>
        <v/>
      </c>
      <c r="AS28" s="362">
        <f>AS24+AS18+AS14</f>
        <v/>
      </c>
      <c r="AT28" s="362">
        <f>AT24+AT18+AT14</f>
        <v/>
      </c>
      <c r="AU28" s="362">
        <f>AU24+AU18+AU14</f>
        <v/>
      </c>
      <c r="AV28" s="362">
        <f>AV24+AV18+AV14</f>
        <v/>
      </c>
      <c r="AW28" s="362">
        <f>AW24+AW18+AW14</f>
        <v/>
      </c>
    </row>
    <row r="29">
      <c r="B29" s="128" t="inlineStr">
        <is>
          <t>Cash Balance at End</t>
        </is>
      </c>
      <c r="C29" s="365">
        <f>C27+C28</f>
        <v/>
      </c>
      <c r="D29" s="365">
        <f>D27+D28</f>
        <v/>
      </c>
      <c r="E29" s="365">
        <f>E27+E28</f>
        <v/>
      </c>
      <c r="F29" s="365">
        <f>F27+F28</f>
        <v/>
      </c>
      <c r="G29" s="357" t="n"/>
      <c r="H29" s="365">
        <f>H27+H28</f>
        <v/>
      </c>
      <c r="I29" s="366">
        <f>I27+I28</f>
        <v/>
      </c>
      <c r="J29" s="366">
        <f>J27+J28</f>
        <v/>
      </c>
      <c r="K29" s="366">
        <f>K27+K28</f>
        <v/>
      </c>
      <c r="L29" s="366">
        <f>L27+L28</f>
        <v/>
      </c>
      <c r="M29" s="366">
        <f>M27+M28</f>
        <v/>
      </c>
      <c r="N29" s="366">
        <f>N27+N28</f>
        <v/>
      </c>
      <c r="O29" s="366">
        <f>O27+O28</f>
        <v/>
      </c>
      <c r="P29" s="366">
        <f>P27+P28</f>
        <v/>
      </c>
      <c r="Q29" s="366">
        <f>Q27+Q28</f>
        <v/>
      </c>
      <c r="R29" s="366">
        <f>R27+R28</f>
        <v/>
      </c>
      <c r="S29" s="366">
        <f>S27+S28</f>
        <v/>
      </c>
      <c r="T29" s="366">
        <f>T27+T28</f>
        <v/>
      </c>
      <c r="U29" s="366">
        <f>U27+U28</f>
        <v/>
      </c>
      <c r="V29" s="366">
        <f>V27+V28</f>
        <v/>
      </c>
      <c r="W29" s="366">
        <f>W27+W28</f>
        <v/>
      </c>
      <c r="X29" s="366">
        <f>X27+X28</f>
        <v/>
      </c>
      <c r="Y29" s="366">
        <f>Y27+Y28</f>
        <v/>
      </c>
      <c r="Z29" s="366">
        <f>Z27+Z28</f>
        <v/>
      </c>
      <c r="AA29" s="366">
        <f>AA27+AA28</f>
        <v/>
      </c>
      <c r="AB29" s="366">
        <f>AB27+AB28</f>
        <v/>
      </c>
      <c r="AC29" s="366">
        <f>AC27+AC28</f>
        <v/>
      </c>
      <c r="AD29" s="366">
        <f>AD27+AD28</f>
        <v/>
      </c>
      <c r="AE29" s="366">
        <f>AE27+AE28</f>
        <v/>
      </c>
      <c r="AF29" s="366">
        <f>AF27+AF28</f>
        <v/>
      </c>
      <c r="AG29" s="366">
        <f>AG27+AG28</f>
        <v/>
      </c>
      <c r="AH29" s="366">
        <f>AH27+AH28</f>
        <v/>
      </c>
      <c r="AI29" s="366">
        <f>AI27+AI28</f>
        <v/>
      </c>
      <c r="AJ29" s="366">
        <f>AJ27+AJ28</f>
        <v/>
      </c>
      <c r="AK29" s="366">
        <f>AK27+AK28</f>
        <v/>
      </c>
      <c r="AL29" s="366">
        <f>AL27+AL28</f>
        <v/>
      </c>
      <c r="AM29" s="366">
        <f>AM27+AM28</f>
        <v/>
      </c>
      <c r="AN29" s="366">
        <f>AN27+AN28</f>
        <v/>
      </c>
      <c r="AO29" s="366">
        <f>AO27+AO28</f>
        <v/>
      </c>
      <c r="AP29" s="366">
        <f>AP27+AP28</f>
        <v/>
      </c>
      <c r="AQ29" s="366">
        <f>AQ27+AQ28</f>
        <v/>
      </c>
      <c r="AR29" s="366">
        <f>AR27+AR28</f>
        <v/>
      </c>
      <c r="AS29" s="366">
        <f>AS27+AS28</f>
        <v/>
      </c>
      <c r="AT29" s="366">
        <f>AT27+AT28</f>
        <v/>
      </c>
      <c r="AU29" s="366">
        <f>AU27+AU28</f>
        <v/>
      </c>
      <c r="AV29" s="366">
        <f>AV27+AV28</f>
        <v/>
      </c>
      <c r="AW29" s="366">
        <f>AW27+AW28</f>
        <v/>
      </c>
    </row>
    <row r="31" customFormat="1" s="133">
      <c r="B31" s="133" t="inlineStr">
        <is>
          <t>Check</t>
        </is>
      </c>
      <c r="C31" s="369">
        <f>C29-'Balance Sheet'!C9</f>
        <v/>
      </c>
      <c r="D31" s="369">
        <f>D29-'Balance Sheet'!D9</f>
        <v/>
      </c>
      <c r="E31" s="370">
        <f>E29-'Balance Sheet'!E9</f>
        <v/>
      </c>
      <c r="F31" s="370">
        <f>F29-'Balance Sheet'!F9</f>
        <v/>
      </c>
      <c r="G31" s="369" t="n"/>
      <c r="H31" s="369">
        <f>H29-'Balance Sheet'!I9</f>
        <v/>
      </c>
      <c r="I31" s="369">
        <f>I29-'Balance Sheet'!J9</f>
        <v/>
      </c>
      <c r="J31" s="369">
        <f>J29-'Balance Sheet'!K9</f>
        <v/>
      </c>
      <c r="K31" s="369">
        <f>K29-'Balance Sheet'!L9</f>
        <v/>
      </c>
      <c r="L31" s="369">
        <f>L29-'Balance Sheet'!M9</f>
        <v/>
      </c>
      <c r="M31" s="369">
        <f>M29-'Balance Sheet'!N9</f>
        <v/>
      </c>
      <c r="N31" s="369">
        <f>N29-'Balance Sheet'!O9</f>
        <v/>
      </c>
      <c r="O31" s="369">
        <f>O29-'Balance Sheet'!P9</f>
        <v/>
      </c>
      <c r="P31" s="369">
        <f>P29-'Balance Sheet'!Q9</f>
        <v/>
      </c>
      <c r="Q31" s="369">
        <f>Q29-'Balance Sheet'!R9</f>
        <v/>
      </c>
      <c r="R31" s="369">
        <f>R29-'Balance Sheet'!S9</f>
        <v/>
      </c>
      <c r="S31" s="369">
        <f>S29-'Balance Sheet'!T9</f>
        <v/>
      </c>
      <c r="T31" s="369">
        <f>T29-'Balance Sheet'!U9</f>
        <v/>
      </c>
      <c r="U31" s="369">
        <f>U29-'Balance Sheet'!V9</f>
        <v/>
      </c>
      <c r="V31" s="369">
        <f>V29-'Balance Sheet'!W9</f>
        <v/>
      </c>
      <c r="W31" s="369">
        <f>W29-'Balance Sheet'!X9</f>
        <v/>
      </c>
      <c r="X31" s="369">
        <f>X29-'Balance Sheet'!Y9</f>
        <v/>
      </c>
      <c r="Y31" s="369">
        <f>Y29-'Balance Sheet'!Z9</f>
        <v/>
      </c>
      <c r="Z31" s="369">
        <f>Z29-'Balance Sheet'!AA9</f>
        <v/>
      </c>
      <c r="AA31" s="369">
        <f>AA29-'Balance Sheet'!AB9</f>
        <v/>
      </c>
      <c r="AB31" s="369">
        <f>AB29-'Balance Sheet'!AC9</f>
        <v/>
      </c>
      <c r="AC31" s="369">
        <f>AC29-'Balance Sheet'!AD9</f>
        <v/>
      </c>
      <c r="AD31" s="369">
        <f>AD29-'Balance Sheet'!AE9</f>
        <v/>
      </c>
      <c r="AE31" s="369">
        <f>AE29-'Balance Sheet'!AF9</f>
        <v/>
      </c>
      <c r="AF31" s="369">
        <f>AF29-'Balance Sheet'!AG9</f>
        <v/>
      </c>
      <c r="AG31" s="369">
        <f>AG29-'Balance Sheet'!AH9</f>
        <v/>
      </c>
      <c r="AH31" s="369">
        <f>AH29-'Balance Sheet'!AI9</f>
        <v/>
      </c>
      <c r="AI31" s="369">
        <f>AI29-'Balance Sheet'!AJ9</f>
        <v/>
      </c>
      <c r="AJ31" s="369">
        <f>AJ29-'Balance Sheet'!AK9</f>
        <v/>
      </c>
      <c r="AK31" s="369">
        <f>AK29-'Balance Sheet'!AL9</f>
        <v/>
      </c>
      <c r="AL31" s="369">
        <f>AL29-'Balance Sheet'!AM9</f>
        <v/>
      </c>
      <c r="AM31" s="369">
        <f>AM29-'Balance Sheet'!AN9</f>
        <v/>
      </c>
      <c r="AN31" s="369">
        <f>AN29-'Balance Sheet'!AO9</f>
        <v/>
      </c>
      <c r="AO31" s="369">
        <f>AO29-'Balance Sheet'!AP9</f>
        <v/>
      </c>
      <c r="AP31" s="369">
        <f>AP29-'Balance Sheet'!AQ9</f>
        <v/>
      </c>
      <c r="AQ31" s="369">
        <f>AQ29-'Balance Sheet'!AR9</f>
        <v/>
      </c>
      <c r="AR31" s="369">
        <f>AR29-'Balance Sheet'!AS9</f>
        <v/>
      </c>
      <c r="AS31" s="369">
        <f>AS29-'Balance Sheet'!AT9</f>
        <v/>
      </c>
      <c r="AT31" s="369">
        <f>AT29-'Balance Sheet'!AU9</f>
        <v/>
      </c>
      <c r="AU31" s="369">
        <f>AU29-'Balance Sheet'!AV9</f>
        <v/>
      </c>
      <c r="AV31" s="369">
        <f>AV29-'Balance Sheet'!AW9</f>
        <v/>
      </c>
      <c r="AW31" s="369">
        <f>AW29-'Balance Sheet'!AX9</f>
        <v/>
      </c>
    </row>
  </sheetData>
  <mergeCells count="6">
    <mergeCell ref="G5:G6"/>
    <mergeCell ref="E5:E6"/>
    <mergeCell ref="F5:F6"/>
    <mergeCell ref="D5:D6"/>
    <mergeCell ref="B5:B6"/>
    <mergeCell ref="C5:C6"/>
  </mergeCells>
  <pageMargins left="0.7" right="0.7" top="0.75" bottom="0.75" header="0.3" footer="0.3"/>
  <pageSetup orientation="portrait" scale="14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X33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" sqref="A1"/>
    </sheetView>
  </sheetViews>
  <sheetFormatPr baseColWidth="10" defaultColWidth="12.5" defaultRowHeight="13"/>
  <cols>
    <col width="4" customWidth="1" style="1" min="1" max="1"/>
    <col width="26" customWidth="1" style="1" min="2" max="2"/>
    <col width="12.5" customWidth="1" style="1" min="3" max="3"/>
    <col width="15" customWidth="1" style="1" min="4" max="4"/>
    <col width="13.5" customWidth="1" style="1" min="5" max="5"/>
    <col width="13" customWidth="1" style="1" min="6" max="6"/>
    <col width="7.83203125" customWidth="1" style="112" min="7" max="7"/>
    <col width="13" customWidth="1" style="1" min="8" max="8"/>
    <col width="12.5" customWidth="1" style="1" min="9" max="16384"/>
  </cols>
  <sheetData>
    <row r="2">
      <c r="B2" s="2">
        <f>DCF!B2</f>
        <v/>
      </c>
    </row>
    <row r="3">
      <c r="B3" s="2" t="inlineStr">
        <is>
          <t>Balance Sheet</t>
        </is>
      </c>
    </row>
    <row r="5">
      <c r="B5" s="294">
        <f t="array" ref="B5:B6">'Revenue Driver'!B5:B6</f>
        <v/>
      </c>
      <c r="C5" s="295">
        <f t="array" ref="C5:C6">'Revenue Driver'!C5:C6</f>
        <v/>
      </c>
      <c r="D5" s="295">
        <f t="array" ref="D5:D6">'Revenue Driver'!D5:D6</f>
        <v/>
      </c>
      <c r="E5" s="295">
        <f t="array" ref="E5:E6">'Revenue Driver'!E5:E6</f>
        <v/>
      </c>
      <c r="F5" s="295">
        <f t="array" ref="F5:F6">'Revenue Driver'!F5:F6</f>
        <v/>
      </c>
      <c r="G5" s="303" t="n"/>
      <c r="H5" s="306" t="inlineStr">
        <is>
          <t>Opening Balance Sheet</t>
        </is>
      </c>
      <c r="I5" s="7">
        <f t="array" ref="I5:I6">'Revenue Driver'!H5:H6</f>
        <v/>
      </c>
      <c r="J5" s="7">
        <f t="array" ref="J5:J6">'Revenue Driver'!I5:I6</f>
        <v/>
      </c>
      <c r="K5" s="7">
        <f t="array" ref="K5:K6">'Revenue Driver'!J5:J6</f>
        <v/>
      </c>
      <c r="L5" s="7">
        <f t="array" ref="L5:L6">'Revenue Driver'!K5:K6</f>
        <v/>
      </c>
      <c r="M5" s="7">
        <f t="array" ref="M5:M6">'Revenue Driver'!L5:L6</f>
        <v/>
      </c>
      <c r="N5" s="7">
        <f t="array" ref="N5:N6">'Revenue Driver'!M5:M6</f>
        <v/>
      </c>
      <c r="O5" s="7">
        <f t="array" ref="O5:O6">'Revenue Driver'!N5:N6</f>
        <v/>
      </c>
      <c r="P5" s="7">
        <f t="array" ref="P5:P6">'Revenue Driver'!O5:O6</f>
        <v/>
      </c>
      <c r="Q5" s="7">
        <f t="array" ref="Q5:Q6">'Revenue Driver'!P5:P6</f>
        <v/>
      </c>
      <c r="R5" s="7">
        <f t="array" ref="R5:R6">'Revenue Driver'!Q5:Q6</f>
        <v/>
      </c>
      <c r="S5" s="7">
        <f t="array" ref="S5:S6">'Revenue Driver'!R5:R6</f>
        <v/>
      </c>
      <c r="T5" s="7">
        <f t="array" ref="T5:T6">'Revenue Driver'!S5:S6</f>
        <v/>
      </c>
      <c r="U5" s="7">
        <f t="array" ref="U5:U6">'Revenue Driver'!T5:T6</f>
        <v/>
      </c>
      <c r="V5" s="7">
        <f t="array" ref="V5:V6">'Revenue Driver'!U5:U6</f>
        <v/>
      </c>
      <c r="W5" s="7">
        <f t="array" ref="W5:W6">'Revenue Driver'!V5:V6</f>
        <v/>
      </c>
      <c r="X5" s="7">
        <f t="array" ref="X5:X6">'Revenue Driver'!W5:W6</f>
        <v/>
      </c>
      <c r="Y5" s="7">
        <f t="array" ref="Y5:Y6">'Revenue Driver'!X5:X6</f>
        <v/>
      </c>
      <c r="Z5" s="7">
        <f t="array" ref="Z5:Z6">'Revenue Driver'!Y5:Y6</f>
        <v/>
      </c>
      <c r="AA5" s="7">
        <f t="array" ref="AA5:AA6">'Revenue Driver'!Z5:Z6</f>
        <v/>
      </c>
      <c r="AB5" s="7">
        <f t="array" ref="AB5:AB6">'Revenue Driver'!AA5:AA6</f>
        <v/>
      </c>
      <c r="AC5" s="7">
        <f t="array" ref="AC5:AC6">'Revenue Driver'!AB5:AB6</f>
        <v/>
      </c>
      <c r="AD5" s="7">
        <f t="array" ref="AD5:AD6">'Revenue Driver'!AC5:AC6</f>
        <v/>
      </c>
      <c r="AE5" s="7">
        <f t="array" ref="AE5:AE6">'Revenue Driver'!AD5:AD6</f>
        <v/>
      </c>
      <c r="AF5" s="7">
        <f t="array" ref="AF5:AF6">'Revenue Driver'!AE5:AE6</f>
        <v/>
      </c>
      <c r="AG5" s="7">
        <f t="array" ref="AG5:AG6">'Revenue Driver'!AF5:AF6</f>
        <v/>
      </c>
      <c r="AH5" s="7">
        <f t="array" ref="AH5:AH6">'Revenue Driver'!AG5:AG6</f>
        <v/>
      </c>
      <c r="AI5" s="7">
        <f t="array" ref="AI5:AI6">'Revenue Driver'!AH5:AH6</f>
        <v/>
      </c>
      <c r="AJ5" s="7">
        <f t="array" ref="AJ5:AJ6">'Revenue Driver'!AI5:AI6</f>
        <v/>
      </c>
      <c r="AK5" s="7">
        <f t="array" ref="AK5:AK6">'Revenue Driver'!AJ5:AJ6</f>
        <v/>
      </c>
      <c r="AL5" s="7">
        <f t="array" ref="AL5:AL6">'Revenue Driver'!AK5:AK6</f>
        <v/>
      </c>
      <c r="AM5" s="7">
        <f t="array" ref="AM5:AM6">'Revenue Driver'!AL5:AL6</f>
        <v/>
      </c>
      <c r="AN5" s="7">
        <f t="array" ref="AN5:AN6">'Revenue Driver'!AM5:AM6</f>
        <v/>
      </c>
      <c r="AO5" s="7">
        <f t="array" ref="AO5:AO6">'Revenue Driver'!AN5:AN6</f>
        <v/>
      </c>
      <c r="AP5" s="7">
        <f t="array" ref="AP5:AP6">'Revenue Driver'!AO5:AO6</f>
        <v/>
      </c>
      <c r="AQ5" s="7">
        <f t="array" ref="AQ5:AQ6">'Revenue Driver'!AP5:AP6</f>
        <v/>
      </c>
      <c r="AR5" s="7">
        <f t="array" ref="AR5:AR6">'Revenue Driver'!AQ5:AQ6</f>
        <v/>
      </c>
      <c r="AS5" s="7">
        <f t="array" ref="AS5:AS6">'Revenue Driver'!AR5:AR6</f>
        <v/>
      </c>
      <c r="AT5" s="7">
        <f t="array" ref="AT5:AT6">'Revenue Driver'!AS5:AS6</f>
        <v/>
      </c>
      <c r="AU5" s="7">
        <f t="array" ref="AU5:AU6">'Revenue Driver'!AT5:AT6</f>
        <v/>
      </c>
      <c r="AV5" s="7">
        <f t="array" ref="AV5:AV6">'Revenue Driver'!AU5:AU6</f>
        <v/>
      </c>
      <c r="AW5" s="7">
        <f t="array" ref="AW5:AW6">'Revenue Driver'!AV5:AV6</f>
        <v/>
      </c>
      <c r="AX5" s="7">
        <f t="array" ref="AX5:AX6">'Revenue Driver'!AW5:AW6</f>
        <v/>
      </c>
    </row>
    <row r="6">
      <c r="I6" s="8" t="n">
        <v>45497</v>
      </c>
      <c r="J6" s="8" t="n">
        <v>45535</v>
      </c>
      <c r="K6" s="8" t="n">
        <v>45565</v>
      </c>
      <c r="L6" s="8" t="n">
        <v>45596</v>
      </c>
      <c r="M6" s="8" t="n">
        <v>45626</v>
      </c>
      <c r="N6" s="8" t="n">
        <v>45657</v>
      </c>
      <c r="O6" s="8" t="n">
        <v>45688</v>
      </c>
      <c r="P6" s="8" t="n">
        <v>45716</v>
      </c>
      <c r="Q6" s="8" t="n">
        <v>45747</v>
      </c>
      <c r="R6" s="8" t="n">
        <v>45777</v>
      </c>
      <c r="S6" s="8" t="n">
        <v>45808</v>
      </c>
      <c r="T6" s="8" t="n">
        <v>45838</v>
      </c>
      <c r="U6" s="8" t="n">
        <v>45869</v>
      </c>
      <c r="V6" s="8" t="n">
        <v>45900</v>
      </c>
      <c r="W6" s="8" t="n">
        <v>45930</v>
      </c>
      <c r="X6" s="8" t="n">
        <v>45961</v>
      </c>
      <c r="Y6" s="8" t="n">
        <v>45991</v>
      </c>
      <c r="Z6" s="8" t="n">
        <v>46022</v>
      </c>
      <c r="AA6" s="8" t="n">
        <v>46053</v>
      </c>
      <c r="AB6" s="8" t="n">
        <v>46081</v>
      </c>
      <c r="AC6" s="8" t="n">
        <v>46112</v>
      </c>
      <c r="AD6" s="8" t="n">
        <v>46142</v>
      </c>
      <c r="AE6" s="8" t="n">
        <v>46173</v>
      </c>
      <c r="AF6" s="8" t="n">
        <v>46203</v>
      </c>
      <c r="AG6" s="8" t="n">
        <v>46234</v>
      </c>
      <c r="AH6" s="8" t="n">
        <v>46265</v>
      </c>
      <c r="AI6" s="8" t="n">
        <v>46295</v>
      </c>
      <c r="AJ6" s="8" t="n">
        <v>46326</v>
      </c>
      <c r="AK6" s="8" t="n">
        <v>46356</v>
      </c>
      <c r="AL6" s="8" t="n">
        <v>46387</v>
      </c>
      <c r="AM6" s="8" t="n">
        <v>46418</v>
      </c>
      <c r="AN6" s="8" t="n">
        <v>46446</v>
      </c>
      <c r="AO6" s="8" t="n">
        <v>46477</v>
      </c>
      <c r="AP6" s="8" t="n">
        <v>46507</v>
      </c>
      <c r="AQ6" s="8" t="n">
        <v>46538</v>
      </c>
      <c r="AR6" s="8" t="n">
        <v>46568</v>
      </c>
      <c r="AS6" s="8" t="n">
        <v>46599</v>
      </c>
      <c r="AT6" s="8" t="n">
        <v>46630</v>
      </c>
      <c r="AU6" s="8" t="n">
        <v>46660</v>
      </c>
      <c r="AV6" s="8" t="n">
        <v>46691</v>
      </c>
      <c r="AW6" s="8" t="n">
        <v>46721</v>
      </c>
      <c r="AX6" s="8" t="n">
        <v>46752</v>
      </c>
    </row>
    <row r="8">
      <c r="B8" s="2" t="inlineStr">
        <is>
          <t>Current Assets</t>
        </is>
      </c>
      <c r="C8" s="367">
        <f>SUM(C9:C11)</f>
        <v/>
      </c>
      <c r="D8" s="367">
        <f>SUM(D9:D11)</f>
        <v/>
      </c>
      <c r="E8" s="367">
        <f>SUM(E9:E11)</f>
        <v/>
      </c>
      <c r="F8" s="367">
        <f>SUM(F9:F11)</f>
        <v/>
      </c>
      <c r="G8" s="371" t="n"/>
      <c r="H8" s="367">
        <f>SUM(H9:H11)</f>
        <v/>
      </c>
      <c r="I8" s="367">
        <f>SUM(I9:I11)</f>
        <v/>
      </c>
      <c r="J8" s="367">
        <f>SUM(J9:J11)</f>
        <v/>
      </c>
      <c r="K8" s="367">
        <f>SUM(K9:K11)</f>
        <v/>
      </c>
      <c r="L8" s="367">
        <f>SUM(L9:L11)</f>
        <v/>
      </c>
      <c r="M8" s="367">
        <f>SUM(M9:M11)</f>
        <v/>
      </c>
      <c r="N8" s="367">
        <f>SUM(N9:N11)</f>
        <v/>
      </c>
      <c r="O8" s="367">
        <f>SUM(O9:O11)</f>
        <v/>
      </c>
      <c r="P8" s="367">
        <f>SUM(P9:P11)</f>
        <v/>
      </c>
      <c r="Q8" s="367">
        <f>SUM(Q9:Q11)</f>
        <v/>
      </c>
      <c r="R8" s="367">
        <f>SUM(R9:R11)</f>
        <v/>
      </c>
      <c r="S8" s="367">
        <f>SUM(S9:S11)</f>
        <v/>
      </c>
      <c r="T8" s="367">
        <f>SUM(T9:T11)</f>
        <v/>
      </c>
      <c r="U8" s="367">
        <f>SUM(U9:U11)</f>
        <v/>
      </c>
      <c r="V8" s="367">
        <f>SUM(V9:V11)</f>
        <v/>
      </c>
      <c r="W8" s="367">
        <f>SUM(W9:W11)</f>
        <v/>
      </c>
      <c r="X8" s="367">
        <f>SUM(X9:X11)</f>
        <v/>
      </c>
      <c r="Y8" s="367">
        <f>SUM(Y9:Y11)</f>
        <v/>
      </c>
      <c r="Z8" s="367">
        <f>SUM(Z9:Z11)</f>
        <v/>
      </c>
      <c r="AA8" s="367">
        <f>SUM(AA9:AA11)</f>
        <v/>
      </c>
      <c r="AB8" s="367">
        <f>SUM(AB9:AB11)</f>
        <v/>
      </c>
      <c r="AC8" s="367">
        <f>SUM(AC9:AC11)</f>
        <v/>
      </c>
      <c r="AD8" s="367">
        <f>SUM(AD9:AD11)</f>
        <v/>
      </c>
      <c r="AE8" s="367">
        <f>SUM(AE9:AE11)</f>
        <v/>
      </c>
      <c r="AF8" s="367">
        <f>SUM(AF9:AF11)</f>
        <v/>
      </c>
      <c r="AG8" s="367">
        <f>SUM(AG9:AG11)</f>
        <v/>
      </c>
      <c r="AH8" s="367">
        <f>SUM(AH9:AH11)</f>
        <v/>
      </c>
      <c r="AI8" s="367">
        <f>SUM(AI9:AI11)</f>
        <v/>
      </c>
      <c r="AJ8" s="367">
        <f>SUM(AJ9:AJ11)</f>
        <v/>
      </c>
      <c r="AK8" s="367">
        <f>SUM(AK9:AK11)</f>
        <v/>
      </c>
      <c r="AL8" s="367">
        <f>SUM(AL9:AL11)</f>
        <v/>
      </c>
      <c r="AM8" s="367">
        <f>SUM(AM9:AM11)</f>
        <v/>
      </c>
      <c r="AN8" s="367">
        <f>SUM(AN9:AN11)</f>
        <v/>
      </c>
      <c r="AO8" s="367">
        <f>SUM(AO9:AO11)</f>
        <v/>
      </c>
      <c r="AP8" s="367">
        <f>SUM(AP9:AP11)</f>
        <v/>
      </c>
      <c r="AQ8" s="367">
        <f>SUM(AQ9:AQ11)</f>
        <v/>
      </c>
      <c r="AR8" s="367">
        <f>SUM(AR9:AR11)</f>
        <v/>
      </c>
      <c r="AS8" s="367">
        <f>SUM(AS9:AS11)</f>
        <v/>
      </c>
      <c r="AT8" s="367">
        <f>SUM(AT9:AT11)</f>
        <v/>
      </c>
      <c r="AU8" s="367">
        <f>SUM(AU9:AU11)</f>
        <v/>
      </c>
      <c r="AV8" s="367">
        <f>SUM(AV9:AV11)</f>
        <v/>
      </c>
      <c r="AW8" s="367">
        <f>SUM(AW9:AW11)</f>
        <v/>
      </c>
      <c r="AX8" s="367">
        <f>SUM(AX9:AX11)</f>
        <v/>
      </c>
    </row>
    <row r="9">
      <c r="B9" s="1" t="inlineStr">
        <is>
          <t>Cash</t>
        </is>
      </c>
      <c r="C9" s="327">
        <f>IFERROR(INDEX($I9:$AX9,MATCH(DATE(C$5,12,31),$I$6:$AX$6,0)),0)</f>
        <v/>
      </c>
      <c r="D9" s="327">
        <f>IFERROR(INDEX($I9:$AX9,MATCH(DATE(D$5,12,31),$I$6:$AX$6,0)),0)</f>
        <v/>
      </c>
      <c r="E9" s="327">
        <f>IFERROR(INDEX($I9:$AX9,MATCH(DATE(E$5,12,31),$I$6:$AX$6,0)),0)</f>
        <v/>
      </c>
      <c r="F9" s="327">
        <f>IFERROR(INDEX($I9:$AX9,MATCH(DATE(F$5,12,31),$I$6:$AX$6,0)),0)</f>
        <v/>
      </c>
      <c r="G9" s="358" t="n"/>
      <c r="H9" s="357">
        <f>H28</f>
        <v/>
      </c>
      <c r="I9" s="362">
        <f>Cashflow!H29</f>
        <v/>
      </c>
      <c r="J9" s="362">
        <f>Cashflow!I29</f>
        <v/>
      </c>
      <c r="K9" s="362">
        <f>Cashflow!J29</f>
        <v/>
      </c>
      <c r="L9" s="362">
        <f>Cashflow!K29</f>
        <v/>
      </c>
      <c r="M9" s="362">
        <f>Cashflow!L29</f>
        <v/>
      </c>
      <c r="N9" s="362">
        <f>Cashflow!M29</f>
        <v/>
      </c>
      <c r="O9" s="362">
        <f>Cashflow!N29</f>
        <v/>
      </c>
      <c r="P9" s="362">
        <f>Cashflow!O29</f>
        <v/>
      </c>
      <c r="Q9" s="362">
        <f>Cashflow!P29</f>
        <v/>
      </c>
      <c r="R9" s="362">
        <f>Cashflow!Q29</f>
        <v/>
      </c>
      <c r="S9" s="362">
        <f>Cashflow!R29</f>
        <v/>
      </c>
      <c r="T9" s="362">
        <f>Cashflow!S29</f>
        <v/>
      </c>
      <c r="U9" s="362">
        <f>Cashflow!T29</f>
        <v/>
      </c>
      <c r="V9" s="362">
        <f>Cashflow!U29</f>
        <v/>
      </c>
      <c r="W9" s="362">
        <f>Cashflow!V29</f>
        <v/>
      </c>
      <c r="X9" s="362">
        <f>Cashflow!W29</f>
        <v/>
      </c>
      <c r="Y9" s="362">
        <f>Cashflow!X29</f>
        <v/>
      </c>
      <c r="Z9" s="362">
        <f>Cashflow!Y29</f>
        <v/>
      </c>
      <c r="AA9" s="362">
        <f>Cashflow!Z29</f>
        <v/>
      </c>
      <c r="AB9" s="362">
        <f>Cashflow!AA29</f>
        <v/>
      </c>
      <c r="AC9" s="362">
        <f>Cashflow!AB29</f>
        <v/>
      </c>
      <c r="AD9" s="362">
        <f>Cashflow!AC29</f>
        <v/>
      </c>
      <c r="AE9" s="362">
        <f>Cashflow!AD29</f>
        <v/>
      </c>
      <c r="AF9" s="362">
        <f>Cashflow!AE29</f>
        <v/>
      </c>
      <c r="AG9" s="362">
        <f>Cashflow!AF29</f>
        <v/>
      </c>
      <c r="AH9" s="362">
        <f>Cashflow!AG29</f>
        <v/>
      </c>
      <c r="AI9" s="362">
        <f>Cashflow!AH29</f>
        <v/>
      </c>
      <c r="AJ9" s="362">
        <f>Cashflow!AI29</f>
        <v/>
      </c>
      <c r="AK9" s="362">
        <f>Cashflow!AJ29</f>
        <v/>
      </c>
      <c r="AL9" s="362">
        <f>Cashflow!AK29</f>
        <v/>
      </c>
      <c r="AM9" s="362">
        <f>Cashflow!AL29</f>
        <v/>
      </c>
      <c r="AN9" s="362">
        <f>Cashflow!AM29</f>
        <v/>
      </c>
      <c r="AO9" s="362">
        <f>Cashflow!AN29</f>
        <v/>
      </c>
      <c r="AP9" s="362">
        <f>Cashflow!AO29</f>
        <v/>
      </c>
      <c r="AQ9" s="362">
        <f>Cashflow!AP29</f>
        <v/>
      </c>
      <c r="AR9" s="362">
        <f>Cashflow!AQ29</f>
        <v/>
      </c>
      <c r="AS9" s="362">
        <f>Cashflow!AR29</f>
        <v/>
      </c>
      <c r="AT9" s="362">
        <f>Cashflow!AS29</f>
        <v/>
      </c>
      <c r="AU9" s="362">
        <f>Cashflow!AT29</f>
        <v/>
      </c>
      <c r="AV9" s="362">
        <f>Cashflow!AU29</f>
        <v/>
      </c>
      <c r="AW9" s="362">
        <f>Cashflow!AV29</f>
        <v/>
      </c>
      <c r="AX9" s="362">
        <f>Cashflow!AW29</f>
        <v/>
      </c>
    </row>
    <row r="10">
      <c r="B10" s="1" t="inlineStr">
        <is>
          <t>Trade Receivables</t>
        </is>
      </c>
      <c r="C10" s="327">
        <f>IFERROR(INDEX($I10:$AX10,MATCH(DATE(C$5,12,31),$I$6:$AX$6,0)),0)</f>
        <v/>
      </c>
      <c r="D10" s="327">
        <f>IFERROR(INDEX($I10:$AX10,MATCH(DATE(D$5,12,31),$I$6:$AX$6,0)),0)</f>
        <v/>
      </c>
      <c r="E10" s="327">
        <f>IFERROR(INDEX($I10:$AX10,MATCH(DATE(E$5,12,31),$I$6:$AX$6,0)),0)</f>
        <v/>
      </c>
      <c r="F10" s="327">
        <f>IFERROR(INDEX($I10:$AX10,MATCH(DATE(F$5,12,31),$I$6:$AX$6,0)),0)</f>
        <v/>
      </c>
      <c r="G10" s="363" t="n"/>
      <c r="H10" s="372" t="n">
        <v>0</v>
      </c>
      <c r="I10" s="362">
        <f>'Balance Sheet Schedules'!H32</f>
        <v/>
      </c>
      <c r="J10" s="362">
        <f>'Balance Sheet Schedules'!I32</f>
        <v/>
      </c>
      <c r="K10" s="362">
        <f>'Balance Sheet Schedules'!J32</f>
        <v/>
      </c>
      <c r="L10" s="362">
        <f>'Balance Sheet Schedules'!K32</f>
        <v/>
      </c>
      <c r="M10" s="362">
        <f>'Balance Sheet Schedules'!L32</f>
        <v/>
      </c>
      <c r="N10" s="362">
        <f>'Balance Sheet Schedules'!M32</f>
        <v/>
      </c>
      <c r="O10" s="362">
        <f>'Balance Sheet Schedules'!N32</f>
        <v/>
      </c>
      <c r="P10" s="362">
        <f>'Balance Sheet Schedules'!O32</f>
        <v/>
      </c>
      <c r="Q10" s="362">
        <f>'Balance Sheet Schedules'!P32</f>
        <v/>
      </c>
      <c r="R10" s="362">
        <f>'Balance Sheet Schedules'!Q32</f>
        <v/>
      </c>
      <c r="S10" s="362">
        <f>'Balance Sheet Schedules'!R32</f>
        <v/>
      </c>
      <c r="T10" s="362">
        <f>'Balance Sheet Schedules'!S32</f>
        <v/>
      </c>
      <c r="U10" s="362">
        <f>'Balance Sheet Schedules'!T32</f>
        <v/>
      </c>
      <c r="V10" s="362">
        <f>'Balance Sheet Schedules'!U32</f>
        <v/>
      </c>
      <c r="W10" s="362">
        <f>'Balance Sheet Schedules'!V32</f>
        <v/>
      </c>
      <c r="X10" s="362">
        <f>'Balance Sheet Schedules'!W32</f>
        <v/>
      </c>
      <c r="Y10" s="362">
        <f>'Balance Sheet Schedules'!X32</f>
        <v/>
      </c>
      <c r="Z10" s="362">
        <f>'Balance Sheet Schedules'!Y32</f>
        <v/>
      </c>
      <c r="AA10" s="362">
        <f>'Balance Sheet Schedules'!Z32</f>
        <v/>
      </c>
      <c r="AB10" s="362">
        <f>'Balance Sheet Schedules'!AA32</f>
        <v/>
      </c>
      <c r="AC10" s="362">
        <f>'Balance Sheet Schedules'!AB32</f>
        <v/>
      </c>
      <c r="AD10" s="362">
        <f>'Balance Sheet Schedules'!AC32</f>
        <v/>
      </c>
      <c r="AE10" s="362">
        <f>'Balance Sheet Schedules'!AD32</f>
        <v/>
      </c>
      <c r="AF10" s="362">
        <f>'Balance Sheet Schedules'!AE32</f>
        <v/>
      </c>
      <c r="AG10" s="362">
        <f>'Balance Sheet Schedules'!AF32</f>
        <v/>
      </c>
      <c r="AH10" s="362">
        <f>'Balance Sheet Schedules'!AG32</f>
        <v/>
      </c>
      <c r="AI10" s="362">
        <f>'Balance Sheet Schedules'!AH32</f>
        <v/>
      </c>
      <c r="AJ10" s="362">
        <f>'Balance Sheet Schedules'!AI32</f>
        <v/>
      </c>
      <c r="AK10" s="362">
        <f>'Balance Sheet Schedules'!AJ32</f>
        <v/>
      </c>
      <c r="AL10" s="362">
        <f>'Balance Sheet Schedules'!AK32</f>
        <v/>
      </c>
      <c r="AM10" s="362">
        <f>'Balance Sheet Schedules'!AL32</f>
        <v/>
      </c>
      <c r="AN10" s="362">
        <f>'Balance Sheet Schedules'!AM32</f>
        <v/>
      </c>
      <c r="AO10" s="362">
        <f>'Balance Sheet Schedules'!AN32</f>
        <v/>
      </c>
      <c r="AP10" s="362">
        <f>'Balance Sheet Schedules'!AO32</f>
        <v/>
      </c>
      <c r="AQ10" s="362">
        <f>'Balance Sheet Schedules'!AP32</f>
        <v/>
      </c>
      <c r="AR10" s="362">
        <f>'Balance Sheet Schedules'!AQ32</f>
        <v/>
      </c>
      <c r="AS10" s="362">
        <f>'Balance Sheet Schedules'!AR32</f>
        <v/>
      </c>
      <c r="AT10" s="362">
        <f>'Balance Sheet Schedules'!AS32</f>
        <v/>
      </c>
      <c r="AU10" s="362">
        <f>'Balance Sheet Schedules'!AT32</f>
        <v/>
      </c>
      <c r="AV10" s="362">
        <f>'Balance Sheet Schedules'!AU32</f>
        <v/>
      </c>
      <c r="AW10" s="362">
        <f>'Balance Sheet Schedules'!AV32</f>
        <v/>
      </c>
      <c r="AX10" s="362">
        <f>'Balance Sheet Schedules'!AW32</f>
        <v/>
      </c>
    </row>
    <row r="11">
      <c r="B11" s="1" t="inlineStr">
        <is>
          <t>Other Current Assets</t>
        </is>
      </c>
      <c r="C11" s="327">
        <f>IFERROR(INDEX($I11:$AX11,MATCH(DATE(C$5,12,31),$I$6:$AX$6,0)),0)</f>
        <v/>
      </c>
      <c r="D11" s="327">
        <f>IFERROR(INDEX($I11:$AX11,MATCH(DATE(D$5,12,31),$I$6:$AX$6,0)),0)</f>
        <v/>
      </c>
      <c r="E11" s="327">
        <f>IFERROR(INDEX($I11:$AX11,MATCH(DATE(E$5,12,31),$I$6:$AX$6,0)),0)</f>
        <v/>
      </c>
      <c r="F11" s="327">
        <f>IFERROR(INDEX($I11:$AX11,MATCH(DATE(F$5,12,31),$I$6:$AX$6,0)),0)</f>
        <v/>
      </c>
      <c r="G11" s="358" t="n"/>
      <c r="H11" s="373" t="n">
        <v>0</v>
      </c>
      <c r="I11" s="357">
        <f>'Balance Sheet Schedules'!H38</f>
        <v/>
      </c>
      <c r="J11" s="357">
        <f>'Balance Sheet Schedules'!I38</f>
        <v/>
      </c>
      <c r="K11" s="357">
        <f>'Balance Sheet Schedules'!J38</f>
        <v/>
      </c>
      <c r="L11" s="357">
        <f>'Balance Sheet Schedules'!K38</f>
        <v/>
      </c>
      <c r="M11" s="357">
        <f>'Balance Sheet Schedules'!L38</f>
        <v/>
      </c>
      <c r="N11" s="357">
        <f>'Balance Sheet Schedules'!M38</f>
        <v/>
      </c>
      <c r="O11" s="357">
        <f>'Balance Sheet Schedules'!N38</f>
        <v/>
      </c>
      <c r="P11" s="357">
        <f>'Balance Sheet Schedules'!O38</f>
        <v/>
      </c>
      <c r="Q11" s="357">
        <f>'Balance Sheet Schedules'!P38</f>
        <v/>
      </c>
      <c r="R11" s="357">
        <f>'Balance Sheet Schedules'!Q38</f>
        <v/>
      </c>
      <c r="S11" s="357">
        <f>'Balance Sheet Schedules'!R38</f>
        <v/>
      </c>
      <c r="T11" s="357">
        <f>'Balance Sheet Schedules'!S38</f>
        <v/>
      </c>
      <c r="U11" s="357">
        <f>'Balance Sheet Schedules'!T38</f>
        <v/>
      </c>
      <c r="V11" s="357">
        <f>'Balance Sheet Schedules'!U38</f>
        <v/>
      </c>
      <c r="W11" s="357">
        <f>'Balance Sheet Schedules'!V38</f>
        <v/>
      </c>
      <c r="X11" s="357">
        <f>'Balance Sheet Schedules'!W38</f>
        <v/>
      </c>
      <c r="Y11" s="357">
        <f>'Balance Sheet Schedules'!X38</f>
        <v/>
      </c>
      <c r="Z11" s="357">
        <f>'Balance Sheet Schedules'!Y38</f>
        <v/>
      </c>
      <c r="AA11" s="357">
        <f>'Balance Sheet Schedules'!Z38</f>
        <v/>
      </c>
      <c r="AB11" s="357">
        <f>'Balance Sheet Schedules'!AA38</f>
        <v/>
      </c>
      <c r="AC11" s="357">
        <f>'Balance Sheet Schedules'!AB38</f>
        <v/>
      </c>
      <c r="AD11" s="357">
        <f>'Balance Sheet Schedules'!AC38</f>
        <v/>
      </c>
      <c r="AE11" s="357">
        <f>'Balance Sheet Schedules'!AD38</f>
        <v/>
      </c>
      <c r="AF11" s="357">
        <f>'Balance Sheet Schedules'!AE38</f>
        <v/>
      </c>
      <c r="AG11" s="357">
        <f>'Balance Sheet Schedules'!AF38</f>
        <v/>
      </c>
      <c r="AH11" s="357">
        <f>'Balance Sheet Schedules'!AG38</f>
        <v/>
      </c>
      <c r="AI11" s="357">
        <f>'Balance Sheet Schedules'!AH38</f>
        <v/>
      </c>
      <c r="AJ11" s="357">
        <f>'Balance Sheet Schedules'!AI38</f>
        <v/>
      </c>
      <c r="AK11" s="357">
        <f>'Balance Sheet Schedules'!AJ38</f>
        <v/>
      </c>
      <c r="AL11" s="357">
        <f>'Balance Sheet Schedules'!AK38</f>
        <v/>
      </c>
      <c r="AM11" s="357">
        <f>'Balance Sheet Schedules'!AL38</f>
        <v/>
      </c>
      <c r="AN11" s="357">
        <f>'Balance Sheet Schedules'!AM38</f>
        <v/>
      </c>
      <c r="AO11" s="357">
        <f>'Balance Sheet Schedules'!AN38</f>
        <v/>
      </c>
      <c r="AP11" s="357">
        <f>'Balance Sheet Schedules'!AO38</f>
        <v/>
      </c>
      <c r="AQ11" s="357">
        <f>'Balance Sheet Schedules'!AP38</f>
        <v/>
      </c>
      <c r="AR11" s="357">
        <f>'Balance Sheet Schedules'!AQ38</f>
        <v/>
      </c>
      <c r="AS11" s="357">
        <f>'Balance Sheet Schedules'!AR38</f>
        <v/>
      </c>
      <c r="AT11" s="357">
        <f>'Balance Sheet Schedules'!AS38</f>
        <v/>
      </c>
      <c r="AU11" s="357">
        <f>'Balance Sheet Schedules'!AT38</f>
        <v/>
      </c>
      <c r="AV11" s="357">
        <f>'Balance Sheet Schedules'!AU38</f>
        <v/>
      </c>
      <c r="AW11" s="357">
        <f>'Balance Sheet Schedules'!AV38</f>
        <v/>
      </c>
      <c r="AX11" s="357">
        <f>'Balance Sheet Schedules'!AW38</f>
        <v/>
      </c>
    </row>
    <row r="12">
      <c r="C12" s="357" t="n"/>
      <c r="D12" s="357" t="n"/>
      <c r="E12" s="357" t="n"/>
      <c r="F12" s="357" t="n"/>
      <c r="G12" s="358" t="n"/>
      <c r="H12" s="357" t="n"/>
      <c r="I12" s="357" t="n"/>
      <c r="J12" s="357" t="n"/>
      <c r="K12" s="357" t="n"/>
      <c r="L12" s="357" t="n"/>
      <c r="M12" s="357" t="n"/>
      <c r="N12" s="357" t="n"/>
      <c r="O12" s="357" t="n"/>
      <c r="P12" s="357" t="n"/>
      <c r="Q12" s="357" t="n"/>
      <c r="R12" s="357" t="n"/>
      <c r="S12" s="357" t="n"/>
      <c r="T12" s="357" t="n"/>
      <c r="U12" s="357" t="n"/>
      <c r="V12" s="357" t="n"/>
      <c r="W12" s="357" t="n"/>
      <c r="X12" s="357" t="n"/>
      <c r="Y12" s="357" t="n"/>
      <c r="Z12" s="357" t="n"/>
      <c r="AA12" s="357" t="n"/>
      <c r="AB12" s="357" t="n"/>
      <c r="AC12" s="357" t="n"/>
      <c r="AD12" s="357" t="n"/>
      <c r="AE12" s="357" t="n"/>
      <c r="AF12" s="357" t="n"/>
      <c r="AG12" s="357" t="n"/>
      <c r="AH12" s="357" t="n"/>
      <c r="AI12" s="357" t="n"/>
      <c r="AJ12" s="357" t="n"/>
      <c r="AK12" s="357" t="n"/>
      <c r="AL12" s="357" t="n"/>
      <c r="AM12" s="357" t="n"/>
      <c r="AN12" s="357" t="n"/>
      <c r="AO12" s="357" t="n"/>
      <c r="AP12" s="357" t="n"/>
      <c r="AQ12" s="357" t="n"/>
      <c r="AR12" s="357" t="n"/>
      <c r="AS12" s="357" t="n"/>
      <c r="AT12" s="357" t="n"/>
      <c r="AU12" s="357" t="n"/>
      <c r="AV12" s="357" t="n"/>
      <c r="AW12" s="357" t="n"/>
      <c r="AX12" s="357" t="n"/>
    </row>
    <row r="13">
      <c r="B13" s="2" t="inlineStr">
        <is>
          <t>Non Current Assets</t>
        </is>
      </c>
      <c r="C13" s="374">
        <f>SUM(C14:C15)</f>
        <v/>
      </c>
      <c r="D13" s="374">
        <f>SUM(D14:D15)</f>
        <v/>
      </c>
      <c r="E13" s="374">
        <f>SUM(E14:E15)</f>
        <v/>
      </c>
      <c r="F13" s="374">
        <f>SUM(F14:F15)</f>
        <v/>
      </c>
      <c r="G13" s="360" t="n"/>
      <c r="H13" s="374">
        <f>SUM(H14:H15)</f>
        <v/>
      </c>
      <c r="I13" s="374">
        <f>SUM(I14:I15)</f>
        <v/>
      </c>
      <c r="J13" s="374">
        <f>SUM(J14:J15)</f>
        <v/>
      </c>
      <c r="K13" s="374">
        <f>SUM(K14:K15)</f>
        <v/>
      </c>
      <c r="L13" s="374">
        <f>SUM(L14:L15)</f>
        <v/>
      </c>
      <c r="M13" s="374">
        <f>SUM(M14:M15)</f>
        <v/>
      </c>
      <c r="N13" s="374">
        <f>SUM(N14:N15)</f>
        <v/>
      </c>
      <c r="O13" s="374">
        <f>SUM(O14:O15)</f>
        <v/>
      </c>
      <c r="P13" s="374">
        <f>SUM(P14:P15)</f>
        <v/>
      </c>
      <c r="Q13" s="374">
        <f>SUM(Q14:Q15)</f>
        <v/>
      </c>
      <c r="R13" s="374">
        <f>SUM(R14:R15)</f>
        <v/>
      </c>
      <c r="S13" s="374">
        <f>SUM(S14:S15)</f>
        <v/>
      </c>
      <c r="T13" s="374">
        <f>SUM(T14:T15)</f>
        <v/>
      </c>
      <c r="U13" s="374">
        <f>SUM(U14:U15)</f>
        <v/>
      </c>
      <c r="V13" s="374">
        <f>SUM(V14:V15)</f>
        <v/>
      </c>
      <c r="W13" s="374">
        <f>SUM(W14:W15)</f>
        <v/>
      </c>
      <c r="X13" s="374">
        <f>SUM(X14:X15)</f>
        <v/>
      </c>
      <c r="Y13" s="374">
        <f>SUM(Y14:Y15)</f>
        <v/>
      </c>
      <c r="Z13" s="374">
        <f>SUM(Z14:Z15)</f>
        <v/>
      </c>
      <c r="AA13" s="374">
        <f>SUM(AA14:AA15)</f>
        <v/>
      </c>
      <c r="AB13" s="374">
        <f>SUM(AB14:AB15)</f>
        <v/>
      </c>
      <c r="AC13" s="374">
        <f>SUM(AC14:AC15)</f>
        <v/>
      </c>
      <c r="AD13" s="374">
        <f>SUM(AD14:AD15)</f>
        <v/>
      </c>
      <c r="AE13" s="374">
        <f>SUM(AE14:AE15)</f>
        <v/>
      </c>
      <c r="AF13" s="374">
        <f>SUM(AF14:AF15)</f>
        <v/>
      </c>
      <c r="AG13" s="374">
        <f>SUM(AG14:AG15)</f>
        <v/>
      </c>
      <c r="AH13" s="374">
        <f>SUM(AH14:AH15)</f>
        <v/>
      </c>
      <c r="AI13" s="374">
        <f>SUM(AI14:AI15)</f>
        <v/>
      </c>
      <c r="AJ13" s="374">
        <f>SUM(AJ14:AJ15)</f>
        <v/>
      </c>
      <c r="AK13" s="374">
        <f>SUM(AK14:AK15)</f>
        <v/>
      </c>
      <c r="AL13" s="374">
        <f>SUM(AL14:AL15)</f>
        <v/>
      </c>
      <c r="AM13" s="374">
        <f>SUM(AM14:AM15)</f>
        <v/>
      </c>
      <c r="AN13" s="374">
        <f>SUM(AN14:AN15)</f>
        <v/>
      </c>
      <c r="AO13" s="374">
        <f>SUM(AO14:AO15)</f>
        <v/>
      </c>
      <c r="AP13" s="374">
        <f>SUM(AP14:AP15)</f>
        <v/>
      </c>
      <c r="AQ13" s="374">
        <f>SUM(AQ14:AQ15)</f>
        <v/>
      </c>
      <c r="AR13" s="374">
        <f>SUM(AR14:AR15)</f>
        <v/>
      </c>
      <c r="AS13" s="374">
        <f>SUM(AS14:AS15)</f>
        <v/>
      </c>
      <c r="AT13" s="374">
        <f>SUM(AT14:AT15)</f>
        <v/>
      </c>
      <c r="AU13" s="374">
        <f>SUM(AU14:AU15)</f>
        <v/>
      </c>
      <c r="AV13" s="374">
        <f>SUM(AV14:AV15)</f>
        <v/>
      </c>
      <c r="AW13" s="374">
        <f>SUM(AW14:AW15)</f>
        <v/>
      </c>
      <c r="AX13" s="374">
        <f>SUM(AX14:AX15)</f>
        <v/>
      </c>
    </row>
    <row r="14">
      <c r="B14" s="1" t="inlineStr">
        <is>
          <t>Fixed Assets</t>
        </is>
      </c>
      <c r="C14" s="327">
        <f>IFERROR(INDEX($I14:$AX14,MATCH(DATE(C$5,12,31),$I$6:$AX$6,0)),0)</f>
        <v/>
      </c>
      <c r="D14" s="327">
        <f>IFERROR(INDEX($I14:$AX14,MATCH(DATE(D$5,12,31),$I$6:$AX$6,0)),0)</f>
        <v/>
      </c>
      <c r="E14" s="327">
        <f>IFERROR(INDEX($I14:$AX14,MATCH(DATE(E$5,12,31),$I$6:$AX$6,0)),0)</f>
        <v/>
      </c>
      <c r="F14" s="327">
        <f>IFERROR(INDEX($I14:$AX14,MATCH(DATE(F$5,12,31),$I$6:$AX$6,0)),0)</f>
        <v/>
      </c>
      <c r="G14" s="358" t="n"/>
      <c r="H14" s="373" t="n">
        <v>0</v>
      </c>
      <c r="I14" s="357">
        <f>'Balance Sheet Schedules'!H15</f>
        <v/>
      </c>
      <c r="J14" s="357">
        <f>'Balance Sheet Schedules'!I15</f>
        <v/>
      </c>
      <c r="K14" s="357">
        <f>'Balance Sheet Schedules'!J15</f>
        <v/>
      </c>
      <c r="L14" s="357">
        <f>'Balance Sheet Schedules'!K15</f>
        <v/>
      </c>
      <c r="M14" s="357">
        <f>'Balance Sheet Schedules'!L15</f>
        <v/>
      </c>
      <c r="N14" s="357">
        <f>'Balance Sheet Schedules'!M15</f>
        <v/>
      </c>
      <c r="O14" s="357">
        <f>'Balance Sheet Schedules'!N15</f>
        <v/>
      </c>
      <c r="P14" s="357">
        <f>'Balance Sheet Schedules'!O15</f>
        <v/>
      </c>
      <c r="Q14" s="357">
        <f>'Balance Sheet Schedules'!P15</f>
        <v/>
      </c>
      <c r="R14" s="357">
        <f>'Balance Sheet Schedules'!Q15</f>
        <v/>
      </c>
      <c r="S14" s="357">
        <f>'Balance Sheet Schedules'!R15</f>
        <v/>
      </c>
      <c r="T14" s="357">
        <f>'Balance Sheet Schedules'!S15</f>
        <v/>
      </c>
      <c r="U14" s="357">
        <f>'Balance Sheet Schedules'!T15</f>
        <v/>
      </c>
      <c r="V14" s="357">
        <f>'Balance Sheet Schedules'!U15</f>
        <v/>
      </c>
      <c r="W14" s="357">
        <f>'Balance Sheet Schedules'!V15</f>
        <v/>
      </c>
      <c r="X14" s="357">
        <f>'Balance Sheet Schedules'!W15</f>
        <v/>
      </c>
      <c r="Y14" s="357">
        <f>'Balance Sheet Schedules'!X15</f>
        <v/>
      </c>
      <c r="Z14" s="357">
        <f>'Balance Sheet Schedules'!Y15</f>
        <v/>
      </c>
      <c r="AA14" s="357">
        <f>'Balance Sheet Schedules'!Z15</f>
        <v/>
      </c>
      <c r="AB14" s="357">
        <f>'Balance Sheet Schedules'!AA15</f>
        <v/>
      </c>
      <c r="AC14" s="357">
        <f>'Balance Sheet Schedules'!AB15</f>
        <v/>
      </c>
      <c r="AD14" s="357">
        <f>'Balance Sheet Schedules'!AC15</f>
        <v/>
      </c>
      <c r="AE14" s="357">
        <f>'Balance Sheet Schedules'!AD15</f>
        <v/>
      </c>
      <c r="AF14" s="357">
        <f>'Balance Sheet Schedules'!AE15</f>
        <v/>
      </c>
      <c r="AG14" s="357">
        <f>'Balance Sheet Schedules'!AF15</f>
        <v/>
      </c>
      <c r="AH14" s="357">
        <f>'Balance Sheet Schedules'!AG15</f>
        <v/>
      </c>
      <c r="AI14" s="357">
        <f>'Balance Sheet Schedules'!AH15</f>
        <v/>
      </c>
      <c r="AJ14" s="357">
        <f>'Balance Sheet Schedules'!AI15</f>
        <v/>
      </c>
      <c r="AK14" s="357">
        <f>'Balance Sheet Schedules'!AJ15</f>
        <v/>
      </c>
      <c r="AL14" s="357">
        <f>'Balance Sheet Schedules'!AK15</f>
        <v/>
      </c>
      <c r="AM14" s="357">
        <f>'Balance Sheet Schedules'!AL15</f>
        <v/>
      </c>
      <c r="AN14" s="357">
        <f>'Balance Sheet Schedules'!AM15</f>
        <v/>
      </c>
      <c r="AO14" s="357">
        <f>'Balance Sheet Schedules'!AN15</f>
        <v/>
      </c>
      <c r="AP14" s="357">
        <f>'Balance Sheet Schedules'!AO15</f>
        <v/>
      </c>
      <c r="AQ14" s="357">
        <f>'Balance Sheet Schedules'!AP15</f>
        <v/>
      </c>
      <c r="AR14" s="357">
        <f>'Balance Sheet Schedules'!AQ15</f>
        <v/>
      </c>
      <c r="AS14" s="357">
        <f>'Balance Sheet Schedules'!AR15</f>
        <v/>
      </c>
      <c r="AT14" s="357">
        <f>'Balance Sheet Schedules'!AS15</f>
        <v/>
      </c>
      <c r="AU14" s="357">
        <f>'Balance Sheet Schedules'!AT15</f>
        <v/>
      </c>
      <c r="AV14" s="357">
        <f>'Balance Sheet Schedules'!AU15</f>
        <v/>
      </c>
      <c r="AW14" s="357">
        <f>'Balance Sheet Schedules'!AV15</f>
        <v/>
      </c>
      <c r="AX14" s="357">
        <f>'Balance Sheet Schedules'!AW15</f>
        <v/>
      </c>
    </row>
    <row r="15">
      <c r="B15" s="30" t="inlineStr">
        <is>
          <t>Intangible Assets</t>
        </is>
      </c>
      <c r="C15" s="327">
        <f>IFERROR(INDEX($I15:$AX15,MATCH(DATE(C$5,12,31),$I$6:$AX$6,0)),0)</f>
        <v/>
      </c>
      <c r="D15" s="327">
        <f>IFERROR(INDEX($I15:$AX15,MATCH(DATE(D$5,12,31),$I$6:$AX$6,0)),0)</f>
        <v/>
      </c>
      <c r="E15" s="327">
        <f>IFERROR(INDEX($I15:$AX15,MATCH(DATE(E$5,12,31),$I$6:$AX$6,0)),0)</f>
        <v/>
      </c>
      <c r="F15" s="327">
        <f>IFERROR(INDEX($I15:$AX15,MATCH(DATE(F$5,12,31),$I$6:$AX$6,0)),0)</f>
        <v/>
      </c>
      <c r="G15" s="358" t="n"/>
      <c r="H15" s="373" t="n">
        <v>100000</v>
      </c>
      <c r="I15" s="357">
        <f>'Balance Sheet Schedules'!H25</f>
        <v/>
      </c>
      <c r="J15" s="357">
        <f>'Balance Sheet Schedules'!I25</f>
        <v/>
      </c>
      <c r="K15" s="357">
        <f>'Balance Sheet Schedules'!J25</f>
        <v/>
      </c>
      <c r="L15" s="357">
        <f>'Balance Sheet Schedules'!K25</f>
        <v/>
      </c>
      <c r="M15" s="357">
        <f>'Balance Sheet Schedules'!L25</f>
        <v/>
      </c>
      <c r="N15" s="357">
        <f>'Balance Sheet Schedules'!M25</f>
        <v/>
      </c>
      <c r="O15" s="357">
        <f>'Balance Sheet Schedules'!N25</f>
        <v/>
      </c>
      <c r="P15" s="357">
        <f>'Balance Sheet Schedules'!O25</f>
        <v/>
      </c>
      <c r="Q15" s="357">
        <f>'Balance Sheet Schedules'!P25</f>
        <v/>
      </c>
      <c r="R15" s="357">
        <f>'Balance Sheet Schedules'!Q25</f>
        <v/>
      </c>
      <c r="S15" s="357">
        <f>'Balance Sheet Schedules'!R25</f>
        <v/>
      </c>
      <c r="T15" s="357">
        <f>'Balance Sheet Schedules'!S25</f>
        <v/>
      </c>
      <c r="U15" s="357">
        <f>'Balance Sheet Schedules'!T25</f>
        <v/>
      </c>
      <c r="V15" s="357">
        <f>'Balance Sheet Schedules'!U25</f>
        <v/>
      </c>
      <c r="W15" s="357">
        <f>'Balance Sheet Schedules'!V25</f>
        <v/>
      </c>
      <c r="X15" s="357">
        <f>'Balance Sheet Schedules'!W25</f>
        <v/>
      </c>
      <c r="Y15" s="357">
        <f>'Balance Sheet Schedules'!X25</f>
        <v/>
      </c>
      <c r="Z15" s="357">
        <f>'Balance Sheet Schedules'!Y25</f>
        <v/>
      </c>
      <c r="AA15" s="357">
        <f>'Balance Sheet Schedules'!Z25</f>
        <v/>
      </c>
      <c r="AB15" s="357">
        <f>'Balance Sheet Schedules'!AA25</f>
        <v/>
      </c>
      <c r="AC15" s="357">
        <f>'Balance Sheet Schedules'!AB25</f>
        <v/>
      </c>
      <c r="AD15" s="357">
        <f>'Balance Sheet Schedules'!AC25</f>
        <v/>
      </c>
      <c r="AE15" s="357">
        <f>'Balance Sheet Schedules'!AD25</f>
        <v/>
      </c>
      <c r="AF15" s="357">
        <f>'Balance Sheet Schedules'!AE25</f>
        <v/>
      </c>
      <c r="AG15" s="357">
        <f>'Balance Sheet Schedules'!AF25</f>
        <v/>
      </c>
      <c r="AH15" s="357">
        <f>'Balance Sheet Schedules'!AG25</f>
        <v/>
      </c>
      <c r="AI15" s="357">
        <f>'Balance Sheet Schedules'!AH25</f>
        <v/>
      </c>
      <c r="AJ15" s="357">
        <f>'Balance Sheet Schedules'!AI25</f>
        <v/>
      </c>
      <c r="AK15" s="357">
        <f>'Balance Sheet Schedules'!AJ25</f>
        <v/>
      </c>
      <c r="AL15" s="357">
        <f>'Balance Sheet Schedules'!AK25</f>
        <v/>
      </c>
      <c r="AM15" s="357">
        <f>'Balance Sheet Schedules'!AL25</f>
        <v/>
      </c>
      <c r="AN15" s="357">
        <f>'Balance Sheet Schedules'!AM25</f>
        <v/>
      </c>
      <c r="AO15" s="357">
        <f>'Balance Sheet Schedules'!AN25</f>
        <v/>
      </c>
      <c r="AP15" s="357">
        <f>'Balance Sheet Schedules'!AO25</f>
        <v/>
      </c>
      <c r="AQ15" s="357">
        <f>'Balance Sheet Schedules'!AP25</f>
        <v/>
      </c>
      <c r="AR15" s="357">
        <f>'Balance Sheet Schedules'!AQ25</f>
        <v/>
      </c>
      <c r="AS15" s="357">
        <f>'Balance Sheet Schedules'!AR25</f>
        <v/>
      </c>
      <c r="AT15" s="357">
        <f>'Balance Sheet Schedules'!AS25</f>
        <v/>
      </c>
      <c r="AU15" s="357">
        <f>'Balance Sheet Schedules'!AT25</f>
        <v/>
      </c>
      <c r="AV15" s="357">
        <f>'Balance Sheet Schedules'!AU25</f>
        <v/>
      </c>
      <c r="AW15" s="357">
        <f>'Balance Sheet Schedules'!AV25</f>
        <v/>
      </c>
      <c r="AX15" s="357">
        <f>'Balance Sheet Schedules'!AW25</f>
        <v/>
      </c>
    </row>
    <row r="16">
      <c r="C16" s="357" t="n"/>
      <c r="D16" s="357" t="n"/>
      <c r="E16" s="357" t="n"/>
      <c r="F16" s="357" t="n"/>
      <c r="G16" s="358" t="n"/>
      <c r="H16" s="357" t="n"/>
      <c r="I16" s="357" t="n"/>
      <c r="J16" s="357" t="n"/>
      <c r="K16" s="357" t="n"/>
      <c r="L16" s="357" t="n"/>
      <c r="M16" s="357" t="n"/>
      <c r="N16" s="357" t="n"/>
      <c r="O16" s="357" t="n"/>
      <c r="P16" s="357" t="n"/>
      <c r="Q16" s="357" t="n"/>
      <c r="R16" s="357" t="n"/>
      <c r="S16" s="357" t="n"/>
      <c r="T16" s="357" t="n"/>
      <c r="U16" s="357" t="n"/>
      <c r="V16" s="357" t="n"/>
      <c r="W16" s="357" t="n"/>
      <c r="X16" s="357" t="n"/>
      <c r="Y16" s="357" t="n"/>
      <c r="Z16" s="357" t="n"/>
      <c r="AA16" s="357" t="n"/>
      <c r="AB16" s="357" t="n"/>
      <c r="AC16" s="357" t="n"/>
      <c r="AD16" s="357" t="n"/>
      <c r="AE16" s="357" t="n"/>
      <c r="AF16" s="357" t="n"/>
      <c r="AG16" s="357" t="n"/>
      <c r="AH16" s="357" t="n"/>
      <c r="AI16" s="357" t="n"/>
      <c r="AJ16" s="357" t="n"/>
      <c r="AK16" s="357" t="n"/>
      <c r="AL16" s="357" t="n"/>
      <c r="AM16" s="357" t="n"/>
      <c r="AN16" s="357" t="n"/>
      <c r="AO16" s="357" t="n"/>
      <c r="AP16" s="357" t="n"/>
      <c r="AQ16" s="357" t="n"/>
      <c r="AR16" s="357" t="n"/>
      <c r="AS16" s="357" t="n"/>
      <c r="AT16" s="357" t="n"/>
      <c r="AU16" s="357" t="n"/>
      <c r="AV16" s="357" t="n"/>
      <c r="AW16" s="357" t="n"/>
      <c r="AX16" s="357" t="n"/>
    </row>
    <row r="17" ht="14" customHeight="1" thickBot="1">
      <c r="B17" s="141" t="inlineStr">
        <is>
          <t>Total Assets</t>
        </is>
      </c>
      <c r="C17" s="375">
        <f>C13+C8</f>
        <v/>
      </c>
      <c r="D17" s="375">
        <f>D13+D8</f>
        <v/>
      </c>
      <c r="E17" s="375">
        <f>E13+E8</f>
        <v/>
      </c>
      <c r="F17" s="375">
        <f>F13+F8</f>
        <v/>
      </c>
      <c r="G17" s="371" t="n"/>
      <c r="H17" s="375">
        <f>H13+H8</f>
        <v/>
      </c>
      <c r="I17" s="375">
        <f>I13+I8</f>
        <v/>
      </c>
      <c r="J17" s="375">
        <f>J13+J8</f>
        <v/>
      </c>
      <c r="K17" s="375">
        <f>K13+K8</f>
        <v/>
      </c>
      <c r="L17" s="375">
        <f>L13+L8</f>
        <v/>
      </c>
      <c r="M17" s="375">
        <f>M13+M8</f>
        <v/>
      </c>
      <c r="N17" s="375">
        <f>N13+N8</f>
        <v/>
      </c>
      <c r="O17" s="375">
        <f>O13+O8</f>
        <v/>
      </c>
      <c r="P17" s="375">
        <f>P13+P8</f>
        <v/>
      </c>
      <c r="Q17" s="375">
        <f>Q13+Q8</f>
        <v/>
      </c>
      <c r="R17" s="375">
        <f>R13+R8</f>
        <v/>
      </c>
      <c r="S17" s="375">
        <f>S13+S8</f>
        <v/>
      </c>
      <c r="T17" s="375">
        <f>T13+T8</f>
        <v/>
      </c>
      <c r="U17" s="375">
        <f>U13+U8</f>
        <v/>
      </c>
      <c r="V17" s="375">
        <f>V13+V8</f>
        <v/>
      </c>
      <c r="W17" s="375">
        <f>W13+W8</f>
        <v/>
      </c>
      <c r="X17" s="375">
        <f>X13+X8</f>
        <v/>
      </c>
      <c r="Y17" s="375">
        <f>Y13+Y8</f>
        <v/>
      </c>
      <c r="Z17" s="375">
        <f>Z13+Z8</f>
        <v/>
      </c>
      <c r="AA17" s="375">
        <f>AA13+AA8</f>
        <v/>
      </c>
      <c r="AB17" s="375">
        <f>AB13+AB8</f>
        <v/>
      </c>
      <c r="AC17" s="375">
        <f>AC13+AC8</f>
        <v/>
      </c>
      <c r="AD17" s="375">
        <f>AD13+AD8</f>
        <v/>
      </c>
      <c r="AE17" s="375">
        <f>AE13+AE8</f>
        <v/>
      </c>
      <c r="AF17" s="375">
        <f>AF13+AF8</f>
        <v/>
      </c>
      <c r="AG17" s="375">
        <f>AG13+AG8</f>
        <v/>
      </c>
      <c r="AH17" s="375">
        <f>AH13+AH8</f>
        <v/>
      </c>
      <c r="AI17" s="375">
        <f>AI13+AI8</f>
        <v/>
      </c>
      <c r="AJ17" s="375">
        <f>AJ13+AJ8</f>
        <v/>
      </c>
      <c r="AK17" s="375">
        <f>AK13+AK8</f>
        <v/>
      </c>
      <c r="AL17" s="375">
        <f>AL13+AL8</f>
        <v/>
      </c>
      <c r="AM17" s="375">
        <f>AM13+AM8</f>
        <v/>
      </c>
      <c r="AN17" s="375">
        <f>AN13+AN8</f>
        <v/>
      </c>
      <c r="AO17" s="375">
        <f>AO13+AO8</f>
        <v/>
      </c>
      <c r="AP17" s="375">
        <f>AP13+AP8</f>
        <v/>
      </c>
      <c r="AQ17" s="375">
        <f>AQ13+AQ8</f>
        <v/>
      </c>
      <c r="AR17" s="375">
        <f>AR13+AR8</f>
        <v/>
      </c>
      <c r="AS17" s="375">
        <f>AS13+AS8</f>
        <v/>
      </c>
      <c r="AT17" s="375">
        <f>AT13+AT8</f>
        <v/>
      </c>
      <c r="AU17" s="375">
        <f>AU13+AU8</f>
        <v/>
      </c>
      <c r="AV17" s="375">
        <f>AV13+AV8</f>
        <v/>
      </c>
      <c r="AW17" s="375">
        <f>AW13+AW8</f>
        <v/>
      </c>
      <c r="AX17" s="375">
        <f>AX13+AX8</f>
        <v/>
      </c>
    </row>
    <row r="18" ht="14" customHeight="1" thickTop="1">
      <c r="C18" s="357" t="n"/>
      <c r="D18" s="357" t="n"/>
      <c r="E18" s="357" t="n"/>
      <c r="F18" s="357" t="n"/>
      <c r="G18" s="358" t="n"/>
      <c r="H18" s="357" t="n"/>
      <c r="I18" s="357" t="n"/>
      <c r="J18" s="357" t="n"/>
      <c r="K18" s="357" t="n"/>
      <c r="L18" s="357" t="n"/>
      <c r="M18" s="357" t="n"/>
      <c r="N18" s="357" t="n"/>
      <c r="O18" s="357" t="n"/>
      <c r="P18" s="357" t="n"/>
      <c r="Q18" s="357" t="n"/>
      <c r="R18" s="357" t="n"/>
      <c r="S18" s="357" t="n"/>
      <c r="T18" s="357" t="n"/>
      <c r="U18" s="357" t="n"/>
      <c r="V18" s="357" t="n"/>
      <c r="W18" s="357" t="n"/>
      <c r="X18" s="357" t="n"/>
      <c r="Y18" s="357" t="n"/>
      <c r="Z18" s="357" t="n"/>
      <c r="AA18" s="357" t="n"/>
      <c r="AB18" s="357" t="n"/>
      <c r="AC18" s="357" t="n"/>
      <c r="AD18" s="357" t="n"/>
      <c r="AE18" s="357" t="n"/>
      <c r="AF18" s="357" t="n"/>
      <c r="AG18" s="357" t="n"/>
      <c r="AH18" s="357" t="n"/>
      <c r="AI18" s="357" t="n"/>
      <c r="AJ18" s="357" t="n"/>
      <c r="AK18" s="357" t="n"/>
      <c r="AL18" s="357" t="n"/>
      <c r="AM18" s="357" t="n"/>
      <c r="AN18" s="357" t="n"/>
      <c r="AO18" s="357" t="n"/>
      <c r="AP18" s="357" t="n"/>
      <c r="AQ18" s="357" t="n"/>
      <c r="AR18" s="357" t="n"/>
      <c r="AS18" s="357" t="n"/>
      <c r="AT18" s="357" t="n"/>
      <c r="AU18" s="357" t="n"/>
      <c r="AV18" s="357" t="n"/>
      <c r="AW18" s="357" t="n"/>
      <c r="AX18" s="357" t="n"/>
    </row>
    <row r="19">
      <c r="B19" s="2" t="inlineStr">
        <is>
          <t>Current Liabilities</t>
        </is>
      </c>
      <c r="C19" s="374">
        <f>SUM(C20:C21)</f>
        <v/>
      </c>
      <c r="D19" s="374">
        <f>SUM(D20:D21)</f>
        <v/>
      </c>
      <c r="E19" s="374">
        <f>SUM(E20:E21)</f>
        <v/>
      </c>
      <c r="F19" s="374">
        <f>SUM(F20:F21)</f>
        <v/>
      </c>
      <c r="G19" s="360" t="n"/>
      <c r="H19" s="374">
        <f>SUM(H20:H21)</f>
        <v/>
      </c>
      <c r="I19" s="374">
        <f>SUM(I20:I21)</f>
        <v/>
      </c>
      <c r="J19" s="374">
        <f>SUM(J20:J21)</f>
        <v/>
      </c>
      <c r="K19" s="374">
        <f>SUM(K20:K21)</f>
        <v/>
      </c>
      <c r="L19" s="374">
        <f>SUM(L20:L21)</f>
        <v/>
      </c>
      <c r="M19" s="374">
        <f>SUM(M20:M21)</f>
        <v/>
      </c>
      <c r="N19" s="374">
        <f>SUM(N20:N21)</f>
        <v/>
      </c>
      <c r="O19" s="374">
        <f>SUM(O20:O21)</f>
        <v/>
      </c>
      <c r="P19" s="374">
        <f>SUM(P20:P21)</f>
        <v/>
      </c>
      <c r="Q19" s="374">
        <f>SUM(Q20:Q21)</f>
        <v/>
      </c>
      <c r="R19" s="374">
        <f>SUM(R20:R21)</f>
        <v/>
      </c>
      <c r="S19" s="374">
        <f>SUM(S20:S21)</f>
        <v/>
      </c>
      <c r="T19" s="374">
        <f>SUM(T20:T21)</f>
        <v/>
      </c>
      <c r="U19" s="374">
        <f>SUM(U20:U21)</f>
        <v/>
      </c>
      <c r="V19" s="374">
        <f>SUM(V20:V21)</f>
        <v/>
      </c>
      <c r="W19" s="374">
        <f>SUM(W20:W21)</f>
        <v/>
      </c>
      <c r="X19" s="374">
        <f>SUM(X20:X21)</f>
        <v/>
      </c>
      <c r="Y19" s="374">
        <f>SUM(Y20:Y21)</f>
        <v/>
      </c>
      <c r="Z19" s="374">
        <f>SUM(Z20:Z21)</f>
        <v/>
      </c>
      <c r="AA19" s="374">
        <f>SUM(AA20:AA21)</f>
        <v/>
      </c>
      <c r="AB19" s="374">
        <f>SUM(AB20:AB21)</f>
        <v/>
      </c>
      <c r="AC19" s="374">
        <f>SUM(AC20:AC21)</f>
        <v/>
      </c>
      <c r="AD19" s="374">
        <f>SUM(AD20:AD21)</f>
        <v/>
      </c>
      <c r="AE19" s="374">
        <f>SUM(AE20:AE21)</f>
        <v/>
      </c>
      <c r="AF19" s="374">
        <f>SUM(AF20:AF21)</f>
        <v/>
      </c>
      <c r="AG19" s="374">
        <f>SUM(AG20:AG21)</f>
        <v/>
      </c>
      <c r="AH19" s="374">
        <f>SUM(AH20:AH21)</f>
        <v/>
      </c>
      <c r="AI19" s="374">
        <f>SUM(AI20:AI21)</f>
        <v/>
      </c>
      <c r="AJ19" s="374">
        <f>SUM(AJ20:AJ21)</f>
        <v/>
      </c>
      <c r="AK19" s="374">
        <f>SUM(AK20:AK21)</f>
        <v/>
      </c>
      <c r="AL19" s="374">
        <f>SUM(AL20:AL21)</f>
        <v/>
      </c>
      <c r="AM19" s="374">
        <f>SUM(AM20:AM21)</f>
        <v/>
      </c>
      <c r="AN19" s="374">
        <f>SUM(AN20:AN21)</f>
        <v/>
      </c>
      <c r="AO19" s="374">
        <f>SUM(AO20:AO21)</f>
        <v/>
      </c>
      <c r="AP19" s="374">
        <f>SUM(AP20:AP21)</f>
        <v/>
      </c>
      <c r="AQ19" s="374">
        <f>SUM(AQ20:AQ21)</f>
        <v/>
      </c>
      <c r="AR19" s="374">
        <f>SUM(AR20:AR21)</f>
        <v/>
      </c>
      <c r="AS19" s="374">
        <f>SUM(AS20:AS21)</f>
        <v/>
      </c>
      <c r="AT19" s="374">
        <f>SUM(AT20:AT21)</f>
        <v/>
      </c>
      <c r="AU19" s="374">
        <f>SUM(AU20:AU21)</f>
        <v/>
      </c>
      <c r="AV19" s="374">
        <f>SUM(AV20:AV21)</f>
        <v/>
      </c>
      <c r="AW19" s="374">
        <f>SUM(AW20:AW21)</f>
        <v/>
      </c>
      <c r="AX19" s="374">
        <f>SUM(AX20:AX21)</f>
        <v/>
      </c>
    </row>
    <row r="20">
      <c r="B20" s="1" t="inlineStr">
        <is>
          <t>Trade Payables</t>
        </is>
      </c>
      <c r="C20" s="327">
        <f>IFERROR(INDEX($I20:$AX20,MATCH(DATE(C$5,12,31),$I$6:$AX$6,0)),0)</f>
        <v/>
      </c>
      <c r="D20" s="327">
        <f>IFERROR(INDEX($I20:$AX20,MATCH(DATE(D$5,12,31),$I$6:$AX$6,0)),0)</f>
        <v/>
      </c>
      <c r="E20" s="327">
        <f>IFERROR(INDEX($I20:$AX20,MATCH(DATE(E$5,12,31),$I$6:$AX$6,0)),0)</f>
        <v/>
      </c>
      <c r="F20" s="327">
        <f>IFERROR(INDEX($I20:$AX20,MATCH(DATE(F$5,12,31),$I$6:$AX$6,0)),0)</f>
        <v/>
      </c>
      <c r="G20" s="357" t="n"/>
      <c r="H20" s="373" t="n">
        <v>0</v>
      </c>
      <c r="I20" s="357">
        <f>'Balance Sheet Schedules'!H35</f>
        <v/>
      </c>
      <c r="J20" s="357">
        <f>'Balance Sheet Schedules'!I35</f>
        <v/>
      </c>
      <c r="K20" s="357">
        <f>'Balance Sheet Schedules'!J35</f>
        <v/>
      </c>
      <c r="L20" s="357">
        <f>'Balance Sheet Schedules'!K35</f>
        <v/>
      </c>
      <c r="M20" s="357">
        <f>'Balance Sheet Schedules'!L35</f>
        <v/>
      </c>
      <c r="N20" s="357">
        <f>'Balance Sheet Schedules'!M35</f>
        <v/>
      </c>
      <c r="O20" s="357">
        <f>'Balance Sheet Schedules'!N35</f>
        <v/>
      </c>
      <c r="P20" s="357">
        <f>'Balance Sheet Schedules'!O35</f>
        <v/>
      </c>
      <c r="Q20" s="357">
        <f>'Balance Sheet Schedules'!P35</f>
        <v/>
      </c>
      <c r="R20" s="357">
        <f>'Balance Sheet Schedules'!Q35</f>
        <v/>
      </c>
      <c r="S20" s="357">
        <f>'Balance Sheet Schedules'!R35</f>
        <v/>
      </c>
      <c r="T20" s="357">
        <f>'Balance Sheet Schedules'!S35</f>
        <v/>
      </c>
      <c r="U20" s="357">
        <f>'Balance Sheet Schedules'!T35</f>
        <v/>
      </c>
      <c r="V20" s="357">
        <f>'Balance Sheet Schedules'!U35</f>
        <v/>
      </c>
      <c r="W20" s="357">
        <f>'Balance Sheet Schedules'!V35</f>
        <v/>
      </c>
      <c r="X20" s="357">
        <f>'Balance Sheet Schedules'!W35</f>
        <v/>
      </c>
      <c r="Y20" s="357">
        <f>'Balance Sheet Schedules'!X35</f>
        <v/>
      </c>
      <c r="Z20" s="357">
        <f>'Balance Sheet Schedules'!Y35</f>
        <v/>
      </c>
      <c r="AA20" s="357">
        <f>'Balance Sheet Schedules'!Z35</f>
        <v/>
      </c>
      <c r="AB20" s="357">
        <f>'Balance Sheet Schedules'!AA35</f>
        <v/>
      </c>
      <c r="AC20" s="357">
        <f>'Balance Sheet Schedules'!AB35</f>
        <v/>
      </c>
      <c r="AD20" s="357">
        <f>'Balance Sheet Schedules'!AC35</f>
        <v/>
      </c>
      <c r="AE20" s="357">
        <f>'Balance Sheet Schedules'!AD35</f>
        <v/>
      </c>
      <c r="AF20" s="357">
        <f>'Balance Sheet Schedules'!AE35</f>
        <v/>
      </c>
      <c r="AG20" s="357">
        <f>'Balance Sheet Schedules'!AF35</f>
        <v/>
      </c>
      <c r="AH20" s="357">
        <f>'Balance Sheet Schedules'!AG35</f>
        <v/>
      </c>
      <c r="AI20" s="357">
        <f>'Balance Sheet Schedules'!AH35</f>
        <v/>
      </c>
      <c r="AJ20" s="357">
        <f>'Balance Sheet Schedules'!AI35</f>
        <v/>
      </c>
      <c r="AK20" s="357">
        <f>'Balance Sheet Schedules'!AJ35</f>
        <v/>
      </c>
      <c r="AL20" s="357">
        <f>'Balance Sheet Schedules'!AK35</f>
        <v/>
      </c>
      <c r="AM20" s="357">
        <f>'Balance Sheet Schedules'!AL35</f>
        <v/>
      </c>
      <c r="AN20" s="357">
        <f>'Balance Sheet Schedules'!AM35</f>
        <v/>
      </c>
      <c r="AO20" s="357">
        <f>'Balance Sheet Schedules'!AN35</f>
        <v/>
      </c>
      <c r="AP20" s="357">
        <f>'Balance Sheet Schedules'!AO35</f>
        <v/>
      </c>
      <c r="AQ20" s="357">
        <f>'Balance Sheet Schedules'!AP35</f>
        <v/>
      </c>
      <c r="AR20" s="357">
        <f>'Balance Sheet Schedules'!AQ35</f>
        <v/>
      </c>
      <c r="AS20" s="357">
        <f>'Balance Sheet Schedules'!AR35</f>
        <v/>
      </c>
      <c r="AT20" s="357">
        <f>'Balance Sheet Schedules'!AS35</f>
        <v/>
      </c>
      <c r="AU20" s="357">
        <f>'Balance Sheet Schedules'!AT35</f>
        <v/>
      </c>
      <c r="AV20" s="357">
        <f>'Balance Sheet Schedules'!AU35</f>
        <v/>
      </c>
      <c r="AW20" s="357">
        <f>'Balance Sheet Schedules'!AV35</f>
        <v/>
      </c>
      <c r="AX20" s="357">
        <f>'Balance Sheet Schedules'!AW35</f>
        <v/>
      </c>
    </row>
    <row r="21">
      <c r="B21" s="1" t="inlineStr">
        <is>
          <t>Other Current Liabilities</t>
        </is>
      </c>
      <c r="C21" s="327">
        <f>IFERROR(INDEX($I21:$AX21,MATCH(DATE(C$5,12,31),$I$6:$AX$6,0)),0)</f>
        <v/>
      </c>
      <c r="D21" s="327">
        <f>IFERROR(INDEX($I21:$AX21,MATCH(DATE(D$5,12,31),$I$6:$AX$6,0)),0)</f>
        <v/>
      </c>
      <c r="E21" s="327">
        <f>IFERROR(INDEX($I21:$AX21,MATCH(DATE(E$5,12,31),$I$6:$AX$6,0)),0)</f>
        <v/>
      </c>
      <c r="F21" s="327">
        <f>IFERROR(INDEX($I21:$AX21,MATCH(DATE(F$5,12,31),$I$6:$AX$6,0)),0)</f>
        <v/>
      </c>
      <c r="G21" s="357" t="n"/>
      <c r="H21" s="373" t="n">
        <v>0</v>
      </c>
      <c r="I21" s="357">
        <f>'Balance Sheet Schedules'!H41</f>
        <v/>
      </c>
      <c r="J21" s="357">
        <f>'Balance Sheet Schedules'!I41</f>
        <v/>
      </c>
      <c r="K21" s="357">
        <f>'Balance Sheet Schedules'!J41</f>
        <v/>
      </c>
      <c r="L21" s="357">
        <f>'Balance Sheet Schedules'!K41</f>
        <v/>
      </c>
      <c r="M21" s="357">
        <f>'Balance Sheet Schedules'!L41</f>
        <v/>
      </c>
      <c r="N21" s="357">
        <f>'Balance Sheet Schedules'!M41</f>
        <v/>
      </c>
      <c r="O21" s="357">
        <f>'Balance Sheet Schedules'!N41</f>
        <v/>
      </c>
      <c r="P21" s="357">
        <f>'Balance Sheet Schedules'!O41</f>
        <v/>
      </c>
      <c r="Q21" s="357">
        <f>'Balance Sheet Schedules'!P41</f>
        <v/>
      </c>
      <c r="R21" s="357">
        <f>'Balance Sheet Schedules'!Q41</f>
        <v/>
      </c>
      <c r="S21" s="357">
        <f>'Balance Sheet Schedules'!R41</f>
        <v/>
      </c>
      <c r="T21" s="357">
        <f>'Balance Sheet Schedules'!S41</f>
        <v/>
      </c>
      <c r="U21" s="357">
        <f>'Balance Sheet Schedules'!T41</f>
        <v/>
      </c>
      <c r="V21" s="357">
        <f>'Balance Sheet Schedules'!U41</f>
        <v/>
      </c>
      <c r="W21" s="357">
        <f>'Balance Sheet Schedules'!V41</f>
        <v/>
      </c>
      <c r="X21" s="357">
        <f>'Balance Sheet Schedules'!W41</f>
        <v/>
      </c>
      <c r="Y21" s="357">
        <f>'Balance Sheet Schedules'!X41</f>
        <v/>
      </c>
      <c r="Z21" s="357">
        <f>'Balance Sheet Schedules'!Y41</f>
        <v/>
      </c>
      <c r="AA21" s="357">
        <f>'Balance Sheet Schedules'!Z41</f>
        <v/>
      </c>
      <c r="AB21" s="357">
        <f>'Balance Sheet Schedules'!AA41</f>
        <v/>
      </c>
      <c r="AC21" s="357">
        <f>'Balance Sheet Schedules'!AB41</f>
        <v/>
      </c>
      <c r="AD21" s="357">
        <f>'Balance Sheet Schedules'!AC41</f>
        <v/>
      </c>
      <c r="AE21" s="357">
        <f>'Balance Sheet Schedules'!AD41</f>
        <v/>
      </c>
      <c r="AF21" s="357">
        <f>'Balance Sheet Schedules'!AE41</f>
        <v/>
      </c>
      <c r="AG21" s="357">
        <f>'Balance Sheet Schedules'!AF41</f>
        <v/>
      </c>
      <c r="AH21" s="357">
        <f>'Balance Sheet Schedules'!AG41</f>
        <v/>
      </c>
      <c r="AI21" s="357">
        <f>'Balance Sheet Schedules'!AH41</f>
        <v/>
      </c>
      <c r="AJ21" s="357">
        <f>'Balance Sheet Schedules'!AI41</f>
        <v/>
      </c>
      <c r="AK21" s="357">
        <f>'Balance Sheet Schedules'!AJ41</f>
        <v/>
      </c>
      <c r="AL21" s="357">
        <f>'Balance Sheet Schedules'!AK41</f>
        <v/>
      </c>
      <c r="AM21" s="357">
        <f>'Balance Sheet Schedules'!AL41</f>
        <v/>
      </c>
      <c r="AN21" s="357">
        <f>'Balance Sheet Schedules'!AM41</f>
        <v/>
      </c>
      <c r="AO21" s="357">
        <f>'Balance Sheet Schedules'!AN41</f>
        <v/>
      </c>
      <c r="AP21" s="357">
        <f>'Balance Sheet Schedules'!AO41</f>
        <v/>
      </c>
      <c r="AQ21" s="357">
        <f>'Balance Sheet Schedules'!AP41</f>
        <v/>
      </c>
      <c r="AR21" s="357">
        <f>'Balance Sheet Schedules'!AQ41</f>
        <v/>
      </c>
      <c r="AS21" s="357">
        <f>'Balance Sheet Schedules'!AR41</f>
        <v/>
      </c>
      <c r="AT21" s="357">
        <f>'Balance Sheet Schedules'!AS41</f>
        <v/>
      </c>
      <c r="AU21" s="357">
        <f>'Balance Sheet Schedules'!AT41</f>
        <v/>
      </c>
      <c r="AV21" s="357">
        <f>'Balance Sheet Schedules'!AU41</f>
        <v/>
      </c>
      <c r="AW21" s="357">
        <f>'Balance Sheet Schedules'!AV41</f>
        <v/>
      </c>
      <c r="AX21" s="357">
        <f>'Balance Sheet Schedules'!AW41</f>
        <v/>
      </c>
    </row>
    <row r="22">
      <c r="C22" s="357" t="n"/>
      <c r="D22" s="357" t="n"/>
      <c r="E22" s="357" t="n"/>
      <c r="F22" s="357" t="n"/>
      <c r="G22" s="357" t="n"/>
      <c r="H22" s="357" t="n"/>
      <c r="I22" s="357" t="n"/>
      <c r="J22" s="357" t="n"/>
      <c r="K22" s="357" t="n"/>
      <c r="L22" s="357" t="n"/>
      <c r="M22" s="357" t="n"/>
      <c r="N22" s="357" t="n"/>
      <c r="O22" s="357" t="n"/>
      <c r="P22" s="357" t="n"/>
      <c r="Q22" s="357" t="n"/>
      <c r="R22" s="357" t="n"/>
      <c r="S22" s="357" t="n"/>
      <c r="T22" s="357" t="n"/>
      <c r="U22" s="357" t="n"/>
      <c r="V22" s="357" t="n"/>
      <c r="W22" s="357" t="n"/>
      <c r="X22" s="357" t="n"/>
      <c r="Y22" s="357" t="n"/>
      <c r="Z22" s="357" t="n"/>
      <c r="AA22" s="357" t="n"/>
      <c r="AB22" s="357" t="n"/>
      <c r="AC22" s="357" t="n"/>
      <c r="AD22" s="357" t="n"/>
      <c r="AE22" s="357" t="n"/>
      <c r="AF22" s="357" t="n"/>
      <c r="AG22" s="357" t="n"/>
      <c r="AH22" s="357" t="n"/>
      <c r="AI22" s="357" t="n"/>
      <c r="AJ22" s="357" t="n"/>
      <c r="AK22" s="357" t="n"/>
      <c r="AL22" s="357" t="n"/>
      <c r="AM22" s="357" t="n"/>
      <c r="AN22" s="357" t="n"/>
      <c r="AO22" s="357" t="n"/>
      <c r="AP22" s="357" t="n"/>
      <c r="AQ22" s="357" t="n"/>
      <c r="AR22" s="357" t="n"/>
      <c r="AS22" s="357" t="n"/>
      <c r="AT22" s="357" t="n"/>
      <c r="AU22" s="357" t="n"/>
      <c r="AV22" s="357" t="n"/>
      <c r="AW22" s="357" t="n"/>
      <c r="AX22" s="357" t="n"/>
    </row>
    <row r="23">
      <c r="B23" s="2" t="inlineStr">
        <is>
          <t>Non Current Liabilities</t>
        </is>
      </c>
      <c r="C23" s="374">
        <f>SUM(C24)</f>
        <v/>
      </c>
      <c r="D23" s="374">
        <f>SUM(D24)</f>
        <v/>
      </c>
      <c r="E23" s="374">
        <f>SUM(E24)</f>
        <v/>
      </c>
      <c r="F23" s="374">
        <f>SUM(F24)</f>
        <v/>
      </c>
      <c r="G23" s="374" t="n"/>
      <c r="H23" s="374">
        <f>SUM(H24)</f>
        <v/>
      </c>
      <c r="I23" s="374">
        <f>SUM(I24)</f>
        <v/>
      </c>
      <c r="J23" s="374">
        <f>SUM(J24)</f>
        <v/>
      </c>
      <c r="K23" s="374">
        <f>SUM(K24)</f>
        <v/>
      </c>
      <c r="L23" s="374">
        <f>SUM(L24)</f>
        <v/>
      </c>
      <c r="M23" s="374">
        <f>SUM(M24)</f>
        <v/>
      </c>
      <c r="N23" s="374">
        <f>SUM(N24)</f>
        <v/>
      </c>
      <c r="O23" s="374">
        <f>SUM(O24)</f>
        <v/>
      </c>
      <c r="P23" s="374">
        <f>SUM(P24)</f>
        <v/>
      </c>
      <c r="Q23" s="374">
        <f>SUM(Q24)</f>
        <v/>
      </c>
      <c r="R23" s="374">
        <f>SUM(R24)</f>
        <v/>
      </c>
      <c r="S23" s="374">
        <f>SUM(S24)</f>
        <v/>
      </c>
      <c r="T23" s="374">
        <f>SUM(T24)</f>
        <v/>
      </c>
      <c r="U23" s="374">
        <f>SUM(U24)</f>
        <v/>
      </c>
      <c r="V23" s="374">
        <f>SUM(V24)</f>
        <v/>
      </c>
      <c r="W23" s="374">
        <f>SUM(W24)</f>
        <v/>
      </c>
      <c r="X23" s="374">
        <f>SUM(X24)</f>
        <v/>
      </c>
      <c r="Y23" s="374">
        <f>SUM(Y24)</f>
        <v/>
      </c>
      <c r="Z23" s="374">
        <f>SUM(Z24)</f>
        <v/>
      </c>
      <c r="AA23" s="374">
        <f>SUM(AA24)</f>
        <v/>
      </c>
      <c r="AB23" s="374">
        <f>SUM(AB24)</f>
        <v/>
      </c>
      <c r="AC23" s="374">
        <f>SUM(AC24)</f>
        <v/>
      </c>
      <c r="AD23" s="374">
        <f>SUM(AD24)</f>
        <v/>
      </c>
      <c r="AE23" s="374">
        <f>SUM(AE24)</f>
        <v/>
      </c>
      <c r="AF23" s="374">
        <f>SUM(AF24)</f>
        <v/>
      </c>
      <c r="AG23" s="374">
        <f>SUM(AG24)</f>
        <v/>
      </c>
      <c r="AH23" s="374">
        <f>SUM(AH24)</f>
        <v/>
      </c>
      <c r="AI23" s="374">
        <f>SUM(AI24)</f>
        <v/>
      </c>
      <c r="AJ23" s="374">
        <f>SUM(AJ24)</f>
        <v/>
      </c>
      <c r="AK23" s="374">
        <f>SUM(AK24)</f>
        <v/>
      </c>
      <c r="AL23" s="374">
        <f>SUM(AL24)</f>
        <v/>
      </c>
      <c r="AM23" s="374">
        <f>SUM(AM24)</f>
        <v/>
      </c>
      <c r="AN23" s="374">
        <f>SUM(AN24)</f>
        <v/>
      </c>
      <c r="AO23" s="374">
        <f>SUM(AO24)</f>
        <v/>
      </c>
      <c r="AP23" s="374">
        <f>SUM(AP24)</f>
        <v/>
      </c>
      <c r="AQ23" s="374">
        <f>SUM(AQ24)</f>
        <v/>
      </c>
      <c r="AR23" s="374">
        <f>SUM(AR24)</f>
        <v/>
      </c>
      <c r="AS23" s="374">
        <f>SUM(AS24)</f>
        <v/>
      </c>
      <c r="AT23" s="374">
        <f>SUM(AT24)</f>
        <v/>
      </c>
      <c r="AU23" s="374">
        <f>SUM(AU24)</f>
        <v/>
      </c>
      <c r="AV23" s="374">
        <f>SUM(AV24)</f>
        <v/>
      </c>
      <c r="AW23" s="374">
        <f>SUM(AW24)</f>
        <v/>
      </c>
      <c r="AX23" s="374">
        <f>SUM(AX24)</f>
        <v/>
      </c>
    </row>
    <row r="24">
      <c r="B24" s="1" t="inlineStr">
        <is>
          <t>Long Term Borrowings</t>
        </is>
      </c>
      <c r="C24" s="327">
        <f>IFERROR(INDEX($I24:$AX24,MATCH(DATE(C$5,12,31),$I$6:$AX$6,0)),0)</f>
        <v/>
      </c>
      <c r="D24" s="327">
        <f>IFERROR(INDEX($I24:$AX24,MATCH(DATE(D$5,12,31),$I$6:$AX$6,0)),0)</f>
        <v/>
      </c>
      <c r="E24" s="327">
        <f>IFERROR(INDEX($I24:$AX24,MATCH(DATE(E$5,12,31),$I$6:$AX$6,0)),0)</f>
        <v/>
      </c>
      <c r="F24" s="327">
        <f>IFERROR(INDEX($I24:$AX24,MATCH(DATE(F$5,12,31),$I$6:$AX$6,0)),0)</f>
        <v/>
      </c>
      <c r="G24" s="362" t="n"/>
      <c r="H24" s="373" t="n">
        <v>0</v>
      </c>
      <c r="I24" s="362">
        <f>'Balance Sheet Schedules'!H52</f>
        <v/>
      </c>
      <c r="J24" s="362">
        <f>'Balance Sheet Schedules'!I52</f>
        <v/>
      </c>
      <c r="K24" s="362">
        <f>'Balance Sheet Schedules'!J52</f>
        <v/>
      </c>
      <c r="L24" s="362">
        <f>'Balance Sheet Schedules'!K52</f>
        <v/>
      </c>
      <c r="M24" s="362">
        <f>'Balance Sheet Schedules'!L52</f>
        <v/>
      </c>
      <c r="N24" s="362">
        <f>'Balance Sheet Schedules'!M52</f>
        <v/>
      </c>
      <c r="O24" s="362">
        <f>'Balance Sheet Schedules'!N52</f>
        <v/>
      </c>
      <c r="P24" s="362">
        <f>'Balance Sheet Schedules'!O52</f>
        <v/>
      </c>
      <c r="Q24" s="362">
        <f>'Balance Sheet Schedules'!P52</f>
        <v/>
      </c>
      <c r="R24" s="362">
        <f>'Balance Sheet Schedules'!Q52</f>
        <v/>
      </c>
      <c r="S24" s="362">
        <f>'Balance Sheet Schedules'!R52</f>
        <v/>
      </c>
      <c r="T24" s="362">
        <f>'Balance Sheet Schedules'!S52</f>
        <v/>
      </c>
      <c r="U24" s="362">
        <f>'Balance Sheet Schedules'!T52</f>
        <v/>
      </c>
      <c r="V24" s="362">
        <f>'Balance Sheet Schedules'!U52</f>
        <v/>
      </c>
      <c r="W24" s="362">
        <f>'Balance Sheet Schedules'!V52</f>
        <v/>
      </c>
      <c r="X24" s="362">
        <f>'Balance Sheet Schedules'!W52</f>
        <v/>
      </c>
      <c r="Y24" s="362">
        <f>'Balance Sheet Schedules'!X52</f>
        <v/>
      </c>
      <c r="Z24" s="362">
        <f>'Balance Sheet Schedules'!Y52</f>
        <v/>
      </c>
      <c r="AA24" s="362">
        <f>'Balance Sheet Schedules'!Z52</f>
        <v/>
      </c>
      <c r="AB24" s="362">
        <f>'Balance Sheet Schedules'!AA52</f>
        <v/>
      </c>
      <c r="AC24" s="362">
        <f>'Balance Sheet Schedules'!AB52</f>
        <v/>
      </c>
      <c r="AD24" s="362">
        <f>'Balance Sheet Schedules'!AC52</f>
        <v/>
      </c>
      <c r="AE24" s="362">
        <f>'Balance Sheet Schedules'!AD52</f>
        <v/>
      </c>
      <c r="AF24" s="362">
        <f>'Balance Sheet Schedules'!AE52</f>
        <v/>
      </c>
      <c r="AG24" s="362">
        <f>'Balance Sheet Schedules'!AF52</f>
        <v/>
      </c>
      <c r="AH24" s="362">
        <f>'Balance Sheet Schedules'!AG52</f>
        <v/>
      </c>
      <c r="AI24" s="362">
        <f>'Balance Sheet Schedules'!AH52</f>
        <v/>
      </c>
      <c r="AJ24" s="362">
        <f>'Balance Sheet Schedules'!AI52</f>
        <v/>
      </c>
      <c r="AK24" s="362">
        <f>'Balance Sheet Schedules'!AJ52</f>
        <v/>
      </c>
      <c r="AL24" s="362">
        <f>'Balance Sheet Schedules'!AK52</f>
        <v/>
      </c>
      <c r="AM24" s="362">
        <f>'Balance Sheet Schedules'!AL52</f>
        <v/>
      </c>
      <c r="AN24" s="362">
        <f>'Balance Sheet Schedules'!AM52</f>
        <v/>
      </c>
      <c r="AO24" s="362">
        <f>'Balance Sheet Schedules'!AN52</f>
        <v/>
      </c>
      <c r="AP24" s="362">
        <f>'Balance Sheet Schedules'!AO52</f>
        <v/>
      </c>
      <c r="AQ24" s="362">
        <f>'Balance Sheet Schedules'!AP52</f>
        <v/>
      </c>
      <c r="AR24" s="362">
        <f>'Balance Sheet Schedules'!AQ52</f>
        <v/>
      </c>
      <c r="AS24" s="362">
        <f>'Balance Sheet Schedules'!AR52</f>
        <v/>
      </c>
      <c r="AT24" s="362">
        <f>'Balance Sheet Schedules'!AS52</f>
        <v/>
      </c>
      <c r="AU24" s="362">
        <f>'Balance Sheet Schedules'!AT52</f>
        <v/>
      </c>
      <c r="AV24" s="362">
        <f>'Balance Sheet Schedules'!AU52</f>
        <v/>
      </c>
      <c r="AW24" s="362">
        <f>'Balance Sheet Schedules'!AV52</f>
        <v/>
      </c>
      <c r="AX24" s="362">
        <f>'Balance Sheet Schedules'!AW52</f>
        <v/>
      </c>
    </row>
    <row r="25">
      <c r="C25" s="357" t="n"/>
      <c r="D25" s="357" t="n"/>
      <c r="E25" s="357" t="n"/>
      <c r="F25" s="357" t="n"/>
      <c r="G25" s="357" t="n"/>
      <c r="H25" s="357" t="n"/>
      <c r="I25" s="357" t="n"/>
      <c r="J25" s="357" t="n"/>
      <c r="K25" s="357" t="n"/>
      <c r="L25" s="357" t="n"/>
      <c r="M25" s="357" t="n"/>
      <c r="N25" s="357" t="n"/>
      <c r="O25" s="357" t="n"/>
      <c r="P25" s="357" t="n"/>
      <c r="Q25" s="357" t="n"/>
      <c r="R25" s="357" t="n"/>
      <c r="S25" s="357" t="n"/>
      <c r="T25" s="357" t="n"/>
      <c r="U25" s="357" t="n"/>
      <c r="V25" s="357" t="n"/>
      <c r="W25" s="357" t="n"/>
      <c r="X25" s="357" t="n"/>
      <c r="Y25" s="357" t="n"/>
      <c r="Z25" s="357" t="n"/>
      <c r="AA25" s="357" t="n"/>
      <c r="AB25" s="357" t="n"/>
      <c r="AC25" s="357" t="n"/>
      <c r="AD25" s="357" t="n"/>
      <c r="AE25" s="357" t="n"/>
      <c r="AF25" s="357" t="n"/>
      <c r="AG25" s="357" t="n"/>
      <c r="AH25" s="357" t="n"/>
      <c r="AI25" s="357" t="n"/>
      <c r="AJ25" s="357" t="n"/>
      <c r="AK25" s="357" t="n"/>
      <c r="AL25" s="357" t="n"/>
      <c r="AM25" s="357" t="n"/>
      <c r="AN25" s="357" t="n"/>
      <c r="AO25" s="357" t="n"/>
      <c r="AP25" s="357" t="n"/>
      <c r="AQ25" s="357" t="n"/>
      <c r="AR25" s="357" t="n"/>
      <c r="AS25" s="357" t="n"/>
      <c r="AT25" s="357" t="n"/>
      <c r="AU25" s="357" t="n"/>
      <c r="AV25" s="357" t="n"/>
      <c r="AW25" s="357" t="n"/>
      <c r="AX25" s="357" t="n"/>
    </row>
    <row r="26">
      <c r="B26" s="2" t="inlineStr">
        <is>
          <t xml:space="preserve">Shareholder's Equity </t>
        </is>
      </c>
      <c r="C26" s="367">
        <f>SUM(C27:C29)</f>
        <v/>
      </c>
      <c r="D26" s="367">
        <f>SUM(D27:D29)</f>
        <v/>
      </c>
      <c r="E26" s="367">
        <f>SUM(E27:E29)</f>
        <v/>
      </c>
      <c r="F26" s="367">
        <f>SUM(F27:F29)</f>
        <v/>
      </c>
      <c r="G26" s="367" t="n"/>
      <c r="H26" s="367">
        <f>SUM(H27:H29)</f>
        <v/>
      </c>
      <c r="I26" s="367">
        <f>SUM(I27:I29)</f>
        <v/>
      </c>
      <c r="J26" s="367">
        <f>SUM(J27:J29)</f>
        <v/>
      </c>
      <c r="K26" s="367">
        <f>SUM(K27:K29)</f>
        <v/>
      </c>
      <c r="L26" s="367">
        <f>SUM(L27:L29)</f>
        <v/>
      </c>
      <c r="M26" s="367">
        <f>SUM(M27:M29)</f>
        <v/>
      </c>
      <c r="N26" s="367">
        <f>SUM(N27:N29)</f>
        <v/>
      </c>
      <c r="O26" s="367">
        <f>SUM(O27:O29)</f>
        <v/>
      </c>
      <c r="P26" s="367">
        <f>SUM(P27:P29)</f>
        <v/>
      </c>
      <c r="Q26" s="367">
        <f>SUM(Q27:Q29)</f>
        <v/>
      </c>
      <c r="R26" s="367">
        <f>SUM(R27:R29)</f>
        <v/>
      </c>
      <c r="S26" s="367">
        <f>SUM(S27:S29)</f>
        <v/>
      </c>
      <c r="T26" s="367">
        <f>SUM(T27:T29)</f>
        <v/>
      </c>
      <c r="U26" s="367">
        <f>SUM(U27:U29)</f>
        <v/>
      </c>
      <c r="V26" s="367">
        <f>SUM(V27:V29)</f>
        <v/>
      </c>
      <c r="W26" s="367">
        <f>SUM(W27:W29)</f>
        <v/>
      </c>
      <c r="X26" s="367">
        <f>SUM(X27:X29)</f>
        <v/>
      </c>
      <c r="Y26" s="367">
        <f>SUM(Y27:Y29)</f>
        <v/>
      </c>
      <c r="Z26" s="367">
        <f>SUM(Z27:Z29)</f>
        <v/>
      </c>
      <c r="AA26" s="367">
        <f>SUM(AA27:AA29)</f>
        <v/>
      </c>
      <c r="AB26" s="367">
        <f>SUM(AB27:AB29)</f>
        <v/>
      </c>
      <c r="AC26" s="367">
        <f>SUM(AC27:AC29)</f>
        <v/>
      </c>
      <c r="AD26" s="367">
        <f>SUM(AD27:AD29)</f>
        <v/>
      </c>
      <c r="AE26" s="367">
        <f>SUM(AE27:AE29)</f>
        <v/>
      </c>
      <c r="AF26" s="367">
        <f>SUM(AF27:AF29)</f>
        <v/>
      </c>
      <c r="AG26" s="367">
        <f>SUM(AG27:AG29)</f>
        <v/>
      </c>
      <c r="AH26" s="367">
        <f>SUM(AH27:AH29)</f>
        <v/>
      </c>
      <c r="AI26" s="367">
        <f>SUM(AI27:AI29)</f>
        <v/>
      </c>
      <c r="AJ26" s="367">
        <f>SUM(AJ27:AJ29)</f>
        <v/>
      </c>
      <c r="AK26" s="367">
        <f>SUM(AK27:AK29)</f>
        <v/>
      </c>
      <c r="AL26" s="367">
        <f>SUM(AL27:AL29)</f>
        <v/>
      </c>
      <c r="AM26" s="367">
        <f>SUM(AM27:AM29)</f>
        <v/>
      </c>
      <c r="AN26" s="367">
        <f>SUM(AN27:AN29)</f>
        <v/>
      </c>
      <c r="AO26" s="367">
        <f>SUM(AO27:AO29)</f>
        <v/>
      </c>
      <c r="AP26" s="367">
        <f>SUM(AP27:AP29)</f>
        <v/>
      </c>
      <c r="AQ26" s="367">
        <f>SUM(AQ27:AQ29)</f>
        <v/>
      </c>
      <c r="AR26" s="367">
        <f>SUM(AR27:AR29)</f>
        <v/>
      </c>
      <c r="AS26" s="367">
        <f>SUM(AS27:AS29)</f>
        <v/>
      </c>
      <c r="AT26" s="367">
        <f>SUM(AT27:AT29)</f>
        <v/>
      </c>
      <c r="AU26" s="367">
        <f>SUM(AU27:AU29)</f>
        <v/>
      </c>
      <c r="AV26" s="367">
        <f>SUM(AV27:AV29)</f>
        <v/>
      </c>
      <c r="AW26" s="367">
        <f>SUM(AW27:AW29)</f>
        <v/>
      </c>
      <c r="AX26" s="367">
        <f>SUM(AX27:AX29)</f>
        <v/>
      </c>
    </row>
    <row r="27">
      <c r="B27" s="1" t="inlineStr">
        <is>
          <t>Equity - Founder/Studio</t>
        </is>
      </c>
      <c r="C27" s="327">
        <f>IFERROR(INDEX($I27:$AX27,MATCH(DATE(C$5,12,31),$I$6:$AX$6,0)),0)</f>
        <v/>
      </c>
      <c r="D27" s="327">
        <f>IFERROR(INDEX($I27:$AX27,MATCH(DATE(D$5,12,31),$I$6:$AX$6,0)),0)</f>
        <v/>
      </c>
      <c r="E27" s="327">
        <f>IFERROR(INDEX($I27:$AX27,MATCH(DATE(E$5,12,31),$I$6:$AX$6,0)),0)</f>
        <v/>
      </c>
      <c r="F27" s="327">
        <f>IFERROR(INDEX($I27:$AX27,MATCH(DATE(F$5,12,31),$I$6:$AX$6,0)),0)</f>
        <v/>
      </c>
      <c r="G27" s="357" t="n"/>
      <c r="H27" s="373" t="n">
        <v>100000</v>
      </c>
      <c r="I27" s="357">
        <f>H27</f>
        <v/>
      </c>
      <c r="J27" s="357">
        <f>I27</f>
        <v/>
      </c>
      <c r="K27" s="357">
        <f>J27</f>
        <v/>
      </c>
      <c r="L27" s="357">
        <f>K27</f>
        <v/>
      </c>
      <c r="M27" s="357">
        <f>L27</f>
        <v/>
      </c>
      <c r="N27" s="357">
        <f>M27</f>
        <v/>
      </c>
      <c r="O27" s="357">
        <f>N27</f>
        <v/>
      </c>
      <c r="P27" s="357">
        <f>O27</f>
        <v/>
      </c>
      <c r="Q27" s="357">
        <f>P27</f>
        <v/>
      </c>
      <c r="R27" s="357">
        <f>Q27</f>
        <v/>
      </c>
      <c r="S27" s="357">
        <f>R27</f>
        <v/>
      </c>
      <c r="T27" s="357">
        <f>S27</f>
        <v/>
      </c>
      <c r="U27" s="357">
        <f>T27</f>
        <v/>
      </c>
      <c r="V27" s="357">
        <f>U27</f>
        <v/>
      </c>
      <c r="W27" s="357">
        <f>V27</f>
        <v/>
      </c>
      <c r="X27" s="357">
        <f>W27</f>
        <v/>
      </c>
      <c r="Y27" s="357">
        <f>X27</f>
        <v/>
      </c>
      <c r="Z27" s="357">
        <f>Y27</f>
        <v/>
      </c>
      <c r="AA27" s="357">
        <f>Z27</f>
        <v/>
      </c>
      <c r="AB27" s="357">
        <f>AA27</f>
        <v/>
      </c>
      <c r="AC27" s="357">
        <f>AB27</f>
        <v/>
      </c>
      <c r="AD27" s="357">
        <f>AC27</f>
        <v/>
      </c>
      <c r="AE27" s="357">
        <f>AD27</f>
        <v/>
      </c>
      <c r="AF27" s="357">
        <f>AE27</f>
        <v/>
      </c>
      <c r="AG27" s="357">
        <f>AF27</f>
        <v/>
      </c>
      <c r="AH27" s="357">
        <f>AG27</f>
        <v/>
      </c>
      <c r="AI27" s="357">
        <f>AH27</f>
        <v/>
      </c>
      <c r="AJ27" s="357">
        <f>AI27</f>
        <v/>
      </c>
      <c r="AK27" s="357">
        <f>AJ27</f>
        <v/>
      </c>
      <c r="AL27" s="357">
        <f>AK27</f>
        <v/>
      </c>
      <c r="AM27" s="357">
        <f>AL27</f>
        <v/>
      </c>
      <c r="AN27" s="357">
        <f>AM27</f>
        <v/>
      </c>
      <c r="AO27" s="357">
        <f>AN27</f>
        <v/>
      </c>
      <c r="AP27" s="357">
        <f>AO27</f>
        <v/>
      </c>
      <c r="AQ27" s="357">
        <f>AP27</f>
        <v/>
      </c>
      <c r="AR27" s="357">
        <f>AQ27</f>
        <v/>
      </c>
      <c r="AS27" s="357">
        <f>AR27</f>
        <v/>
      </c>
      <c r="AT27" s="357">
        <f>AS27</f>
        <v/>
      </c>
      <c r="AU27" s="357">
        <f>AT27</f>
        <v/>
      </c>
      <c r="AV27" s="357">
        <f>AU27</f>
        <v/>
      </c>
      <c r="AW27" s="357">
        <f>AV27</f>
        <v/>
      </c>
      <c r="AX27" s="357">
        <f>AW27</f>
        <v/>
      </c>
    </row>
    <row r="28">
      <c r="B28" s="1" t="inlineStr">
        <is>
          <t>Equity - External Investor</t>
        </is>
      </c>
      <c r="C28" s="327">
        <f>IFERROR(INDEX($I28:$AX28,MATCH(DATE(C$5,12,31),$I$6:$AX$6,0)),0)</f>
        <v/>
      </c>
      <c r="D28" s="327">
        <f>IFERROR(INDEX($I28:$AX28,MATCH(DATE(D$5,12,31),$I$6:$AX$6,0)),0)</f>
        <v/>
      </c>
      <c r="E28" s="327">
        <f>IFERROR(INDEX($I28:$AX28,MATCH(DATE(E$5,12,31),$I$6:$AX$6,0)),0)</f>
        <v/>
      </c>
      <c r="F28" s="327">
        <f>IFERROR(INDEX($I28:$AX28,MATCH(DATE(F$5,12,31),$I$6:$AX$6,0)),0)</f>
        <v/>
      </c>
      <c r="G28" s="357" t="n"/>
      <c r="H28" s="373" t="n">
        <v>0</v>
      </c>
      <c r="I28" s="357">
        <f>-'Income Statement'!C30-'Income Statement'!D30+'Balance Sheet Schedules'!C12+'Balance Sheet Schedules'!D12+'Balance Sheet Schedules'!C22+'Balance Sheet Schedules'!D22</f>
        <v/>
      </c>
      <c r="J28" s="357">
        <f>I28</f>
        <v/>
      </c>
      <c r="K28" s="357">
        <f>J28</f>
        <v/>
      </c>
      <c r="L28" s="357">
        <f>K28</f>
        <v/>
      </c>
      <c r="M28" s="357">
        <f>L28</f>
        <v/>
      </c>
      <c r="N28" s="357">
        <f>M28</f>
        <v/>
      </c>
      <c r="O28" s="357">
        <f>N28</f>
        <v/>
      </c>
      <c r="P28" s="357">
        <f>O28</f>
        <v/>
      </c>
      <c r="Q28" s="357">
        <f>P28</f>
        <v/>
      </c>
      <c r="R28" s="357">
        <f>Q28</f>
        <v/>
      </c>
      <c r="S28" s="357">
        <f>R28</f>
        <v/>
      </c>
      <c r="T28" s="357">
        <f>S28</f>
        <v/>
      </c>
      <c r="U28" s="357">
        <f>T28</f>
        <v/>
      </c>
      <c r="V28" s="357">
        <f>U28</f>
        <v/>
      </c>
      <c r="W28" s="357">
        <f>V28</f>
        <v/>
      </c>
      <c r="X28" s="357">
        <f>W28</f>
        <v/>
      </c>
      <c r="Y28" s="357">
        <f>X28</f>
        <v/>
      </c>
      <c r="Z28" s="357">
        <f>Y28</f>
        <v/>
      </c>
      <c r="AA28" s="357">
        <f>Z28</f>
        <v/>
      </c>
      <c r="AB28" s="357">
        <f>AA28</f>
        <v/>
      </c>
      <c r="AC28" s="357">
        <f>AB28</f>
        <v/>
      </c>
      <c r="AD28" s="357">
        <f>AC28</f>
        <v/>
      </c>
      <c r="AE28" s="357">
        <f>AD28</f>
        <v/>
      </c>
      <c r="AF28" s="357">
        <f>AE28</f>
        <v/>
      </c>
      <c r="AG28" s="357">
        <f>AF28</f>
        <v/>
      </c>
      <c r="AH28" s="357">
        <f>AG28</f>
        <v/>
      </c>
      <c r="AI28" s="357">
        <f>AH28</f>
        <v/>
      </c>
      <c r="AJ28" s="357">
        <f>AI28</f>
        <v/>
      </c>
      <c r="AK28" s="357">
        <f>AJ28</f>
        <v/>
      </c>
      <c r="AL28" s="357">
        <f>AK28</f>
        <v/>
      </c>
      <c r="AM28" s="357">
        <f>AL28</f>
        <v/>
      </c>
      <c r="AN28" s="357">
        <f>AM28</f>
        <v/>
      </c>
      <c r="AO28" s="357">
        <f>AN28</f>
        <v/>
      </c>
      <c r="AP28" s="357">
        <f>AO28</f>
        <v/>
      </c>
      <c r="AQ28" s="357">
        <f>AP28</f>
        <v/>
      </c>
      <c r="AR28" s="357">
        <f>AQ28</f>
        <v/>
      </c>
      <c r="AS28" s="357">
        <f>AR28</f>
        <v/>
      </c>
      <c r="AT28" s="357">
        <f>AS28</f>
        <v/>
      </c>
      <c r="AU28" s="357">
        <f>AT28</f>
        <v/>
      </c>
      <c r="AV28" s="357">
        <f>AU28</f>
        <v/>
      </c>
      <c r="AW28" s="357">
        <f>AV28</f>
        <v/>
      </c>
      <c r="AX28" s="357">
        <f>AW28</f>
        <v/>
      </c>
    </row>
    <row r="29">
      <c r="B29" s="1" t="inlineStr">
        <is>
          <t>Retained Earnings</t>
        </is>
      </c>
      <c r="C29" s="327">
        <f>IFERROR(INDEX($I29:$AX29,MATCH(DATE(C$5,12,31),$I$6:$AX$6,0)),0)</f>
        <v/>
      </c>
      <c r="D29" s="327">
        <f>IFERROR(INDEX($I29:$AX29,MATCH(DATE(D$5,12,31),$I$6:$AX$6,0)),0)</f>
        <v/>
      </c>
      <c r="E29" s="327">
        <f>IFERROR(INDEX($I29:$AX29,MATCH(DATE(E$5,12,31),$I$6:$AX$6,0)),0)</f>
        <v/>
      </c>
      <c r="F29" s="327">
        <f>IFERROR(INDEX($I29:$AX29,MATCH(DATE(F$5,12,31),$I$6:$AX$6,0)),0)</f>
        <v/>
      </c>
      <c r="G29" s="357" t="n"/>
      <c r="H29" s="373" t="n">
        <v>0</v>
      </c>
      <c r="I29" s="357">
        <f>'Income Statement'!H42+H29</f>
        <v/>
      </c>
      <c r="J29" s="357">
        <f>I29+'Income Statement'!I42</f>
        <v/>
      </c>
      <c r="K29" s="357">
        <f>J29+'Income Statement'!J42</f>
        <v/>
      </c>
      <c r="L29" s="357">
        <f>K29+'Income Statement'!K42</f>
        <v/>
      </c>
      <c r="M29" s="357">
        <f>L29+'Income Statement'!L42</f>
        <v/>
      </c>
      <c r="N29" s="357">
        <f>M29+'Income Statement'!M42</f>
        <v/>
      </c>
      <c r="O29" s="357">
        <f>N29+'Income Statement'!N42</f>
        <v/>
      </c>
      <c r="P29" s="357">
        <f>O29+'Income Statement'!O42</f>
        <v/>
      </c>
      <c r="Q29" s="357">
        <f>P29+'Income Statement'!P42</f>
        <v/>
      </c>
      <c r="R29" s="357">
        <f>Q29+'Income Statement'!Q42</f>
        <v/>
      </c>
      <c r="S29" s="357">
        <f>R29+'Income Statement'!R42</f>
        <v/>
      </c>
      <c r="T29" s="357">
        <f>S29+'Income Statement'!S42</f>
        <v/>
      </c>
      <c r="U29" s="357">
        <f>T29+'Income Statement'!T42</f>
        <v/>
      </c>
      <c r="V29" s="357">
        <f>U29+'Income Statement'!U42</f>
        <v/>
      </c>
      <c r="W29" s="357">
        <f>V29+'Income Statement'!V42</f>
        <v/>
      </c>
      <c r="X29" s="357">
        <f>W29+'Income Statement'!W42</f>
        <v/>
      </c>
      <c r="Y29" s="357">
        <f>X29+'Income Statement'!X42</f>
        <v/>
      </c>
      <c r="Z29" s="357">
        <f>Y29+'Income Statement'!Y42</f>
        <v/>
      </c>
      <c r="AA29" s="357">
        <f>Z29+'Income Statement'!Z42</f>
        <v/>
      </c>
      <c r="AB29" s="357">
        <f>AA29+'Income Statement'!AA42</f>
        <v/>
      </c>
      <c r="AC29" s="357">
        <f>AB29+'Income Statement'!AB42</f>
        <v/>
      </c>
      <c r="AD29" s="357">
        <f>AC29+'Income Statement'!AC42</f>
        <v/>
      </c>
      <c r="AE29" s="357">
        <f>AD29+'Income Statement'!AD42</f>
        <v/>
      </c>
      <c r="AF29" s="357">
        <f>AE29+'Income Statement'!AE42</f>
        <v/>
      </c>
      <c r="AG29" s="357">
        <f>AF29+'Income Statement'!AF42</f>
        <v/>
      </c>
      <c r="AH29" s="357">
        <f>AG29+'Income Statement'!AG42</f>
        <v/>
      </c>
      <c r="AI29" s="357">
        <f>AH29+'Income Statement'!AH42</f>
        <v/>
      </c>
      <c r="AJ29" s="357">
        <f>AI29+'Income Statement'!AI42</f>
        <v/>
      </c>
      <c r="AK29" s="357">
        <f>AJ29+'Income Statement'!AJ42</f>
        <v/>
      </c>
      <c r="AL29" s="357">
        <f>AK29+'Income Statement'!AK42</f>
        <v/>
      </c>
      <c r="AM29" s="357">
        <f>AL29+'Income Statement'!AL42</f>
        <v/>
      </c>
      <c r="AN29" s="357">
        <f>AM29+'Income Statement'!AM42</f>
        <v/>
      </c>
      <c r="AO29" s="357">
        <f>AN29+'Income Statement'!AN42</f>
        <v/>
      </c>
      <c r="AP29" s="357">
        <f>AO29+'Income Statement'!AO42</f>
        <v/>
      </c>
      <c r="AQ29" s="357">
        <f>AP29+'Income Statement'!AP42</f>
        <v/>
      </c>
      <c r="AR29" s="357">
        <f>AQ29+'Income Statement'!AQ42</f>
        <v/>
      </c>
      <c r="AS29" s="357">
        <f>AR29+'Income Statement'!AR42</f>
        <v/>
      </c>
      <c r="AT29" s="357">
        <f>AS29+'Income Statement'!AS42</f>
        <v/>
      </c>
      <c r="AU29" s="357">
        <f>AT29+'Income Statement'!AT42</f>
        <v/>
      </c>
      <c r="AV29" s="357">
        <f>AU29+'Income Statement'!AU42</f>
        <v/>
      </c>
      <c r="AW29" s="357">
        <f>AV29+'Income Statement'!AV42</f>
        <v/>
      </c>
      <c r="AX29" s="357">
        <f>AW29+'Income Statement'!AW42</f>
        <v/>
      </c>
    </row>
    <row r="30">
      <c r="C30" s="357" t="n"/>
      <c r="D30" s="357" t="n"/>
      <c r="E30" s="357" t="n"/>
      <c r="F30" s="357" t="n"/>
      <c r="G30" s="357" t="n"/>
      <c r="H30" s="357" t="n"/>
      <c r="I30" s="357" t="n"/>
      <c r="J30" s="357" t="n"/>
      <c r="K30" s="357" t="n"/>
      <c r="L30" s="357" t="n"/>
      <c r="M30" s="357" t="n"/>
      <c r="N30" s="357" t="n"/>
      <c r="O30" s="357" t="n"/>
      <c r="P30" s="357" t="n"/>
      <c r="Q30" s="357" t="n"/>
      <c r="R30" s="357" t="n"/>
      <c r="S30" s="357" t="n"/>
      <c r="T30" s="357" t="n"/>
      <c r="U30" s="357" t="n"/>
      <c r="V30" s="357" t="n"/>
      <c r="W30" s="357" t="n"/>
      <c r="X30" s="357" t="n"/>
      <c r="Y30" s="357" t="n"/>
      <c r="Z30" s="357" t="n"/>
      <c r="AA30" s="357" t="n"/>
      <c r="AB30" s="357" t="n"/>
      <c r="AC30" s="357" t="n"/>
      <c r="AD30" s="357" t="n"/>
      <c r="AE30" s="357" t="n"/>
      <c r="AF30" s="357" t="n"/>
      <c r="AG30" s="357" t="n"/>
      <c r="AH30" s="357" t="n"/>
      <c r="AI30" s="357" t="n"/>
      <c r="AJ30" s="357" t="n"/>
      <c r="AK30" s="357" t="n"/>
      <c r="AL30" s="357" t="n"/>
      <c r="AM30" s="357" t="n"/>
      <c r="AN30" s="357" t="n"/>
      <c r="AO30" s="357" t="n"/>
      <c r="AP30" s="357" t="n"/>
      <c r="AQ30" s="357" t="n"/>
      <c r="AR30" s="357" t="n"/>
      <c r="AS30" s="357" t="n"/>
      <c r="AT30" s="357" t="n"/>
      <c r="AU30" s="357" t="n"/>
      <c r="AV30" s="357" t="n"/>
      <c r="AW30" s="357" t="n"/>
      <c r="AX30" s="357" t="n"/>
    </row>
    <row r="31" ht="14" customHeight="1" thickBot="1">
      <c r="B31" s="141" t="inlineStr">
        <is>
          <t>Total Liabilities and Equity</t>
        </is>
      </c>
      <c r="C31" s="376">
        <f>C26+C23+C19</f>
        <v/>
      </c>
      <c r="D31" s="376">
        <f>D26+D23+D19</f>
        <v/>
      </c>
      <c r="E31" s="376">
        <f>E26+E23+E19</f>
        <v/>
      </c>
      <c r="F31" s="376">
        <f>F26+F23+F19</f>
        <v/>
      </c>
      <c r="G31" s="360" t="n"/>
      <c r="H31" s="376">
        <f>H26+H23+H19</f>
        <v/>
      </c>
      <c r="I31" s="376">
        <f>I26+I23+I19</f>
        <v/>
      </c>
      <c r="J31" s="376">
        <f>J26+J23+J19</f>
        <v/>
      </c>
      <c r="K31" s="376">
        <f>K26+K23+K19</f>
        <v/>
      </c>
      <c r="L31" s="376">
        <f>L26+L23+L19</f>
        <v/>
      </c>
      <c r="M31" s="376">
        <f>M26+M23+M19</f>
        <v/>
      </c>
      <c r="N31" s="376">
        <f>N26+N23+N19</f>
        <v/>
      </c>
      <c r="O31" s="376">
        <f>O26+O23+O19</f>
        <v/>
      </c>
      <c r="P31" s="376">
        <f>P26+P23+P19</f>
        <v/>
      </c>
      <c r="Q31" s="376">
        <f>Q26+Q23+Q19</f>
        <v/>
      </c>
      <c r="R31" s="376">
        <f>R26+R23+R19</f>
        <v/>
      </c>
      <c r="S31" s="376">
        <f>S26+S23+S19</f>
        <v/>
      </c>
      <c r="T31" s="376">
        <f>T26+T23+T19</f>
        <v/>
      </c>
      <c r="U31" s="376">
        <f>U26+U23+U19</f>
        <v/>
      </c>
      <c r="V31" s="376">
        <f>V26+V23+V19</f>
        <v/>
      </c>
      <c r="W31" s="376">
        <f>W26+W23+W19</f>
        <v/>
      </c>
      <c r="X31" s="376">
        <f>X26+X23+X19</f>
        <v/>
      </c>
      <c r="Y31" s="376">
        <f>Y26+Y23+Y19</f>
        <v/>
      </c>
      <c r="Z31" s="376">
        <f>Z26+Z23+Z19</f>
        <v/>
      </c>
      <c r="AA31" s="376">
        <f>AA26+AA23+AA19</f>
        <v/>
      </c>
      <c r="AB31" s="376">
        <f>AB26+AB23+AB19</f>
        <v/>
      </c>
      <c r="AC31" s="376">
        <f>AC26+AC23+AC19</f>
        <v/>
      </c>
      <c r="AD31" s="376">
        <f>AD26+AD23+AD19</f>
        <v/>
      </c>
      <c r="AE31" s="376">
        <f>AE26+AE23+AE19</f>
        <v/>
      </c>
      <c r="AF31" s="376">
        <f>AF26+AF23+AF19</f>
        <v/>
      </c>
      <c r="AG31" s="376">
        <f>AG26+AG23+AG19</f>
        <v/>
      </c>
      <c r="AH31" s="376">
        <f>AH26+AH23+AH19</f>
        <v/>
      </c>
      <c r="AI31" s="376">
        <f>AI26+AI23+AI19</f>
        <v/>
      </c>
      <c r="AJ31" s="376">
        <f>AJ26+AJ23+AJ19</f>
        <v/>
      </c>
      <c r="AK31" s="376">
        <f>AK26+AK23+AK19</f>
        <v/>
      </c>
      <c r="AL31" s="376">
        <f>AL26+AL23+AL19</f>
        <v/>
      </c>
      <c r="AM31" s="376">
        <f>AM26+AM23+AM19</f>
        <v/>
      </c>
      <c r="AN31" s="376">
        <f>AN26+AN23+AN19</f>
        <v/>
      </c>
      <c r="AO31" s="376">
        <f>AO26+AO23+AO19</f>
        <v/>
      </c>
      <c r="AP31" s="376">
        <f>AP26+AP23+AP19</f>
        <v/>
      </c>
      <c r="AQ31" s="376">
        <f>AQ26+AQ23+AQ19</f>
        <v/>
      </c>
      <c r="AR31" s="376">
        <f>AR26+AR23+AR19</f>
        <v/>
      </c>
      <c r="AS31" s="376">
        <f>AS26+AS23+AS19</f>
        <v/>
      </c>
      <c r="AT31" s="376">
        <f>AT26+AT23+AT19</f>
        <v/>
      </c>
      <c r="AU31" s="376">
        <f>AU26+AU23+AU19</f>
        <v/>
      </c>
      <c r="AV31" s="376">
        <f>AV26+AV23+AV19</f>
        <v/>
      </c>
      <c r="AW31" s="376">
        <f>AW26+AW23+AW19</f>
        <v/>
      </c>
      <c r="AX31" s="376">
        <f>AX26+AX23+AX19</f>
        <v/>
      </c>
    </row>
    <row r="32" ht="14" customHeight="1" thickTop="1">
      <c r="C32" s="357" t="n"/>
      <c r="D32" s="357" t="n"/>
      <c r="E32" s="357" t="n"/>
      <c r="F32" s="357" t="n"/>
      <c r="G32" s="358" t="n"/>
      <c r="H32" s="357" t="n"/>
      <c r="I32" s="357" t="n"/>
      <c r="J32" s="357" t="n"/>
      <c r="K32" s="357" t="n"/>
      <c r="L32" s="357" t="n"/>
      <c r="M32" s="357" t="n"/>
      <c r="N32" s="357" t="n"/>
      <c r="O32" s="357" t="n"/>
      <c r="P32" s="357" t="n"/>
      <c r="Q32" s="357" t="n"/>
      <c r="R32" s="357" t="n"/>
      <c r="S32" s="357" t="n"/>
      <c r="T32" s="357" t="n"/>
      <c r="U32" s="357" t="n"/>
      <c r="V32" s="357" t="n"/>
      <c r="W32" s="357" t="n"/>
      <c r="X32" s="357" t="n"/>
      <c r="Y32" s="357" t="n"/>
      <c r="Z32" s="357" t="n"/>
      <c r="AA32" s="357" t="n"/>
      <c r="AB32" s="357" t="n"/>
      <c r="AC32" s="357" t="n"/>
      <c r="AD32" s="357" t="n"/>
      <c r="AE32" s="357" t="n"/>
      <c r="AF32" s="357" t="n"/>
      <c r="AG32" s="357" t="n"/>
      <c r="AH32" s="357" t="n"/>
      <c r="AI32" s="357" t="n"/>
      <c r="AJ32" s="357" t="n"/>
      <c r="AK32" s="357" t="n"/>
      <c r="AL32" s="357" t="n"/>
      <c r="AM32" s="357" t="n"/>
      <c r="AN32" s="357" t="n"/>
      <c r="AO32" s="357" t="n"/>
      <c r="AP32" s="357" t="n"/>
      <c r="AQ32" s="357" t="n"/>
      <c r="AR32" s="357" t="n"/>
      <c r="AS32" s="357" t="n"/>
      <c r="AT32" s="357" t="n"/>
      <c r="AU32" s="357" t="n"/>
      <c r="AV32" s="357" t="n"/>
      <c r="AW32" s="357" t="n"/>
      <c r="AX32" s="357" t="n"/>
    </row>
    <row r="33" customFormat="1" s="148">
      <c r="B33" s="133" t="inlineStr">
        <is>
          <t>Check</t>
        </is>
      </c>
      <c r="C33" s="377">
        <f>C31-C17</f>
        <v/>
      </c>
      <c r="D33" s="377">
        <f>D31-D17</f>
        <v/>
      </c>
      <c r="E33" s="377">
        <f>E31-E17</f>
        <v/>
      </c>
      <c r="F33" s="377">
        <f>F31-F17</f>
        <v/>
      </c>
      <c r="G33" s="378" t="n"/>
      <c r="H33" s="377">
        <f>H31-H17</f>
        <v/>
      </c>
      <c r="I33" s="377">
        <f>I31-I17</f>
        <v/>
      </c>
      <c r="J33" s="377">
        <f>J31-J17</f>
        <v/>
      </c>
      <c r="K33" s="377">
        <f>K31-K17</f>
        <v/>
      </c>
      <c r="L33" s="377">
        <f>L31-L17</f>
        <v/>
      </c>
      <c r="M33" s="377">
        <f>M31-M17</f>
        <v/>
      </c>
      <c r="N33" s="377">
        <f>N31-N17</f>
        <v/>
      </c>
      <c r="O33" s="377">
        <f>O31-O17</f>
        <v/>
      </c>
      <c r="P33" s="377">
        <f>P31-P17</f>
        <v/>
      </c>
      <c r="Q33" s="377">
        <f>Q31-Q17</f>
        <v/>
      </c>
      <c r="R33" s="377">
        <f>R31-R17</f>
        <v/>
      </c>
      <c r="S33" s="377">
        <f>S31-S17</f>
        <v/>
      </c>
      <c r="T33" s="377">
        <f>T31-T17</f>
        <v/>
      </c>
      <c r="U33" s="377">
        <f>U31-U17</f>
        <v/>
      </c>
      <c r="V33" s="377">
        <f>V31-V17</f>
        <v/>
      </c>
      <c r="W33" s="377">
        <f>W31-W17</f>
        <v/>
      </c>
      <c r="X33" s="377">
        <f>X31-X17</f>
        <v/>
      </c>
      <c r="Y33" s="377">
        <f>Y31-Y17</f>
        <v/>
      </c>
      <c r="Z33" s="377">
        <f>Z31-Z17</f>
        <v/>
      </c>
      <c r="AA33" s="377">
        <f>AA31-AA17</f>
        <v/>
      </c>
      <c r="AB33" s="377">
        <f>AB31-AB17</f>
        <v/>
      </c>
      <c r="AC33" s="377">
        <f>AC31-AC17</f>
        <v/>
      </c>
      <c r="AD33" s="377">
        <f>AD31-AD17</f>
        <v/>
      </c>
      <c r="AE33" s="377">
        <f>AE31-AE17</f>
        <v/>
      </c>
      <c r="AF33" s="377">
        <f>AF31-AF17</f>
        <v/>
      </c>
      <c r="AG33" s="377">
        <f>AG31-AG17</f>
        <v/>
      </c>
      <c r="AH33" s="377">
        <f>AH31-AH17</f>
        <v/>
      </c>
      <c r="AI33" s="377">
        <f>AI31-AI17</f>
        <v/>
      </c>
      <c r="AJ33" s="377">
        <f>AJ31-AJ17</f>
        <v/>
      </c>
      <c r="AK33" s="377">
        <f>AK31-AK17</f>
        <v/>
      </c>
      <c r="AL33" s="377">
        <f>AL31-AL17</f>
        <v/>
      </c>
      <c r="AM33" s="377">
        <f>AM31-AM17</f>
        <v/>
      </c>
      <c r="AN33" s="377">
        <f>AN31-AN17</f>
        <v/>
      </c>
      <c r="AO33" s="377">
        <f>AO31-AO17</f>
        <v/>
      </c>
      <c r="AP33" s="377">
        <f>AP31-AP17</f>
        <v/>
      </c>
      <c r="AQ33" s="377">
        <f>AQ31-AQ17</f>
        <v/>
      </c>
      <c r="AR33" s="377">
        <f>AR31-AR17</f>
        <v/>
      </c>
      <c r="AS33" s="377">
        <f>AS31-AS17</f>
        <v/>
      </c>
      <c r="AT33" s="377">
        <f>AT31-AT17</f>
        <v/>
      </c>
      <c r="AU33" s="377">
        <f>AU31-AU17</f>
        <v/>
      </c>
      <c r="AV33" s="377">
        <f>AV31-AV17</f>
        <v/>
      </c>
      <c r="AW33" s="377">
        <f>AW31-AW17</f>
        <v/>
      </c>
      <c r="AX33" s="377">
        <f>AX31-AX17</f>
        <v/>
      </c>
    </row>
  </sheetData>
  <mergeCells count="7">
    <mergeCell ref="G5:G6"/>
    <mergeCell ref="E5:E6"/>
    <mergeCell ref="H5:H6"/>
    <mergeCell ref="F5:F6"/>
    <mergeCell ref="D5:D6"/>
    <mergeCell ref="B5:B6"/>
    <mergeCell ref="C5:C6"/>
  </mergeCells>
  <pageMargins left="0.7" right="0.7" top="0.75" bottom="0.75" header="0.3" footer="0.3"/>
  <pageSetup orientation="portrait" scale="1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W55"/>
  <sheetViews>
    <sheetView showGridLines="0" view="pageBreakPreview" zoomScaleNormal="97" zoomScaleSheetLayoutView="100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C44" sqref="C44:F44"/>
    </sheetView>
  </sheetViews>
  <sheetFormatPr baseColWidth="10" defaultColWidth="12.5" defaultRowHeight="13"/>
  <cols>
    <col width="4" customWidth="1" style="1" min="1" max="1"/>
    <col width="26" customWidth="1" style="1" min="2" max="2"/>
    <col width="12.5" customWidth="1" style="1" min="3" max="6"/>
    <col width="4.83203125" customWidth="1" style="1" min="7" max="7"/>
    <col width="12.5" customWidth="1" style="1" min="8" max="16384"/>
  </cols>
  <sheetData>
    <row r="2">
      <c r="B2" s="2">
        <f>DCF!B2</f>
        <v/>
      </c>
    </row>
    <row r="3">
      <c r="B3" s="2" t="inlineStr">
        <is>
          <t>Balance Sheet Schedules</t>
        </is>
      </c>
    </row>
    <row r="5">
      <c r="B5" s="305">
        <f t="array" ref="B5:B6">'Revenue Driver'!B5:B6</f>
        <v/>
      </c>
      <c r="C5" s="295">
        <f t="array" ref="C5:C6">'Revenue Driver'!C5:C6</f>
        <v/>
      </c>
      <c r="D5" s="295">
        <f t="array" ref="D5:D6">'Revenue Driver'!D5:D6</f>
        <v/>
      </c>
      <c r="E5" s="295">
        <f t="array" ref="E5:E6">'Revenue Driver'!E5:E6</f>
        <v/>
      </c>
      <c r="F5" s="295">
        <f t="array" ref="F5:F6">'Revenue Driver'!F5:F6</f>
        <v/>
      </c>
      <c r="G5" s="292" t="n"/>
      <c r="H5" s="7">
        <f t="array" ref="H5:H6">'Revenue Driver'!H5:H6</f>
        <v/>
      </c>
      <c r="I5" s="7">
        <f t="array" ref="I5:I6">'Revenue Driver'!I5:I6</f>
        <v/>
      </c>
      <c r="J5" s="7">
        <f t="array" ref="J5:J6">'Revenue Driver'!J5:J6</f>
        <v/>
      </c>
      <c r="K5" s="7">
        <f t="array" ref="K5:K6">'Revenue Driver'!K5:K6</f>
        <v/>
      </c>
      <c r="L5" s="7">
        <f t="array" ref="L5:L6">'Revenue Driver'!L5:L6</f>
        <v/>
      </c>
      <c r="M5" s="7">
        <f t="array" ref="M5:M6">'Revenue Driver'!M5:M6</f>
        <v/>
      </c>
      <c r="N5" s="7">
        <f t="array" ref="N5:N6">'Revenue Driver'!N5:N6</f>
        <v/>
      </c>
      <c r="O5" s="7">
        <f t="array" ref="O5:O6">'Revenue Driver'!O5:O6</f>
        <v/>
      </c>
      <c r="P5" s="7">
        <f t="array" ref="P5:P6">'Revenue Driver'!P5:P6</f>
        <v/>
      </c>
      <c r="Q5" s="7">
        <f t="array" ref="Q5:Q6">'Revenue Driver'!Q5:Q6</f>
        <v/>
      </c>
      <c r="R5" s="7">
        <f t="array" ref="R5:R6">'Revenue Driver'!R5:R6</f>
        <v/>
      </c>
      <c r="S5" s="7">
        <f t="array" ref="S5:S6">'Revenue Driver'!S5:S6</f>
        <v/>
      </c>
      <c r="T5" s="7">
        <f t="array" ref="T5:T6">'Revenue Driver'!T5:T6</f>
        <v/>
      </c>
      <c r="U5" s="7">
        <f t="array" ref="U5:U6">'Revenue Driver'!U5:U6</f>
        <v/>
      </c>
      <c r="V5" s="7">
        <f t="array" ref="V5:V6">'Revenue Driver'!V5:V6</f>
        <v/>
      </c>
      <c r="W5" s="7">
        <f t="array" ref="W5:W6">'Revenue Driver'!W5:W6</f>
        <v/>
      </c>
      <c r="X5" s="7">
        <f t="array" ref="X5:X6">'Revenue Driver'!X5:X6</f>
        <v/>
      </c>
      <c r="Y5" s="7">
        <f t="array" ref="Y5:Y6">'Revenue Driver'!Y5:Y6</f>
        <v/>
      </c>
      <c r="Z5" s="7">
        <f t="array" ref="Z5:Z6">'Revenue Driver'!Z5:Z6</f>
        <v/>
      </c>
      <c r="AA5" s="7">
        <f t="array" ref="AA5:AA6">'Revenue Driver'!AA5:AA6</f>
        <v/>
      </c>
      <c r="AB5" s="7">
        <f t="array" ref="AB5:AB6">'Revenue Driver'!AB5:AB6</f>
        <v/>
      </c>
      <c r="AC5" s="7">
        <f t="array" ref="AC5:AC6">'Revenue Driver'!AC5:AC6</f>
        <v/>
      </c>
      <c r="AD5" s="7">
        <f t="array" ref="AD5:AD6">'Revenue Driver'!AD5:AD6</f>
        <v/>
      </c>
      <c r="AE5" s="7">
        <f t="array" ref="AE5:AE6">'Revenue Driver'!AE5:AE6</f>
        <v/>
      </c>
      <c r="AF5" s="7">
        <f t="array" ref="AF5:AF6">'Revenue Driver'!AF5:AF6</f>
        <v/>
      </c>
      <c r="AG5" s="7">
        <f t="array" ref="AG5:AG6">'Revenue Driver'!AG5:AG6</f>
        <v/>
      </c>
      <c r="AH5" s="7">
        <f t="array" ref="AH5:AH6">'Revenue Driver'!AH5:AH6</f>
        <v/>
      </c>
      <c r="AI5" s="7">
        <f t="array" ref="AI5:AI6">'Revenue Driver'!AI5:AI6</f>
        <v/>
      </c>
      <c r="AJ5" s="7">
        <f t="array" ref="AJ5:AJ6">'Revenue Driver'!AJ5:AJ6</f>
        <v/>
      </c>
      <c r="AK5" s="7">
        <f t="array" ref="AK5:AK6">'Revenue Driver'!AK5:AK6</f>
        <v/>
      </c>
      <c r="AL5" s="7">
        <f t="array" ref="AL5:AL6">'Revenue Driver'!AL5:AL6</f>
        <v/>
      </c>
      <c r="AM5" s="7">
        <f t="array" ref="AM5:AM6">'Revenue Driver'!AM5:AM6</f>
        <v/>
      </c>
      <c r="AN5" s="7">
        <f t="array" ref="AN5:AN6">'Revenue Driver'!AN5:AN6</f>
        <v/>
      </c>
      <c r="AO5" s="7">
        <f t="array" ref="AO5:AO6">'Revenue Driver'!AO5:AO6</f>
        <v/>
      </c>
      <c r="AP5" s="7">
        <f t="array" ref="AP5:AP6">'Revenue Driver'!AP5:AP6</f>
        <v/>
      </c>
      <c r="AQ5" s="7">
        <f t="array" ref="AQ5:AQ6">'Revenue Driver'!AQ5:AQ6</f>
        <v/>
      </c>
      <c r="AR5" s="7">
        <f t="array" ref="AR5:AR6">'Revenue Driver'!AR5:AR6</f>
        <v/>
      </c>
      <c r="AS5" s="7">
        <f t="array" ref="AS5:AS6">'Revenue Driver'!AS5:AS6</f>
        <v/>
      </c>
      <c r="AT5" s="7">
        <f t="array" ref="AT5:AT6">'Revenue Driver'!AT5:AT6</f>
        <v/>
      </c>
      <c r="AU5" s="7">
        <f t="array" ref="AU5:AU6">'Revenue Driver'!AU5:AU6</f>
        <v/>
      </c>
      <c r="AV5" s="7">
        <f t="array" ref="AV5:AV6">'Revenue Driver'!AV5:AV6</f>
        <v/>
      </c>
      <c r="AW5" s="7">
        <f t="array" ref="AW5:AW6">'Revenue Driver'!AW5:AW6</f>
        <v/>
      </c>
    </row>
    <row r="6">
      <c r="H6" s="8" t="n">
        <v>45497</v>
      </c>
      <c r="I6" s="8" t="n">
        <v>45535</v>
      </c>
      <c r="J6" s="8" t="n">
        <v>45565</v>
      </c>
      <c r="K6" s="8" t="n">
        <v>45596</v>
      </c>
      <c r="L6" s="8" t="n">
        <v>45626</v>
      </c>
      <c r="M6" s="8" t="n">
        <v>45657</v>
      </c>
      <c r="N6" s="8" t="n">
        <v>45688</v>
      </c>
      <c r="O6" s="8" t="n">
        <v>45716</v>
      </c>
      <c r="P6" s="8" t="n">
        <v>45747</v>
      </c>
      <c r="Q6" s="8" t="n">
        <v>45777</v>
      </c>
      <c r="R6" s="8" t="n">
        <v>45808</v>
      </c>
      <c r="S6" s="8" t="n">
        <v>45838</v>
      </c>
      <c r="T6" s="8" t="n">
        <v>45869</v>
      </c>
      <c r="U6" s="8" t="n">
        <v>45900</v>
      </c>
      <c r="V6" s="8" t="n">
        <v>45930</v>
      </c>
      <c r="W6" s="8" t="n">
        <v>45961</v>
      </c>
      <c r="X6" s="8" t="n">
        <v>45991</v>
      </c>
      <c r="Y6" s="8" t="n">
        <v>46022</v>
      </c>
      <c r="Z6" s="8" t="n">
        <v>46053</v>
      </c>
      <c r="AA6" s="8" t="n">
        <v>46081</v>
      </c>
      <c r="AB6" s="8" t="n">
        <v>46112</v>
      </c>
      <c r="AC6" s="8" t="n">
        <v>46142</v>
      </c>
      <c r="AD6" s="8" t="n">
        <v>46173</v>
      </c>
      <c r="AE6" s="8" t="n">
        <v>46203</v>
      </c>
      <c r="AF6" s="8" t="n">
        <v>46234</v>
      </c>
      <c r="AG6" s="8" t="n">
        <v>46265</v>
      </c>
      <c r="AH6" s="8" t="n">
        <v>46295</v>
      </c>
      <c r="AI6" s="8" t="n">
        <v>46326</v>
      </c>
      <c r="AJ6" s="8" t="n">
        <v>46356</v>
      </c>
      <c r="AK6" s="8" t="n">
        <v>46387</v>
      </c>
      <c r="AL6" s="8" t="n">
        <v>46418</v>
      </c>
      <c r="AM6" s="8" t="n">
        <v>46446</v>
      </c>
      <c r="AN6" s="8" t="n">
        <v>46477</v>
      </c>
      <c r="AO6" s="8" t="n">
        <v>46507</v>
      </c>
      <c r="AP6" s="8" t="n">
        <v>46538</v>
      </c>
      <c r="AQ6" s="8" t="n">
        <v>46568</v>
      </c>
      <c r="AR6" s="8" t="n">
        <v>46599</v>
      </c>
      <c r="AS6" s="8" t="n">
        <v>46630</v>
      </c>
      <c r="AT6" s="8" t="n">
        <v>46660</v>
      </c>
      <c r="AU6" s="8" t="n">
        <v>46691</v>
      </c>
      <c r="AV6" s="8" t="n">
        <v>46721</v>
      </c>
      <c r="AW6" s="8" t="n">
        <v>46752</v>
      </c>
    </row>
    <row r="8">
      <c r="B8" s="149" t="inlineStr">
        <is>
          <t>Balancesheet Assumptions</t>
        </is>
      </c>
      <c r="C8" s="149" t="n"/>
      <c r="D8" s="149" t="n"/>
      <c r="E8" s="149" t="n"/>
      <c r="F8" s="149" t="n"/>
      <c r="G8" s="150" t="n"/>
      <c r="H8" s="149" t="n"/>
      <c r="I8" s="149" t="n"/>
      <c r="J8" s="149" t="n"/>
      <c r="K8" s="149" t="n"/>
      <c r="L8" s="149" t="n"/>
      <c r="M8" s="149" t="n"/>
      <c r="N8" s="149" t="n"/>
      <c r="O8" s="149" t="n"/>
      <c r="P8" s="149" t="n"/>
      <c r="Q8" s="149" t="n"/>
      <c r="R8" s="149" t="n"/>
      <c r="S8" s="149" t="n"/>
      <c r="T8" s="149" t="n"/>
      <c r="U8" s="149" t="n"/>
      <c r="V8" s="149" t="n"/>
      <c r="W8" s="149" t="n"/>
      <c r="X8" s="149" t="n"/>
      <c r="Y8" s="149" t="n"/>
      <c r="Z8" s="149" t="n"/>
      <c r="AA8" s="149" t="n"/>
      <c r="AB8" s="149" t="n"/>
      <c r="AC8" s="149" t="n"/>
      <c r="AD8" s="149" t="n"/>
      <c r="AE8" s="149" t="n"/>
      <c r="AF8" s="149" t="n"/>
      <c r="AG8" s="149" t="n"/>
      <c r="AH8" s="149" t="n"/>
      <c r="AI8" s="149" t="n"/>
      <c r="AJ8" s="149" t="n"/>
      <c r="AK8" s="149" t="n"/>
      <c r="AL8" s="149" t="n"/>
      <c r="AM8" s="149" t="n"/>
      <c r="AN8" s="149" t="n"/>
      <c r="AO8" s="149" t="n"/>
      <c r="AP8" s="149" t="n"/>
      <c r="AQ8" s="149" t="n"/>
      <c r="AR8" s="149" t="n"/>
      <c r="AS8" s="149" t="n"/>
      <c r="AT8" s="149" t="n"/>
      <c r="AU8" s="149" t="n"/>
      <c r="AV8" s="149" t="n"/>
      <c r="AW8" s="149" t="n"/>
    </row>
    <row r="10">
      <c r="B10" s="2" t="inlineStr">
        <is>
          <t>Fixed Assets</t>
        </is>
      </c>
    </row>
    <row r="11">
      <c r="B11" s="1" t="inlineStr">
        <is>
          <t>Opening Balance</t>
        </is>
      </c>
      <c r="C11" s="327">
        <f>H11</f>
        <v/>
      </c>
      <c r="D11" s="327">
        <f>C15</f>
        <v/>
      </c>
      <c r="E11" s="327">
        <f>D15</f>
        <v/>
      </c>
      <c r="F11" s="327">
        <f>E15</f>
        <v/>
      </c>
      <c r="G11" s="357" t="n"/>
      <c r="H11" s="379">
        <f>'Balance Sheet'!H14</f>
        <v/>
      </c>
      <c r="I11" s="362">
        <f>H15</f>
        <v/>
      </c>
      <c r="J11" s="362">
        <f>I15</f>
        <v/>
      </c>
      <c r="K11" s="362">
        <f>J15</f>
        <v/>
      </c>
      <c r="L11" s="362">
        <f>K15</f>
        <v/>
      </c>
      <c r="M11" s="362">
        <f>L15</f>
        <v/>
      </c>
      <c r="N11" s="362">
        <f>M15</f>
        <v/>
      </c>
      <c r="O11" s="362">
        <f>N15</f>
        <v/>
      </c>
      <c r="P11" s="362">
        <f>O15</f>
        <v/>
      </c>
      <c r="Q11" s="362">
        <f>P15</f>
        <v/>
      </c>
      <c r="R11" s="362">
        <f>Q15</f>
        <v/>
      </c>
      <c r="S11" s="362">
        <f>R15</f>
        <v/>
      </c>
      <c r="T11" s="362">
        <f>S15</f>
        <v/>
      </c>
      <c r="U11" s="362">
        <f>T15</f>
        <v/>
      </c>
      <c r="V11" s="362">
        <f>U15</f>
        <v/>
      </c>
      <c r="W11" s="362">
        <f>V15</f>
        <v/>
      </c>
      <c r="X11" s="362">
        <f>W15</f>
        <v/>
      </c>
      <c r="Y11" s="362">
        <f>X15</f>
        <v/>
      </c>
      <c r="Z11" s="362">
        <f>Y15</f>
        <v/>
      </c>
      <c r="AA11" s="362">
        <f>Z15</f>
        <v/>
      </c>
      <c r="AB11" s="362">
        <f>AA15</f>
        <v/>
      </c>
      <c r="AC11" s="362">
        <f>AB15</f>
        <v/>
      </c>
      <c r="AD11" s="362">
        <f>AC15</f>
        <v/>
      </c>
      <c r="AE11" s="362">
        <f>AD15</f>
        <v/>
      </c>
      <c r="AF11" s="362">
        <f>AE15</f>
        <v/>
      </c>
      <c r="AG11" s="362">
        <f>AF15</f>
        <v/>
      </c>
      <c r="AH11" s="362">
        <f>AG15</f>
        <v/>
      </c>
      <c r="AI11" s="362">
        <f>AH15</f>
        <v/>
      </c>
      <c r="AJ11" s="362">
        <f>AI15</f>
        <v/>
      </c>
      <c r="AK11" s="362">
        <f>AJ15</f>
        <v/>
      </c>
      <c r="AL11" s="362">
        <f>AK15</f>
        <v/>
      </c>
      <c r="AM11" s="362">
        <f>AL15</f>
        <v/>
      </c>
      <c r="AN11" s="362">
        <f>AM15</f>
        <v/>
      </c>
      <c r="AO11" s="362">
        <f>AN15</f>
        <v/>
      </c>
      <c r="AP11" s="362">
        <f>AO15</f>
        <v/>
      </c>
      <c r="AQ11" s="362">
        <f>AP15</f>
        <v/>
      </c>
      <c r="AR11" s="362">
        <f>AQ15</f>
        <v/>
      </c>
      <c r="AS11" s="362">
        <f>AR15</f>
        <v/>
      </c>
      <c r="AT11" s="362">
        <f>AS15</f>
        <v/>
      </c>
      <c r="AU11" s="362">
        <f>AT15</f>
        <v/>
      </c>
      <c r="AV11" s="362">
        <f>AU15</f>
        <v/>
      </c>
      <c r="AW11" s="362">
        <f>AV15</f>
        <v/>
      </c>
    </row>
    <row r="12">
      <c r="B12" s="1" t="inlineStr">
        <is>
          <t>Additions</t>
        </is>
      </c>
      <c r="C12" s="327">
        <f>SUMIF($H$5:$AW$5,C$5,$H12:$AW12)</f>
        <v/>
      </c>
      <c r="D12" s="327">
        <f>SUMIF($H$5:$AW$5,D$5,$H12:$AW12)</f>
        <v/>
      </c>
      <c r="E12" s="327">
        <f>SUMIF($H$5:$AW$5,E$5,$H12:$AW12)</f>
        <v/>
      </c>
      <c r="F12" s="327">
        <f>SUMIF($H$5:$AW$5,F$5,$H12:$AW12)</f>
        <v/>
      </c>
      <c r="G12" s="357" t="n"/>
      <c r="H12" s="362">
        <f>H11*H17/12</f>
        <v/>
      </c>
      <c r="I12" s="362">
        <f>I11*I17/12</f>
        <v/>
      </c>
      <c r="J12" s="362">
        <f>J11*J17/12</f>
        <v/>
      </c>
      <c r="K12" s="362">
        <f>K11*K17/12</f>
        <v/>
      </c>
      <c r="L12" s="362">
        <f>L11*L17/12</f>
        <v/>
      </c>
      <c r="M12" s="362">
        <f>M11*M17/12</f>
        <v/>
      </c>
      <c r="N12" s="362">
        <f>N11*N17/12</f>
        <v/>
      </c>
      <c r="O12" s="362">
        <f>O11*O17/12</f>
        <v/>
      </c>
      <c r="P12" s="362">
        <f>P11*P17/12</f>
        <v/>
      </c>
      <c r="Q12" s="362">
        <f>Q11*Q17/12</f>
        <v/>
      </c>
      <c r="R12" s="362">
        <f>R11*R17/12</f>
        <v/>
      </c>
      <c r="S12" s="362">
        <f>S11*S17/12</f>
        <v/>
      </c>
      <c r="T12" s="362">
        <f>T11*T17/12</f>
        <v/>
      </c>
      <c r="U12" s="362">
        <f>U11*U17/12</f>
        <v/>
      </c>
      <c r="V12" s="362">
        <f>V11*V17/12</f>
        <v/>
      </c>
      <c r="W12" s="362">
        <f>W11*W17/12</f>
        <v/>
      </c>
      <c r="X12" s="362">
        <f>X11*X17/12</f>
        <v/>
      </c>
      <c r="Y12" s="362">
        <f>Y11*Y17/12</f>
        <v/>
      </c>
      <c r="Z12" s="362">
        <f>Z11*Z17/12</f>
        <v/>
      </c>
      <c r="AA12" s="362">
        <f>AA11*AA17/12</f>
        <v/>
      </c>
      <c r="AB12" s="362">
        <f>AB11*AB17/12</f>
        <v/>
      </c>
      <c r="AC12" s="362">
        <f>AC11*AC17/12</f>
        <v/>
      </c>
      <c r="AD12" s="362">
        <f>AD11*AD17/12</f>
        <v/>
      </c>
      <c r="AE12" s="362">
        <f>AE11*AE17/12</f>
        <v/>
      </c>
      <c r="AF12" s="362">
        <f>AF11*AF17/12</f>
        <v/>
      </c>
      <c r="AG12" s="362">
        <f>AG11*AG17/12</f>
        <v/>
      </c>
      <c r="AH12" s="362">
        <f>AH11*AH17/12</f>
        <v/>
      </c>
      <c r="AI12" s="362">
        <f>AI11*AI17/12</f>
        <v/>
      </c>
      <c r="AJ12" s="362">
        <f>AJ11*AJ17/12</f>
        <v/>
      </c>
      <c r="AK12" s="362">
        <f>AK11*AK17/12</f>
        <v/>
      </c>
      <c r="AL12" s="362">
        <f>AL11*AL17/12</f>
        <v/>
      </c>
      <c r="AM12" s="362">
        <f>AM11*AM17/12</f>
        <v/>
      </c>
      <c r="AN12" s="362">
        <f>AN11*AN17/12</f>
        <v/>
      </c>
      <c r="AO12" s="362">
        <f>AO11*AO17/12</f>
        <v/>
      </c>
      <c r="AP12" s="362">
        <f>AP11*AP17/12</f>
        <v/>
      </c>
      <c r="AQ12" s="362">
        <f>AQ11*AQ17/12</f>
        <v/>
      </c>
      <c r="AR12" s="362">
        <f>AR11*AR17/12</f>
        <v/>
      </c>
      <c r="AS12" s="362">
        <f>AS11*AS17/12</f>
        <v/>
      </c>
      <c r="AT12" s="362">
        <f>AT11*AT17/12</f>
        <v/>
      </c>
      <c r="AU12" s="362">
        <f>AU11*AU17/12</f>
        <v/>
      </c>
      <c r="AV12" s="362">
        <f>AV11*AV17/12</f>
        <v/>
      </c>
      <c r="AW12" s="362">
        <f>AW11*AW17/12</f>
        <v/>
      </c>
    </row>
    <row r="13">
      <c r="B13" s="1" t="inlineStr">
        <is>
          <t>Depreciation for the Year</t>
        </is>
      </c>
      <c r="C13" s="362">
        <f>SUMIF($H$5:$AW$5,C$5,$H13:$AW13)</f>
        <v/>
      </c>
      <c r="D13" s="362">
        <f>SUMIF($H$5:$AW$5,D$5,$H13:$AW13)</f>
        <v/>
      </c>
      <c r="E13" s="362">
        <f>SUMIF($H$5:$AW$5,E$5,$H13:$AW13)</f>
        <v/>
      </c>
      <c r="F13" s="362">
        <f>SUMIF($H$5:$AW$5,F$5,$H13:$AW13)</f>
        <v/>
      </c>
      <c r="G13" s="357" t="n"/>
      <c r="H13" s="362">
        <f>SUM(H11:H12)*-H18/12</f>
        <v/>
      </c>
      <c r="I13" s="362">
        <f>SUM(I11:I12)*-I18/12</f>
        <v/>
      </c>
      <c r="J13" s="362">
        <f>SUM(J11:J12)*-J18/12</f>
        <v/>
      </c>
      <c r="K13" s="362">
        <f>SUM(K11:K12)*-K18/12</f>
        <v/>
      </c>
      <c r="L13" s="362">
        <f>SUM(L11:L12)*-L18/12</f>
        <v/>
      </c>
      <c r="M13" s="362">
        <f>SUM(M11:M12)*-M18/12</f>
        <v/>
      </c>
      <c r="N13" s="362">
        <f>SUM(N11:N12)*-N18/12</f>
        <v/>
      </c>
      <c r="O13" s="362">
        <f>SUM(O11:O12)*-O18/12</f>
        <v/>
      </c>
      <c r="P13" s="362">
        <f>SUM(P11:P12)*-P18/12</f>
        <v/>
      </c>
      <c r="Q13" s="362">
        <f>SUM(Q11:Q12)*-Q18/12</f>
        <v/>
      </c>
      <c r="R13" s="362">
        <f>SUM(R11:R12)*-R18/12</f>
        <v/>
      </c>
      <c r="S13" s="362">
        <f>SUM(S11:S12)*-S18/12</f>
        <v/>
      </c>
      <c r="T13" s="362">
        <f>SUM(T11:T12)*-T18/12</f>
        <v/>
      </c>
      <c r="U13" s="362">
        <f>SUM(U11:U12)*-U18/12</f>
        <v/>
      </c>
      <c r="V13" s="362">
        <f>SUM(V11:V12)*-V18/12</f>
        <v/>
      </c>
      <c r="W13" s="362">
        <f>SUM(W11:W12)*-W18/12</f>
        <v/>
      </c>
      <c r="X13" s="362">
        <f>SUM(X11:X12)*-X18/12</f>
        <v/>
      </c>
      <c r="Y13" s="362">
        <f>SUM(Y11:Y12)*-Y18/12</f>
        <v/>
      </c>
      <c r="Z13" s="362">
        <f>SUM(Z11:Z12)*-Z18/12</f>
        <v/>
      </c>
      <c r="AA13" s="362">
        <f>SUM(AA11:AA12)*-AA18/12</f>
        <v/>
      </c>
      <c r="AB13" s="362">
        <f>SUM(AB11:AB12)*-AB18/12</f>
        <v/>
      </c>
      <c r="AC13" s="362">
        <f>SUM(AC11:AC12)*-AC18/12</f>
        <v/>
      </c>
      <c r="AD13" s="362">
        <f>SUM(AD11:AD12)*-AD18/12</f>
        <v/>
      </c>
      <c r="AE13" s="362">
        <f>SUM(AE11:AE12)*-AE18/12</f>
        <v/>
      </c>
      <c r="AF13" s="362">
        <f>SUM(AF11:AF12)*-AF18/12</f>
        <v/>
      </c>
      <c r="AG13" s="362">
        <f>SUM(AG11:AG12)*-AG18/12</f>
        <v/>
      </c>
      <c r="AH13" s="362">
        <f>SUM(AH11:AH12)*-AH18/12</f>
        <v/>
      </c>
      <c r="AI13" s="362">
        <f>SUM(AI11:AI12)*-AI18/12</f>
        <v/>
      </c>
      <c r="AJ13" s="362">
        <f>SUM(AJ11:AJ12)*-AJ18/12</f>
        <v/>
      </c>
      <c r="AK13" s="362">
        <f>SUM(AK11:AK12)*-AK18/12</f>
        <v/>
      </c>
      <c r="AL13" s="362">
        <f>SUM(AL11:AL12)*-AL18/12</f>
        <v/>
      </c>
      <c r="AM13" s="362">
        <f>SUM(AM11:AM12)*-AM18/12</f>
        <v/>
      </c>
      <c r="AN13" s="362">
        <f>SUM(AN11:AN12)*-AN18/12</f>
        <v/>
      </c>
      <c r="AO13" s="362">
        <f>SUM(AO11:AO12)*-AO18/12</f>
        <v/>
      </c>
      <c r="AP13" s="362">
        <f>SUM(AP11:AP12)*-AP18/12</f>
        <v/>
      </c>
      <c r="AQ13" s="362">
        <f>SUM(AQ11:AQ12)*-AQ18/12</f>
        <v/>
      </c>
      <c r="AR13" s="362">
        <f>SUM(AR11:AR12)*-AR18/12</f>
        <v/>
      </c>
      <c r="AS13" s="362">
        <f>SUM(AS11:AS12)*-AS18/12</f>
        <v/>
      </c>
      <c r="AT13" s="362">
        <f>SUM(AT11:AT12)*-AT18/12</f>
        <v/>
      </c>
      <c r="AU13" s="362">
        <f>SUM(AU11:AU12)*-AU18/12</f>
        <v/>
      </c>
      <c r="AV13" s="362">
        <f>SUM(AV11:AV12)*-AV18/12</f>
        <v/>
      </c>
      <c r="AW13" s="362">
        <f>SUM(AW11:AW12)*-AW18/12</f>
        <v/>
      </c>
    </row>
    <row r="14">
      <c r="C14" s="362" t="n"/>
      <c r="D14" s="362" t="n"/>
      <c r="E14" s="362" t="n"/>
      <c r="F14" s="362" t="n"/>
      <c r="G14" s="357" t="n"/>
      <c r="H14" s="362" t="n"/>
      <c r="I14" s="362" t="n"/>
      <c r="J14" s="362" t="n"/>
      <c r="K14" s="362" t="n"/>
      <c r="L14" s="362" t="n"/>
      <c r="M14" s="362" t="n"/>
      <c r="N14" s="362" t="n"/>
      <c r="O14" s="362" t="n"/>
      <c r="P14" s="362" t="n"/>
      <c r="Q14" s="362" t="n"/>
      <c r="R14" s="362" t="n"/>
      <c r="S14" s="362" t="n"/>
      <c r="T14" s="362" t="n"/>
      <c r="U14" s="362" t="n"/>
      <c r="V14" s="362" t="n"/>
      <c r="W14" s="362" t="n"/>
      <c r="X14" s="362" t="n"/>
      <c r="Y14" s="362" t="n"/>
      <c r="Z14" s="362" t="n"/>
      <c r="AA14" s="362" t="n"/>
      <c r="AB14" s="362" t="n"/>
      <c r="AC14" s="362" t="n"/>
      <c r="AD14" s="362" t="n"/>
      <c r="AE14" s="362" t="n"/>
      <c r="AF14" s="362" t="n"/>
      <c r="AG14" s="362" t="n"/>
      <c r="AH14" s="362" t="n"/>
      <c r="AI14" s="362" t="n"/>
      <c r="AJ14" s="362" t="n"/>
      <c r="AK14" s="362" t="n"/>
      <c r="AL14" s="362" t="n"/>
      <c r="AM14" s="362" t="n"/>
      <c r="AN14" s="362" t="n"/>
      <c r="AO14" s="362" t="n"/>
      <c r="AP14" s="362" t="n"/>
      <c r="AQ14" s="362" t="n"/>
      <c r="AR14" s="362" t="n"/>
      <c r="AS14" s="362" t="n"/>
      <c r="AT14" s="362" t="n"/>
      <c r="AU14" s="362" t="n"/>
      <c r="AV14" s="362" t="n"/>
      <c r="AW14" s="362" t="n"/>
    </row>
    <row r="15">
      <c r="B15" s="152" t="inlineStr">
        <is>
          <t>Net Block</t>
        </is>
      </c>
      <c r="C15" s="365">
        <f>SUM(C11:C13)</f>
        <v/>
      </c>
      <c r="D15" s="365">
        <f>SUM(D11:D13)</f>
        <v/>
      </c>
      <c r="E15" s="365">
        <f>SUM(E11:E13)</f>
        <v/>
      </c>
      <c r="F15" s="365">
        <f>SUM(F11:F13)</f>
        <v/>
      </c>
      <c r="G15" s="374" t="n"/>
      <c r="H15" s="366">
        <f>SUM(H11:H13)</f>
        <v/>
      </c>
      <c r="I15" s="366">
        <f>SUM(I11:I13)</f>
        <v/>
      </c>
      <c r="J15" s="366">
        <f>SUM(J11:J13)</f>
        <v/>
      </c>
      <c r="K15" s="366">
        <f>SUM(K11:K13)</f>
        <v/>
      </c>
      <c r="L15" s="366">
        <f>SUM(L11:L13)</f>
        <v/>
      </c>
      <c r="M15" s="366">
        <f>SUM(M11:M13)</f>
        <v/>
      </c>
      <c r="N15" s="366">
        <f>SUM(N11:N13)</f>
        <v/>
      </c>
      <c r="O15" s="366">
        <f>SUM(O11:O13)</f>
        <v/>
      </c>
      <c r="P15" s="366">
        <f>SUM(P11:P13)</f>
        <v/>
      </c>
      <c r="Q15" s="366">
        <f>SUM(Q11:Q13)</f>
        <v/>
      </c>
      <c r="R15" s="366">
        <f>SUM(R11:R13)</f>
        <v/>
      </c>
      <c r="S15" s="366">
        <f>SUM(S11:S13)</f>
        <v/>
      </c>
      <c r="T15" s="366">
        <f>SUM(T11:T13)</f>
        <v/>
      </c>
      <c r="U15" s="366">
        <f>SUM(U11:U13)</f>
        <v/>
      </c>
      <c r="V15" s="366">
        <f>SUM(V11:V13)</f>
        <v/>
      </c>
      <c r="W15" s="366">
        <f>SUM(W11:W13)</f>
        <v/>
      </c>
      <c r="X15" s="366">
        <f>SUM(X11:X13)</f>
        <v/>
      </c>
      <c r="Y15" s="366">
        <f>SUM(Y11:Y13)</f>
        <v/>
      </c>
      <c r="Z15" s="366">
        <f>SUM(Z11:Z13)</f>
        <v/>
      </c>
      <c r="AA15" s="366">
        <f>SUM(AA11:AA13)</f>
        <v/>
      </c>
      <c r="AB15" s="366">
        <f>SUM(AB11:AB13)</f>
        <v/>
      </c>
      <c r="AC15" s="366">
        <f>SUM(AC11:AC13)</f>
        <v/>
      </c>
      <c r="AD15" s="366">
        <f>SUM(AD11:AD13)</f>
        <v/>
      </c>
      <c r="AE15" s="366">
        <f>SUM(AE11:AE13)</f>
        <v/>
      </c>
      <c r="AF15" s="366">
        <f>SUM(AF11:AF13)</f>
        <v/>
      </c>
      <c r="AG15" s="366">
        <f>SUM(AG11:AG13)</f>
        <v/>
      </c>
      <c r="AH15" s="366">
        <f>SUM(AH11:AH13)</f>
        <v/>
      </c>
      <c r="AI15" s="366">
        <f>SUM(AI11:AI13)</f>
        <v/>
      </c>
      <c r="AJ15" s="366">
        <f>SUM(AJ11:AJ13)</f>
        <v/>
      </c>
      <c r="AK15" s="366">
        <f>SUM(AK11:AK13)</f>
        <v/>
      </c>
      <c r="AL15" s="366">
        <f>SUM(AL11:AL13)</f>
        <v/>
      </c>
      <c r="AM15" s="366">
        <f>SUM(AM11:AM13)</f>
        <v/>
      </c>
      <c r="AN15" s="366">
        <f>SUM(AN11:AN13)</f>
        <v/>
      </c>
      <c r="AO15" s="366">
        <f>SUM(AO11:AO13)</f>
        <v/>
      </c>
      <c r="AP15" s="366">
        <f>SUM(AP11:AP13)</f>
        <v/>
      </c>
      <c r="AQ15" s="366">
        <f>SUM(AQ11:AQ13)</f>
        <v/>
      </c>
      <c r="AR15" s="366">
        <f>SUM(AR11:AR13)</f>
        <v/>
      </c>
      <c r="AS15" s="366">
        <f>SUM(AS11:AS13)</f>
        <v/>
      </c>
      <c r="AT15" s="366">
        <f>SUM(AT11:AT13)</f>
        <v/>
      </c>
      <c r="AU15" s="366">
        <f>SUM(AU11:AU13)</f>
        <v/>
      </c>
      <c r="AV15" s="366">
        <f>SUM(AV11:AV13)</f>
        <v/>
      </c>
      <c r="AW15" s="366">
        <f>SUM(AW11:AW13)</f>
        <v/>
      </c>
    </row>
    <row r="16">
      <c r="B16" s="153" t="n"/>
    </row>
    <row r="17">
      <c r="B17" s="1" t="inlineStr">
        <is>
          <t>Capex as % of Revenue</t>
        </is>
      </c>
      <c r="C17" s="107" t="n"/>
      <c r="D17" s="107" t="n"/>
      <c r="E17" s="107" t="n"/>
      <c r="F17" s="107" t="n"/>
      <c r="H17" s="154" t="n">
        <v>0.05</v>
      </c>
      <c r="I17" s="154" t="n">
        <v>0.05</v>
      </c>
      <c r="J17" s="154" t="n">
        <v>0.05</v>
      </c>
      <c r="K17" s="154" t="n">
        <v>0.05</v>
      </c>
      <c r="L17" s="154" t="n">
        <v>0.05</v>
      </c>
      <c r="M17" s="154" t="n">
        <v>0.05</v>
      </c>
      <c r="N17" s="154" t="n">
        <v>0.05</v>
      </c>
      <c r="O17" s="154" t="n">
        <v>0.05</v>
      </c>
      <c r="P17" s="154" t="n">
        <v>0.05</v>
      </c>
      <c r="Q17" s="154" t="n">
        <v>0.05</v>
      </c>
      <c r="R17" s="154" t="n">
        <v>0.05</v>
      </c>
      <c r="S17" s="154" t="n">
        <v>0.05</v>
      </c>
      <c r="T17" s="154" t="n">
        <v>0.05</v>
      </c>
      <c r="U17" s="154" t="n">
        <v>0.05</v>
      </c>
      <c r="V17" s="154" t="n">
        <v>0.05</v>
      </c>
      <c r="W17" s="154" t="n">
        <v>0.05</v>
      </c>
      <c r="X17" s="154" t="n">
        <v>0.05</v>
      </c>
      <c r="Y17" s="154" t="n">
        <v>0.05</v>
      </c>
      <c r="Z17" s="154" t="n">
        <v>0.05</v>
      </c>
      <c r="AA17" s="154" t="n">
        <v>0.05</v>
      </c>
      <c r="AB17" s="154" t="n">
        <v>0.05</v>
      </c>
      <c r="AC17" s="154" t="n">
        <v>0.05</v>
      </c>
      <c r="AD17" s="154" t="n">
        <v>0.05</v>
      </c>
      <c r="AE17" s="154" t="n">
        <v>0.05</v>
      </c>
      <c r="AF17" s="154" t="n">
        <v>0.05</v>
      </c>
      <c r="AG17" s="154" t="n">
        <v>0.05</v>
      </c>
      <c r="AH17" s="154" t="n">
        <v>0.05</v>
      </c>
      <c r="AI17" s="154" t="n">
        <v>0.05</v>
      </c>
      <c r="AJ17" s="154" t="n">
        <v>0.05</v>
      </c>
      <c r="AK17" s="154" t="n">
        <v>0.05</v>
      </c>
      <c r="AL17" s="154" t="n">
        <v>0.05</v>
      </c>
      <c r="AM17" s="154" t="n">
        <v>0.05</v>
      </c>
      <c r="AN17" s="154" t="n">
        <v>0.05</v>
      </c>
      <c r="AO17" s="154" t="n">
        <v>0.05</v>
      </c>
      <c r="AP17" s="154" t="n">
        <v>0.05</v>
      </c>
      <c r="AQ17" s="154" t="n">
        <v>0.05</v>
      </c>
      <c r="AR17" s="154" t="n">
        <v>0.05</v>
      </c>
      <c r="AS17" s="154" t="n">
        <v>0.05</v>
      </c>
      <c r="AT17" s="154" t="n">
        <v>0.05</v>
      </c>
      <c r="AU17" s="154" t="n">
        <v>0.05</v>
      </c>
      <c r="AV17" s="154" t="n">
        <v>0.05</v>
      </c>
      <c r="AW17" s="154" t="n">
        <v>0.05</v>
      </c>
    </row>
    <row r="18">
      <c r="B18" s="1" t="inlineStr">
        <is>
          <t>Depreciation Rate</t>
        </is>
      </c>
      <c r="C18" s="107" t="n"/>
      <c r="D18" s="107" t="n"/>
      <c r="E18" s="107" t="n"/>
      <c r="F18" s="107" t="n"/>
      <c r="H18" s="154" t="n">
        <v>0.1</v>
      </c>
      <c r="I18" s="154" t="n">
        <v>0.1</v>
      </c>
      <c r="J18" s="154" t="n">
        <v>0.1</v>
      </c>
      <c r="K18" s="154" t="n">
        <v>0.1</v>
      </c>
      <c r="L18" s="154" t="n">
        <v>0.1</v>
      </c>
      <c r="M18" s="154" t="n">
        <v>0.1</v>
      </c>
      <c r="N18" s="154" t="n">
        <v>0.1</v>
      </c>
      <c r="O18" s="154" t="n">
        <v>0.1</v>
      </c>
      <c r="P18" s="154" t="n">
        <v>0.1</v>
      </c>
      <c r="Q18" s="154" t="n">
        <v>0.1</v>
      </c>
      <c r="R18" s="154" t="n">
        <v>0.1</v>
      </c>
      <c r="S18" s="154" t="n">
        <v>0.1</v>
      </c>
      <c r="T18" s="154" t="n">
        <v>0.1</v>
      </c>
      <c r="U18" s="154" t="n">
        <v>0.1</v>
      </c>
      <c r="V18" s="154" t="n">
        <v>0.1</v>
      </c>
      <c r="W18" s="154" t="n">
        <v>0.1</v>
      </c>
      <c r="X18" s="154" t="n">
        <v>0.1</v>
      </c>
      <c r="Y18" s="154" t="n">
        <v>0.1</v>
      </c>
      <c r="Z18" s="154" t="n">
        <v>0.1</v>
      </c>
      <c r="AA18" s="154" t="n">
        <v>0.1</v>
      </c>
      <c r="AB18" s="154" t="n">
        <v>0.1</v>
      </c>
      <c r="AC18" s="154" t="n">
        <v>0.1</v>
      </c>
      <c r="AD18" s="154" t="n">
        <v>0.1</v>
      </c>
      <c r="AE18" s="154" t="n">
        <v>0.1</v>
      </c>
      <c r="AF18" s="154" t="n">
        <v>0.1</v>
      </c>
      <c r="AG18" s="154" t="n">
        <v>0.1</v>
      </c>
      <c r="AH18" s="154" t="n">
        <v>0.1</v>
      </c>
      <c r="AI18" s="154" t="n">
        <v>0.1</v>
      </c>
      <c r="AJ18" s="154" t="n">
        <v>0.1</v>
      </c>
      <c r="AK18" s="154" t="n">
        <v>0.1</v>
      </c>
      <c r="AL18" s="154" t="n">
        <v>0.1</v>
      </c>
      <c r="AM18" s="154" t="n">
        <v>0.1</v>
      </c>
      <c r="AN18" s="154" t="n">
        <v>0.1</v>
      </c>
      <c r="AO18" s="154" t="n">
        <v>0.1</v>
      </c>
      <c r="AP18" s="154" t="n">
        <v>0.1</v>
      </c>
      <c r="AQ18" s="154" t="n">
        <v>0.1</v>
      </c>
      <c r="AR18" s="154" t="n">
        <v>0.1</v>
      </c>
      <c r="AS18" s="154" t="n">
        <v>0.1</v>
      </c>
      <c r="AT18" s="154" t="n">
        <v>0.1</v>
      </c>
      <c r="AU18" s="154" t="n">
        <v>0.1</v>
      </c>
      <c r="AV18" s="154" t="n">
        <v>0.1</v>
      </c>
      <c r="AW18" s="154" t="n">
        <v>0.1</v>
      </c>
    </row>
    <row r="20">
      <c r="B20" s="153" t="inlineStr">
        <is>
          <t>Intangible Assets</t>
        </is>
      </c>
    </row>
    <row r="21">
      <c r="B21" s="155" t="inlineStr">
        <is>
          <t>Opening</t>
        </is>
      </c>
      <c r="C21" s="327">
        <f>H21</f>
        <v/>
      </c>
      <c r="D21" s="327">
        <f>C25</f>
        <v/>
      </c>
      <c r="E21" s="327">
        <f>D25</f>
        <v/>
      </c>
      <c r="F21" s="327">
        <f>E25</f>
        <v/>
      </c>
      <c r="G21" s="357" t="n"/>
      <c r="H21" s="380">
        <f>'Balance Sheet'!H15</f>
        <v/>
      </c>
      <c r="I21" s="362">
        <f>H25</f>
        <v/>
      </c>
      <c r="J21" s="362">
        <f>I25</f>
        <v/>
      </c>
      <c r="K21" s="362">
        <f>J25</f>
        <v/>
      </c>
      <c r="L21" s="362">
        <f>K25</f>
        <v/>
      </c>
      <c r="M21" s="362">
        <f>L25</f>
        <v/>
      </c>
      <c r="N21" s="362">
        <f>M25</f>
        <v/>
      </c>
      <c r="O21" s="362">
        <f>N25</f>
        <v/>
      </c>
      <c r="P21" s="362">
        <f>O25</f>
        <v/>
      </c>
      <c r="Q21" s="362">
        <f>P25</f>
        <v/>
      </c>
      <c r="R21" s="362">
        <f>Q25</f>
        <v/>
      </c>
      <c r="S21" s="362">
        <f>R25</f>
        <v/>
      </c>
      <c r="T21" s="362">
        <f>S25</f>
        <v/>
      </c>
      <c r="U21" s="362">
        <f>T25</f>
        <v/>
      </c>
      <c r="V21" s="362">
        <f>U25</f>
        <v/>
      </c>
      <c r="W21" s="362">
        <f>V25</f>
        <v/>
      </c>
      <c r="X21" s="362">
        <f>W25</f>
        <v/>
      </c>
      <c r="Y21" s="362">
        <f>X25</f>
        <v/>
      </c>
      <c r="Z21" s="362">
        <f>Y25</f>
        <v/>
      </c>
      <c r="AA21" s="362">
        <f>Z25</f>
        <v/>
      </c>
      <c r="AB21" s="362">
        <f>AA25</f>
        <v/>
      </c>
      <c r="AC21" s="362">
        <f>AB25</f>
        <v/>
      </c>
      <c r="AD21" s="362">
        <f>AC25</f>
        <v/>
      </c>
      <c r="AE21" s="362">
        <f>AD25</f>
        <v/>
      </c>
      <c r="AF21" s="362">
        <f>AE25</f>
        <v/>
      </c>
      <c r="AG21" s="362">
        <f>AF25</f>
        <v/>
      </c>
      <c r="AH21" s="362">
        <f>AG25</f>
        <v/>
      </c>
      <c r="AI21" s="362">
        <f>AH25</f>
        <v/>
      </c>
      <c r="AJ21" s="362">
        <f>AI25</f>
        <v/>
      </c>
      <c r="AK21" s="362">
        <f>AJ25</f>
        <v/>
      </c>
      <c r="AL21" s="362">
        <f>AK25</f>
        <v/>
      </c>
      <c r="AM21" s="362">
        <f>AL25</f>
        <v/>
      </c>
      <c r="AN21" s="362">
        <f>AM25</f>
        <v/>
      </c>
      <c r="AO21" s="362">
        <f>AN25</f>
        <v/>
      </c>
      <c r="AP21" s="362">
        <f>AO25</f>
        <v/>
      </c>
      <c r="AQ21" s="362">
        <f>AP25</f>
        <v/>
      </c>
      <c r="AR21" s="362">
        <f>AQ25</f>
        <v/>
      </c>
      <c r="AS21" s="362">
        <f>AR25</f>
        <v/>
      </c>
      <c r="AT21" s="362">
        <f>AS25</f>
        <v/>
      </c>
      <c r="AU21" s="362">
        <f>AT25</f>
        <v/>
      </c>
      <c r="AV21" s="362">
        <f>AU25</f>
        <v/>
      </c>
      <c r="AW21" s="362">
        <f>AV25</f>
        <v/>
      </c>
    </row>
    <row r="22">
      <c r="B22" s="155" t="inlineStr">
        <is>
          <t>Addition</t>
        </is>
      </c>
      <c r="C22" s="381">
        <f>SUMIF($H$5:$AW$5,C$5,$H22:$AW22)</f>
        <v/>
      </c>
      <c r="D22" s="381">
        <f>SUMIF($H$5:$AW$5,D$5,$H22:$AW22)</f>
        <v/>
      </c>
      <c r="E22" s="381">
        <f>SUMIF($H$5:$AW$5,E$5,$H22:$AW22)</f>
        <v/>
      </c>
      <c r="F22" s="381">
        <f>SUMIF($H$5:$AW$5,F$5,$H22:$AW22)</f>
        <v/>
      </c>
      <c r="G22" s="357" t="n"/>
      <c r="H22" s="362">
        <f>H21*H27/12</f>
        <v/>
      </c>
      <c r="I22" s="362">
        <f>I21*I27/12</f>
        <v/>
      </c>
      <c r="J22" s="362">
        <f>J21*J27/12</f>
        <v/>
      </c>
      <c r="K22" s="362">
        <f>K21*K27/12</f>
        <v/>
      </c>
      <c r="L22" s="362">
        <f>L21*L27/12</f>
        <v/>
      </c>
      <c r="M22" s="362">
        <f>M21*M27/12</f>
        <v/>
      </c>
      <c r="N22" s="362">
        <f>N21*N27/12</f>
        <v/>
      </c>
      <c r="O22" s="362">
        <f>O21*O27/12</f>
        <v/>
      </c>
      <c r="P22" s="362">
        <f>P21*P27/12</f>
        <v/>
      </c>
      <c r="Q22" s="362">
        <f>Q21*Q27/12</f>
        <v/>
      </c>
      <c r="R22" s="362">
        <f>R21*R27/12</f>
        <v/>
      </c>
      <c r="S22" s="362">
        <f>S21*S27/12</f>
        <v/>
      </c>
      <c r="T22" s="362">
        <f>T21*T27/12</f>
        <v/>
      </c>
      <c r="U22" s="362">
        <f>U21*U27/12</f>
        <v/>
      </c>
      <c r="V22" s="362">
        <f>V21*V27/12</f>
        <v/>
      </c>
      <c r="W22" s="362">
        <f>W21*W27/12</f>
        <v/>
      </c>
      <c r="X22" s="362">
        <f>X21*X27/12</f>
        <v/>
      </c>
      <c r="Y22" s="362">
        <f>Y21*Y27/12</f>
        <v/>
      </c>
      <c r="Z22" s="362">
        <f>Z21*Z27/12</f>
        <v/>
      </c>
      <c r="AA22" s="362">
        <f>AA21*AA27/12</f>
        <v/>
      </c>
      <c r="AB22" s="362">
        <f>AB21*AB27/12</f>
        <v/>
      </c>
      <c r="AC22" s="362">
        <f>AC21*AC27/12</f>
        <v/>
      </c>
      <c r="AD22" s="362">
        <f>AD21*AD27/12</f>
        <v/>
      </c>
      <c r="AE22" s="362">
        <f>AE21*AE27/12</f>
        <v/>
      </c>
      <c r="AF22" s="362">
        <f>AF21*AF27/12</f>
        <v/>
      </c>
      <c r="AG22" s="362">
        <f>AG21*AG27/12</f>
        <v/>
      </c>
      <c r="AH22" s="362">
        <f>AH21*AH27/12</f>
        <v/>
      </c>
      <c r="AI22" s="362">
        <f>AI21*AI27/12</f>
        <v/>
      </c>
      <c r="AJ22" s="362">
        <f>AJ21*AJ27/12</f>
        <v/>
      </c>
      <c r="AK22" s="362">
        <f>AK21*AK27/12</f>
        <v/>
      </c>
      <c r="AL22" s="362">
        <f>AL21*AL27/12</f>
        <v/>
      </c>
      <c r="AM22" s="362">
        <f>AM21*AM27/12</f>
        <v/>
      </c>
      <c r="AN22" s="362">
        <f>AN21*AN27/12</f>
        <v/>
      </c>
      <c r="AO22" s="362">
        <f>AO21*AO27/12</f>
        <v/>
      </c>
      <c r="AP22" s="362">
        <f>AP21*AP27/12</f>
        <v/>
      </c>
      <c r="AQ22" s="362">
        <f>AQ21*AQ27/12</f>
        <v/>
      </c>
      <c r="AR22" s="362">
        <f>AR21*AR27/12</f>
        <v/>
      </c>
      <c r="AS22" s="362">
        <f>AS21*AS27/12</f>
        <v/>
      </c>
      <c r="AT22" s="362">
        <f>AT21*AT27/12</f>
        <v/>
      </c>
      <c r="AU22" s="362">
        <f>AU21*AU27/12</f>
        <v/>
      </c>
      <c r="AV22" s="362">
        <f>AV21*AV27/12</f>
        <v/>
      </c>
      <c r="AW22" s="362">
        <f>AW21*AW27/12</f>
        <v/>
      </c>
    </row>
    <row r="23">
      <c r="B23" s="155" t="inlineStr">
        <is>
          <t>Amortisation</t>
        </is>
      </c>
      <c r="C23" s="362">
        <f>SUMIF($H$5:$AW$5,C$5,$H23:$AW23)</f>
        <v/>
      </c>
      <c r="D23" s="362">
        <f>SUMIF($H$5:$AW$5,D$5,$H23:$AW23)</f>
        <v/>
      </c>
      <c r="E23" s="362">
        <f>SUMIF($H$5:$AW$5,E$5,$H23:$AW23)</f>
        <v/>
      </c>
      <c r="F23" s="362">
        <f>SUMIF($H$5:$AW$5,F$5,$H23:$AW23)</f>
        <v/>
      </c>
      <c r="G23" s="357" t="n"/>
      <c r="H23" s="362">
        <f>SUM(H21:H22)*-H28/12</f>
        <v/>
      </c>
      <c r="I23" s="362">
        <f>SUM(I21:I22)*-I28/12</f>
        <v/>
      </c>
      <c r="J23" s="362">
        <f>SUM(J21:J22)*-J28/12</f>
        <v/>
      </c>
      <c r="K23" s="362">
        <f>SUM(K21:K22)*-K28/12</f>
        <v/>
      </c>
      <c r="L23" s="362">
        <f>SUM(L21:L22)*-L28/12</f>
        <v/>
      </c>
      <c r="M23" s="362">
        <f>SUM(M21:M22)*-M28/12</f>
        <v/>
      </c>
      <c r="N23" s="362">
        <f>SUM(N21:N22)*-N28/12</f>
        <v/>
      </c>
      <c r="O23" s="362">
        <f>SUM(O21:O22)*-O28/12</f>
        <v/>
      </c>
      <c r="P23" s="362">
        <f>SUM(P21:P22)*-P28/12</f>
        <v/>
      </c>
      <c r="Q23" s="362">
        <f>SUM(Q21:Q22)*-Q28/12</f>
        <v/>
      </c>
      <c r="R23" s="362">
        <f>SUM(R21:R22)*-R28/12</f>
        <v/>
      </c>
      <c r="S23" s="362">
        <f>SUM(S21:S22)*-S28/12</f>
        <v/>
      </c>
      <c r="T23" s="362">
        <f>SUM(T21:T22)*-T28/12</f>
        <v/>
      </c>
      <c r="U23" s="362">
        <f>SUM(U21:U22)*-U28/12</f>
        <v/>
      </c>
      <c r="V23" s="362">
        <f>SUM(V21:V22)*-V28/12</f>
        <v/>
      </c>
      <c r="W23" s="362">
        <f>SUM(W21:W22)*-W28/12</f>
        <v/>
      </c>
      <c r="X23" s="362">
        <f>SUM(X21:X22)*-X28/12</f>
        <v/>
      </c>
      <c r="Y23" s="362">
        <f>SUM(Y21:Y22)*-Y28/12</f>
        <v/>
      </c>
      <c r="Z23" s="362">
        <f>SUM(Z21:Z22)*-Z28/12</f>
        <v/>
      </c>
      <c r="AA23" s="362">
        <f>SUM(AA21:AA22)*-AA28/12</f>
        <v/>
      </c>
      <c r="AB23" s="362">
        <f>SUM(AB21:AB22)*-AB28/12</f>
        <v/>
      </c>
      <c r="AC23" s="362">
        <f>SUM(AC21:AC22)*-AC28/12</f>
        <v/>
      </c>
      <c r="AD23" s="362">
        <f>SUM(AD21:AD22)*-AD28/12</f>
        <v/>
      </c>
      <c r="AE23" s="362">
        <f>SUM(AE21:AE22)*-AE28/12</f>
        <v/>
      </c>
      <c r="AF23" s="362">
        <f>SUM(AF21:AF22)*-AF28/12</f>
        <v/>
      </c>
      <c r="AG23" s="362">
        <f>SUM(AG21:AG22)*-AG28/12</f>
        <v/>
      </c>
      <c r="AH23" s="362">
        <f>SUM(AH21:AH22)*-AH28/12</f>
        <v/>
      </c>
      <c r="AI23" s="362">
        <f>SUM(AI21:AI22)*-AI28/12</f>
        <v/>
      </c>
      <c r="AJ23" s="362">
        <f>SUM(AJ21:AJ22)*-AJ28/12</f>
        <v/>
      </c>
      <c r="AK23" s="362">
        <f>SUM(AK21:AK22)*-AK28/12</f>
        <v/>
      </c>
      <c r="AL23" s="362">
        <f>SUM(AL21:AL22)*-AL28/12</f>
        <v/>
      </c>
      <c r="AM23" s="362">
        <f>SUM(AM21:AM22)*-AM28/12</f>
        <v/>
      </c>
      <c r="AN23" s="362">
        <f>SUM(AN21:AN22)*-AN28/12</f>
        <v/>
      </c>
      <c r="AO23" s="362">
        <f>SUM(AO21:AO22)*-AO28/12</f>
        <v/>
      </c>
      <c r="AP23" s="362">
        <f>SUM(AP21:AP22)*-AP28/12</f>
        <v/>
      </c>
      <c r="AQ23" s="362">
        <f>SUM(AQ21:AQ22)*-AQ28/12</f>
        <v/>
      </c>
      <c r="AR23" s="362">
        <f>SUM(AR21:AR22)*-AR28/12</f>
        <v/>
      </c>
      <c r="AS23" s="362">
        <f>SUM(AS21:AS22)*-AS28/12</f>
        <v/>
      </c>
      <c r="AT23" s="362">
        <f>SUM(AT21:AT22)*-AT28/12</f>
        <v/>
      </c>
      <c r="AU23" s="362">
        <f>SUM(AU21:AU22)*-AU28/12</f>
        <v/>
      </c>
      <c r="AV23" s="362">
        <f>SUM(AV21:AV22)*-AV28/12</f>
        <v/>
      </c>
      <c r="AW23" s="362">
        <f>SUM(AW21:AW22)*-AW28/12</f>
        <v/>
      </c>
    </row>
    <row r="24">
      <c r="B24" s="155" t="n"/>
      <c r="C24" s="362" t="n"/>
      <c r="D24" s="362" t="n"/>
      <c r="E24" s="362" t="n"/>
      <c r="F24" s="362" t="n"/>
      <c r="G24" s="357" t="n"/>
      <c r="H24" s="362" t="n"/>
      <c r="I24" s="362" t="n"/>
      <c r="J24" s="362" t="n"/>
      <c r="K24" s="362" t="n"/>
      <c r="L24" s="362" t="n"/>
      <c r="M24" s="362" t="n"/>
      <c r="N24" s="362" t="n"/>
      <c r="O24" s="362" t="n"/>
      <c r="P24" s="362" t="n"/>
      <c r="Q24" s="362" t="n"/>
      <c r="R24" s="362" t="n"/>
      <c r="S24" s="362" t="n"/>
      <c r="T24" s="362" t="n"/>
      <c r="U24" s="362" t="n"/>
      <c r="V24" s="362" t="n"/>
      <c r="W24" s="362" t="n"/>
      <c r="X24" s="362" t="n"/>
      <c r="Y24" s="362" t="n"/>
      <c r="Z24" s="362" t="n"/>
      <c r="AA24" s="362" t="n"/>
      <c r="AB24" s="362" t="n"/>
      <c r="AC24" s="362" t="n"/>
      <c r="AD24" s="362" t="n"/>
      <c r="AE24" s="362" t="n"/>
      <c r="AF24" s="362" t="n"/>
      <c r="AG24" s="362" t="n"/>
      <c r="AH24" s="362" t="n"/>
      <c r="AI24" s="362" t="n"/>
      <c r="AJ24" s="362" t="n"/>
      <c r="AK24" s="362" t="n"/>
      <c r="AL24" s="362" t="n"/>
      <c r="AM24" s="362" t="n"/>
      <c r="AN24" s="362" t="n"/>
      <c r="AO24" s="362" t="n"/>
      <c r="AP24" s="362" t="n"/>
      <c r="AQ24" s="362" t="n"/>
      <c r="AR24" s="362" t="n"/>
      <c r="AS24" s="362" t="n"/>
      <c r="AT24" s="362" t="n"/>
      <c r="AU24" s="362" t="n"/>
      <c r="AV24" s="362" t="n"/>
      <c r="AW24" s="362" t="n"/>
    </row>
    <row r="25">
      <c r="B25" s="152" t="inlineStr">
        <is>
          <t>Closing</t>
        </is>
      </c>
      <c r="C25" s="365">
        <f>SUM(C21:C23)</f>
        <v/>
      </c>
      <c r="D25" s="365">
        <f>SUM(D21:D23)</f>
        <v/>
      </c>
      <c r="E25" s="365">
        <f>SUM(E21:E23)</f>
        <v/>
      </c>
      <c r="F25" s="365">
        <f>SUM(F21:F23)</f>
        <v/>
      </c>
      <c r="G25" s="374" t="n"/>
      <c r="H25" s="366">
        <f>SUM(H21:H23)</f>
        <v/>
      </c>
      <c r="I25" s="366">
        <f>SUM(I21:I23)</f>
        <v/>
      </c>
      <c r="J25" s="366">
        <f>SUM(J21:J23)</f>
        <v/>
      </c>
      <c r="K25" s="366">
        <f>SUM(K21:K23)</f>
        <v/>
      </c>
      <c r="L25" s="366">
        <f>SUM(L21:L23)</f>
        <v/>
      </c>
      <c r="M25" s="366">
        <f>SUM(M21:M23)</f>
        <v/>
      </c>
      <c r="N25" s="366">
        <f>SUM(N21:N23)</f>
        <v/>
      </c>
      <c r="O25" s="366">
        <f>SUM(O21:O23)</f>
        <v/>
      </c>
      <c r="P25" s="366">
        <f>SUM(P21:P23)</f>
        <v/>
      </c>
      <c r="Q25" s="366">
        <f>SUM(Q21:Q23)</f>
        <v/>
      </c>
      <c r="R25" s="366">
        <f>SUM(R21:R23)</f>
        <v/>
      </c>
      <c r="S25" s="366">
        <f>SUM(S21:S23)</f>
        <v/>
      </c>
      <c r="T25" s="366">
        <f>SUM(T21:T23)</f>
        <v/>
      </c>
      <c r="U25" s="366">
        <f>SUM(U21:U23)</f>
        <v/>
      </c>
      <c r="V25" s="366">
        <f>SUM(V21:V23)</f>
        <v/>
      </c>
      <c r="W25" s="366">
        <f>SUM(W21:W23)</f>
        <v/>
      </c>
      <c r="X25" s="366">
        <f>SUM(X21:X23)</f>
        <v/>
      </c>
      <c r="Y25" s="366">
        <f>SUM(Y21:Y23)</f>
        <v/>
      </c>
      <c r="Z25" s="366">
        <f>SUM(Z21:Z23)</f>
        <v/>
      </c>
      <c r="AA25" s="366">
        <f>SUM(AA21:AA23)</f>
        <v/>
      </c>
      <c r="AB25" s="366">
        <f>SUM(AB21:AB23)</f>
        <v/>
      </c>
      <c r="AC25" s="366">
        <f>SUM(AC21:AC23)</f>
        <v/>
      </c>
      <c r="AD25" s="366">
        <f>SUM(AD21:AD23)</f>
        <v/>
      </c>
      <c r="AE25" s="366">
        <f>SUM(AE21:AE23)</f>
        <v/>
      </c>
      <c r="AF25" s="366">
        <f>SUM(AF21:AF23)</f>
        <v/>
      </c>
      <c r="AG25" s="366">
        <f>SUM(AG21:AG23)</f>
        <v/>
      </c>
      <c r="AH25" s="366">
        <f>SUM(AH21:AH23)</f>
        <v/>
      </c>
      <c r="AI25" s="366">
        <f>SUM(AI21:AI23)</f>
        <v/>
      </c>
      <c r="AJ25" s="366">
        <f>SUM(AJ21:AJ23)</f>
        <v/>
      </c>
      <c r="AK25" s="366">
        <f>SUM(AK21:AK23)</f>
        <v/>
      </c>
      <c r="AL25" s="366">
        <f>SUM(AL21:AL23)</f>
        <v/>
      </c>
      <c r="AM25" s="366">
        <f>SUM(AM21:AM23)</f>
        <v/>
      </c>
      <c r="AN25" s="366">
        <f>SUM(AN21:AN23)</f>
        <v/>
      </c>
      <c r="AO25" s="366">
        <f>SUM(AO21:AO23)</f>
        <v/>
      </c>
      <c r="AP25" s="366">
        <f>SUM(AP21:AP23)</f>
        <v/>
      </c>
      <c r="AQ25" s="366">
        <f>SUM(AQ21:AQ23)</f>
        <v/>
      </c>
      <c r="AR25" s="366">
        <f>SUM(AR21:AR23)</f>
        <v/>
      </c>
      <c r="AS25" s="366">
        <f>SUM(AS21:AS23)</f>
        <v/>
      </c>
      <c r="AT25" s="366">
        <f>SUM(AT21:AT23)</f>
        <v/>
      </c>
      <c r="AU25" s="366">
        <f>SUM(AU21:AU23)</f>
        <v/>
      </c>
      <c r="AV25" s="366">
        <f>SUM(AV21:AV23)</f>
        <v/>
      </c>
      <c r="AW25" s="366">
        <f>SUM(AW21:AW23)</f>
        <v/>
      </c>
    </row>
    <row r="27">
      <c r="B27" s="1" t="inlineStr">
        <is>
          <t>Capex as % of Revenue</t>
        </is>
      </c>
      <c r="C27" s="107" t="n"/>
      <c r="D27" s="107" t="n"/>
      <c r="E27" s="107" t="n"/>
      <c r="F27" s="107" t="n"/>
      <c r="H27" s="154" t="n">
        <v>0</v>
      </c>
      <c r="I27" s="154" t="n">
        <v>0</v>
      </c>
      <c r="J27" s="154" t="n">
        <v>0</v>
      </c>
      <c r="K27" s="154" t="n">
        <v>0</v>
      </c>
      <c r="L27" s="154" t="n">
        <v>0</v>
      </c>
      <c r="M27" s="154" t="n">
        <v>0</v>
      </c>
      <c r="N27" s="154" t="n">
        <v>0</v>
      </c>
      <c r="O27" s="154" t="n">
        <v>0</v>
      </c>
      <c r="P27" s="154" t="n">
        <v>0</v>
      </c>
      <c r="Q27" s="154" t="n">
        <v>0</v>
      </c>
      <c r="R27" s="154" t="n">
        <v>0</v>
      </c>
      <c r="S27" s="154" t="n">
        <v>0</v>
      </c>
      <c r="T27" s="154" t="n">
        <v>0</v>
      </c>
      <c r="U27" s="154" t="n">
        <v>0</v>
      </c>
      <c r="V27" s="154" t="n">
        <v>0</v>
      </c>
      <c r="W27" s="154" t="n">
        <v>0</v>
      </c>
      <c r="X27" s="154" t="n">
        <v>0</v>
      </c>
      <c r="Y27" s="154" t="n">
        <v>0</v>
      </c>
      <c r="Z27" s="154" t="n">
        <v>0</v>
      </c>
      <c r="AA27" s="154" t="n">
        <v>0</v>
      </c>
      <c r="AB27" s="154" t="n">
        <v>0</v>
      </c>
      <c r="AC27" s="154" t="n">
        <v>0</v>
      </c>
      <c r="AD27" s="154" t="n">
        <v>0</v>
      </c>
      <c r="AE27" s="154" t="n">
        <v>0</v>
      </c>
      <c r="AF27" s="154" t="n">
        <v>0</v>
      </c>
      <c r="AG27" s="154" t="n">
        <v>0</v>
      </c>
      <c r="AH27" s="154" t="n">
        <v>0</v>
      </c>
      <c r="AI27" s="154" t="n">
        <v>0</v>
      </c>
      <c r="AJ27" s="154" t="n">
        <v>0</v>
      </c>
      <c r="AK27" s="154" t="n">
        <v>0</v>
      </c>
      <c r="AL27" s="154" t="n">
        <v>0</v>
      </c>
      <c r="AM27" s="154" t="n">
        <v>0</v>
      </c>
      <c r="AN27" s="154" t="n">
        <v>0</v>
      </c>
      <c r="AO27" s="154" t="n">
        <v>0</v>
      </c>
      <c r="AP27" s="154" t="n">
        <v>0</v>
      </c>
      <c r="AQ27" s="154" t="n">
        <v>0</v>
      </c>
      <c r="AR27" s="154" t="n">
        <v>0</v>
      </c>
      <c r="AS27" s="154" t="n">
        <v>0</v>
      </c>
      <c r="AT27" s="154" t="n">
        <v>0</v>
      </c>
      <c r="AU27" s="154" t="n">
        <v>0</v>
      </c>
      <c r="AV27" s="154" t="n">
        <v>0</v>
      </c>
      <c r="AW27" s="154" t="n">
        <v>0</v>
      </c>
    </row>
    <row r="28">
      <c r="B28" s="155" t="inlineStr">
        <is>
          <t>Amortisation Rate</t>
        </is>
      </c>
      <c r="C28" s="107" t="n"/>
      <c r="D28" s="107" t="n"/>
      <c r="E28" s="107" t="n"/>
      <c r="F28" s="107" t="n"/>
      <c r="H28" s="154" t="n">
        <v>0.1</v>
      </c>
      <c r="I28" s="154" t="n">
        <v>0.1</v>
      </c>
      <c r="J28" s="154" t="n">
        <v>0.1</v>
      </c>
      <c r="K28" s="154" t="n">
        <v>0.1</v>
      </c>
      <c r="L28" s="154" t="n">
        <v>0.1</v>
      </c>
      <c r="M28" s="154" t="n">
        <v>0.1</v>
      </c>
      <c r="N28" s="154" t="n">
        <v>0.1</v>
      </c>
      <c r="O28" s="154" t="n">
        <v>0.1</v>
      </c>
      <c r="P28" s="154" t="n">
        <v>0.1</v>
      </c>
      <c r="Q28" s="154" t="n">
        <v>0.1</v>
      </c>
      <c r="R28" s="154" t="n">
        <v>0.1</v>
      </c>
      <c r="S28" s="154" t="n">
        <v>0.1</v>
      </c>
      <c r="T28" s="154" t="n">
        <v>0.1</v>
      </c>
      <c r="U28" s="154" t="n">
        <v>0.1</v>
      </c>
      <c r="V28" s="154" t="n">
        <v>0.1</v>
      </c>
      <c r="W28" s="154" t="n">
        <v>0.1</v>
      </c>
      <c r="X28" s="154" t="n">
        <v>0.1</v>
      </c>
      <c r="Y28" s="154" t="n">
        <v>0.1</v>
      </c>
      <c r="Z28" s="154" t="n">
        <v>0.1</v>
      </c>
      <c r="AA28" s="154" t="n">
        <v>0.1</v>
      </c>
      <c r="AB28" s="154" t="n">
        <v>0.1</v>
      </c>
      <c r="AC28" s="154" t="n">
        <v>0.1</v>
      </c>
      <c r="AD28" s="154" t="n">
        <v>0.1</v>
      </c>
      <c r="AE28" s="154" t="n">
        <v>0.1</v>
      </c>
      <c r="AF28" s="154" t="n">
        <v>0.1</v>
      </c>
      <c r="AG28" s="154" t="n">
        <v>0.1</v>
      </c>
      <c r="AH28" s="154" t="n">
        <v>0.1</v>
      </c>
      <c r="AI28" s="154" t="n">
        <v>0.1</v>
      </c>
      <c r="AJ28" s="154" t="n">
        <v>0.1</v>
      </c>
      <c r="AK28" s="154" t="n">
        <v>0.1</v>
      </c>
      <c r="AL28" s="154" t="n">
        <v>0.1</v>
      </c>
      <c r="AM28" s="154" t="n">
        <v>0.1</v>
      </c>
      <c r="AN28" s="154" t="n">
        <v>0.1</v>
      </c>
      <c r="AO28" s="154" t="n">
        <v>0.1</v>
      </c>
      <c r="AP28" s="154" t="n">
        <v>0.1</v>
      </c>
      <c r="AQ28" s="154" t="n">
        <v>0.1</v>
      </c>
      <c r="AR28" s="154" t="n">
        <v>0.1</v>
      </c>
      <c r="AS28" s="154" t="n">
        <v>0.1</v>
      </c>
      <c r="AT28" s="154" t="n">
        <v>0.1</v>
      </c>
      <c r="AU28" s="154" t="n">
        <v>0.1</v>
      </c>
      <c r="AV28" s="154" t="n">
        <v>0.1</v>
      </c>
      <c r="AW28" s="154" t="n">
        <v>0.1</v>
      </c>
    </row>
    <row r="30">
      <c r="B30" s="2" t="inlineStr">
        <is>
          <t>Working Capital Schedule</t>
        </is>
      </c>
    </row>
    <row r="32">
      <c r="B32" s="1" t="inlineStr">
        <is>
          <t>Account Receivables</t>
        </is>
      </c>
      <c r="C32" s="158">
        <f>IFERROR(INDEX($H32:$AW32,MATCH(DATE(C$5,12,31),$H$6:$AW$6,0)),0)</f>
        <v/>
      </c>
      <c r="D32" s="158">
        <f>IFERROR(INDEX($H32:$AW32,MATCH(DATE(D$5,12,31),$H$6:$AW$6,0)),0)</f>
        <v/>
      </c>
      <c r="E32" s="158">
        <f>IFERROR(INDEX($H32:$AW32,MATCH(DATE(E$5,12,31),$H$6:$AW$6,0)),0)</f>
        <v/>
      </c>
      <c r="F32" s="158">
        <f>IFERROR(INDEX($H32:$AW32,MATCH(DATE(F$5,12,31),$H$6:$AW$6,0)),0)</f>
        <v/>
      </c>
      <c r="H32" s="382">
        <f>H33*'Revenue Driver'!H218/30</f>
        <v/>
      </c>
      <c r="I32" s="382">
        <f>I33*'Revenue Driver'!I218/30</f>
        <v/>
      </c>
      <c r="J32" s="382">
        <f>J33*'Revenue Driver'!J218/30</f>
        <v/>
      </c>
      <c r="K32" s="382">
        <f>K33*'Revenue Driver'!K218/30</f>
        <v/>
      </c>
      <c r="L32" s="382">
        <f>L33*'Revenue Driver'!L218/30</f>
        <v/>
      </c>
      <c r="M32" s="382">
        <f>M33*'Revenue Driver'!M218/30</f>
        <v/>
      </c>
      <c r="N32" s="382">
        <f>N33*'Revenue Driver'!N218/30</f>
        <v/>
      </c>
      <c r="O32" s="382">
        <f>O33*'Revenue Driver'!O218/30</f>
        <v/>
      </c>
      <c r="P32" s="382">
        <f>P33*'Revenue Driver'!P218/30</f>
        <v/>
      </c>
      <c r="Q32" s="382">
        <f>Q33*'Revenue Driver'!Q218/30</f>
        <v/>
      </c>
      <c r="R32" s="382">
        <f>R33*'Revenue Driver'!R218/30</f>
        <v/>
      </c>
      <c r="S32" s="382">
        <f>S33*'Revenue Driver'!S218/30</f>
        <v/>
      </c>
      <c r="T32" s="382">
        <f>T33*'Revenue Driver'!T218/30</f>
        <v/>
      </c>
      <c r="U32" s="382">
        <f>U33*'Revenue Driver'!U218/30</f>
        <v/>
      </c>
      <c r="V32" s="382">
        <f>V33*'Revenue Driver'!V218/30</f>
        <v/>
      </c>
      <c r="W32" s="382">
        <f>W33*'Revenue Driver'!W218/30</f>
        <v/>
      </c>
      <c r="X32" s="382">
        <f>X33*'Revenue Driver'!X218/30</f>
        <v/>
      </c>
      <c r="Y32" s="382">
        <f>Y33*'Revenue Driver'!Y218/30</f>
        <v/>
      </c>
      <c r="Z32" s="382">
        <f>Z33*'Revenue Driver'!Z218/30</f>
        <v/>
      </c>
      <c r="AA32" s="382">
        <f>AA33*'Revenue Driver'!AA218/30</f>
        <v/>
      </c>
      <c r="AB32" s="382">
        <f>AB33*'Revenue Driver'!AB218/30</f>
        <v/>
      </c>
      <c r="AC32" s="382">
        <f>AC33*'Revenue Driver'!AC218/30</f>
        <v/>
      </c>
      <c r="AD32" s="382">
        <f>AD33*'Revenue Driver'!AD218/30</f>
        <v/>
      </c>
      <c r="AE32" s="382">
        <f>AE33*'Revenue Driver'!AE218/30</f>
        <v/>
      </c>
      <c r="AF32" s="382">
        <f>AF33*'Revenue Driver'!AF218/30</f>
        <v/>
      </c>
      <c r="AG32" s="382">
        <f>AG33*'Revenue Driver'!AG218/30</f>
        <v/>
      </c>
      <c r="AH32" s="382">
        <f>AH33*'Revenue Driver'!AH218/30</f>
        <v/>
      </c>
      <c r="AI32" s="382">
        <f>AI33*'Revenue Driver'!AI218/30</f>
        <v/>
      </c>
      <c r="AJ32" s="382">
        <f>AJ33*'Revenue Driver'!AJ218/30</f>
        <v/>
      </c>
      <c r="AK32" s="382">
        <f>AK33*'Revenue Driver'!AK218/30</f>
        <v/>
      </c>
      <c r="AL32" s="382">
        <f>AL33*'Revenue Driver'!AL218/30</f>
        <v/>
      </c>
      <c r="AM32" s="382">
        <f>AM33*'Revenue Driver'!AM218/30</f>
        <v/>
      </c>
      <c r="AN32" s="382">
        <f>AN33*'Revenue Driver'!AN218/30</f>
        <v/>
      </c>
      <c r="AO32" s="382">
        <f>AO33*'Revenue Driver'!AO218/30</f>
        <v/>
      </c>
      <c r="AP32" s="382">
        <f>AP33*'Revenue Driver'!AP218/30</f>
        <v/>
      </c>
      <c r="AQ32" s="382">
        <f>AQ33*'Revenue Driver'!AQ218/30</f>
        <v/>
      </c>
      <c r="AR32" s="382">
        <f>AR33*'Revenue Driver'!AR218/30</f>
        <v/>
      </c>
      <c r="AS32" s="382">
        <f>AS33*'Revenue Driver'!AS218/30</f>
        <v/>
      </c>
      <c r="AT32" s="382">
        <f>AT33*'Revenue Driver'!AT218/30</f>
        <v/>
      </c>
      <c r="AU32" s="382">
        <f>AU33*'Revenue Driver'!AU218/30</f>
        <v/>
      </c>
      <c r="AV32" s="382">
        <f>AV33*'Revenue Driver'!AV218/30</f>
        <v/>
      </c>
      <c r="AW32" s="382">
        <f>AW33*'Revenue Driver'!AW218/30</f>
        <v/>
      </c>
    </row>
    <row r="33">
      <c r="B33" s="1" t="inlineStr">
        <is>
          <t>Receivable Days</t>
        </is>
      </c>
      <c r="C33" s="382" t="n"/>
      <c r="D33" s="382" t="n"/>
      <c r="E33" s="382" t="n"/>
      <c r="F33" s="382" t="n"/>
      <c r="H33" s="383">
        <f>Assumptions!C11</f>
        <v/>
      </c>
      <c r="I33" s="383">
        <f>30</f>
        <v/>
      </c>
      <c r="J33" s="383">
        <f>30</f>
        <v/>
      </c>
      <c r="K33" s="383">
        <f>30</f>
        <v/>
      </c>
      <c r="L33" s="383">
        <f>30</f>
        <v/>
      </c>
      <c r="M33" s="383">
        <f>30</f>
        <v/>
      </c>
      <c r="N33" s="383">
        <f>30</f>
        <v/>
      </c>
      <c r="O33" s="383">
        <f>30</f>
        <v/>
      </c>
      <c r="P33" s="383">
        <f>30</f>
        <v/>
      </c>
      <c r="Q33" s="383">
        <f>30</f>
        <v/>
      </c>
      <c r="R33" s="383">
        <f>30</f>
        <v/>
      </c>
      <c r="S33" s="383">
        <f>30</f>
        <v/>
      </c>
      <c r="T33" s="383">
        <f>30</f>
        <v/>
      </c>
      <c r="U33" s="383">
        <f>30</f>
        <v/>
      </c>
      <c r="V33" s="383">
        <f>30</f>
        <v/>
      </c>
      <c r="W33" s="383">
        <f>30</f>
        <v/>
      </c>
      <c r="X33" s="383">
        <f>30</f>
        <v/>
      </c>
      <c r="Y33" s="383">
        <f>30</f>
        <v/>
      </c>
      <c r="Z33" s="383">
        <f>30</f>
        <v/>
      </c>
      <c r="AA33" s="383">
        <f>30</f>
        <v/>
      </c>
      <c r="AB33" s="383">
        <f>30</f>
        <v/>
      </c>
      <c r="AC33" s="383">
        <f>30</f>
        <v/>
      </c>
      <c r="AD33" s="383">
        <f>30</f>
        <v/>
      </c>
      <c r="AE33" s="383">
        <f>30</f>
        <v/>
      </c>
      <c r="AF33" s="383">
        <f>30</f>
        <v/>
      </c>
      <c r="AG33" s="383">
        <f>30</f>
        <v/>
      </c>
      <c r="AH33" s="383">
        <f>30</f>
        <v/>
      </c>
      <c r="AI33" s="383">
        <f>30</f>
        <v/>
      </c>
      <c r="AJ33" s="383">
        <f>30</f>
        <v/>
      </c>
      <c r="AK33" s="383">
        <f>30</f>
        <v/>
      </c>
      <c r="AL33" s="383">
        <f>30</f>
        <v/>
      </c>
      <c r="AM33" s="383">
        <f>30</f>
        <v/>
      </c>
      <c r="AN33" s="383">
        <f>30</f>
        <v/>
      </c>
      <c r="AO33" s="383">
        <f>30</f>
        <v/>
      </c>
      <c r="AP33" s="383">
        <f>30</f>
        <v/>
      </c>
      <c r="AQ33" s="383">
        <f>30</f>
        <v/>
      </c>
      <c r="AR33" s="383">
        <f>30</f>
        <v/>
      </c>
      <c r="AS33" s="383">
        <f>30</f>
        <v/>
      </c>
      <c r="AT33" s="383">
        <f>30</f>
        <v/>
      </c>
      <c r="AU33" s="383">
        <f>30</f>
        <v/>
      </c>
      <c r="AV33" s="383">
        <f>30</f>
        <v/>
      </c>
      <c r="AW33" s="383">
        <f>30</f>
        <v/>
      </c>
    </row>
    <row r="35">
      <c r="B35" s="1" t="inlineStr">
        <is>
          <t>Account Payables</t>
        </is>
      </c>
      <c r="C35" s="158">
        <f>IFERROR(INDEX($H35:$AW35,MATCH(DATE(C$5,12,31),$H$6:$AW$6,0)),0)</f>
        <v/>
      </c>
      <c r="D35" s="158">
        <f>IFERROR(INDEX($H35:$AW35,MATCH(DATE(D$5,12,31),$H$6:$AW$6,0)),0)</f>
        <v/>
      </c>
      <c r="E35" s="158">
        <f>IFERROR(INDEX($H35:$AW35,MATCH(DATE(E$5,12,31),$H$6:$AW$6,0)),0)</f>
        <v/>
      </c>
      <c r="F35" s="158">
        <f>IFERROR(INDEX($H35:$AW35,MATCH(DATE(F$5,12,31),$H$6:$AW$6,0)),0)</f>
        <v/>
      </c>
      <c r="H35" s="384">
        <f>H36*-'Cost Drivers'!H10/30</f>
        <v/>
      </c>
      <c r="I35" s="384">
        <f>I36*-'Cost Drivers'!I10/30</f>
        <v/>
      </c>
      <c r="J35" s="384">
        <f>J36*-'Cost Drivers'!J10/30</f>
        <v/>
      </c>
      <c r="K35" s="384">
        <f>K36*-'Cost Drivers'!K10/30</f>
        <v/>
      </c>
      <c r="L35" s="384">
        <f>L36*-'Cost Drivers'!L10/30</f>
        <v/>
      </c>
      <c r="M35" s="384">
        <f>M36*-'Cost Drivers'!M10/30</f>
        <v/>
      </c>
      <c r="N35" s="384">
        <f>N36*-'Cost Drivers'!N10/30</f>
        <v/>
      </c>
      <c r="O35" s="384">
        <f>O36*-'Cost Drivers'!O10/30</f>
        <v/>
      </c>
      <c r="P35" s="384">
        <f>P36*-'Cost Drivers'!P10/30</f>
        <v/>
      </c>
      <c r="Q35" s="384">
        <f>Q36*-'Cost Drivers'!Q10/30</f>
        <v/>
      </c>
      <c r="R35" s="384">
        <f>R36*-'Cost Drivers'!R10/30</f>
        <v/>
      </c>
      <c r="S35" s="384">
        <f>S36*-'Cost Drivers'!S10/30</f>
        <v/>
      </c>
      <c r="T35" s="384">
        <f>T36*-'Cost Drivers'!T10/30</f>
        <v/>
      </c>
      <c r="U35" s="384">
        <f>U36*-'Cost Drivers'!U10/30</f>
        <v/>
      </c>
      <c r="V35" s="384">
        <f>V36*-'Cost Drivers'!V10/30</f>
        <v/>
      </c>
      <c r="W35" s="384">
        <f>W36*-'Cost Drivers'!W10/30</f>
        <v/>
      </c>
      <c r="X35" s="384">
        <f>X36*-'Cost Drivers'!X10/30</f>
        <v/>
      </c>
      <c r="Y35" s="384">
        <f>Y36*-'Cost Drivers'!Y10/30</f>
        <v/>
      </c>
      <c r="Z35" s="384">
        <f>Z36*-'Cost Drivers'!Z10/30</f>
        <v/>
      </c>
      <c r="AA35" s="384">
        <f>AA36*-'Cost Drivers'!AA10/30</f>
        <v/>
      </c>
      <c r="AB35" s="384">
        <f>AB36*-'Cost Drivers'!AB10/30</f>
        <v/>
      </c>
      <c r="AC35" s="384">
        <f>AC36*-'Cost Drivers'!AC10/30</f>
        <v/>
      </c>
      <c r="AD35" s="384">
        <f>AD36*-'Cost Drivers'!AD10/30</f>
        <v/>
      </c>
      <c r="AE35" s="384">
        <f>AE36*-'Cost Drivers'!AE10/30</f>
        <v/>
      </c>
      <c r="AF35" s="384">
        <f>AF36*-'Cost Drivers'!AF10/30</f>
        <v/>
      </c>
      <c r="AG35" s="384">
        <f>AG36*-'Cost Drivers'!AG10/30</f>
        <v/>
      </c>
      <c r="AH35" s="384">
        <f>AH36*-'Cost Drivers'!AH10/30</f>
        <v/>
      </c>
      <c r="AI35" s="384">
        <f>AI36*-'Cost Drivers'!AI10/30</f>
        <v/>
      </c>
      <c r="AJ35" s="384">
        <f>AJ36*-'Cost Drivers'!AJ10/30</f>
        <v/>
      </c>
      <c r="AK35" s="384">
        <f>AK36*-'Cost Drivers'!AK10/30</f>
        <v/>
      </c>
      <c r="AL35" s="384">
        <f>AL36*-'Cost Drivers'!AL10/30</f>
        <v/>
      </c>
      <c r="AM35" s="384">
        <f>AM36*-'Cost Drivers'!AM10/30</f>
        <v/>
      </c>
      <c r="AN35" s="384">
        <f>AN36*-'Cost Drivers'!AN10/30</f>
        <v/>
      </c>
      <c r="AO35" s="384">
        <f>AO36*-'Cost Drivers'!AO10/30</f>
        <v/>
      </c>
      <c r="AP35" s="384">
        <f>AP36*-'Cost Drivers'!AP10/30</f>
        <v/>
      </c>
      <c r="AQ35" s="384">
        <f>AQ36*-'Cost Drivers'!AQ10/30</f>
        <v/>
      </c>
      <c r="AR35" s="384">
        <f>AR36*-'Cost Drivers'!AR10/30</f>
        <v/>
      </c>
      <c r="AS35" s="384">
        <f>AS36*-'Cost Drivers'!AS10/30</f>
        <v/>
      </c>
      <c r="AT35" s="384">
        <f>AT36*-'Cost Drivers'!AT10/30</f>
        <v/>
      </c>
      <c r="AU35" s="384">
        <f>AU36*-'Cost Drivers'!AU10/30</f>
        <v/>
      </c>
      <c r="AV35" s="384">
        <f>AV36*-'Cost Drivers'!AV10/30</f>
        <v/>
      </c>
      <c r="AW35" s="384">
        <f>AW36*-'Cost Drivers'!AW10/30</f>
        <v/>
      </c>
    </row>
    <row r="36">
      <c r="B36" s="1" t="inlineStr">
        <is>
          <t>Payable Days</t>
        </is>
      </c>
      <c r="C36" s="382" t="n"/>
      <c r="D36" s="382" t="n"/>
      <c r="E36" s="382" t="n"/>
      <c r="F36" s="382" t="n"/>
      <c r="H36" s="383">
        <f>Assumptions!C12</f>
        <v/>
      </c>
      <c r="I36" s="383">
        <f>30</f>
        <v/>
      </c>
      <c r="J36" s="383">
        <f>30</f>
        <v/>
      </c>
      <c r="K36" s="383">
        <f>30</f>
        <v/>
      </c>
      <c r="L36" s="383">
        <f>30</f>
        <v/>
      </c>
      <c r="M36" s="383">
        <f>30</f>
        <v/>
      </c>
      <c r="N36" s="383">
        <f>30</f>
        <v/>
      </c>
      <c r="O36" s="383">
        <f>30</f>
        <v/>
      </c>
      <c r="P36" s="383">
        <f>30</f>
        <v/>
      </c>
      <c r="Q36" s="383">
        <f>30</f>
        <v/>
      </c>
      <c r="R36" s="383">
        <f>30</f>
        <v/>
      </c>
      <c r="S36" s="383">
        <f>30</f>
        <v/>
      </c>
      <c r="T36" s="383">
        <f>30</f>
        <v/>
      </c>
      <c r="U36" s="383">
        <f>30</f>
        <v/>
      </c>
      <c r="V36" s="383">
        <f>30</f>
        <v/>
      </c>
      <c r="W36" s="383">
        <f>30</f>
        <v/>
      </c>
      <c r="X36" s="383">
        <f>30</f>
        <v/>
      </c>
      <c r="Y36" s="383">
        <f>30</f>
        <v/>
      </c>
      <c r="Z36" s="383">
        <f>30</f>
        <v/>
      </c>
      <c r="AA36" s="383">
        <f>30</f>
        <v/>
      </c>
      <c r="AB36" s="383">
        <f>30</f>
        <v/>
      </c>
      <c r="AC36" s="383">
        <f>30</f>
        <v/>
      </c>
      <c r="AD36" s="383">
        <f>30</f>
        <v/>
      </c>
      <c r="AE36" s="383">
        <f>30</f>
        <v/>
      </c>
      <c r="AF36" s="383">
        <f>30</f>
        <v/>
      </c>
      <c r="AG36" s="383">
        <f>30</f>
        <v/>
      </c>
      <c r="AH36" s="383">
        <f>30</f>
        <v/>
      </c>
      <c r="AI36" s="383">
        <f>30</f>
        <v/>
      </c>
      <c r="AJ36" s="383">
        <f>30</f>
        <v/>
      </c>
      <c r="AK36" s="383">
        <f>30</f>
        <v/>
      </c>
      <c r="AL36" s="383">
        <f>30</f>
        <v/>
      </c>
      <c r="AM36" s="383">
        <f>30</f>
        <v/>
      </c>
      <c r="AN36" s="383">
        <f>30</f>
        <v/>
      </c>
      <c r="AO36" s="383">
        <f>30</f>
        <v/>
      </c>
      <c r="AP36" s="383">
        <f>30</f>
        <v/>
      </c>
      <c r="AQ36" s="383">
        <f>30</f>
        <v/>
      </c>
      <c r="AR36" s="383">
        <f>30</f>
        <v/>
      </c>
      <c r="AS36" s="383">
        <f>30</f>
        <v/>
      </c>
      <c r="AT36" s="383">
        <f>30</f>
        <v/>
      </c>
      <c r="AU36" s="383">
        <f>30</f>
        <v/>
      </c>
      <c r="AV36" s="383">
        <f>30</f>
        <v/>
      </c>
      <c r="AW36" s="383">
        <f>30</f>
        <v/>
      </c>
    </row>
    <row r="38">
      <c r="B38" s="1" t="inlineStr">
        <is>
          <t>Other Current Assets</t>
        </is>
      </c>
      <c r="C38" s="158">
        <f>IFERROR(INDEX($H38:$AW38,MATCH(DATE(C$5,12,31),$H$6:$AW$6,0)),0)</f>
        <v/>
      </c>
      <c r="D38" s="158">
        <f>IFERROR(INDEX($H38:$AW38,MATCH(DATE(D$5,12,31),$H$6:$AW$6,0)),0)</f>
        <v/>
      </c>
      <c r="E38" s="158">
        <f>IFERROR(INDEX($H38:$AW38,MATCH(DATE(E$5,12,31),$H$6:$AW$6,0)),0)</f>
        <v/>
      </c>
      <c r="F38" s="158">
        <f>IFERROR(INDEX($H38:$AW38,MATCH(DATE(F$5,12,31),$H$6:$AW$6,0)),0)</f>
        <v/>
      </c>
      <c r="H38" s="384">
        <f>H39*'Income Statement'!H8/30</f>
        <v/>
      </c>
      <c r="I38" s="384">
        <f>I39*'Income Statement'!I8/30</f>
        <v/>
      </c>
      <c r="J38" s="384">
        <f>J39*'Income Statement'!J8/30</f>
        <v/>
      </c>
      <c r="K38" s="384">
        <f>K39*'Income Statement'!K8/30</f>
        <v/>
      </c>
      <c r="L38" s="384">
        <f>L39*'Income Statement'!L8/30</f>
        <v/>
      </c>
      <c r="M38" s="384">
        <f>M39*'Income Statement'!M8/30</f>
        <v/>
      </c>
      <c r="N38" s="384">
        <f>N39*'Income Statement'!N8/30</f>
        <v/>
      </c>
      <c r="O38" s="384">
        <f>O39*'Income Statement'!O8/30</f>
        <v/>
      </c>
      <c r="P38" s="384">
        <f>P39*'Income Statement'!P8/30</f>
        <v/>
      </c>
      <c r="Q38" s="384">
        <f>Q39*'Income Statement'!Q8/30</f>
        <v/>
      </c>
      <c r="R38" s="384">
        <f>R39*'Income Statement'!R8/30</f>
        <v/>
      </c>
      <c r="S38" s="384">
        <f>S39*'Income Statement'!S8/30</f>
        <v/>
      </c>
      <c r="T38" s="384">
        <f>T39*'Income Statement'!T8/30</f>
        <v/>
      </c>
      <c r="U38" s="384">
        <f>U39*'Income Statement'!U8/30</f>
        <v/>
      </c>
      <c r="V38" s="384">
        <f>V39*'Income Statement'!V8/30</f>
        <v/>
      </c>
      <c r="W38" s="384">
        <f>W39*'Income Statement'!W8/30</f>
        <v/>
      </c>
      <c r="X38" s="384">
        <f>X39*'Income Statement'!X8/30</f>
        <v/>
      </c>
      <c r="Y38" s="384">
        <f>Y39*'Income Statement'!Y8/30</f>
        <v/>
      </c>
      <c r="Z38" s="384">
        <f>Z39*'Income Statement'!Z8/30</f>
        <v/>
      </c>
      <c r="AA38" s="384">
        <f>AA39*'Income Statement'!AA8/30</f>
        <v/>
      </c>
      <c r="AB38" s="384">
        <f>AB39*'Income Statement'!AB8/30</f>
        <v/>
      </c>
      <c r="AC38" s="384">
        <f>AC39*'Income Statement'!AC8/30</f>
        <v/>
      </c>
      <c r="AD38" s="384">
        <f>AD39*'Income Statement'!AD8/30</f>
        <v/>
      </c>
      <c r="AE38" s="384">
        <f>AE39*'Income Statement'!AE8/30</f>
        <v/>
      </c>
      <c r="AF38" s="384">
        <f>AF39*'Income Statement'!AF8/30</f>
        <v/>
      </c>
      <c r="AG38" s="384">
        <f>AG39*'Income Statement'!AG8/30</f>
        <v/>
      </c>
      <c r="AH38" s="384">
        <f>AH39*'Income Statement'!AH8/30</f>
        <v/>
      </c>
      <c r="AI38" s="384">
        <f>AI39*'Income Statement'!AI8/30</f>
        <v/>
      </c>
      <c r="AJ38" s="384">
        <f>AJ39*'Income Statement'!AJ8/30</f>
        <v/>
      </c>
      <c r="AK38" s="384">
        <f>AK39*'Income Statement'!AK8/30</f>
        <v/>
      </c>
      <c r="AL38" s="384">
        <f>AL39*'Income Statement'!AL8/30</f>
        <v/>
      </c>
      <c r="AM38" s="384">
        <f>AM39*'Income Statement'!AM8/30</f>
        <v/>
      </c>
      <c r="AN38" s="384">
        <f>AN39*'Income Statement'!AN8/30</f>
        <v/>
      </c>
      <c r="AO38" s="384">
        <f>AO39*'Income Statement'!AO8/30</f>
        <v/>
      </c>
      <c r="AP38" s="384">
        <f>AP39*'Income Statement'!AP8/30</f>
        <v/>
      </c>
      <c r="AQ38" s="384">
        <f>AQ39*'Income Statement'!AQ8/30</f>
        <v/>
      </c>
      <c r="AR38" s="384">
        <f>AR39*'Income Statement'!AR8/30</f>
        <v/>
      </c>
      <c r="AS38" s="384">
        <f>AS39*'Income Statement'!AS8/30</f>
        <v/>
      </c>
      <c r="AT38" s="384">
        <f>AT39*'Income Statement'!AT8/30</f>
        <v/>
      </c>
      <c r="AU38" s="384">
        <f>AU39*'Income Statement'!AU8/30</f>
        <v/>
      </c>
      <c r="AV38" s="384">
        <f>AV39*'Income Statement'!AV8/30</f>
        <v/>
      </c>
      <c r="AW38" s="384">
        <f>AW39*'Income Statement'!AW8/30</f>
        <v/>
      </c>
    </row>
    <row r="39">
      <c r="B39" s="1" t="inlineStr">
        <is>
          <t>Other Current Assets Days</t>
        </is>
      </c>
      <c r="C39" s="162" t="n"/>
      <c r="D39" s="162" t="n"/>
      <c r="E39" s="162" t="n"/>
      <c r="F39" s="162" t="n"/>
      <c r="H39" s="383">
        <f>Assumptions!C13</f>
        <v/>
      </c>
      <c r="I39" s="383">
        <f>30</f>
        <v/>
      </c>
      <c r="J39" s="383">
        <f>30</f>
        <v/>
      </c>
      <c r="K39" s="383">
        <f>30</f>
        <v/>
      </c>
      <c r="L39" s="383">
        <f>30</f>
        <v/>
      </c>
      <c r="M39" s="383">
        <f>30</f>
        <v/>
      </c>
      <c r="N39" s="383">
        <f>30</f>
        <v/>
      </c>
      <c r="O39" s="383">
        <f>30</f>
        <v/>
      </c>
      <c r="P39" s="383">
        <f>30</f>
        <v/>
      </c>
      <c r="Q39" s="383">
        <f>30</f>
        <v/>
      </c>
      <c r="R39" s="383">
        <f>30</f>
        <v/>
      </c>
      <c r="S39" s="383">
        <f>30</f>
        <v/>
      </c>
      <c r="T39" s="383">
        <f>30</f>
        <v/>
      </c>
      <c r="U39" s="383">
        <f>30</f>
        <v/>
      </c>
      <c r="V39" s="383">
        <f>30</f>
        <v/>
      </c>
      <c r="W39" s="383">
        <f>30</f>
        <v/>
      </c>
      <c r="X39" s="383">
        <f>30</f>
        <v/>
      </c>
      <c r="Y39" s="383">
        <f>30</f>
        <v/>
      </c>
      <c r="Z39" s="383">
        <f>30</f>
        <v/>
      </c>
      <c r="AA39" s="383">
        <f>30</f>
        <v/>
      </c>
      <c r="AB39" s="383">
        <f>30</f>
        <v/>
      </c>
      <c r="AC39" s="383">
        <f>30</f>
        <v/>
      </c>
      <c r="AD39" s="383">
        <f>30</f>
        <v/>
      </c>
      <c r="AE39" s="383">
        <f>30</f>
        <v/>
      </c>
      <c r="AF39" s="383">
        <f>30</f>
        <v/>
      </c>
      <c r="AG39" s="383">
        <f>30</f>
        <v/>
      </c>
      <c r="AH39" s="383">
        <f>30</f>
        <v/>
      </c>
      <c r="AI39" s="383">
        <f>30</f>
        <v/>
      </c>
      <c r="AJ39" s="383">
        <f>30</f>
        <v/>
      </c>
      <c r="AK39" s="383">
        <f>30</f>
        <v/>
      </c>
      <c r="AL39" s="383">
        <f>30</f>
        <v/>
      </c>
      <c r="AM39" s="383">
        <f>30</f>
        <v/>
      </c>
      <c r="AN39" s="383">
        <f>30</f>
        <v/>
      </c>
      <c r="AO39" s="383">
        <f>30</f>
        <v/>
      </c>
      <c r="AP39" s="383">
        <f>30</f>
        <v/>
      </c>
      <c r="AQ39" s="383">
        <f>30</f>
        <v/>
      </c>
      <c r="AR39" s="383">
        <f>30</f>
        <v/>
      </c>
      <c r="AS39" s="383">
        <f>30</f>
        <v/>
      </c>
      <c r="AT39" s="383">
        <f>30</f>
        <v/>
      </c>
      <c r="AU39" s="383">
        <f>30</f>
        <v/>
      </c>
      <c r="AV39" s="383">
        <f>30</f>
        <v/>
      </c>
      <c r="AW39" s="383">
        <f>30</f>
        <v/>
      </c>
    </row>
    <row r="41">
      <c r="B41" s="1" t="inlineStr">
        <is>
          <t>Other Current Liabilities</t>
        </is>
      </c>
      <c r="C41" s="158">
        <f>IFERROR(INDEX($H41:$AW41,MATCH(DATE(C$5,12,31),$H$6:$AW$6,0)),0)</f>
        <v/>
      </c>
      <c r="D41" s="158">
        <f>IFERROR(INDEX($H41:$AW41,MATCH(DATE(D$5,12,31),$H$6:$AW$6,0)),0)</f>
        <v/>
      </c>
      <c r="E41" s="158">
        <f>IFERROR(INDEX($H41:$AW41,MATCH(DATE(E$5,12,31),$H$6:$AW$6,0)),0)</f>
        <v/>
      </c>
      <c r="F41" s="158">
        <f>IFERROR(INDEX($H41:$AW41,MATCH(DATE(F$5,12,31),$H$6:$AW$6,0)),0)</f>
        <v/>
      </c>
      <c r="H41" s="384">
        <f>H42*-'Income Statement'!H30/30</f>
        <v/>
      </c>
      <c r="I41" s="384">
        <f>I42*-'Income Statement'!I30/30</f>
        <v/>
      </c>
      <c r="J41" s="384">
        <f>J42*-'Income Statement'!J30/30</f>
        <v/>
      </c>
      <c r="K41" s="384">
        <f>K42*-'Income Statement'!K30/30</f>
        <v/>
      </c>
      <c r="L41" s="384">
        <f>L42*-'Income Statement'!L30/30</f>
        <v/>
      </c>
      <c r="M41" s="384">
        <f>M42*-'Income Statement'!M30/30</f>
        <v/>
      </c>
      <c r="N41" s="384">
        <f>N42*-'Income Statement'!N30/30</f>
        <v/>
      </c>
      <c r="O41" s="384">
        <f>O42*-'Income Statement'!O30/30</f>
        <v/>
      </c>
      <c r="P41" s="384">
        <f>P42*-'Income Statement'!P30/30</f>
        <v/>
      </c>
      <c r="Q41" s="384">
        <f>Q42*-'Income Statement'!Q30/30</f>
        <v/>
      </c>
      <c r="R41" s="384">
        <f>R42*-'Income Statement'!R30/30</f>
        <v/>
      </c>
      <c r="S41" s="384">
        <f>S42*-'Income Statement'!S30/30</f>
        <v/>
      </c>
      <c r="T41" s="384">
        <f>T42*-'Income Statement'!T30/30</f>
        <v/>
      </c>
      <c r="U41" s="384">
        <f>U42*-'Income Statement'!U30/30</f>
        <v/>
      </c>
      <c r="V41" s="384">
        <f>V42*-'Income Statement'!V30/30</f>
        <v/>
      </c>
      <c r="W41" s="384">
        <f>W42*-'Income Statement'!W30/30</f>
        <v/>
      </c>
      <c r="X41" s="384">
        <f>X42*-'Income Statement'!X30/30</f>
        <v/>
      </c>
      <c r="Y41" s="384">
        <f>Y42*-'Income Statement'!Y30/30</f>
        <v/>
      </c>
      <c r="Z41" s="384">
        <f>Z42*-'Income Statement'!Z30/30</f>
        <v/>
      </c>
      <c r="AA41" s="384">
        <f>AA42*-'Income Statement'!AA30/30</f>
        <v/>
      </c>
      <c r="AB41" s="384">
        <f>AB42*-'Income Statement'!AB30/30</f>
        <v/>
      </c>
      <c r="AC41" s="384">
        <f>AC42*-'Income Statement'!AC30/30</f>
        <v/>
      </c>
      <c r="AD41" s="384">
        <f>AD42*-'Income Statement'!AD30/30</f>
        <v/>
      </c>
      <c r="AE41" s="384">
        <f>AE42*-'Income Statement'!AE30/30</f>
        <v/>
      </c>
      <c r="AF41" s="384">
        <f>AF42*-'Income Statement'!AF30/30</f>
        <v/>
      </c>
      <c r="AG41" s="384">
        <f>AG42*-'Income Statement'!AG30/30</f>
        <v/>
      </c>
      <c r="AH41" s="384">
        <f>AH42*-'Income Statement'!AH30/30</f>
        <v/>
      </c>
      <c r="AI41" s="384">
        <f>AI42*-'Income Statement'!AI30/30</f>
        <v/>
      </c>
      <c r="AJ41" s="384">
        <f>AJ42*-'Income Statement'!AJ30/30</f>
        <v/>
      </c>
      <c r="AK41" s="384">
        <f>AK42*-'Income Statement'!AK30/30</f>
        <v/>
      </c>
      <c r="AL41" s="384">
        <f>AL42*-'Income Statement'!AL30/30</f>
        <v/>
      </c>
      <c r="AM41" s="384">
        <f>AM42*-'Income Statement'!AM30/30</f>
        <v/>
      </c>
      <c r="AN41" s="384">
        <f>AN42*-'Income Statement'!AN30/30</f>
        <v/>
      </c>
      <c r="AO41" s="384">
        <f>AO42*-'Income Statement'!AO30/30</f>
        <v/>
      </c>
      <c r="AP41" s="384">
        <f>AP42*-'Income Statement'!AP30/30</f>
        <v/>
      </c>
      <c r="AQ41" s="384">
        <f>AQ42*-'Income Statement'!AQ30/30</f>
        <v/>
      </c>
      <c r="AR41" s="384">
        <f>AR42*-'Income Statement'!AR30/30</f>
        <v/>
      </c>
      <c r="AS41" s="384">
        <f>AS42*-'Income Statement'!AS30/30</f>
        <v/>
      </c>
      <c r="AT41" s="384">
        <f>AT42*-'Income Statement'!AT30/30</f>
        <v/>
      </c>
      <c r="AU41" s="384">
        <f>AU42*-'Income Statement'!AU30/30</f>
        <v/>
      </c>
      <c r="AV41" s="384">
        <f>AV42*-'Income Statement'!AV30/30</f>
        <v/>
      </c>
      <c r="AW41" s="384">
        <f>AW42*-'Income Statement'!AW30/30</f>
        <v/>
      </c>
    </row>
    <row r="42">
      <c r="B42" s="1" t="inlineStr">
        <is>
          <t>Other Current Liabilities Days</t>
        </is>
      </c>
      <c r="H42" s="383">
        <f>Assumptions!C14</f>
        <v/>
      </c>
      <c r="I42" s="383">
        <f>30</f>
        <v/>
      </c>
      <c r="J42" s="383">
        <f>30</f>
        <v/>
      </c>
      <c r="K42" s="383">
        <f>30</f>
        <v/>
      </c>
      <c r="L42" s="383">
        <f>30</f>
        <v/>
      </c>
      <c r="M42" s="383">
        <f>30</f>
        <v/>
      </c>
      <c r="N42" s="383">
        <f>30</f>
        <v/>
      </c>
      <c r="O42" s="383">
        <f>30</f>
        <v/>
      </c>
      <c r="P42" s="383">
        <f>30</f>
        <v/>
      </c>
      <c r="Q42" s="383">
        <f>30</f>
        <v/>
      </c>
      <c r="R42" s="383">
        <f>30</f>
        <v/>
      </c>
      <c r="S42" s="383">
        <f>30</f>
        <v/>
      </c>
      <c r="T42" s="383">
        <f>30</f>
        <v/>
      </c>
      <c r="U42" s="383">
        <f>30</f>
        <v/>
      </c>
      <c r="V42" s="383">
        <f>30</f>
        <v/>
      </c>
      <c r="W42" s="383">
        <f>30</f>
        <v/>
      </c>
      <c r="X42" s="383">
        <f>30</f>
        <v/>
      </c>
      <c r="Y42" s="383">
        <f>30</f>
        <v/>
      </c>
      <c r="Z42" s="383">
        <f>30</f>
        <v/>
      </c>
      <c r="AA42" s="383">
        <f>30</f>
        <v/>
      </c>
      <c r="AB42" s="383">
        <f>30</f>
        <v/>
      </c>
      <c r="AC42" s="383">
        <f>30</f>
        <v/>
      </c>
      <c r="AD42" s="383">
        <f>30</f>
        <v/>
      </c>
      <c r="AE42" s="383">
        <f>30</f>
        <v/>
      </c>
      <c r="AF42" s="383">
        <f>30</f>
        <v/>
      </c>
      <c r="AG42" s="383">
        <f>30</f>
        <v/>
      </c>
      <c r="AH42" s="383">
        <f>30</f>
        <v/>
      </c>
      <c r="AI42" s="383">
        <f>30</f>
        <v/>
      </c>
      <c r="AJ42" s="383">
        <f>30</f>
        <v/>
      </c>
      <c r="AK42" s="383">
        <f>30</f>
        <v/>
      </c>
      <c r="AL42" s="383">
        <f>30</f>
        <v/>
      </c>
      <c r="AM42" s="383">
        <f>30</f>
        <v/>
      </c>
      <c r="AN42" s="383">
        <f>30</f>
        <v/>
      </c>
      <c r="AO42" s="383">
        <f>30</f>
        <v/>
      </c>
      <c r="AP42" s="383">
        <f>30</f>
        <v/>
      </c>
      <c r="AQ42" s="383">
        <f>30</f>
        <v/>
      </c>
      <c r="AR42" s="383">
        <f>30</f>
        <v/>
      </c>
      <c r="AS42" s="383">
        <f>30</f>
        <v/>
      </c>
      <c r="AT42" s="383">
        <f>30</f>
        <v/>
      </c>
      <c r="AU42" s="383">
        <f>30</f>
        <v/>
      </c>
      <c r="AV42" s="383">
        <f>30</f>
        <v/>
      </c>
      <c r="AW42" s="383">
        <f>30</f>
        <v/>
      </c>
    </row>
    <row r="44">
      <c r="B44" s="22" t="inlineStr">
        <is>
          <t>Working Capital</t>
        </is>
      </c>
      <c r="C44" s="28">
        <f>C32-C35+C38-C41</f>
        <v/>
      </c>
      <c r="D44" s="28">
        <f>D32-D35+D38-D41</f>
        <v/>
      </c>
      <c r="E44" s="28">
        <f>E32-E35+E38-E41</f>
        <v/>
      </c>
      <c r="F44" s="28">
        <f>F32-F35+F38-F41</f>
        <v/>
      </c>
      <c r="G44" s="19" t="n"/>
      <c r="H44" s="28">
        <f>H32-H35+H38-H41</f>
        <v/>
      </c>
      <c r="I44" s="28">
        <f>I32-I35+I38-I41</f>
        <v/>
      </c>
      <c r="J44" s="28">
        <f>J32-J35+J38-J41</f>
        <v/>
      </c>
      <c r="K44" s="28">
        <f>K32-K35+K38-K41</f>
        <v/>
      </c>
      <c r="L44" s="28">
        <f>L32-L35+L38-L41</f>
        <v/>
      </c>
      <c r="M44" s="28">
        <f>M32-M35+M38-M41</f>
        <v/>
      </c>
      <c r="N44" s="28">
        <f>N32-N35+N38-N41</f>
        <v/>
      </c>
      <c r="O44" s="28">
        <f>O32-O35+O38-O41</f>
        <v/>
      </c>
      <c r="P44" s="28">
        <f>P32-P35+P38-P41</f>
        <v/>
      </c>
      <c r="Q44" s="28">
        <f>Q32-Q35+Q38-Q41</f>
        <v/>
      </c>
      <c r="R44" s="28">
        <f>R32-R35+R38-R41</f>
        <v/>
      </c>
      <c r="S44" s="28">
        <f>S32-S35+S38-S41</f>
        <v/>
      </c>
      <c r="T44" s="28">
        <f>T32-T35+T38-T41</f>
        <v/>
      </c>
      <c r="U44" s="28">
        <f>U32-U35+U38-U41</f>
        <v/>
      </c>
      <c r="V44" s="28">
        <f>V32-V35+V38-V41</f>
        <v/>
      </c>
      <c r="W44" s="28">
        <f>W32-W35+W38-W41</f>
        <v/>
      </c>
      <c r="X44" s="28">
        <f>X32-X35+X38-X41</f>
        <v/>
      </c>
      <c r="Y44" s="28">
        <f>Y32-Y35+Y38-Y41</f>
        <v/>
      </c>
      <c r="Z44" s="28">
        <f>Z32-Z35+Z38-Z41</f>
        <v/>
      </c>
      <c r="AA44" s="28">
        <f>AA32-AA35+AA38-AA41</f>
        <v/>
      </c>
      <c r="AB44" s="28">
        <f>AB32-AB35+AB38-AB41</f>
        <v/>
      </c>
      <c r="AC44" s="28">
        <f>AC32-AC35+AC38-AC41</f>
        <v/>
      </c>
      <c r="AD44" s="28">
        <f>AD32-AD35+AD38-AD41</f>
        <v/>
      </c>
      <c r="AE44" s="28">
        <f>AE32-AE35+AE38-AE41</f>
        <v/>
      </c>
      <c r="AF44" s="28">
        <f>AF32-AF35+AF38-AF41</f>
        <v/>
      </c>
      <c r="AG44" s="28">
        <f>AG32-AG35+AG38-AG41</f>
        <v/>
      </c>
      <c r="AH44" s="28">
        <f>AH32-AH35+AH38-AH41</f>
        <v/>
      </c>
      <c r="AI44" s="28">
        <f>AI32-AI35+AI38-AI41</f>
        <v/>
      </c>
      <c r="AJ44" s="28">
        <f>AJ32-AJ35+AJ38-AJ41</f>
        <v/>
      </c>
      <c r="AK44" s="28">
        <f>AK32-AK35+AK38-AK41</f>
        <v/>
      </c>
      <c r="AL44" s="28">
        <f>AL32-AL35+AL38-AL41</f>
        <v/>
      </c>
      <c r="AM44" s="28">
        <f>AM32-AM35+AM38-AM41</f>
        <v/>
      </c>
      <c r="AN44" s="28">
        <f>AN32-AN35+AN38-AN41</f>
        <v/>
      </c>
      <c r="AO44" s="28">
        <f>AO32-AO35+AO38-AO41</f>
        <v/>
      </c>
      <c r="AP44" s="28">
        <f>AP32-AP35+AP38-AP41</f>
        <v/>
      </c>
      <c r="AQ44" s="28">
        <f>AQ32-AQ35+AQ38-AQ41</f>
        <v/>
      </c>
      <c r="AR44" s="28">
        <f>AR32-AR35+AR38-AR41</f>
        <v/>
      </c>
      <c r="AS44" s="28">
        <f>AS32-AS35+AS38-AS41</f>
        <v/>
      </c>
      <c r="AT44" s="28">
        <f>AT32-AT35+AT38-AT41</f>
        <v/>
      </c>
      <c r="AU44" s="28">
        <f>AU32-AU35+AU38-AU41</f>
        <v/>
      </c>
      <c r="AV44" s="28">
        <f>AV32-AV35+AV38-AV41</f>
        <v/>
      </c>
      <c r="AW44" s="28">
        <f>AW32-AW35+AW38-AW41</f>
        <v/>
      </c>
    </row>
    <row r="45">
      <c r="B45" s="2" t="n"/>
      <c r="C45" s="118" t="n"/>
      <c r="D45" s="118" t="n"/>
      <c r="E45" s="118" t="n"/>
      <c r="F45" s="118" t="n"/>
      <c r="H45" s="118" t="n"/>
      <c r="I45" s="118" t="n"/>
      <c r="J45" s="118" t="n"/>
      <c r="K45" s="118" t="n"/>
      <c r="L45" s="118" t="n"/>
      <c r="M45" s="118" t="n"/>
      <c r="N45" s="118" t="n"/>
      <c r="O45" s="118" t="n"/>
      <c r="P45" s="118" t="n"/>
      <c r="Q45" s="118" t="n"/>
      <c r="R45" s="118" t="n"/>
      <c r="S45" s="118" t="n"/>
      <c r="T45" s="118" t="n"/>
      <c r="U45" s="118" t="n"/>
      <c r="V45" s="118" t="n"/>
      <c r="W45" s="118" t="n"/>
      <c r="X45" s="118" t="n"/>
      <c r="Y45" s="118" t="n"/>
      <c r="Z45" s="118" t="n"/>
      <c r="AA45" s="118" t="n"/>
      <c r="AB45" s="118" t="n"/>
      <c r="AC45" s="118" t="n"/>
      <c r="AD45" s="118" t="n"/>
      <c r="AE45" s="118" t="n"/>
      <c r="AF45" s="118" t="n"/>
      <c r="AG45" s="118" t="n"/>
      <c r="AH45" s="118" t="n"/>
      <c r="AI45" s="118" t="n"/>
      <c r="AJ45" s="118" t="n"/>
      <c r="AK45" s="118" t="n"/>
      <c r="AL45" s="118" t="n"/>
      <c r="AM45" s="118" t="n"/>
      <c r="AN45" s="118" t="n"/>
      <c r="AO45" s="118" t="n"/>
      <c r="AP45" s="118" t="n"/>
      <c r="AQ45" s="118" t="n"/>
      <c r="AR45" s="118" t="n"/>
      <c r="AS45" s="118" t="n"/>
      <c r="AT45" s="118" t="n"/>
      <c r="AU45" s="118" t="n"/>
      <c r="AV45" s="118" t="n"/>
      <c r="AW45" s="118" t="n"/>
    </row>
    <row r="46">
      <c r="B46" s="2" t="inlineStr">
        <is>
          <t>Debt Schedule</t>
        </is>
      </c>
    </row>
    <row r="47">
      <c r="B47" s="163" t="inlineStr">
        <is>
          <t>Long term Borrowings</t>
        </is>
      </c>
      <c r="C47" s="385" t="n"/>
      <c r="D47" s="385" t="n"/>
      <c r="E47" s="385" t="n"/>
      <c r="F47" s="385" t="n"/>
      <c r="G47" s="318" t="n"/>
      <c r="H47" s="386" t="n">
        <v>1</v>
      </c>
      <c r="I47" s="386">
        <f>H47+1</f>
        <v/>
      </c>
      <c r="J47" s="386">
        <f>I47+1</f>
        <v/>
      </c>
      <c r="K47" s="386">
        <f>J47+1</f>
        <v/>
      </c>
      <c r="L47" s="386">
        <f>K47+1</f>
        <v/>
      </c>
      <c r="M47" s="386">
        <f>L47+1</f>
        <v/>
      </c>
      <c r="N47" s="386">
        <f>M47+1</f>
        <v/>
      </c>
      <c r="O47" s="386">
        <f>N47+1</f>
        <v/>
      </c>
      <c r="P47" s="386">
        <f>O47+1</f>
        <v/>
      </c>
      <c r="Q47" s="386">
        <f>P47+1</f>
        <v/>
      </c>
      <c r="R47" s="386">
        <f>Q47+1</f>
        <v/>
      </c>
      <c r="S47" s="386">
        <f>R47+1</f>
        <v/>
      </c>
      <c r="T47" s="386">
        <f>S47+1</f>
        <v/>
      </c>
      <c r="U47" s="386">
        <f>T47+1</f>
        <v/>
      </c>
      <c r="V47" s="386">
        <f>U47+1</f>
        <v/>
      </c>
      <c r="W47" s="386">
        <f>V47+1</f>
        <v/>
      </c>
      <c r="X47" s="386">
        <f>W47+1</f>
        <v/>
      </c>
      <c r="Y47" s="386">
        <f>X47+1</f>
        <v/>
      </c>
      <c r="Z47" s="386">
        <f>Y47+1</f>
        <v/>
      </c>
      <c r="AA47" s="386">
        <f>Z47+1</f>
        <v/>
      </c>
      <c r="AB47" s="386">
        <f>AA47+1</f>
        <v/>
      </c>
      <c r="AC47" s="386">
        <f>AB47+1</f>
        <v/>
      </c>
      <c r="AD47" s="386">
        <f>AC47+1</f>
        <v/>
      </c>
      <c r="AE47" s="386">
        <f>AD47+1</f>
        <v/>
      </c>
      <c r="AF47" s="386">
        <f>AE47+1</f>
        <v/>
      </c>
      <c r="AG47" s="386">
        <f>AF47+1</f>
        <v/>
      </c>
      <c r="AH47" s="386">
        <f>AG47+1</f>
        <v/>
      </c>
      <c r="AI47" s="386">
        <f>AH47+1</f>
        <v/>
      </c>
      <c r="AJ47" s="386">
        <f>AI47+1</f>
        <v/>
      </c>
      <c r="AK47" s="386">
        <f>AJ47+1</f>
        <v/>
      </c>
      <c r="AL47" s="386">
        <f>AK47+1</f>
        <v/>
      </c>
      <c r="AM47" s="386">
        <f>AL47+1</f>
        <v/>
      </c>
      <c r="AN47" s="386">
        <f>AM47+1</f>
        <v/>
      </c>
      <c r="AO47" s="386">
        <f>AN47+1</f>
        <v/>
      </c>
      <c r="AP47" s="386">
        <f>AO47+1</f>
        <v/>
      </c>
      <c r="AQ47" s="386">
        <f>AP47+1</f>
        <v/>
      </c>
      <c r="AR47" s="386">
        <f>AQ47+1</f>
        <v/>
      </c>
      <c r="AS47" s="386">
        <f>AR47+1</f>
        <v/>
      </c>
      <c r="AT47" s="386">
        <f>AS47+1</f>
        <v/>
      </c>
      <c r="AU47" s="386">
        <f>AT47+1</f>
        <v/>
      </c>
      <c r="AV47" s="386">
        <f>AU47+1</f>
        <v/>
      </c>
      <c r="AW47" s="386">
        <f>AV47+1</f>
        <v/>
      </c>
    </row>
    <row r="48">
      <c r="B48" s="37" t="inlineStr">
        <is>
          <t>Opening</t>
        </is>
      </c>
      <c r="C48" s="318">
        <f>H48</f>
        <v/>
      </c>
      <c r="D48" s="318">
        <f>C52</f>
        <v/>
      </c>
      <c r="E48" s="318">
        <f>D52</f>
        <v/>
      </c>
      <c r="F48" s="318">
        <f>E52</f>
        <v/>
      </c>
      <c r="G48" s="318" t="n"/>
      <c r="H48" s="387">
        <f>'Balance Sheet'!H24</f>
        <v/>
      </c>
      <c r="I48" s="353">
        <f>H52</f>
        <v/>
      </c>
      <c r="J48" s="353">
        <f>I52</f>
        <v/>
      </c>
      <c r="K48" s="353">
        <f>J52</f>
        <v/>
      </c>
      <c r="L48" s="353">
        <f>K52</f>
        <v/>
      </c>
      <c r="M48" s="353">
        <f>L52</f>
        <v/>
      </c>
      <c r="N48" s="353">
        <f>M52</f>
        <v/>
      </c>
      <c r="O48" s="353">
        <f>N52</f>
        <v/>
      </c>
      <c r="P48" s="353">
        <f>O52</f>
        <v/>
      </c>
      <c r="Q48" s="353">
        <f>P52</f>
        <v/>
      </c>
      <c r="R48" s="353">
        <f>Q52</f>
        <v/>
      </c>
      <c r="S48" s="353">
        <f>R52</f>
        <v/>
      </c>
      <c r="T48" s="353">
        <f>S52</f>
        <v/>
      </c>
      <c r="U48" s="353">
        <f>T52</f>
        <v/>
      </c>
      <c r="V48" s="353">
        <f>U52</f>
        <v/>
      </c>
      <c r="W48" s="353">
        <f>V52</f>
        <v/>
      </c>
      <c r="X48" s="353">
        <f>W52</f>
        <v/>
      </c>
      <c r="Y48" s="353">
        <f>X52</f>
        <v/>
      </c>
      <c r="Z48" s="353">
        <f>Y52</f>
        <v/>
      </c>
      <c r="AA48" s="353">
        <f>Z52</f>
        <v/>
      </c>
      <c r="AB48" s="353">
        <f>AA52</f>
        <v/>
      </c>
      <c r="AC48" s="353">
        <f>AB52</f>
        <v/>
      </c>
      <c r="AD48" s="353">
        <f>AC52</f>
        <v/>
      </c>
      <c r="AE48" s="353">
        <f>AD52</f>
        <v/>
      </c>
      <c r="AF48" s="353">
        <f>AE52</f>
        <v/>
      </c>
      <c r="AG48" s="353">
        <f>AF52</f>
        <v/>
      </c>
      <c r="AH48" s="353">
        <f>AG52</f>
        <v/>
      </c>
      <c r="AI48" s="353">
        <f>AH52</f>
        <v/>
      </c>
      <c r="AJ48" s="353">
        <f>AI52</f>
        <v/>
      </c>
      <c r="AK48" s="353">
        <f>AJ52</f>
        <v/>
      </c>
      <c r="AL48" s="353">
        <f>AK52</f>
        <v/>
      </c>
      <c r="AM48" s="353">
        <f>AL52</f>
        <v/>
      </c>
      <c r="AN48" s="353">
        <f>AM52</f>
        <v/>
      </c>
      <c r="AO48" s="353">
        <f>AN52</f>
        <v/>
      </c>
      <c r="AP48" s="353">
        <f>AO52</f>
        <v/>
      </c>
      <c r="AQ48" s="353">
        <f>AP52</f>
        <v/>
      </c>
      <c r="AR48" s="353">
        <f>AQ52</f>
        <v/>
      </c>
      <c r="AS48" s="353">
        <f>AR52</f>
        <v/>
      </c>
      <c r="AT48" s="353">
        <f>AS52</f>
        <v/>
      </c>
      <c r="AU48" s="353">
        <f>AT52</f>
        <v/>
      </c>
      <c r="AV48" s="353">
        <f>AU52</f>
        <v/>
      </c>
      <c r="AW48" s="353">
        <f>AV52</f>
        <v/>
      </c>
    </row>
    <row r="49">
      <c r="B49" s="37" t="inlineStr">
        <is>
          <t>Additions</t>
        </is>
      </c>
      <c r="C49" s="388">
        <f>SUMIF($H$5:$AW$5,C$5,$H49:$AW49)</f>
        <v/>
      </c>
      <c r="D49" s="388">
        <f>SUMIF($H$5:$AW$5,D$5,$H49:$AW49)</f>
        <v/>
      </c>
      <c r="E49" s="388">
        <f>SUMIF($H$5:$AW$5,E$5,$H49:$AW49)</f>
        <v/>
      </c>
      <c r="F49" s="388">
        <f>SUMIF($H$5:$AW$5,F$5,$H49:$AW49)</f>
        <v/>
      </c>
      <c r="G49" s="318" t="n"/>
      <c r="H49" s="389" t="n"/>
      <c r="I49" s="389" t="n"/>
      <c r="J49" s="389" t="n"/>
      <c r="K49" s="389" t="n"/>
      <c r="L49" s="389" t="n"/>
      <c r="M49" s="389" t="n"/>
      <c r="N49" s="389" t="n"/>
      <c r="O49" s="389" t="n"/>
      <c r="P49" s="389" t="n"/>
      <c r="Q49" s="389" t="n"/>
      <c r="R49" s="389" t="n"/>
      <c r="S49" s="389" t="n"/>
      <c r="T49" s="389" t="n"/>
      <c r="U49" s="389" t="n"/>
      <c r="V49" s="389" t="n"/>
      <c r="W49" s="389" t="n"/>
      <c r="X49" s="389" t="n"/>
      <c r="Y49" s="389" t="n"/>
      <c r="Z49" s="389" t="n"/>
      <c r="AA49" s="389" t="n"/>
      <c r="AB49" s="389" t="n"/>
      <c r="AC49" s="389" t="n"/>
      <c r="AD49" s="389" t="n"/>
      <c r="AE49" s="389" t="n"/>
      <c r="AF49" s="389" t="n"/>
      <c r="AG49" s="389" t="n"/>
      <c r="AH49" s="389" t="n"/>
      <c r="AI49" s="389" t="n"/>
      <c r="AJ49" s="389" t="n"/>
      <c r="AK49" s="389" t="n"/>
      <c r="AL49" s="389" t="n"/>
      <c r="AM49" s="389" t="n"/>
      <c r="AN49" s="389" t="n"/>
      <c r="AO49" s="389" t="n"/>
      <c r="AP49" s="389" t="n"/>
      <c r="AQ49" s="389" t="n"/>
      <c r="AR49" s="389" t="n"/>
      <c r="AS49" s="389" t="n"/>
      <c r="AT49" s="389" t="n"/>
      <c r="AU49" s="389" t="n"/>
      <c r="AV49" s="389" t="n"/>
      <c r="AW49" s="389" t="n"/>
    </row>
    <row r="50">
      <c r="B50" s="37" t="inlineStr">
        <is>
          <t>Repayment</t>
        </is>
      </c>
      <c r="C50" s="353">
        <f>SUMIF($H$5:$AW$5,C$5,$H50:$AW50)</f>
        <v/>
      </c>
      <c r="D50" s="353">
        <f>SUMIF($H$5:$AW$5,D$5,$H50:$AW50)</f>
        <v/>
      </c>
      <c r="E50" s="353">
        <f>SUMIF($H$5:$AW$5,E$5,$H50:$AW50)</f>
        <v/>
      </c>
      <c r="F50" s="353">
        <f>SUMIF($H$5:$AW$5,F$5,$H50:$AW50)</f>
        <v/>
      </c>
      <c r="G50" s="318" t="n"/>
      <c r="H50" s="353">
        <f>IFERROR(PPMT(Assumptions!$C$9,H$47,Assumptions!$C$10,$H$48),0)</f>
        <v/>
      </c>
      <c r="I50" s="353">
        <f>IFERROR(PPMT(Assumptions!$C$9,I$47,Assumptions!$C$10,$H$48),0)</f>
        <v/>
      </c>
      <c r="J50" s="353">
        <f>IFERROR(PPMT(Assumptions!$C$9,J$47,Assumptions!$C$10,$H$48),0)</f>
        <v/>
      </c>
      <c r="K50" s="353">
        <f>IFERROR(PPMT(Assumptions!$C$9,K$47,Assumptions!$C$10,$H$48),0)</f>
        <v/>
      </c>
      <c r="L50" s="353">
        <f>IFERROR(PPMT(Assumptions!$C$9,L$47,Assumptions!$C$10,$H$48),0)</f>
        <v/>
      </c>
      <c r="M50" s="353">
        <f>IFERROR(PPMT(Assumptions!$C$9,M$47,Assumptions!$C$10,$H$48),0)</f>
        <v/>
      </c>
      <c r="N50" s="353">
        <f>IFERROR(PPMT(Assumptions!$C$9,N$47,Assumptions!$C$10,$H$48),0)</f>
        <v/>
      </c>
      <c r="O50" s="353">
        <f>IFERROR(PPMT(Assumptions!$C$9,O$47,Assumptions!$C$10,$H$48),0)</f>
        <v/>
      </c>
      <c r="P50" s="353">
        <f>IFERROR(PPMT(Assumptions!$C$9,P$47,Assumptions!$C$10,$H$48),0)</f>
        <v/>
      </c>
      <c r="Q50" s="353">
        <f>IFERROR(PPMT(Assumptions!$C$9,Q$47,Assumptions!$C$10,$H$48),0)</f>
        <v/>
      </c>
      <c r="R50" s="353">
        <f>IFERROR(PPMT(Assumptions!$C$9,R$47,Assumptions!$C$10,$H$48),0)</f>
        <v/>
      </c>
      <c r="S50" s="353">
        <f>IFERROR(PPMT(Assumptions!$C$9,S$47,Assumptions!$C$10,$H$48),0)</f>
        <v/>
      </c>
      <c r="T50" s="353">
        <f>IFERROR(PPMT(Assumptions!$C$9,T$47,Assumptions!$C$10,$H$48),0)</f>
        <v/>
      </c>
      <c r="U50" s="353">
        <f>IFERROR(PPMT(Assumptions!$C$9,U$47,Assumptions!$C$10,$H$48),0)</f>
        <v/>
      </c>
      <c r="V50" s="353">
        <f>IFERROR(PPMT(Assumptions!$C$9,V$47,Assumptions!$C$10,$H$48),0)</f>
        <v/>
      </c>
      <c r="W50" s="353">
        <f>IFERROR(PPMT(Assumptions!$C$9,W$47,Assumptions!$C$10,$H$48),0)</f>
        <v/>
      </c>
      <c r="X50" s="353">
        <f>IFERROR(PPMT(Assumptions!$C$9,X$47,Assumptions!$C$10,$H$48),0)</f>
        <v/>
      </c>
      <c r="Y50" s="353">
        <f>IFERROR(PPMT(Assumptions!$C$9,Y$47,Assumptions!$C$10,$H$48),0)</f>
        <v/>
      </c>
      <c r="Z50" s="353">
        <f>IFERROR(PPMT(Assumptions!$C$9,Z$47,Assumptions!$C$10,$H$48),0)</f>
        <v/>
      </c>
      <c r="AA50" s="353">
        <f>IFERROR(PPMT(Assumptions!$C$9,AA$47,Assumptions!$C$10,$H$48),0)</f>
        <v/>
      </c>
      <c r="AB50" s="353">
        <f>IFERROR(PPMT(Assumptions!$C$9,AB$47,Assumptions!$C$10,$H$48),0)</f>
        <v/>
      </c>
      <c r="AC50" s="353">
        <f>IFERROR(PPMT(Assumptions!$C$9,AC$47,Assumptions!$C$10,$H$48),0)</f>
        <v/>
      </c>
      <c r="AD50" s="353">
        <f>IFERROR(PPMT(Assumptions!$C$9,AD$47,Assumptions!$C$10,$H$48),0)</f>
        <v/>
      </c>
      <c r="AE50" s="353">
        <f>IFERROR(PPMT(Assumptions!$C$9,AE$47,Assumptions!$C$10,$H$48),0)</f>
        <v/>
      </c>
      <c r="AF50" s="353">
        <f>IFERROR(PPMT(Assumptions!$C$9,AF$47,Assumptions!$C$10,$H$48),0)</f>
        <v/>
      </c>
      <c r="AG50" s="353">
        <f>IFERROR(PPMT(Assumptions!$C$9,AG$47,Assumptions!$C$10,$H$48),0)</f>
        <v/>
      </c>
      <c r="AH50" s="353">
        <f>IFERROR(PPMT(Assumptions!$C$9,AH$47,Assumptions!$C$10,$H$48),0)</f>
        <v/>
      </c>
      <c r="AI50" s="353">
        <f>IFERROR(PPMT(Assumptions!$C$9,AI$47,Assumptions!$C$10,$H$48),0)</f>
        <v/>
      </c>
      <c r="AJ50" s="353">
        <f>IFERROR(PPMT(Assumptions!$C$9,AJ$47,Assumptions!$C$10,$H$48),0)</f>
        <v/>
      </c>
      <c r="AK50" s="353">
        <f>IFERROR(PPMT(Assumptions!$C$9,AK$47,Assumptions!$C$10,$H$48),0)</f>
        <v/>
      </c>
      <c r="AL50" s="353">
        <f>IFERROR(PPMT(Assumptions!$C$9,AL$47,Assumptions!$C$10,$H$48),0)</f>
        <v/>
      </c>
      <c r="AM50" s="353">
        <f>IFERROR(PPMT(Assumptions!$C$9,AM$47,Assumptions!$C$10,$H$48),0)</f>
        <v/>
      </c>
      <c r="AN50" s="353">
        <f>IFERROR(PPMT(Assumptions!$C$9,AN$47,Assumptions!$C$10,$H$48),0)</f>
        <v/>
      </c>
      <c r="AO50" s="353">
        <f>IFERROR(PPMT(Assumptions!$C$9,AO$47,Assumptions!$C$10,$H$48),0)</f>
        <v/>
      </c>
      <c r="AP50" s="353">
        <f>IFERROR(PPMT(Assumptions!$C$9,AP$47,Assumptions!$C$10,$H$48),0)</f>
        <v/>
      </c>
      <c r="AQ50" s="353">
        <f>IFERROR(PPMT(Assumptions!$C$9,AQ$47,Assumptions!$C$10,$H$48),0)</f>
        <v/>
      </c>
      <c r="AR50" s="353">
        <f>IFERROR(PPMT(Assumptions!$C$9,AR$47,Assumptions!$C$10,$H$48),0)</f>
        <v/>
      </c>
      <c r="AS50" s="353">
        <f>IFERROR(PPMT(Assumptions!$C$9,AS$47,Assumptions!$C$10,$H$48),0)</f>
        <v/>
      </c>
      <c r="AT50" s="353">
        <f>IFERROR(PPMT(Assumptions!$C$9,AT$47,Assumptions!$C$10,$H$48),0)</f>
        <v/>
      </c>
      <c r="AU50" s="353">
        <f>IFERROR(PPMT(Assumptions!$C$9,AU$47,Assumptions!$C$10,$H$48),0)</f>
        <v/>
      </c>
      <c r="AV50" s="353">
        <f>IFERROR(PPMT(Assumptions!$C$9,AV$47,Assumptions!$C$10,$H$48),0)</f>
        <v/>
      </c>
      <c r="AW50" s="353">
        <f>IFERROR(PPMT(Assumptions!$C$9,AW$47,Assumptions!$C$10,$H$48),0)</f>
        <v/>
      </c>
    </row>
    <row r="51">
      <c r="B51" s="37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  <c r="AC51" s="318" t="n"/>
      <c r="AD51" s="318" t="n"/>
      <c r="AE51" s="318" t="n"/>
      <c r="AF51" s="318" t="n"/>
      <c r="AG51" s="318" t="n"/>
      <c r="AH51" s="318" t="n"/>
      <c r="AI51" s="318" t="n"/>
      <c r="AJ51" s="318" t="n"/>
      <c r="AK51" s="318" t="n"/>
      <c r="AL51" s="318" t="n"/>
      <c r="AM51" s="318" t="n"/>
      <c r="AN51" s="318" t="n"/>
      <c r="AO51" s="318" t="n"/>
      <c r="AP51" s="318" t="n"/>
      <c r="AQ51" s="318" t="n"/>
      <c r="AR51" s="318" t="n"/>
      <c r="AS51" s="318" t="n"/>
      <c r="AT51" s="318" t="n"/>
      <c r="AU51" s="318" t="n"/>
      <c r="AV51" s="318" t="n"/>
      <c r="AW51" s="318" t="n"/>
    </row>
    <row r="52">
      <c r="B52" s="79" t="inlineStr">
        <is>
          <t>Outstanding</t>
        </is>
      </c>
      <c r="C52" s="390">
        <f>SUM(C48:C50)</f>
        <v/>
      </c>
      <c r="D52" s="390">
        <f>SUM(D48:D50)</f>
        <v/>
      </c>
      <c r="E52" s="390">
        <f>SUM(E48:E50)</f>
        <v/>
      </c>
      <c r="F52" s="390">
        <f>SUM(F48:F50)</f>
        <v/>
      </c>
      <c r="G52" s="324" t="n"/>
      <c r="H52" s="391">
        <f>SUM(H48:H50)</f>
        <v/>
      </c>
      <c r="I52" s="391">
        <f>SUM(I48:I50)</f>
        <v/>
      </c>
      <c r="J52" s="391">
        <f>SUM(J48:J50)</f>
        <v/>
      </c>
      <c r="K52" s="391">
        <f>SUM(K48:K50)</f>
        <v/>
      </c>
      <c r="L52" s="391">
        <f>SUM(L48:L50)</f>
        <v/>
      </c>
      <c r="M52" s="391">
        <f>SUM(M48:M50)</f>
        <v/>
      </c>
      <c r="N52" s="391">
        <f>SUM(N48:N50)</f>
        <v/>
      </c>
      <c r="O52" s="391">
        <f>SUM(O48:O50)</f>
        <v/>
      </c>
      <c r="P52" s="391">
        <f>SUM(P48:P50)</f>
        <v/>
      </c>
      <c r="Q52" s="391">
        <f>SUM(Q48:Q50)</f>
        <v/>
      </c>
      <c r="R52" s="391">
        <f>SUM(R48:R50)</f>
        <v/>
      </c>
      <c r="S52" s="391">
        <f>SUM(S48:S50)</f>
        <v/>
      </c>
      <c r="T52" s="391">
        <f>SUM(T48:T50)</f>
        <v/>
      </c>
      <c r="U52" s="391">
        <f>SUM(U48:U50)</f>
        <v/>
      </c>
      <c r="V52" s="391">
        <f>SUM(V48:V50)</f>
        <v/>
      </c>
      <c r="W52" s="391">
        <f>SUM(W48:W50)</f>
        <v/>
      </c>
      <c r="X52" s="391">
        <f>SUM(X48:X50)</f>
        <v/>
      </c>
      <c r="Y52" s="391">
        <f>SUM(Y48:Y50)</f>
        <v/>
      </c>
      <c r="Z52" s="391">
        <f>SUM(Z48:Z50)</f>
        <v/>
      </c>
      <c r="AA52" s="391">
        <f>SUM(AA48:AA50)</f>
        <v/>
      </c>
      <c r="AB52" s="391">
        <f>SUM(AB48:AB50)</f>
        <v/>
      </c>
      <c r="AC52" s="391">
        <f>SUM(AC48:AC50)</f>
        <v/>
      </c>
      <c r="AD52" s="391">
        <f>SUM(AD48:AD50)</f>
        <v/>
      </c>
      <c r="AE52" s="391">
        <f>SUM(AE48:AE50)</f>
        <v/>
      </c>
      <c r="AF52" s="391">
        <f>SUM(AF48:AF50)</f>
        <v/>
      </c>
      <c r="AG52" s="391">
        <f>SUM(AG48:AG50)</f>
        <v/>
      </c>
      <c r="AH52" s="391">
        <f>SUM(AH48:AH50)</f>
        <v/>
      </c>
      <c r="AI52" s="391">
        <f>SUM(AI48:AI50)</f>
        <v/>
      </c>
      <c r="AJ52" s="391">
        <f>SUM(AJ48:AJ50)</f>
        <v/>
      </c>
      <c r="AK52" s="391">
        <f>SUM(AK48:AK50)</f>
        <v/>
      </c>
      <c r="AL52" s="391">
        <f>SUM(AL48:AL50)</f>
        <v/>
      </c>
      <c r="AM52" s="391">
        <f>SUM(AM48:AM50)</f>
        <v/>
      </c>
      <c r="AN52" s="391">
        <f>SUM(AN48:AN50)</f>
        <v/>
      </c>
      <c r="AO52" s="391">
        <f>SUM(AO48:AO50)</f>
        <v/>
      </c>
      <c r="AP52" s="391">
        <f>SUM(AP48:AP50)</f>
        <v/>
      </c>
      <c r="AQ52" s="391">
        <f>SUM(AQ48:AQ50)</f>
        <v/>
      </c>
      <c r="AR52" s="391">
        <f>SUM(AR48:AR50)</f>
        <v/>
      </c>
      <c r="AS52" s="391">
        <f>SUM(AS48:AS50)</f>
        <v/>
      </c>
      <c r="AT52" s="391">
        <f>SUM(AT48:AT50)</f>
        <v/>
      </c>
      <c r="AU52" s="391">
        <f>SUM(AU48:AU50)</f>
        <v/>
      </c>
      <c r="AV52" s="391">
        <f>SUM(AV48:AV50)</f>
        <v/>
      </c>
      <c r="AW52" s="391">
        <f>SUM(AW48:AW50)</f>
        <v/>
      </c>
    </row>
    <row r="53">
      <c r="B53" s="37" t="inlineStr">
        <is>
          <t>Interest Payment</t>
        </is>
      </c>
      <c r="C53" s="353">
        <f>SUMIF($H$5:$AW$5,C$5,$H53:$AW53)</f>
        <v/>
      </c>
      <c r="D53" s="353">
        <f>SUMIF($H$5:$AW$5,D$5,$H53:$AW53)</f>
        <v/>
      </c>
      <c r="E53" s="353">
        <f>SUMIF($H$5:$AW$5,E$5,$H53:$AW53)</f>
        <v/>
      </c>
      <c r="F53" s="353">
        <f>SUMIF($H$5:$AW$5,F$5,$H53:$AW53)</f>
        <v/>
      </c>
      <c r="G53" s="318" t="n"/>
      <c r="H53" s="353">
        <f>IFERROR(IPMT(Assumptions!$C$9,H$47,Assumptions!$C$10,$H$48),0)</f>
        <v/>
      </c>
      <c r="I53" s="353">
        <f>IFERROR(IPMT(Assumptions!$C$9,I$47,Assumptions!$C$10,$H$48),0)</f>
        <v/>
      </c>
      <c r="J53" s="353">
        <f>IFERROR(IPMT(Assumptions!$C$9,J$47,Assumptions!$C$10,$H$48),0)</f>
        <v/>
      </c>
      <c r="K53" s="353">
        <f>IFERROR(IPMT(Assumptions!$C$9,K$47,Assumptions!$C$10,$H$48),0)</f>
        <v/>
      </c>
      <c r="L53" s="353">
        <f>IFERROR(IPMT(Assumptions!$C$9,L$47,Assumptions!$C$10,$H$48),0)</f>
        <v/>
      </c>
      <c r="M53" s="353">
        <f>IFERROR(IPMT(Assumptions!$C$9,M$47,Assumptions!$C$10,$H$48),0)</f>
        <v/>
      </c>
      <c r="N53" s="353">
        <f>IFERROR(IPMT(Assumptions!$C$9,N$47,Assumptions!$C$10,$H$48),0)</f>
        <v/>
      </c>
      <c r="O53" s="353">
        <f>IFERROR(IPMT(Assumptions!$C$9,O$47,Assumptions!$C$10,$H$48),0)</f>
        <v/>
      </c>
      <c r="P53" s="353">
        <f>IFERROR(IPMT(Assumptions!$C$9,P$47,Assumptions!$C$10,$H$48),0)</f>
        <v/>
      </c>
      <c r="Q53" s="353">
        <f>IFERROR(IPMT(Assumptions!$C$9,Q$47,Assumptions!$C$10,$H$48),0)</f>
        <v/>
      </c>
      <c r="R53" s="353">
        <f>IFERROR(IPMT(Assumptions!$C$9,R$47,Assumptions!$C$10,$H$48),0)</f>
        <v/>
      </c>
      <c r="S53" s="353">
        <f>IFERROR(IPMT(Assumptions!$C$9,S$47,Assumptions!$C$10,$H$48),0)</f>
        <v/>
      </c>
      <c r="T53" s="353">
        <f>IFERROR(IPMT(Assumptions!$C$9,T$47,Assumptions!$C$10,$H$48),0)</f>
        <v/>
      </c>
      <c r="U53" s="353">
        <f>IFERROR(IPMT(Assumptions!$C$9,U$47,Assumptions!$C$10,$H$48),0)</f>
        <v/>
      </c>
      <c r="V53" s="353">
        <f>IFERROR(IPMT(Assumptions!$C$9,V$47,Assumptions!$C$10,$H$48),0)</f>
        <v/>
      </c>
      <c r="W53" s="353">
        <f>IFERROR(IPMT(Assumptions!$C$9,W$47,Assumptions!$C$10,$H$48),0)</f>
        <v/>
      </c>
      <c r="X53" s="353">
        <f>IFERROR(IPMT(Assumptions!$C$9,X$47,Assumptions!$C$10,$H$48),0)</f>
        <v/>
      </c>
      <c r="Y53" s="353">
        <f>IFERROR(IPMT(Assumptions!$C$9,Y$47,Assumptions!$C$10,$H$48),0)</f>
        <v/>
      </c>
      <c r="Z53" s="353">
        <f>IFERROR(IPMT(Assumptions!$C$9,Z$47,Assumptions!$C$10,$H$48),0)</f>
        <v/>
      </c>
      <c r="AA53" s="353">
        <f>IFERROR(IPMT(Assumptions!$C$9,AA$47,Assumptions!$C$10,$H$48),0)</f>
        <v/>
      </c>
      <c r="AB53" s="353">
        <f>IFERROR(IPMT(Assumptions!$C$9,AB$47,Assumptions!$C$10,$H$48),0)</f>
        <v/>
      </c>
      <c r="AC53" s="353">
        <f>IFERROR(IPMT(Assumptions!$C$9,AC$47,Assumptions!$C$10,$H$48),0)</f>
        <v/>
      </c>
      <c r="AD53" s="353">
        <f>IFERROR(IPMT(Assumptions!$C$9,AD$47,Assumptions!$C$10,$H$48),0)</f>
        <v/>
      </c>
      <c r="AE53" s="353">
        <f>IFERROR(IPMT(Assumptions!$C$9,AE$47,Assumptions!$C$10,$H$48),0)</f>
        <v/>
      </c>
      <c r="AF53" s="353">
        <f>IFERROR(IPMT(Assumptions!$C$9,AF$47,Assumptions!$C$10,$H$48),0)</f>
        <v/>
      </c>
      <c r="AG53" s="353">
        <f>IFERROR(IPMT(Assumptions!$C$9,AG$47,Assumptions!$C$10,$H$48),0)</f>
        <v/>
      </c>
      <c r="AH53" s="353">
        <f>IFERROR(IPMT(Assumptions!$C$9,AH$47,Assumptions!$C$10,$H$48),0)</f>
        <v/>
      </c>
      <c r="AI53" s="353">
        <f>IFERROR(IPMT(Assumptions!$C$9,AI$47,Assumptions!$C$10,$H$48),0)</f>
        <v/>
      </c>
      <c r="AJ53" s="353">
        <f>IFERROR(IPMT(Assumptions!$C$9,AJ$47,Assumptions!$C$10,$H$48),0)</f>
        <v/>
      </c>
      <c r="AK53" s="353">
        <f>IFERROR(IPMT(Assumptions!$C$9,AK$47,Assumptions!$C$10,$H$48),0)</f>
        <v/>
      </c>
      <c r="AL53" s="353">
        <f>IFERROR(IPMT(Assumptions!$C$9,AL$47,Assumptions!$C$10,$H$48),0)</f>
        <v/>
      </c>
      <c r="AM53" s="353">
        <f>IFERROR(IPMT(Assumptions!$C$9,AM$47,Assumptions!$C$10,$H$48),0)</f>
        <v/>
      </c>
      <c r="AN53" s="353">
        <f>IFERROR(IPMT(Assumptions!$C$9,AN$47,Assumptions!$C$10,$H$48),0)</f>
        <v/>
      </c>
      <c r="AO53" s="353">
        <f>IFERROR(IPMT(Assumptions!$C$9,AO$47,Assumptions!$C$10,$H$48),0)</f>
        <v/>
      </c>
      <c r="AP53" s="353">
        <f>IFERROR(IPMT(Assumptions!$C$9,AP$47,Assumptions!$C$10,$H$48),0)</f>
        <v/>
      </c>
      <c r="AQ53" s="353">
        <f>IFERROR(IPMT(Assumptions!$C$9,AQ$47,Assumptions!$C$10,$H$48),0)</f>
        <v/>
      </c>
      <c r="AR53" s="353">
        <f>IFERROR(IPMT(Assumptions!$C$9,AR$47,Assumptions!$C$10,$H$48),0)</f>
        <v/>
      </c>
      <c r="AS53" s="353">
        <f>IFERROR(IPMT(Assumptions!$C$9,AS$47,Assumptions!$C$10,$H$48),0)</f>
        <v/>
      </c>
      <c r="AT53" s="353">
        <f>IFERROR(IPMT(Assumptions!$C$9,AT$47,Assumptions!$C$10,$H$48),0)</f>
        <v/>
      </c>
      <c r="AU53" s="353">
        <f>IFERROR(IPMT(Assumptions!$C$9,AU$47,Assumptions!$C$10,$H$48),0)</f>
        <v/>
      </c>
      <c r="AV53" s="353">
        <f>IFERROR(IPMT(Assumptions!$C$9,AV$47,Assumptions!$C$10,$H$48),0)</f>
        <v/>
      </c>
      <c r="AW53" s="353">
        <f>IFERROR(IPMT(Assumptions!$C$9,AW$47,Assumptions!$C$10,$H$48),0)</f>
        <v/>
      </c>
    </row>
    <row r="54">
      <c r="B54" s="37" t="n"/>
    </row>
    <row r="55"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  <c r="AA55" s="162" t="n"/>
      <c r="AB55" s="162" t="n"/>
      <c r="AC55" s="162" t="n"/>
      <c r="AD55" s="162" t="n"/>
      <c r="AE55" s="162" t="n"/>
      <c r="AF55" s="162" t="n"/>
      <c r="AG55" s="162" t="n"/>
      <c r="AH55" s="162" t="n"/>
      <c r="AI55" s="162" t="n"/>
      <c r="AJ55" s="162" t="n"/>
      <c r="AK55" s="162" t="n"/>
      <c r="AL55" s="162" t="n"/>
      <c r="AM55" s="162" t="n"/>
      <c r="AN55" s="162" t="n"/>
      <c r="AO55" s="162" t="n"/>
      <c r="AP55" s="162" t="n"/>
      <c r="AQ55" s="162" t="n"/>
      <c r="AR55" s="162" t="n"/>
      <c r="AS55" s="162" t="n"/>
      <c r="AT55" s="162" t="n"/>
      <c r="AU55" s="162" t="n"/>
      <c r="AV55" s="162" t="n"/>
      <c r="AW55" s="162" t="n"/>
    </row>
  </sheetData>
  <mergeCells count="6">
    <mergeCell ref="G5:G6"/>
    <mergeCell ref="E5:E6"/>
    <mergeCell ref="F5:F6"/>
    <mergeCell ref="D5:D6"/>
    <mergeCell ref="B5:B6"/>
    <mergeCell ref="C5:C6"/>
  </mergeCells>
  <pageMargins left="0.7" right="0.7" top="0.75" bottom="0.75" header="0.3" footer="0.3"/>
  <pageSetup orientation="portrait" scale="14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W49"/>
  <sheetViews>
    <sheetView showGridLines="0" view="pageBreakPreview" zoomScaleNormal="10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 activeCell="B1" sqref="B1"/>
    </sheetView>
  </sheetViews>
  <sheetFormatPr baseColWidth="10" defaultColWidth="12.5" defaultRowHeight="13"/>
  <cols>
    <col width="4" customWidth="1" style="1" min="1" max="1"/>
    <col width="30.5" bestFit="1" customWidth="1" style="1" min="2" max="2"/>
    <col width="14.5" bestFit="1" customWidth="1" style="1" min="3" max="3"/>
    <col width="14" bestFit="1" customWidth="1" style="1" min="4" max="4"/>
    <col width="15.5" bestFit="1" customWidth="1" style="1" min="5" max="5"/>
    <col width="16.33203125" bestFit="1" customWidth="1" style="1" min="6" max="6"/>
    <col width="6.5" customWidth="1" style="1" min="7" max="7"/>
    <col width="12.5" customWidth="1" style="1" min="8" max="16384"/>
  </cols>
  <sheetData>
    <row r="2">
      <c r="B2" s="2">
        <f>DCF!B2</f>
        <v/>
      </c>
    </row>
    <row r="3">
      <c r="B3" s="2" t="inlineStr">
        <is>
          <t>Ratio Analysis</t>
        </is>
      </c>
    </row>
    <row r="5">
      <c r="B5" s="305" t="inlineStr">
        <is>
          <t>Particulars</t>
        </is>
      </c>
      <c r="C5" s="295">
        <f t="array" ref="C5:C6">'Revenue Driver'!C5:C6</f>
        <v/>
      </c>
      <c r="D5" s="295">
        <f t="array" ref="D5:D6">'Revenue Driver'!D5:D6</f>
        <v/>
      </c>
      <c r="E5" s="295">
        <f t="array" ref="E5:E6">'Revenue Driver'!E5:E6</f>
        <v/>
      </c>
      <c r="F5" s="295">
        <f t="array" ref="F5:F6">'Revenue Driver'!F5:F6</f>
        <v/>
      </c>
      <c r="G5" s="292" t="n"/>
      <c r="H5" s="7">
        <f t="array" ref="H5:H6">'Revenue Driver'!H5:H6</f>
        <v/>
      </c>
      <c r="I5" s="7">
        <f t="array" ref="I5:I6">'Revenue Driver'!I5:I6</f>
        <v/>
      </c>
      <c r="J5" s="7">
        <f t="array" ref="J5:J6">'Revenue Driver'!J5:J6</f>
        <v/>
      </c>
      <c r="K5" s="7">
        <f t="array" ref="K5:K6">'Revenue Driver'!K5:K6</f>
        <v/>
      </c>
      <c r="L5" s="7">
        <f t="array" ref="L5:L6">'Revenue Driver'!L5:L6</f>
        <v/>
      </c>
      <c r="M5" s="7">
        <f t="array" ref="M5:M6">'Revenue Driver'!M5:M6</f>
        <v/>
      </c>
      <c r="N5" s="7">
        <f t="array" ref="N5:N6">'Revenue Driver'!N5:N6</f>
        <v/>
      </c>
      <c r="O5" s="7">
        <f t="array" ref="O5:O6">'Revenue Driver'!O5:O6</f>
        <v/>
      </c>
      <c r="P5" s="7">
        <f t="array" ref="P5:P6">'Revenue Driver'!P5:P6</f>
        <v/>
      </c>
      <c r="Q5" s="7">
        <f t="array" ref="Q5:Q6">'Revenue Driver'!Q5:Q6</f>
        <v/>
      </c>
      <c r="R5" s="7">
        <f t="array" ref="R5:R6">'Revenue Driver'!R5:R6</f>
        <v/>
      </c>
      <c r="S5" s="7">
        <f t="array" ref="S5:S6">'Revenue Driver'!S5:S6</f>
        <v/>
      </c>
      <c r="T5" s="7">
        <f t="array" ref="T5:T6">'Revenue Driver'!T5:T6</f>
        <v/>
      </c>
      <c r="U5" s="7">
        <f t="array" ref="U5:U6">'Revenue Driver'!U5:U6</f>
        <v/>
      </c>
      <c r="V5" s="7">
        <f t="array" ref="V5:V6">'Revenue Driver'!V5:V6</f>
        <v/>
      </c>
      <c r="W5" s="7">
        <f t="array" ref="W5:W6">'Revenue Driver'!W5:W6</f>
        <v/>
      </c>
      <c r="X5" s="7">
        <f t="array" ref="X5:X6">'Revenue Driver'!X5:X6</f>
        <v/>
      </c>
      <c r="Y5" s="7">
        <f t="array" ref="Y5:Y6">'Revenue Driver'!Y5:Y6</f>
        <v/>
      </c>
      <c r="Z5" s="7">
        <f t="array" ref="Z5:Z6">'Revenue Driver'!Z5:Z6</f>
        <v/>
      </c>
      <c r="AA5" s="7">
        <f t="array" ref="AA5:AA6">'Revenue Driver'!AA5:AA6</f>
        <v/>
      </c>
      <c r="AB5" s="7">
        <f t="array" ref="AB5:AB6">'Revenue Driver'!AB5:AB6</f>
        <v/>
      </c>
      <c r="AC5" s="7">
        <f t="array" ref="AC5:AC6">'Revenue Driver'!AC5:AC6</f>
        <v/>
      </c>
      <c r="AD5" s="7">
        <f t="array" ref="AD5:AD6">'Revenue Driver'!AD5:AD6</f>
        <v/>
      </c>
      <c r="AE5" s="7">
        <f t="array" ref="AE5:AE6">'Revenue Driver'!AE5:AE6</f>
        <v/>
      </c>
      <c r="AF5" s="7">
        <f t="array" ref="AF5:AF6">'Revenue Driver'!AF5:AF6</f>
        <v/>
      </c>
      <c r="AG5" s="7">
        <f t="array" ref="AG5:AG6">'Revenue Driver'!AG5:AG6</f>
        <v/>
      </c>
      <c r="AH5" s="7">
        <f t="array" ref="AH5:AH6">'Revenue Driver'!AH5:AH6</f>
        <v/>
      </c>
      <c r="AI5" s="7">
        <f t="array" ref="AI5:AI6">'Revenue Driver'!AI5:AI6</f>
        <v/>
      </c>
      <c r="AJ5" s="7">
        <f t="array" ref="AJ5:AJ6">'Revenue Driver'!AJ5:AJ6</f>
        <v/>
      </c>
      <c r="AK5" s="7">
        <f t="array" ref="AK5:AK6">'Revenue Driver'!AK5:AK6</f>
        <v/>
      </c>
      <c r="AL5" s="7">
        <f t="array" ref="AL5:AL6">'Revenue Driver'!AL5:AL6</f>
        <v/>
      </c>
      <c r="AM5" s="7">
        <f t="array" ref="AM5:AM6">'Revenue Driver'!AM5:AM6</f>
        <v/>
      </c>
      <c r="AN5" s="7">
        <f t="array" ref="AN5:AN6">'Revenue Driver'!AN5:AN6</f>
        <v/>
      </c>
      <c r="AO5" s="7">
        <f t="array" ref="AO5:AO6">'Revenue Driver'!AO5:AO6</f>
        <v/>
      </c>
      <c r="AP5" s="7">
        <f t="array" ref="AP5:AP6">'Revenue Driver'!AP5:AP6</f>
        <v/>
      </c>
      <c r="AQ5" s="7">
        <f t="array" ref="AQ5:AQ6">'Revenue Driver'!AQ5:AQ6</f>
        <v/>
      </c>
      <c r="AR5" s="7">
        <f t="array" ref="AR5:AR6">'Revenue Driver'!AR5:AR6</f>
        <v/>
      </c>
      <c r="AS5" s="7">
        <f t="array" ref="AS5:AS6">'Revenue Driver'!AS5:AS6</f>
        <v/>
      </c>
      <c r="AT5" s="7">
        <f t="array" ref="AT5:AT6">'Revenue Driver'!AT5:AT6</f>
        <v/>
      </c>
      <c r="AU5" s="7">
        <f t="array" ref="AU5:AU6">'Revenue Driver'!AU5:AU6</f>
        <v/>
      </c>
      <c r="AV5" s="7">
        <f t="array" ref="AV5:AV6">'Revenue Driver'!AV5:AV6</f>
        <v/>
      </c>
      <c r="AW5" s="7">
        <f t="array" ref="AW5:AW6">'Revenue Driver'!AW5:AW6</f>
        <v/>
      </c>
    </row>
    <row r="6">
      <c r="H6" s="8" t="n">
        <v>45497</v>
      </c>
      <c r="I6" s="8" t="n">
        <v>45535</v>
      </c>
      <c r="J6" s="8" t="n">
        <v>45565</v>
      </c>
      <c r="K6" s="8" t="n">
        <v>45596</v>
      </c>
      <c r="L6" s="8" t="n">
        <v>45626</v>
      </c>
      <c r="M6" s="8" t="n">
        <v>45657</v>
      </c>
      <c r="N6" s="8" t="n">
        <v>45688</v>
      </c>
      <c r="O6" s="8" t="n">
        <v>45716</v>
      </c>
      <c r="P6" s="8" t="n">
        <v>45747</v>
      </c>
      <c r="Q6" s="8" t="n">
        <v>45777</v>
      </c>
      <c r="R6" s="8" t="n">
        <v>45808</v>
      </c>
      <c r="S6" s="8" t="n">
        <v>45838</v>
      </c>
      <c r="T6" s="8" t="n">
        <v>45869</v>
      </c>
      <c r="U6" s="8" t="n">
        <v>45900</v>
      </c>
      <c r="V6" s="8" t="n">
        <v>45930</v>
      </c>
      <c r="W6" s="8" t="n">
        <v>45961</v>
      </c>
      <c r="X6" s="8" t="n">
        <v>45991</v>
      </c>
      <c r="Y6" s="8" t="n">
        <v>46022</v>
      </c>
      <c r="Z6" s="8" t="n">
        <v>46053</v>
      </c>
      <c r="AA6" s="8" t="n">
        <v>46081</v>
      </c>
      <c r="AB6" s="8" t="n">
        <v>46112</v>
      </c>
      <c r="AC6" s="8" t="n">
        <v>46142</v>
      </c>
      <c r="AD6" s="8" t="n">
        <v>46173</v>
      </c>
      <c r="AE6" s="8" t="n">
        <v>46203</v>
      </c>
      <c r="AF6" s="8" t="n">
        <v>46234</v>
      </c>
      <c r="AG6" s="8" t="n">
        <v>46265</v>
      </c>
      <c r="AH6" s="8" t="n">
        <v>46295</v>
      </c>
      <c r="AI6" s="8" t="n">
        <v>46326</v>
      </c>
      <c r="AJ6" s="8" t="n">
        <v>46356</v>
      </c>
      <c r="AK6" s="8" t="n">
        <v>46387</v>
      </c>
      <c r="AL6" s="8" t="n">
        <v>46418</v>
      </c>
      <c r="AM6" s="8" t="n">
        <v>46446</v>
      </c>
      <c r="AN6" s="8" t="n">
        <v>46477</v>
      </c>
      <c r="AO6" s="8" t="n">
        <v>46507</v>
      </c>
      <c r="AP6" s="8" t="n">
        <v>46538</v>
      </c>
      <c r="AQ6" s="8" t="n">
        <v>46568</v>
      </c>
      <c r="AR6" s="8" t="n">
        <v>46599</v>
      </c>
      <c r="AS6" s="8" t="n">
        <v>46630</v>
      </c>
      <c r="AT6" s="8" t="n">
        <v>46660</v>
      </c>
      <c r="AU6" s="8" t="n">
        <v>46691</v>
      </c>
      <c r="AV6" s="8" t="n">
        <v>46721</v>
      </c>
      <c r="AW6" s="8" t="n">
        <v>46752</v>
      </c>
    </row>
    <row r="8">
      <c r="B8" s="172" t="inlineStr">
        <is>
          <t>Growth Ratio</t>
        </is>
      </c>
    </row>
    <row r="9">
      <c r="B9" s="173" t="inlineStr">
        <is>
          <t>Revenue growth (%)</t>
        </is>
      </c>
      <c r="C9" s="392">
        <f>IFERROR(('Income Statement'!C8/'Income Statement'!B8-1),0)</f>
        <v/>
      </c>
      <c r="D9" s="392">
        <f>IFERROR(('Income Statement'!D8/'Income Statement'!C8-1),0)</f>
        <v/>
      </c>
      <c r="E9" s="392">
        <f>IFERROR(('Income Statement'!E8/'Income Statement'!D8-1),0)</f>
        <v/>
      </c>
      <c r="F9" s="392">
        <f>IFERROR(('Income Statement'!F8/'Income Statement'!E8-1),0)</f>
        <v/>
      </c>
      <c r="G9" s="326" t="n"/>
      <c r="H9" s="392">
        <f>IFERROR(('Income Statement'!H8/'Income Statement'!G8-1),0)</f>
        <v/>
      </c>
      <c r="I9" s="392">
        <f>IFERROR(('Income Statement'!I8/'Income Statement'!H8-1),0)</f>
        <v/>
      </c>
      <c r="J9" s="392">
        <f>IFERROR(('Income Statement'!J8/'Income Statement'!I8-1),0)</f>
        <v/>
      </c>
      <c r="K9" s="392">
        <f>IFERROR(('Income Statement'!K8/'Income Statement'!J8-1),0)</f>
        <v/>
      </c>
      <c r="L9" s="392">
        <f>IFERROR(('Income Statement'!L8/'Income Statement'!K8-1),0)</f>
        <v/>
      </c>
      <c r="M9" s="392">
        <f>IFERROR(('Income Statement'!M8/'Income Statement'!L8-1),0)</f>
        <v/>
      </c>
      <c r="N9" s="392">
        <f>IFERROR(('Income Statement'!N8/'Income Statement'!M8-1),0)</f>
        <v/>
      </c>
      <c r="O9" s="392">
        <f>IFERROR(('Income Statement'!O8/'Income Statement'!N8-1),0)</f>
        <v/>
      </c>
      <c r="P9" s="392">
        <f>IFERROR(('Income Statement'!P8/'Income Statement'!O8-1),0)</f>
        <v/>
      </c>
      <c r="Q9" s="392">
        <f>IFERROR(('Income Statement'!Q8/'Income Statement'!P8-1),0)</f>
        <v/>
      </c>
      <c r="R9" s="392">
        <f>IFERROR(('Income Statement'!R8/'Income Statement'!Q8-1),0)</f>
        <v/>
      </c>
      <c r="S9" s="392">
        <f>IFERROR(('Income Statement'!S8/'Income Statement'!R8-1),0)</f>
        <v/>
      </c>
      <c r="T9" s="392">
        <f>IFERROR(('Income Statement'!T8/'Income Statement'!S8-1),0)</f>
        <v/>
      </c>
      <c r="U9" s="392">
        <f>IFERROR(('Income Statement'!U8/'Income Statement'!T8-1),0)</f>
        <v/>
      </c>
      <c r="V9" s="392">
        <f>IFERROR(('Income Statement'!V8/'Income Statement'!U8-1),0)</f>
        <v/>
      </c>
      <c r="W9" s="392">
        <f>IFERROR(('Income Statement'!W8/'Income Statement'!V8-1),0)</f>
        <v/>
      </c>
      <c r="X9" s="392">
        <f>IFERROR(('Income Statement'!X8/'Income Statement'!W8-1),0)</f>
        <v/>
      </c>
      <c r="Y9" s="392">
        <f>IFERROR(('Income Statement'!Y8/'Income Statement'!X8-1),0)</f>
        <v/>
      </c>
      <c r="Z9" s="392">
        <f>IFERROR(('Income Statement'!Z8/'Income Statement'!Y8-1),0)</f>
        <v/>
      </c>
      <c r="AA9" s="392">
        <f>IFERROR(('Income Statement'!AA8/'Income Statement'!Z8-1),0)</f>
        <v/>
      </c>
      <c r="AB9" s="392">
        <f>IFERROR(('Income Statement'!AB8/'Income Statement'!AA8-1),0)</f>
        <v/>
      </c>
      <c r="AC9" s="392">
        <f>IFERROR(('Income Statement'!AC8/'Income Statement'!AB8-1),0)</f>
        <v/>
      </c>
      <c r="AD9" s="392">
        <f>IFERROR(('Income Statement'!AD8/'Income Statement'!AC8-1),0)</f>
        <v/>
      </c>
      <c r="AE9" s="392">
        <f>IFERROR(('Income Statement'!AE8/'Income Statement'!AD8-1),0)</f>
        <v/>
      </c>
      <c r="AF9" s="392">
        <f>IFERROR(('Income Statement'!AF8/'Income Statement'!AE8-1),0)</f>
        <v/>
      </c>
      <c r="AG9" s="392">
        <f>IFERROR(('Income Statement'!AG8/'Income Statement'!AF8-1),0)</f>
        <v/>
      </c>
      <c r="AH9" s="392">
        <f>IFERROR(('Income Statement'!AH8/'Income Statement'!AG8-1),0)</f>
        <v/>
      </c>
      <c r="AI9" s="392">
        <f>IFERROR(('Income Statement'!AI8/'Income Statement'!AH8-1),0)</f>
        <v/>
      </c>
      <c r="AJ9" s="392">
        <f>IFERROR(('Income Statement'!AJ8/'Income Statement'!AI8-1),0)</f>
        <v/>
      </c>
      <c r="AK9" s="392">
        <f>IFERROR(('Income Statement'!AK8/'Income Statement'!AJ8-1),0)</f>
        <v/>
      </c>
      <c r="AL9" s="392">
        <f>IFERROR(('Income Statement'!AL8/'Income Statement'!AK8-1),0)</f>
        <v/>
      </c>
      <c r="AM9" s="392">
        <f>IFERROR(('Income Statement'!AM8/'Income Statement'!AL8-1),0)</f>
        <v/>
      </c>
      <c r="AN9" s="392">
        <f>IFERROR(('Income Statement'!AN8/'Income Statement'!AM8-1),0)</f>
        <v/>
      </c>
      <c r="AO9" s="392">
        <f>IFERROR(('Income Statement'!AO8/'Income Statement'!AN8-1),0)</f>
        <v/>
      </c>
      <c r="AP9" s="392">
        <f>IFERROR(('Income Statement'!AP8/'Income Statement'!AO8-1),0)</f>
        <v/>
      </c>
      <c r="AQ9" s="392">
        <f>IFERROR(('Income Statement'!AQ8/'Income Statement'!AP8-1),0)</f>
        <v/>
      </c>
      <c r="AR9" s="392">
        <f>IFERROR(('Income Statement'!AR8/'Income Statement'!AQ8-1),0)</f>
        <v/>
      </c>
      <c r="AS9" s="392">
        <f>IFERROR(('Income Statement'!AS8/'Income Statement'!AR8-1),0)</f>
        <v/>
      </c>
      <c r="AT9" s="392">
        <f>IFERROR(('Income Statement'!AT8/'Income Statement'!AS8-1),0)</f>
        <v/>
      </c>
      <c r="AU9" s="392">
        <f>IFERROR(('Income Statement'!AU8/'Income Statement'!AT8-1),0)</f>
        <v/>
      </c>
      <c r="AV9" s="392">
        <f>IFERROR(('Income Statement'!AV8/'Income Statement'!AU8-1),0)</f>
        <v/>
      </c>
      <c r="AW9" s="392">
        <f>IFERROR(('Income Statement'!AW8/'Income Statement'!AV8-1),0)</f>
        <v/>
      </c>
    </row>
    <row r="10">
      <c r="B10" s="176" t="inlineStr">
        <is>
          <t>EBITDA growth (%)</t>
        </is>
      </c>
      <c r="C10" s="326">
        <f>IFERROR(('Income Statement'!C32/'Income Statement'!B32-1),0)</f>
        <v/>
      </c>
      <c r="D10" s="326">
        <f>IFERROR(('Income Statement'!D32/'Income Statement'!C32-1),0)</f>
        <v/>
      </c>
      <c r="E10" s="326">
        <f>IFERROR(('Income Statement'!E32/'Income Statement'!D32-1),0)</f>
        <v/>
      </c>
      <c r="F10" s="326">
        <f>IFERROR(('Income Statement'!F32/'Income Statement'!E32-1),0)</f>
        <v/>
      </c>
      <c r="G10" s="326" t="n"/>
      <c r="H10" s="326">
        <f>IFERROR(('Income Statement'!H32/'Income Statement'!G32-1),0)</f>
        <v/>
      </c>
      <c r="I10" s="326">
        <f>IFERROR(('Income Statement'!I32/'Income Statement'!H32-1),0)</f>
        <v/>
      </c>
      <c r="J10" s="326">
        <f>IFERROR(('Income Statement'!J32/'Income Statement'!I32-1),0)</f>
        <v/>
      </c>
      <c r="K10" s="326">
        <f>IFERROR(('Income Statement'!K32/'Income Statement'!J32-1),0)</f>
        <v/>
      </c>
      <c r="L10" s="326">
        <f>IFERROR(('Income Statement'!L32/'Income Statement'!K32-1),0)</f>
        <v/>
      </c>
      <c r="M10" s="326">
        <f>IFERROR(('Income Statement'!M32/'Income Statement'!L32-1),0)</f>
        <v/>
      </c>
      <c r="N10" s="326">
        <f>IFERROR(('Income Statement'!N32/'Income Statement'!M32-1),0)</f>
        <v/>
      </c>
      <c r="O10" s="326">
        <f>IFERROR(('Income Statement'!O32/'Income Statement'!N32-1),0)</f>
        <v/>
      </c>
      <c r="P10" s="326">
        <f>IFERROR(('Income Statement'!P32/'Income Statement'!O32-1),0)</f>
        <v/>
      </c>
      <c r="Q10" s="326">
        <f>IFERROR(('Income Statement'!Q32/'Income Statement'!P32-1),0)</f>
        <v/>
      </c>
      <c r="R10" s="326">
        <f>IFERROR(('Income Statement'!R32/'Income Statement'!Q32-1),0)</f>
        <v/>
      </c>
      <c r="S10" s="326">
        <f>IFERROR(('Income Statement'!S32/'Income Statement'!R32-1),0)</f>
        <v/>
      </c>
      <c r="T10" s="326">
        <f>IFERROR(('Income Statement'!T32/'Income Statement'!S32-1),0)</f>
        <v/>
      </c>
      <c r="U10" s="326">
        <f>IFERROR(('Income Statement'!U32/'Income Statement'!T32-1),0)</f>
        <v/>
      </c>
      <c r="V10" s="326">
        <f>IFERROR(('Income Statement'!V32/'Income Statement'!U32-1),0)</f>
        <v/>
      </c>
      <c r="W10" s="326">
        <f>IFERROR(('Income Statement'!W32/'Income Statement'!V32-1),0)</f>
        <v/>
      </c>
      <c r="X10" s="326">
        <f>IFERROR(('Income Statement'!X32/'Income Statement'!W32-1),0)</f>
        <v/>
      </c>
      <c r="Y10" s="326">
        <f>IFERROR(('Income Statement'!Y32/'Income Statement'!X32-1),0)</f>
        <v/>
      </c>
      <c r="Z10" s="326">
        <f>IFERROR(('Income Statement'!Z32/'Income Statement'!Y32-1),0)</f>
        <v/>
      </c>
      <c r="AA10" s="326">
        <f>IFERROR(('Income Statement'!AA32/'Income Statement'!Z32-1),0)</f>
        <v/>
      </c>
      <c r="AB10" s="326">
        <f>IFERROR(('Income Statement'!AB32/'Income Statement'!AA32-1),0)</f>
        <v/>
      </c>
      <c r="AC10" s="326">
        <f>IFERROR(('Income Statement'!AC32/'Income Statement'!AB32-1),0)</f>
        <v/>
      </c>
      <c r="AD10" s="326">
        <f>IFERROR(('Income Statement'!AD32/'Income Statement'!AC32-1),0)</f>
        <v/>
      </c>
      <c r="AE10" s="326">
        <f>IFERROR(('Income Statement'!AE32/'Income Statement'!AD32-1),0)</f>
        <v/>
      </c>
      <c r="AF10" s="326">
        <f>IFERROR(('Income Statement'!AF32/'Income Statement'!AE32-1),0)</f>
        <v/>
      </c>
      <c r="AG10" s="326">
        <f>IFERROR(('Income Statement'!AG32/'Income Statement'!AF32-1),0)</f>
        <v/>
      </c>
      <c r="AH10" s="326">
        <f>IFERROR(('Income Statement'!AH32/'Income Statement'!AG32-1),0)</f>
        <v/>
      </c>
      <c r="AI10" s="326">
        <f>IFERROR(('Income Statement'!AI32/'Income Statement'!AH32-1),0)</f>
        <v/>
      </c>
      <c r="AJ10" s="326">
        <f>IFERROR(('Income Statement'!AJ32/'Income Statement'!AI32-1),0)</f>
        <v/>
      </c>
      <c r="AK10" s="326">
        <f>IFERROR(('Income Statement'!AK32/'Income Statement'!AJ32-1),0)</f>
        <v/>
      </c>
      <c r="AL10" s="326">
        <f>IFERROR(('Income Statement'!AL32/'Income Statement'!AK32-1),0)</f>
        <v/>
      </c>
      <c r="AM10" s="326">
        <f>IFERROR(('Income Statement'!AM32/'Income Statement'!AL32-1),0)</f>
        <v/>
      </c>
      <c r="AN10" s="326">
        <f>IFERROR(('Income Statement'!AN32/'Income Statement'!AM32-1),0)</f>
        <v/>
      </c>
      <c r="AO10" s="326">
        <f>IFERROR(('Income Statement'!AO32/'Income Statement'!AN32-1),0)</f>
        <v/>
      </c>
      <c r="AP10" s="326">
        <f>IFERROR(('Income Statement'!AP32/'Income Statement'!AO32-1),0)</f>
        <v/>
      </c>
      <c r="AQ10" s="326">
        <f>IFERROR(('Income Statement'!AQ32/'Income Statement'!AP32-1),0)</f>
        <v/>
      </c>
      <c r="AR10" s="326">
        <f>IFERROR(('Income Statement'!AR32/'Income Statement'!AQ32-1),0)</f>
        <v/>
      </c>
      <c r="AS10" s="326">
        <f>IFERROR(('Income Statement'!AS32/'Income Statement'!AR32-1),0)</f>
        <v/>
      </c>
      <c r="AT10" s="326">
        <f>IFERROR(('Income Statement'!AT32/'Income Statement'!AS32-1),0)</f>
        <v/>
      </c>
      <c r="AU10" s="326">
        <f>IFERROR(('Income Statement'!AU32/'Income Statement'!AT32-1),0)</f>
        <v/>
      </c>
      <c r="AV10" s="326">
        <f>IFERROR(('Income Statement'!AV32/'Income Statement'!AU32-1),0)</f>
        <v/>
      </c>
      <c r="AW10" s="326">
        <f>IFERROR(('Income Statement'!AW32/'Income Statement'!AV32-1),0)</f>
        <v/>
      </c>
    </row>
    <row r="11">
      <c r="B11" s="176" t="inlineStr">
        <is>
          <t>Net Income growth (%)</t>
        </is>
      </c>
      <c r="C11" s="326">
        <f>IFERROR(('Income Statement'!C42/'Income Statement'!B42-1),0)</f>
        <v/>
      </c>
      <c r="D11" s="326">
        <f>IFERROR(('Income Statement'!D42/'Income Statement'!C42-1),0)</f>
        <v/>
      </c>
      <c r="E11" s="326">
        <f>IFERROR(('Income Statement'!E42/'Income Statement'!D42-1),0)</f>
        <v/>
      </c>
      <c r="F11" s="326">
        <f>IFERROR(('Income Statement'!F42/'Income Statement'!E42-1),0)</f>
        <v/>
      </c>
      <c r="G11" s="326" t="n"/>
      <c r="H11" s="326">
        <f>IFERROR(('Income Statement'!H42/'Income Statement'!G42-1),0)</f>
        <v/>
      </c>
      <c r="I11" s="326">
        <f>IFERROR(('Income Statement'!I42/'Income Statement'!H42-1),0)</f>
        <v/>
      </c>
      <c r="J11" s="326">
        <f>IFERROR(('Income Statement'!J42/'Income Statement'!I42-1),0)</f>
        <v/>
      </c>
      <c r="K11" s="326">
        <f>IFERROR(('Income Statement'!K42/'Income Statement'!J42-1),0)</f>
        <v/>
      </c>
      <c r="L11" s="326">
        <f>IFERROR(('Income Statement'!L42/'Income Statement'!K42-1),0)</f>
        <v/>
      </c>
      <c r="M11" s="326">
        <f>IFERROR(('Income Statement'!M42/'Income Statement'!L42-1),0)</f>
        <v/>
      </c>
      <c r="N11" s="326">
        <f>IFERROR(('Income Statement'!N42/'Income Statement'!M42-1),0)</f>
        <v/>
      </c>
      <c r="O11" s="326">
        <f>IFERROR(('Income Statement'!O42/'Income Statement'!N42-1),0)</f>
        <v/>
      </c>
      <c r="P11" s="326">
        <f>IFERROR(('Income Statement'!P42/'Income Statement'!O42-1),0)</f>
        <v/>
      </c>
      <c r="Q11" s="326">
        <f>IFERROR(('Income Statement'!Q42/'Income Statement'!P42-1),0)</f>
        <v/>
      </c>
      <c r="R11" s="326">
        <f>IFERROR(('Income Statement'!R42/'Income Statement'!Q42-1),0)</f>
        <v/>
      </c>
      <c r="S11" s="326">
        <f>IFERROR(('Income Statement'!S42/'Income Statement'!R42-1),0)</f>
        <v/>
      </c>
      <c r="T11" s="326">
        <f>IFERROR(('Income Statement'!T42/'Income Statement'!S42-1),0)</f>
        <v/>
      </c>
      <c r="U11" s="326">
        <f>IFERROR(('Income Statement'!U42/'Income Statement'!T42-1),0)</f>
        <v/>
      </c>
      <c r="V11" s="326">
        <f>IFERROR(('Income Statement'!V42/'Income Statement'!U42-1),0)</f>
        <v/>
      </c>
      <c r="W11" s="326">
        <f>IFERROR(('Income Statement'!W42/'Income Statement'!V42-1),0)</f>
        <v/>
      </c>
      <c r="X11" s="326">
        <f>IFERROR(('Income Statement'!X42/'Income Statement'!W42-1),0)</f>
        <v/>
      </c>
      <c r="Y11" s="326">
        <f>IFERROR(('Income Statement'!Y42/'Income Statement'!X42-1),0)</f>
        <v/>
      </c>
      <c r="Z11" s="326">
        <f>IFERROR(('Income Statement'!Z42/'Income Statement'!Y42-1),0)</f>
        <v/>
      </c>
      <c r="AA11" s="326">
        <f>IFERROR(('Income Statement'!AA42/'Income Statement'!Z42-1),0)</f>
        <v/>
      </c>
      <c r="AB11" s="326">
        <f>IFERROR(('Income Statement'!AB42/'Income Statement'!AA42-1),0)</f>
        <v/>
      </c>
      <c r="AC11" s="326">
        <f>IFERROR(('Income Statement'!AC42/'Income Statement'!AB42-1),0)</f>
        <v/>
      </c>
      <c r="AD11" s="326">
        <f>IFERROR(('Income Statement'!AD42/'Income Statement'!AC42-1),0)</f>
        <v/>
      </c>
      <c r="AE11" s="326">
        <f>IFERROR(('Income Statement'!AE42/'Income Statement'!AD42-1),0)</f>
        <v/>
      </c>
      <c r="AF11" s="326">
        <f>IFERROR(('Income Statement'!AF42/'Income Statement'!AE42-1),0)</f>
        <v/>
      </c>
      <c r="AG11" s="326">
        <f>IFERROR(('Income Statement'!AG42/'Income Statement'!AF42-1),0)</f>
        <v/>
      </c>
      <c r="AH11" s="326">
        <f>IFERROR(('Income Statement'!AH42/'Income Statement'!AG42-1),0)</f>
        <v/>
      </c>
      <c r="AI11" s="326">
        <f>IFERROR(('Income Statement'!AI42/'Income Statement'!AH42-1),0)</f>
        <v/>
      </c>
      <c r="AJ11" s="326">
        <f>IFERROR(('Income Statement'!AJ42/'Income Statement'!AI42-1),0)</f>
        <v/>
      </c>
      <c r="AK11" s="326">
        <f>IFERROR(('Income Statement'!AK42/'Income Statement'!AJ42-1),0)</f>
        <v/>
      </c>
      <c r="AL11" s="326">
        <f>IFERROR(('Income Statement'!AL42/'Income Statement'!AK42-1),0)</f>
        <v/>
      </c>
      <c r="AM11" s="326">
        <f>IFERROR(('Income Statement'!AM42/'Income Statement'!AL42-1),0)</f>
        <v/>
      </c>
      <c r="AN11" s="326">
        <f>IFERROR(('Income Statement'!AN42/'Income Statement'!AM42-1),0)</f>
        <v/>
      </c>
      <c r="AO11" s="326">
        <f>IFERROR(('Income Statement'!AO42/'Income Statement'!AN42-1),0)</f>
        <v/>
      </c>
      <c r="AP11" s="326">
        <f>IFERROR(('Income Statement'!AP42/'Income Statement'!AO42-1),0)</f>
        <v/>
      </c>
      <c r="AQ11" s="326">
        <f>IFERROR(('Income Statement'!AQ42/'Income Statement'!AP42-1),0)</f>
        <v/>
      </c>
      <c r="AR11" s="326">
        <f>IFERROR(('Income Statement'!AR42/'Income Statement'!AQ42-1),0)</f>
        <v/>
      </c>
      <c r="AS11" s="326">
        <f>IFERROR(('Income Statement'!AS42/'Income Statement'!AR42-1),0)</f>
        <v/>
      </c>
      <c r="AT11" s="326">
        <f>IFERROR(('Income Statement'!AT42/'Income Statement'!AS42-1),0)</f>
        <v/>
      </c>
      <c r="AU11" s="326">
        <f>IFERROR(('Income Statement'!AU42/'Income Statement'!AT42-1),0)</f>
        <v/>
      </c>
      <c r="AV11" s="326">
        <f>IFERROR(('Income Statement'!AV42/'Income Statement'!AU42-1),0)</f>
        <v/>
      </c>
      <c r="AW11" s="326">
        <f>IFERROR(('Income Statement'!AW42/'Income Statement'!AV42-1),0)</f>
        <v/>
      </c>
    </row>
    <row r="12">
      <c r="B12" s="176" t="n"/>
      <c r="C12" s="393" t="n"/>
      <c r="D12" s="393" t="n"/>
      <c r="E12" s="393" t="n"/>
      <c r="F12" s="393" t="n"/>
      <c r="G12" s="393" t="n"/>
      <c r="H12" s="393" t="n"/>
      <c r="I12" s="393" t="n"/>
      <c r="J12" s="393" t="n"/>
      <c r="K12" s="393" t="n"/>
      <c r="L12" s="393" t="n"/>
      <c r="M12" s="393" t="n"/>
      <c r="N12" s="393" t="n"/>
      <c r="O12" s="393" t="n"/>
      <c r="P12" s="393" t="n"/>
      <c r="Q12" s="393" t="n"/>
      <c r="R12" s="393" t="n"/>
      <c r="S12" s="393" t="n"/>
      <c r="T12" s="393" t="n"/>
      <c r="U12" s="393" t="n"/>
      <c r="V12" s="393" t="n"/>
      <c r="W12" s="393" t="n"/>
      <c r="X12" s="393" t="n"/>
      <c r="Y12" s="393" t="n"/>
      <c r="Z12" s="393" t="n"/>
      <c r="AA12" s="393" t="n"/>
      <c r="AB12" s="393" t="n"/>
      <c r="AC12" s="393" t="n"/>
      <c r="AD12" s="393" t="n"/>
      <c r="AE12" s="393" t="n"/>
      <c r="AF12" s="393" t="n"/>
      <c r="AG12" s="393" t="n"/>
      <c r="AH12" s="393" t="n"/>
      <c r="AI12" s="393" t="n"/>
      <c r="AJ12" s="393" t="n"/>
      <c r="AK12" s="393" t="n"/>
      <c r="AL12" s="393" t="n"/>
      <c r="AM12" s="393" t="n"/>
      <c r="AN12" s="393" t="n"/>
      <c r="AO12" s="393" t="n"/>
      <c r="AP12" s="393" t="n"/>
      <c r="AQ12" s="393" t="n"/>
      <c r="AR12" s="393" t="n"/>
      <c r="AS12" s="393" t="n"/>
      <c r="AT12" s="393" t="n"/>
      <c r="AU12" s="393" t="n"/>
      <c r="AV12" s="393" t="n"/>
      <c r="AW12" s="393" t="n"/>
    </row>
    <row r="13">
      <c r="B13" s="172" t="inlineStr">
        <is>
          <t>Profitability Ratio</t>
        </is>
      </c>
      <c r="C13" s="393" t="n"/>
      <c r="D13" s="393" t="n"/>
      <c r="E13" s="393" t="n"/>
      <c r="F13" s="393" t="n"/>
      <c r="G13" s="393" t="n"/>
      <c r="H13" s="393" t="n"/>
      <c r="I13" s="393" t="n"/>
      <c r="J13" s="393" t="n"/>
      <c r="K13" s="393" t="n"/>
      <c r="L13" s="393" t="n"/>
      <c r="M13" s="393" t="n"/>
      <c r="N13" s="393" t="n"/>
      <c r="O13" s="393" t="n"/>
      <c r="P13" s="393" t="n"/>
      <c r="Q13" s="393" t="n"/>
      <c r="R13" s="393" t="n"/>
      <c r="S13" s="393" t="n"/>
      <c r="T13" s="393" t="n"/>
      <c r="U13" s="393" t="n"/>
      <c r="V13" s="393" t="n"/>
      <c r="W13" s="393" t="n"/>
      <c r="X13" s="393" t="n"/>
      <c r="Y13" s="393" t="n"/>
      <c r="Z13" s="393" t="n"/>
      <c r="AA13" s="393" t="n"/>
      <c r="AB13" s="393" t="n"/>
      <c r="AC13" s="393" t="n"/>
      <c r="AD13" s="393" t="n"/>
      <c r="AE13" s="393" t="n"/>
      <c r="AF13" s="393" t="n"/>
      <c r="AG13" s="393" t="n"/>
      <c r="AH13" s="393" t="n"/>
      <c r="AI13" s="393" t="n"/>
      <c r="AJ13" s="393" t="n"/>
      <c r="AK13" s="393" t="n"/>
      <c r="AL13" s="393" t="n"/>
      <c r="AM13" s="393" t="n"/>
      <c r="AN13" s="393" t="n"/>
      <c r="AO13" s="393" t="n"/>
      <c r="AP13" s="393" t="n"/>
      <c r="AQ13" s="393" t="n"/>
      <c r="AR13" s="393" t="n"/>
      <c r="AS13" s="393" t="n"/>
      <c r="AT13" s="393" t="n"/>
      <c r="AU13" s="393" t="n"/>
      <c r="AV13" s="393" t="n"/>
      <c r="AW13" s="393" t="n"/>
    </row>
    <row r="14">
      <c r="B14" s="173" t="inlineStr">
        <is>
          <t>Gross profit margin (%)</t>
        </is>
      </c>
      <c r="C14" s="392">
        <f>'Income Statement'!C10/'Income Statement'!C$8</f>
        <v/>
      </c>
      <c r="D14" s="392">
        <f>'Income Statement'!D10/'Income Statement'!D$8</f>
        <v/>
      </c>
      <c r="E14" s="392">
        <f>'Income Statement'!E10/'Income Statement'!E$8</f>
        <v/>
      </c>
      <c r="F14" s="392">
        <f>'Income Statement'!F10/'Income Statement'!F$8</f>
        <v/>
      </c>
      <c r="G14" s="326" t="n"/>
      <c r="H14" s="392">
        <f>'Income Statement'!H10/'Income Statement'!H$8</f>
        <v/>
      </c>
      <c r="I14" s="392">
        <f>'Income Statement'!I10/'Income Statement'!I$8</f>
        <v/>
      </c>
      <c r="J14" s="392">
        <f>'Income Statement'!J10/'Income Statement'!J$8</f>
        <v/>
      </c>
      <c r="K14" s="392">
        <f>'Income Statement'!K10/'Income Statement'!K$8</f>
        <v/>
      </c>
      <c r="L14" s="392">
        <f>'Income Statement'!L10/'Income Statement'!L$8</f>
        <v/>
      </c>
      <c r="M14" s="392">
        <f>'Income Statement'!M10/'Income Statement'!M$8</f>
        <v/>
      </c>
      <c r="N14" s="392">
        <f>'Income Statement'!N10/'Income Statement'!N$8</f>
        <v/>
      </c>
      <c r="O14" s="392">
        <f>'Income Statement'!O10/'Income Statement'!O$8</f>
        <v/>
      </c>
      <c r="P14" s="392">
        <f>'Income Statement'!P10/'Income Statement'!P$8</f>
        <v/>
      </c>
      <c r="Q14" s="392">
        <f>'Income Statement'!Q10/'Income Statement'!Q$8</f>
        <v/>
      </c>
      <c r="R14" s="392">
        <f>'Income Statement'!R10/'Income Statement'!R$8</f>
        <v/>
      </c>
      <c r="S14" s="392">
        <f>'Income Statement'!S10/'Income Statement'!S$8</f>
        <v/>
      </c>
      <c r="T14" s="392">
        <f>'Income Statement'!T10/'Income Statement'!T$8</f>
        <v/>
      </c>
      <c r="U14" s="392">
        <f>'Income Statement'!U10/'Income Statement'!U$8</f>
        <v/>
      </c>
      <c r="V14" s="392">
        <f>'Income Statement'!V10/'Income Statement'!V$8</f>
        <v/>
      </c>
      <c r="W14" s="392">
        <f>'Income Statement'!W10/'Income Statement'!W$8</f>
        <v/>
      </c>
      <c r="X14" s="392">
        <f>'Income Statement'!X10/'Income Statement'!X$8</f>
        <v/>
      </c>
      <c r="Y14" s="392">
        <f>'Income Statement'!Y10/'Income Statement'!Y$8</f>
        <v/>
      </c>
      <c r="Z14" s="392">
        <f>'Income Statement'!Z10/'Income Statement'!Z$8</f>
        <v/>
      </c>
      <c r="AA14" s="392">
        <f>'Income Statement'!AA10/'Income Statement'!AA$8</f>
        <v/>
      </c>
      <c r="AB14" s="392">
        <f>'Income Statement'!AB10/'Income Statement'!AB$8</f>
        <v/>
      </c>
      <c r="AC14" s="392">
        <f>'Income Statement'!AC10/'Income Statement'!AC$8</f>
        <v/>
      </c>
      <c r="AD14" s="392">
        <f>'Income Statement'!AD10/'Income Statement'!AD$8</f>
        <v/>
      </c>
      <c r="AE14" s="392">
        <f>'Income Statement'!AE10/'Income Statement'!AE$8</f>
        <v/>
      </c>
      <c r="AF14" s="392">
        <f>'Income Statement'!AF10/'Income Statement'!AF$8</f>
        <v/>
      </c>
      <c r="AG14" s="392">
        <f>'Income Statement'!AG10/'Income Statement'!AG$8</f>
        <v/>
      </c>
      <c r="AH14" s="392">
        <f>'Income Statement'!AH10/'Income Statement'!AH$8</f>
        <v/>
      </c>
      <c r="AI14" s="392">
        <f>'Income Statement'!AI10/'Income Statement'!AI$8</f>
        <v/>
      </c>
      <c r="AJ14" s="392">
        <f>'Income Statement'!AJ10/'Income Statement'!AJ$8</f>
        <v/>
      </c>
      <c r="AK14" s="392">
        <f>'Income Statement'!AK10/'Income Statement'!AK$8</f>
        <v/>
      </c>
      <c r="AL14" s="392">
        <f>'Income Statement'!AL10/'Income Statement'!AL$8</f>
        <v/>
      </c>
      <c r="AM14" s="392">
        <f>'Income Statement'!AM10/'Income Statement'!AM$8</f>
        <v/>
      </c>
      <c r="AN14" s="392">
        <f>'Income Statement'!AN10/'Income Statement'!AN$8</f>
        <v/>
      </c>
      <c r="AO14" s="392">
        <f>'Income Statement'!AO10/'Income Statement'!AO$8</f>
        <v/>
      </c>
      <c r="AP14" s="392">
        <f>'Income Statement'!AP10/'Income Statement'!AP$8</f>
        <v/>
      </c>
      <c r="AQ14" s="392">
        <f>'Income Statement'!AQ10/'Income Statement'!AQ$8</f>
        <v/>
      </c>
      <c r="AR14" s="392">
        <f>'Income Statement'!AR10/'Income Statement'!AR$8</f>
        <v/>
      </c>
      <c r="AS14" s="392">
        <f>'Income Statement'!AS10/'Income Statement'!AS$8</f>
        <v/>
      </c>
      <c r="AT14" s="392">
        <f>'Income Statement'!AT10/'Income Statement'!AT$8</f>
        <v/>
      </c>
      <c r="AU14" s="392">
        <f>'Income Statement'!AU10/'Income Statement'!AU$8</f>
        <v/>
      </c>
      <c r="AV14" s="392">
        <f>'Income Statement'!AV10/'Income Statement'!AV$8</f>
        <v/>
      </c>
      <c r="AW14" s="392">
        <f>'Income Statement'!AW10/'Income Statement'!AW$8</f>
        <v/>
      </c>
    </row>
    <row r="15">
      <c r="B15" s="176" t="inlineStr">
        <is>
          <t>EBITDA margin (%)</t>
        </is>
      </c>
      <c r="C15" s="326">
        <f>'Income Statement'!C32/'Income Statement'!C$8</f>
        <v/>
      </c>
      <c r="D15" s="326">
        <f>'Income Statement'!D32/'Income Statement'!D$8</f>
        <v/>
      </c>
      <c r="E15" s="326">
        <f>'Income Statement'!E32/'Income Statement'!E$8</f>
        <v/>
      </c>
      <c r="F15" s="326">
        <f>'Income Statement'!F32/'Income Statement'!F$8</f>
        <v/>
      </c>
      <c r="G15" s="326" t="n"/>
      <c r="H15" s="326">
        <f>'Income Statement'!H32/'Income Statement'!H$8</f>
        <v/>
      </c>
      <c r="I15" s="326">
        <f>'Income Statement'!I32/'Income Statement'!I$8</f>
        <v/>
      </c>
      <c r="J15" s="326">
        <f>'Income Statement'!J32/'Income Statement'!J$8</f>
        <v/>
      </c>
      <c r="K15" s="326">
        <f>'Income Statement'!K32/'Income Statement'!K$8</f>
        <v/>
      </c>
      <c r="L15" s="326">
        <f>'Income Statement'!L32/'Income Statement'!L$8</f>
        <v/>
      </c>
      <c r="M15" s="326">
        <f>'Income Statement'!M32/'Income Statement'!M$8</f>
        <v/>
      </c>
      <c r="N15" s="326">
        <f>'Income Statement'!N32/'Income Statement'!N$8</f>
        <v/>
      </c>
      <c r="O15" s="326">
        <f>'Income Statement'!O32/'Income Statement'!O$8</f>
        <v/>
      </c>
      <c r="P15" s="326">
        <f>'Income Statement'!P32/'Income Statement'!P$8</f>
        <v/>
      </c>
      <c r="Q15" s="326">
        <f>'Income Statement'!Q32/'Income Statement'!Q$8</f>
        <v/>
      </c>
      <c r="R15" s="326">
        <f>'Income Statement'!R32/'Income Statement'!R$8</f>
        <v/>
      </c>
      <c r="S15" s="326">
        <f>'Income Statement'!S32/'Income Statement'!S$8</f>
        <v/>
      </c>
      <c r="T15" s="326">
        <f>'Income Statement'!T32/'Income Statement'!T$8</f>
        <v/>
      </c>
      <c r="U15" s="326">
        <f>'Income Statement'!U32/'Income Statement'!U$8</f>
        <v/>
      </c>
      <c r="V15" s="326">
        <f>'Income Statement'!V32/'Income Statement'!V$8</f>
        <v/>
      </c>
      <c r="W15" s="326">
        <f>'Income Statement'!W32/'Income Statement'!W$8</f>
        <v/>
      </c>
      <c r="X15" s="326">
        <f>'Income Statement'!X32/'Income Statement'!X$8</f>
        <v/>
      </c>
      <c r="Y15" s="326">
        <f>'Income Statement'!Y32/'Income Statement'!Y$8</f>
        <v/>
      </c>
      <c r="Z15" s="326">
        <f>'Income Statement'!Z32/'Income Statement'!Z$8</f>
        <v/>
      </c>
      <c r="AA15" s="326">
        <f>'Income Statement'!AA32/'Income Statement'!AA$8</f>
        <v/>
      </c>
      <c r="AB15" s="326">
        <f>'Income Statement'!AB32/'Income Statement'!AB$8</f>
        <v/>
      </c>
      <c r="AC15" s="326">
        <f>'Income Statement'!AC32/'Income Statement'!AC$8</f>
        <v/>
      </c>
      <c r="AD15" s="326">
        <f>'Income Statement'!AD32/'Income Statement'!AD$8</f>
        <v/>
      </c>
      <c r="AE15" s="326">
        <f>'Income Statement'!AE32/'Income Statement'!AE$8</f>
        <v/>
      </c>
      <c r="AF15" s="326">
        <f>'Income Statement'!AF32/'Income Statement'!AF$8</f>
        <v/>
      </c>
      <c r="AG15" s="326">
        <f>'Income Statement'!AG32/'Income Statement'!AG$8</f>
        <v/>
      </c>
      <c r="AH15" s="326">
        <f>'Income Statement'!AH32/'Income Statement'!AH$8</f>
        <v/>
      </c>
      <c r="AI15" s="326">
        <f>'Income Statement'!AI32/'Income Statement'!AI$8</f>
        <v/>
      </c>
      <c r="AJ15" s="326">
        <f>'Income Statement'!AJ32/'Income Statement'!AJ$8</f>
        <v/>
      </c>
      <c r="AK15" s="326">
        <f>'Income Statement'!AK32/'Income Statement'!AK$8</f>
        <v/>
      </c>
      <c r="AL15" s="326">
        <f>'Income Statement'!AL32/'Income Statement'!AL$8</f>
        <v/>
      </c>
      <c r="AM15" s="326">
        <f>'Income Statement'!AM32/'Income Statement'!AM$8</f>
        <v/>
      </c>
      <c r="AN15" s="326">
        <f>'Income Statement'!AN32/'Income Statement'!AN$8</f>
        <v/>
      </c>
      <c r="AO15" s="326">
        <f>'Income Statement'!AO32/'Income Statement'!AO$8</f>
        <v/>
      </c>
      <c r="AP15" s="326">
        <f>'Income Statement'!AP32/'Income Statement'!AP$8</f>
        <v/>
      </c>
      <c r="AQ15" s="326">
        <f>'Income Statement'!AQ32/'Income Statement'!AQ$8</f>
        <v/>
      </c>
      <c r="AR15" s="326">
        <f>'Income Statement'!AR32/'Income Statement'!AR$8</f>
        <v/>
      </c>
      <c r="AS15" s="326">
        <f>'Income Statement'!AS32/'Income Statement'!AS$8</f>
        <v/>
      </c>
      <c r="AT15" s="326">
        <f>'Income Statement'!AT32/'Income Statement'!AT$8</f>
        <v/>
      </c>
      <c r="AU15" s="326">
        <f>'Income Statement'!AU32/'Income Statement'!AU$8</f>
        <v/>
      </c>
      <c r="AV15" s="326">
        <f>'Income Statement'!AV32/'Income Statement'!AV$8</f>
        <v/>
      </c>
      <c r="AW15" s="326">
        <f>'Income Statement'!AW32/'Income Statement'!AW$8</f>
        <v/>
      </c>
    </row>
    <row r="16">
      <c r="B16" s="176" t="inlineStr">
        <is>
          <t>Net profit Margin (%)</t>
        </is>
      </c>
      <c r="C16" s="326">
        <f>'Income Statement'!C42/'Income Statement'!C$8</f>
        <v/>
      </c>
      <c r="D16" s="326">
        <f>'Income Statement'!D42/'Income Statement'!D$8</f>
        <v/>
      </c>
      <c r="E16" s="326">
        <f>'Income Statement'!E42/'Income Statement'!E$8</f>
        <v/>
      </c>
      <c r="F16" s="326">
        <f>'Income Statement'!F42/'Income Statement'!F$8</f>
        <v/>
      </c>
      <c r="G16" s="326" t="n"/>
      <c r="H16" s="326">
        <f>'Income Statement'!H42/'Income Statement'!H$8</f>
        <v/>
      </c>
      <c r="I16" s="326">
        <f>'Income Statement'!I42/'Income Statement'!I$8</f>
        <v/>
      </c>
      <c r="J16" s="326">
        <f>'Income Statement'!J42/'Income Statement'!J$8</f>
        <v/>
      </c>
      <c r="K16" s="326">
        <f>'Income Statement'!K42/'Income Statement'!K$8</f>
        <v/>
      </c>
      <c r="L16" s="326">
        <f>'Income Statement'!L42/'Income Statement'!L$8</f>
        <v/>
      </c>
      <c r="M16" s="326">
        <f>'Income Statement'!M42/'Income Statement'!M$8</f>
        <v/>
      </c>
      <c r="N16" s="326">
        <f>'Income Statement'!N42/'Income Statement'!N$8</f>
        <v/>
      </c>
      <c r="O16" s="326">
        <f>'Income Statement'!O42/'Income Statement'!O$8</f>
        <v/>
      </c>
      <c r="P16" s="326">
        <f>'Income Statement'!P42/'Income Statement'!P$8</f>
        <v/>
      </c>
      <c r="Q16" s="326">
        <f>'Income Statement'!Q42/'Income Statement'!Q$8</f>
        <v/>
      </c>
      <c r="R16" s="326">
        <f>'Income Statement'!R42/'Income Statement'!R$8</f>
        <v/>
      </c>
      <c r="S16" s="326">
        <f>'Income Statement'!S42/'Income Statement'!S$8</f>
        <v/>
      </c>
      <c r="T16" s="326">
        <f>'Income Statement'!T42/'Income Statement'!T$8</f>
        <v/>
      </c>
      <c r="U16" s="326">
        <f>'Income Statement'!U42/'Income Statement'!U$8</f>
        <v/>
      </c>
      <c r="V16" s="326">
        <f>'Income Statement'!V42/'Income Statement'!V$8</f>
        <v/>
      </c>
      <c r="W16" s="326">
        <f>'Income Statement'!W42/'Income Statement'!W$8</f>
        <v/>
      </c>
      <c r="X16" s="326">
        <f>'Income Statement'!X42/'Income Statement'!X$8</f>
        <v/>
      </c>
      <c r="Y16" s="326">
        <f>'Income Statement'!Y42/'Income Statement'!Y$8</f>
        <v/>
      </c>
      <c r="Z16" s="326">
        <f>'Income Statement'!Z42/'Income Statement'!Z$8</f>
        <v/>
      </c>
      <c r="AA16" s="326">
        <f>'Income Statement'!AA42/'Income Statement'!AA$8</f>
        <v/>
      </c>
      <c r="AB16" s="326">
        <f>'Income Statement'!AB42/'Income Statement'!AB$8</f>
        <v/>
      </c>
      <c r="AC16" s="326">
        <f>'Income Statement'!AC42/'Income Statement'!AC$8</f>
        <v/>
      </c>
      <c r="AD16" s="326">
        <f>'Income Statement'!AD42/'Income Statement'!AD$8</f>
        <v/>
      </c>
      <c r="AE16" s="326">
        <f>'Income Statement'!AE42/'Income Statement'!AE$8</f>
        <v/>
      </c>
      <c r="AF16" s="326">
        <f>'Income Statement'!AF42/'Income Statement'!AF$8</f>
        <v/>
      </c>
      <c r="AG16" s="326">
        <f>'Income Statement'!AG42/'Income Statement'!AG$8</f>
        <v/>
      </c>
      <c r="AH16" s="326">
        <f>'Income Statement'!AH42/'Income Statement'!AH$8</f>
        <v/>
      </c>
      <c r="AI16" s="326">
        <f>'Income Statement'!AI42/'Income Statement'!AI$8</f>
        <v/>
      </c>
      <c r="AJ16" s="326">
        <f>'Income Statement'!AJ42/'Income Statement'!AJ$8</f>
        <v/>
      </c>
      <c r="AK16" s="326">
        <f>'Income Statement'!AK42/'Income Statement'!AK$8</f>
        <v/>
      </c>
      <c r="AL16" s="326">
        <f>'Income Statement'!AL42/'Income Statement'!AL$8</f>
        <v/>
      </c>
      <c r="AM16" s="326">
        <f>'Income Statement'!AM42/'Income Statement'!AM$8</f>
        <v/>
      </c>
      <c r="AN16" s="326">
        <f>'Income Statement'!AN42/'Income Statement'!AN$8</f>
        <v/>
      </c>
      <c r="AO16" s="326">
        <f>'Income Statement'!AO42/'Income Statement'!AO$8</f>
        <v/>
      </c>
      <c r="AP16" s="326">
        <f>'Income Statement'!AP42/'Income Statement'!AP$8</f>
        <v/>
      </c>
      <c r="AQ16" s="326">
        <f>'Income Statement'!AQ42/'Income Statement'!AQ$8</f>
        <v/>
      </c>
      <c r="AR16" s="326">
        <f>'Income Statement'!AR42/'Income Statement'!AR$8</f>
        <v/>
      </c>
      <c r="AS16" s="326">
        <f>'Income Statement'!AS42/'Income Statement'!AS$8</f>
        <v/>
      </c>
      <c r="AT16" s="326">
        <f>'Income Statement'!AT42/'Income Statement'!AT$8</f>
        <v/>
      </c>
      <c r="AU16" s="326">
        <f>'Income Statement'!AU42/'Income Statement'!AU$8</f>
        <v/>
      </c>
      <c r="AV16" s="326">
        <f>'Income Statement'!AV42/'Income Statement'!AV$8</f>
        <v/>
      </c>
      <c r="AW16" s="326">
        <f>'Income Statement'!AW42/'Income Statement'!AW$8</f>
        <v/>
      </c>
    </row>
    <row r="17">
      <c r="B17" s="176" t="inlineStr">
        <is>
          <t xml:space="preserve">Return on equity  (%) </t>
        </is>
      </c>
      <c r="C17" s="326">
        <f>'Income Statement'!C42/'Balance Sheet'!C26</f>
        <v/>
      </c>
      <c r="D17" s="326">
        <f>'Income Statement'!D42/'Balance Sheet'!D26</f>
        <v/>
      </c>
      <c r="E17" s="326">
        <f>'Income Statement'!E42/'Balance Sheet'!E26</f>
        <v/>
      </c>
      <c r="F17" s="326">
        <f>'Income Statement'!F42/'Balance Sheet'!F26</f>
        <v/>
      </c>
      <c r="G17" s="326" t="n"/>
      <c r="H17" s="326">
        <f>'Income Statement'!H42/'Balance Sheet'!I26</f>
        <v/>
      </c>
      <c r="I17" s="326">
        <f>'Income Statement'!I42/'Balance Sheet'!J26</f>
        <v/>
      </c>
      <c r="J17" s="326">
        <f>'Income Statement'!J42/'Balance Sheet'!K26</f>
        <v/>
      </c>
      <c r="K17" s="326">
        <f>'Income Statement'!K42/'Balance Sheet'!L26</f>
        <v/>
      </c>
      <c r="L17" s="326">
        <f>'Income Statement'!L42/'Balance Sheet'!M26</f>
        <v/>
      </c>
      <c r="M17" s="326">
        <f>'Income Statement'!M42/'Balance Sheet'!N26</f>
        <v/>
      </c>
      <c r="N17" s="326">
        <f>'Income Statement'!N42/'Balance Sheet'!O26</f>
        <v/>
      </c>
      <c r="O17" s="326">
        <f>'Income Statement'!O42/'Balance Sheet'!P26</f>
        <v/>
      </c>
      <c r="P17" s="326">
        <f>'Income Statement'!P42/'Balance Sheet'!Q26</f>
        <v/>
      </c>
      <c r="Q17" s="326">
        <f>'Income Statement'!Q42/'Balance Sheet'!R26</f>
        <v/>
      </c>
      <c r="R17" s="326">
        <f>'Income Statement'!R42/'Balance Sheet'!S26</f>
        <v/>
      </c>
      <c r="S17" s="326">
        <f>'Income Statement'!S42/'Balance Sheet'!T26</f>
        <v/>
      </c>
      <c r="T17" s="326">
        <f>'Income Statement'!T42/'Balance Sheet'!U26</f>
        <v/>
      </c>
      <c r="U17" s="326">
        <f>'Income Statement'!U42/'Balance Sheet'!V26</f>
        <v/>
      </c>
      <c r="V17" s="326">
        <f>'Income Statement'!V42/'Balance Sheet'!W26</f>
        <v/>
      </c>
      <c r="W17" s="326">
        <f>'Income Statement'!W42/'Balance Sheet'!X26</f>
        <v/>
      </c>
      <c r="X17" s="326">
        <f>'Income Statement'!X42/'Balance Sheet'!Y26</f>
        <v/>
      </c>
      <c r="Y17" s="326">
        <f>'Income Statement'!Y42/'Balance Sheet'!Z26</f>
        <v/>
      </c>
      <c r="Z17" s="326">
        <f>'Income Statement'!Z42/'Balance Sheet'!AA26</f>
        <v/>
      </c>
      <c r="AA17" s="326">
        <f>'Income Statement'!AA42/'Balance Sheet'!AB26</f>
        <v/>
      </c>
      <c r="AB17" s="326">
        <f>'Income Statement'!AB42/'Balance Sheet'!AC26</f>
        <v/>
      </c>
      <c r="AC17" s="326">
        <f>'Income Statement'!AC42/'Balance Sheet'!AD26</f>
        <v/>
      </c>
      <c r="AD17" s="326">
        <f>'Income Statement'!AD42/'Balance Sheet'!AE26</f>
        <v/>
      </c>
      <c r="AE17" s="326">
        <f>'Income Statement'!AE42/'Balance Sheet'!AF26</f>
        <v/>
      </c>
      <c r="AF17" s="326">
        <f>'Income Statement'!AF42/'Balance Sheet'!AG26</f>
        <v/>
      </c>
      <c r="AG17" s="326">
        <f>'Income Statement'!AG42/'Balance Sheet'!AH26</f>
        <v/>
      </c>
      <c r="AH17" s="326">
        <f>'Income Statement'!AH42/'Balance Sheet'!AI26</f>
        <v/>
      </c>
      <c r="AI17" s="326">
        <f>'Income Statement'!AI42/'Balance Sheet'!AJ26</f>
        <v/>
      </c>
      <c r="AJ17" s="326">
        <f>'Income Statement'!AJ42/'Balance Sheet'!AK26</f>
        <v/>
      </c>
      <c r="AK17" s="326">
        <f>'Income Statement'!AK42/'Balance Sheet'!AL26</f>
        <v/>
      </c>
      <c r="AL17" s="326">
        <f>'Income Statement'!AL42/'Balance Sheet'!AM26</f>
        <v/>
      </c>
      <c r="AM17" s="326">
        <f>'Income Statement'!AM42/'Balance Sheet'!AN26</f>
        <v/>
      </c>
      <c r="AN17" s="326">
        <f>'Income Statement'!AN42/'Balance Sheet'!AO26</f>
        <v/>
      </c>
      <c r="AO17" s="326">
        <f>'Income Statement'!AO42/'Balance Sheet'!AP26</f>
        <v/>
      </c>
      <c r="AP17" s="326">
        <f>'Income Statement'!AP42/'Balance Sheet'!AQ26</f>
        <v/>
      </c>
      <c r="AQ17" s="326">
        <f>'Income Statement'!AQ42/'Balance Sheet'!AR26</f>
        <v/>
      </c>
      <c r="AR17" s="326">
        <f>'Income Statement'!AR42/'Balance Sheet'!AS26</f>
        <v/>
      </c>
      <c r="AS17" s="326">
        <f>'Income Statement'!AS42/'Balance Sheet'!AT26</f>
        <v/>
      </c>
      <c r="AT17" s="326">
        <f>'Income Statement'!AT42/'Balance Sheet'!AU26</f>
        <v/>
      </c>
      <c r="AU17" s="326">
        <f>'Income Statement'!AU42/'Balance Sheet'!AV26</f>
        <v/>
      </c>
      <c r="AV17" s="326">
        <f>'Income Statement'!AV42/'Balance Sheet'!AW26</f>
        <v/>
      </c>
      <c r="AW17" s="326">
        <f>'Income Statement'!AW42/'Balance Sheet'!AX26</f>
        <v/>
      </c>
    </row>
    <row r="18">
      <c r="B18" s="176" t="inlineStr">
        <is>
          <t>Return on total assets (%)</t>
        </is>
      </c>
      <c r="C18" s="326">
        <f>'Income Statement'!C42/'Balance Sheet'!C17</f>
        <v/>
      </c>
      <c r="D18" s="326">
        <f>'Income Statement'!D42/'Balance Sheet'!D17</f>
        <v/>
      </c>
      <c r="E18" s="326">
        <f>'Income Statement'!E42/'Balance Sheet'!E17</f>
        <v/>
      </c>
      <c r="F18" s="326">
        <f>'Income Statement'!F42/'Balance Sheet'!F17</f>
        <v/>
      </c>
      <c r="G18" s="326" t="n"/>
      <c r="H18" s="326">
        <f>'Income Statement'!H42/'Balance Sheet'!I17</f>
        <v/>
      </c>
      <c r="I18" s="326">
        <f>'Income Statement'!I42/'Balance Sheet'!J17</f>
        <v/>
      </c>
      <c r="J18" s="326">
        <f>'Income Statement'!J42/'Balance Sheet'!K17</f>
        <v/>
      </c>
      <c r="K18" s="326">
        <f>'Income Statement'!K42/'Balance Sheet'!L17</f>
        <v/>
      </c>
      <c r="L18" s="326">
        <f>'Income Statement'!L42/'Balance Sheet'!M17</f>
        <v/>
      </c>
      <c r="M18" s="326">
        <f>'Income Statement'!M42/'Balance Sheet'!N17</f>
        <v/>
      </c>
      <c r="N18" s="326">
        <f>'Income Statement'!N42/'Balance Sheet'!O17</f>
        <v/>
      </c>
      <c r="O18" s="326">
        <f>'Income Statement'!O42/'Balance Sheet'!P17</f>
        <v/>
      </c>
      <c r="P18" s="326">
        <f>'Income Statement'!P42/'Balance Sheet'!Q17</f>
        <v/>
      </c>
      <c r="Q18" s="326">
        <f>'Income Statement'!Q42/'Balance Sheet'!R17</f>
        <v/>
      </c>
      <c r="R18" s="326">
        <f>'Income Statement'!R42/'Balance Sheet'!S17</f>
        <v/>
      </c>
      <c r="S18" s="326">
        <f>'Income Statement'!S42/'Balance Sheet'!T17</f>
        <v/>
      </c>
      <c r="T18" s="326">
        <f>'Income Statement'!T42/'Balance Sheet'!U17</f>
        <v/>
      </c>
      <c r="U18" s="326">
        <f>'Income Statement'!U42/'Balance Sheet'!V17</f>
        <v/>
      </c>
      <c r="V18" s="326">
        <f>'Income Statement'!V42/'Balance Sheet'!W17</f>
        <v/>
      </c>
      <c r="W18" s="326">
        <f>'Income Statement'!W42/'Balance Sheet'!X17</f>
        <v/>
      </c>
      <c r="X18" s="326">
        <f>'Income Statement'!X42/'Balance Sheet'!Y17</f>
        <v/>
      </c>
      <c r="Y18" s="326">
        <f>'Income Statement'!Y42/'Balance Sheet'!Z17</f>
        <v/>
      </c>
      <c r="Z18" s="326">
        <f>'Income Statement'!Z42/'Balance Sheet'!AA17</f>
        <v/>
      </c>
      <c r="AA18" s="326">
        <f>'Income Statement'!AA42/'Balance Sheet'!AB17</f>
        <v/>
      </c>
      <c r="AB18" s="326">
        <f>'Income Statement'!AB42/'Balance Sheet'!AC17</f>
        <v/>
      </c>
      <c r="AC18" s="326">
        <f>'Income Statement'!AC42/'Balance Sheet'!AD17</f>
        <v/>
      </c>
      <c r="AD18" s="326">
        <f>'Income Statement'!AD42/'Balance Sheet'!AE17</f>
        <v/>
      </c>
      <c r="AE18" s="326">
        <f>'Income Statement'!AE42/'Balance Sheet'!AF17</f>
        <v/>
      </c>
      <c r="AF18" s="326">
        <f>'Income Statement'!AF42/'Balance Sheet'!AG17</f>
        <v/>
      </c>
      <c r="AG18" s="326">
        <f>'Income Statement'!AG42/'Balance Sheet'!AH17</f>
        <v/>
      </c>
      <c r="AH18" s="326">
        <f>'Income Statement'!AH42/'Balance Sheet'!AI17</f>
        <v/>
      </c>
      <c r="AI18" s="326">
        <f>'Income Statement'!AI42/'Balance Sheet'!AJ17</f>
        <v/>
      </c>
      <c r="AJ18" s="326">
        <f>'Income Statement'!AJ42/'Balance Sheet'!AK17</f>
        <v/>
      </c>
      <c r="AK18" s="326">
        <f>'Income Statement'!AK42/'Balance Sheet'!AL17</f>
        <v/>
      </c>
      <c r="AL18" s="326">
        <f>'Income Statement'!AL42/'Balance Sheet'!AM17</f>
        <v/>
      </c>
      <c r="AM18" s="326">
        <f>'Income Statement'!AM42/'Balance Sheet'!AN17</f>
        <v/>
      </c>
      <c r="AN18" s="326">
        <f>'Income Statement'!AN42/'Balance Sheet'!AO17</f>
        <v/>
      </c>
      <c r="AO18" s="326">
        <f>'Income Statement'!AO42/'Balance Sheet'!AP17</f>
        <v/>
      </c>
      <c r="AP18" s="326">
        <f>'Income Statement'!AP42/'Balance Sheet'!AQ17</f>
        <v/>
      </c>
      <c r="AQ18" s="326">
        <f>'Income Statement'!AQ42/'Balance Sheet'!AR17</f>
        <v/>
      </c>
      <c r="AR18" s="326">
        <f>'Income Statement'!AR42/'Balance Sheet'!AS17</f>
        <v/>
      </c>
      <c r="AS18" s="326">
        <f>'Income Statement'!AS42/'Balance Sheet'!AT17</f>
        <v/>
      </c>
      <c r="AT18" s="326">
        <f>'Income Statement'!AT42/'Balance Sheet'!AU17</f>
        <v/>
      </c>
      <c r="AU18" s="326">
        <f>'Income Statement'!AU42/'Balance Sheet'!AV17</f>
        <v/>
      </c>
      <c r="AV18" s="326">
        <f>'Income Statement'!AV42/'Balance Sheet'!AW17</f>
        <v/>
      </c>
      <c r="AW18" s="326">
        <f>'Income Statement'!AW42/'Balance Sheet'!AX17</f>
        <v/>
      </c>
    </row>
    <row r="19">
      <c r="B19" s="176" t="n"/>
    </row>
    <row r="20">
      <c r="B20" s="172" t="inlineStr">
        <is>
          <t>Liquidity Ratio</t>
        </is>
      </c>
    </row>
    <row r="21">
      <c r="B21" s="173" t="inlineStr">
        <is>
          <t>Current ratio (x)</t>
        </is>
      </c>
      <c r="C21" s="394">
        <f>'Balance Sheet'!C8/'Balance Sheet'!C19</f>
        <v/>
      </c>
      <c r="D21" s="394">
        <f>'Balance Sheet'!D8/'Balance Sheet'!D19</f>
        <v/>
      </c>
      <c r="E21" s="394">
        <f>'Balance Sheet'!E8/'Balance Sheet'!E19</f>
        <v/>
      </c>
      <c r="F21" s="394">
        <f>'Balance Sheet'!F8/'Balance Sheet'!F19</f>
        <v/>
      </c>
      <c r="G21" s="395" t="n"/>
      <c r="H21" s="394">
        <f>'Balance Sheet'!I8/'Balance Sheet'!I19</f>
        <v/>
      </c>
      <c r="I21" s="394">
        <f>'Balance Sheet'!J8/'Balance Sheet'!J19</f>
        <v/>
      </c>
      <c r="J21" s="394">
        <f>'Balance Sheet'!K8/'Balance Sheet'!K19</f>
        <v/>
      </c>
      <c r="K21" s="394">
        <f>'Balance Sheet'!L8/'Balance Sheet'!L19</f>
        <v/>
      </c>
      <c r="L21" s="394">
        <f>'Balance Sheet'!M8/'Balance Sheet'!M19</f>
        <v/>
      </c>
      <c r="M21" s="394">
        <f>'Balance Sheet'!N8/'Balance Sheet'!N19</f>
        <v/>
      </c>
      <c r="N21" s="394">
        <f>'Balance Sheet'!O8/'Balance Sheet'!O19</f>
        <v/>
      </c>
      <c r="O21" s="394">
        <f>'Balance Sheet'!P8/'Balance Sheet'!P19</f>
        <v/>
      </c>
      <c r="P21" s="394">
        <f>'Balance Sheet'!Q8/'Balance Sheet'!Q19</f>
        <v/>
      </c>
      <c r="Q21" s="394">
        <f>'Balance Sheet'!R8/'Balance Sheet'!R19</f>
        <v/>
      </c>
      <c r="R21" s="394">
        <f>'Balance Sheet'!S8/'Balance Sheet'!S19</f>
        <v/>
      </c>
      <c r="S21" s="394">
        <f>'Balance Sheet'!T8/'Balance Sheet'!T19</f>
        <v/>
      </c>
      <c r="T21" s="394">
        <f>'Balance Sheet'!U8/'Balance Sheet'!U19</f>
        <v/>
      </c>
      <c r="U21" s="394">
        <f>'Balance Sheet'!V8/'Balance Sheet'!V19</f>
        <v/>
      </c>
      <c r="V21" s="394">
        <f>'Balance Sheet'!W8/'Balance Sheet'!W19</f>
        <v/>
      </c>
      <c r="W21" s="394">
        <f>'Balance Sheet'!X8/'Balance Sheet'!X19</f>
        <v/>
      </c>
      <c r="X21" s="394">
        <f>'Balance Sheet'!Y8/'Balance Sheet'!Y19</f>
        <v/>
      </c>
      <c r="Y21" s="394">
        <f>'Balance Sheet'!Z8/'Balance Sheet'!Z19</f>
        <v/>
      </c>
      <c r="Z21" s="394">
        <f>'Balance Sheet'!AA8/'Balance Sheet'!AA19</f>
        <v/>
      </c>
      <c r="AA21" s="394">
        <f>'Balance Sheet'!AB8/'Balance Sheet'!AB19</f>
        <v/>
      </c>
      <c r="AB21" s="394">
        <f>'Balance Sheet'!AC8/'Balance Sheet'!AC19</f>
        <v/>
      </c>
      <c r="AC21" s="394">
        <f>'Balance Sheet'!AD8/'Balance Sheet'!AD19</f>
        <v/>
      </c>
      <c r="AD21" s="394">
        <f>'Balance Sheet'!AE8/'Balance Sheet'!AE19</f>
        <v/>
      </c>
      <c r="AE21" s="394">
        <f>'Balance Sheet'!AF8/'Balance Sheet'!AF19</f>
        <v/>
      </c>
      <c r="AF21" s="394">
        <f>'Balance Sheet'!AG8/'Balance Sheet'!AG19</f>
        <v/>
      </c>
      <c r="AG21" s="394">
        <f>'Balance Sheet'!AH8/'Balance Sheet'!AH19</f>
        <v/>
      </c>
      <c r="AH21" s="394">
        <f>'Balance Sheet'!AI8/'Balance Sheet'!AI19</f>
        <v/>
      </c>
      <c r="AI21" s="394">
        <f>'Balance Sheet'!AJ8/'Balance Sheet'!AJ19</f>
        <v/>
      </c>
      <c r="AJ21" s="394">
        <f>'Balance Sheet'!AK8/'Balance Sheet'!AK19</f>
        <v/>
      </c>
      <c r="AK21" s="394">
        <f>'Balance Sheet'!AL8/'Balance Sheet'!AL19</f>
        <v/>
      </c>
      <c r="AL21" s="394">
        <f>'Balance Sheet'!AM8/'Balance Sheet'!AM19</f>
        <v/>
      </c>
      <c r="AM21" s="394">
        <f>'Balance Sheet'!AN8/'Balance Sheet'!AN19</f>
        <v/>
      </c>
      <c r="AN21" s="394">
        <f>'Balance Sheet'!AO8/'Balance Sheet'!AO19</f>
        <v/>
      </c>
      <c r="AO21" s="394">
        <f>'Balance Sheet'!AP8/'Balance Sheet'!AP19</f>
        <v/>
      </c>
      <c r="AP21" s="394">
        <f>'Balance Sheet'!AQ8/'Balance Sheet'!AQ19</f>
        <v/>
      </c>
      <c r="AQ21" s="394">
        <f>'Balance Sheet'!AR8/'Balance Sheet'!AR19</f>
        <v/>
      </c>
      <c r="AR21" s="394">
        <f>'Balance Sheet'!AS8/'Balance Sheet'!AS19</f>
        <v/>
      </c>
      <c r="AS21" s="394">
        <f>'Balance Sheet'!AT8/'Balance Sheet'!AT19</f>
        <v/>
      </c>
      <c r="AT21" s="394">
        <f>'Balance Sheet'!AU8/'Balance Sheet'!AU19</f>
        <v/>
      </c>
      <c r="AU21" s="394">
        <f>'Balance Sheet'!AV8/'Balance Sheet'!AV19</f>
        <v/>
      </c>
      <c r="AV21" s="394">
        <f>'Balance Sheet'!AW8/'Balance Sheet'!AW19</f>
        <v/>
      </c>
      <c r="AW21" s="394">
        <f>'Balance Sheet'!AX8/'Balance Sheet'!AX19</f>
        <v/>
      </c>
    </row>
    <row r="22">
      <c r="B22" s="176" t="inlineStr">
        <is>
          <t>Working Capital Turnover (x)</t>
        </is>
      </c>
      <c r="C22" s="395">
        <f>'Income Statement'!C8/('Balance Sheet'!C8-'Balance Sheet'!C9-'Balance Sheet'!C19)</f>
        <v/>
      </c>
      <c r="D22" s="395">
        <f>'Income Statement'!D8/('Balance Sheet'!D8-'Balance Sheet'!D9-'Balance Sheet'!D19)</f>
        <v/>
      </c>
      <c r="E22" s="395">
        <f>'Income Statement'!E8/('Balance Sheet'!E8-'Balance Sheet'!E9-'Balance Sheet'!E19)</f>
        <v/>
      </c>
      <c r="F22" s="395">
        <f>'Income Statement'!F8/('Balance Sheet'!F8-'Balance Sheet'!F9-'Balance Sheet'!F19)</f>
        <v/>
      </c>
      <c r="G22" s="395" t="n"/>
      <c r="H22" s="395">
        <f>'Income Statement'!H8/('Balance Sheet'!I8-'Balance Sheet'!I9-'Balance Sheet'!I19)</f>
        <v/>
      </c>
      <c r="I22" s="395">
        <f>'Income Statement'!I8/('Balance Sheet'!J8-'Balance Sheet'!J9-'Balance Sheet'!J19)</f>
        <v/>
      </c>
      <c r="J22" s="395">
        <f>'Income Statement'!J8/('Balance Sheet'!K8-'Balance Sheet'!K9-'Balance Sheet'!K19)</f>
        <v/>
      </c>
      <c r="K22" s="395">
        <f>'Income Statement'!K8/('Balance Sheet'!L8-'Balance Sheet'!L9-'Balance Sheet'!L19)</f>
        <v/>
      </c>
      <c r="L22" s="395">
        <f>'Income Statement'!L8/('Balance Sheet'!M8-'Balance Sheet'!M9-'Balance Sheet'!M19)</f>
        <v/>
      </c>
      <c r="M22" s="395">
        <f>'Income Statement'!M8/('Balance Sheet'!N8-'Balance Sheet'!N9-'Balance Sheet'!N19)</f>
        <v/>
      </c>
      <c r="N22" s="395">
        <f>'Income Statement'!N8/('Balance Sheet'!O8-'Balance Sheet'!O9-'Balance Sheet'!O19)</f>
        <v/>
      </c>
      <c r="O22" s="395">
        <f>'Income Statement'!O8/('Balance Sheet'!P8-'Balance Sheet'!P9-'Balance Sheet'!P19)</f>
        <v/>
      </c>
      <c r="P22" s="395">
        <f>'Income Statement'!P8/('Balance Sheet'!Q8-'Balance Sheet'!Q9-'Balance Sheet'!Q19)</f>
        <v/>
      </c>
      <c r="Q22" s="395">
        <f>'Income Statement'!Q8/('Balance Sheet'!R8-'Balance Sheet'!R9-'Balance Sheet'!R19)</f>
        <v/>
      </c>
      <c r="R22" s="395">
        <f>'Income Statement'!R8/('Balance Sheet'!S8-'Balance Sheet'!S9-'Balance Sheet'!S19)</f>
        <v/>
      </c>
      <c r="S22" s="395">
        <f>'Income Statement'!S8/('Balance Sheet'!T8-'Balance Sheet'!T9-'Balance Sheet'!T19)</f>
        <v/>
      </c>
      <c r="T22" s="395">
        <f>'Income Statement'!T8/('Balance Sheet'!U8-'Balance Sheet'!U9-'Balance Sheet'!U19)</f>
        <v/>
      </c>
      <c r="U22" s="395">
        <f>'Income Statement'!U8/('Balance Sheet'!V8-'Balance Sheet'!V9-'Balance Sheet'!V19)</f>
        <v/>
      </c>
      <c r="V22" s="395">
        <f>'Income Statement'!V8/('Balance Sheet'!W8-'Balance Sheet'!W9-'Balance Sheet'!W19)</f>
        <v/>
      </c>
      <c r="W22" s="395">
        <f>'Income Statement'!W8/('Balance Sheet'!X8-'Balance Sheet'!X9-'Balance Sheet'!X19)</f>
        <v/>
      </c>
      <c r="X22" s="395">
        <f>'Income Statement'!X8/('Balance Sheet'!Y8-'Balance Sheet'!Y9-'Balance Sheet'!Y19)</f>
        <v/>
      </c>
      <c r="Y22" s="395">
        <f>'Income Statement'!Y8/('Balance Sheet'!Z8-'Balance Sheet'!Z9-'Balance Sheet'!Z19)</f>
        <v/>
      </c>
      <c r="Z22" s="395">
        <f>'Income Statement'!Z8/('Balance Sheet'!AA8-'Balance Sheet'!AA9-'Balance Sheet'!AA19)</f>
        <v/>
      </c>
      <c r="AA22" s="395">
        <f>'Income Statement'!AA8/('Balance Sheet'!AB8-'Balance Sheet'!AB9-'Balance Sheet'!AB19)</f>
        <v/>
      </c>
      <c r="AB22" s="395">
        <f>'Income Statement'!AB8/('Balance Sheet'!AC8-'Balance Sheet'!AC9-'Balance Sheet'!AC19)</f>
        <v/>
      </c>
      <c r="AC22" s="395">
        <f>'Income Statement'!AC8/('Balance Sheet'!AD8-'Balance Sheet'!AD9-'Balance Sheet'!AD19)</f>
        <v/>
      </c>
      <c r="AD22" s="395">
        <f>'Income Statement'!AD8/('Balance Sheet'!AE8-'Balance Sheet'!AE9-'Balance Sheet'!AE19)</f>
        <v/>
      </c>
      <c r="AE22" s="395">
        <f>'Income Statement'!AE8/('Balance Sheet'!AF8-'Balance Sheet'!AF9-'Balance Sheet'!AF19)</f>
        <v/>
      </c>
      <c r="AF22" s="395">
        <f>'Income Statement'!AF8/('Balance Sheet'!AG8-'Balance Sheet'!AG9-'Balance Sheet'!AG19)</f>
        <v/>
      </c>
      <c r="AG22" s="395">
        <f>'Income Statement'!AG8/('Balance Sheet'!AH8-'Balance Sheet'!AH9-'Balance Sheet'!AH19)</f>
        <v/>
      </c>
      <c r="AH22" s="395">
        <f>'Income Statement'!AH8/('Balance Sheet'!AI8-'Balance Sheet'!AI9-'Balance Sheet'!AI19)</f>
        <v/>
      </c>
      <c r="AI22" s="395">
        <f>'Income Statement'!AI8/('Balance Sheet'!AJ8-'Balance Sheet'!AJ9-'Balance Sheet'!AJ19)</f>
        <v/>
      </c>
      <c r="AJ22" s="395">
        <f>'Income Statement'!AJ8/('Balance Sheet'!AK8-'Balance Sheet'!AK9-'Balance Sheet'!AK19)</f>
        <v/>
      </c>
      <c r="AK22" s="395">
        <f>'Income Statement'!AK8/('Balance Sheet'!AL8-'Balance Sheet'!AL9-'Balance Sheet'!AL19)</f>
        <v/>
      </c>
      <c r="AL22" s="395">
        <f>'Income Statement'!AL8/('Balance Sheet'!AM8-'Balance Sheet'!AM9-'Balance Sheet'!AM19)</f>
        <v/>
      </c>
      <c r="AM22" s="395">
        <f>'Income Statement'!AM8/('Balance Sheet'!AN8-'Balance Sheet'!AN9-'Balance Sheet'!AN19)</f>
        <v/>
      </c>
      <c r="AN22" s="395">
        <f>'Income Statement'!AN8/('Balance Sheet'!AO8-'Balance Sheet'!AO9-'Balance Sheet'!AO19)</f>
        <v/>
      </c>
      <c r="AO22" s="395">
        <f>'Income Statement'!AO8/('Balance Sheet'!AP8-'Balance Sheet'!AP9-'Balance Sheet'!AP19)</f>
        <v/>
      </c>
      <c r="AP22" s="395">
        <f>'Income Statement'!AP8/('Balance Sheet'!AQ8-'Balance Sheet'!AQ9-'Balance Sheet'!AQ19)</f>
        <v/>
      </c>
      <c r="AQ22" s="395">
        <f>'Income Statement'!AQ8/('Balance Sheet'!AR8-'Balance Sheet'!AR9-'Balance Sheet'!AR19)</f>
        <v/>
      </c>
      <c r="AR22" s="395">
        <f>'Income Statement'!AR8/('Balance Sheet'!AS8-'Balance Sheet'!AS9-'Balance Sheet'!AS19)</f>
        <v/>
      </c>
      <c r="AS22" s="395">
        <f>'Income Statement'!AS8/('Balance Sheet'!AT8-'Balance Sheet'!AT9-'Balance Sheet'!AT19)</f>
        <v/>
      </c>
      <c r="AT22" s="395">
        <f>'Income Statement'!AT8/('Balance Sheet'!AU8-'Balance Sheet'!AU9-'Balance Sheet'!AU19)</f>
        <v/>
      </c>
      <c r="AU22" s="395">
        <f>'Income Statement'!AU8/('Balance Sheet'!AV8-'Balance Sheet'!AV9-'Balance Sheet'!AV19)</f>
        <v/>
      </c>
      <c r="AV22" s="395">
        <f>'Income Statement'!AV8/('Balance Sheet'!AW8-'Balance Sheet'!AW9-'Balance Sheet'!AW19)</f>
        <v/>
      </c>
      <c r="AW22" s="395">
        <f>'Income Statement'!AW8/('Balance Sheet'!AX8-'Balance Sheet'!AX9-'Balance Sheet'!AX19)</f>
        <v/>
      </c>
    </row>
    <row r="23">
      <c r="B23" s="176" t="n"/>
    </row>
    <row r="24">
      <c r="B24" s="172" t="inlineStr">
        <is>
          <t>Solvency Ratio</t>
        </is>
      </c>
    </row>
    <row r="25">
      <c r="B25" s="173" t="inlineStr">
        <is>
          <t>Net Debt</t>
        </is>
      </c>
      <c r="C25" s="361">
        <f>'Balance Sheet'!C24-'Balance Sheet'!C9</f>
        <v/>
      </c>
      <c r="D25" s="361">
        <f>'Balance Sheet'!D24-'Balance Sheet'!D9</f>
        <v/>
      </c>
      <c r="E25" s="361">
        <f>'Balance Sheet'!E24-'Balance Sheet'!E9</f>
        <v/>
      </c>
      <c r="F25" s="361">
        <f>'Balance Sheet'!F24-'Balance Sheet'!F9</f>
        <v/>
      </c>
      <c r="G25" s="357" t="n"/>
      <c r="H25" s="361">
        <f>'Balance Sheet'!H24-'Balance Sheet'!H9</f>
        <v/>
      </c>
      <c r="I25" s="361">
        <f>'Balance Sheet'!I24-'Balance Sheet'!I9</f>
        <v/>
      </c>
      <c r="J25" s="361">
        <f>'Balance Sheet'!J24-'Balance Sheet'!J9</f>
        <v/>
      </c>
      <c r="K25" s="361">
        <f>'Balance Sheet'!K24-'Balance Sheet'!K9</f>
        <v/>
      </c>
      <c r="L25" s="361">
        <f>'Balance Sheet'!L24-'Balance Sheet'!L9</f>
        <v/>
      </c>
      <c r="M25" s="361">
        <f>'Balance Sheet'!M24-'Balance Sheet'!M9</f>
        <v/>
      </c>
      <c r="N25" s="361">
        <f>'Balance Sheet'!N24-'Balance Sheet'!N9</f>
        <v/>
      </c>
      <c r="O25" s="361">
        <f>'Balance Sheet'!O24-'Balance Sheet'!O9</f>
        <v/>
      </c>
      <c r="P25" s="361">
        <f>'Balance Sheet'!P24-'Balance Sheet'!P9</f>
        <v/>
      </c>
      <c r="Q25" s="361">
        <f>'Balance Sheet'!Q24-'Balance Sheet'!Q9</f>
        <v/>
      </c>
      <c r="R25" s="361">
        <f>'Balance Sheet'!R24-'Balance Sheet'!R9</f>
        <v/>
      </c>
      <c r="S25" s="361">
        <f>'Balance Sheet'!S24-'Balance Sheet'!S9</f>
        <v/>
      </c>
      <c r="T25" s="361">
        <f>'Balance Sheet'!T24-'Balance Sheet'!T9</f>
        <v/>
      </c>
      <c r="U25" s="361">
        <f>'Balance Sheet'!U24-'Balance Sheet'!U9</f>
        <v/>
      </c>
      <c r="V25" s="361">
        <f>'Balance Sheet'!V24-'Balance Sheet'!V9</f>
        <v/>
      </c>
      <c r="W25" s="361">
        <f>'Balance Sheet'!W24-'Balance Sheet'!W9</f>
        <v/>
      </c>
      <c r="X25" s="361">
        <f>'Balance Sheet'!X24-'Balance Sheet'!X9</f>
        <v/>
      </c>
      <c r="Y25" s="361">
        <f>'Balance Sheet'!Y24-'Balance Sheet'!Y9</f>
        <v/>
      </c>
      <c r="Z25" s="361">
        <f>'Balance Sheet'!Z24-'Balance Sheet'!Z9</f>
        <v/>
      </c>
      <c r="AA25" s="361">
        <f>'Balance Sheet'!AA24-'Balance Sheet'!AA9</f>
        <v/>
      </c>
      <c r="AB25" s="361">
        <f>'Balance Sheet'!AB24-'Balance Sheet'!AB9</f>
        <v/>
      </c>
      <c r="AC25" s="361">
        <f>'Balance Sheet'!AC24-'Balance Sheet'!AC9</f>
        <v/>
      </c>
      <c r="AD25" s="361">
        <f>'Balance Sheet'!AD24-'Balance Sheet'!AD9</f>
        <v/>
      </c>
      <c r="AE25" s="361">
        <f>'Balance Sheet'!AE24-'Balance Sheet'!AE9</f>
        <v/>
      </c>
      <c r="AF25" s="361">
        <f>'Balance Sheet'!AF24-'Balance Sheet'!AF9</f>
        <v/>
      </c>
      <c r="AG25" s="361">
        <f>'Balance Sheet'!AG24-'Balance Sheet'!AG9</f>
        <v/>
      </c>
      <c r="AH25" s="361">
        <f>'Balance Sheet'!AH24-'Balance Sheet'!AH9</f>
        <v/>
      </c>
      <c r="AI25" s="361">
        <f>'Balance Sheet'!AI24-'Balance Sheet'!AI9</f>
        <v/>
      </c>
      <c r="AJ25" s="361">
        <f>'Balance Sheet'!AJ24-'Balance Sheet'!AJ9</f>
        <v/>
      </c>
      <c r="AK25" s="361">
        <f>'Balance Sheet'!AK24-'Balance Sheet'!AK9</f>
        <v/>
      </c>
      <c r="AL25" s="361">
        <f>'Balance Sheet'!AL24-'Balance Sheet'!AL9</f>
        <v/>
      </c>
      <c r="AM25" s="361">
        <f>'Balance Sheet'!AM24-'Balance Sheet'!AM9</f>
        <v/>
      </c>
      <c r="AN25" s="361">
        <f>'Balance Sheet'!AN24-'Balance Sheet'!AN9</f>
        <v/>
      </c>
      <c r="AO25" s="361">
        <f>'Balance Sheet'!AO24-'Balance Sheet'!AO9</f>
        <v/>
      </c>
      <c r="AP25" s="361">
        <f>'Balance Sheet'!AP24-'Balance Sheet'!AP9</f>
        <v/>
      </c>
      <c r="AQ25" s="361">
        <f>'Balance Sheet'!AQ24-'Balance Sheet'!AQ9</f>
        <v/>
      </c>
      <c r="AR25" s="361">
        <f>'Balance Sheet'!AR24-'Balance Sheet'!AR9</f>
        <v/>
      </c>
      <c r="AS25" s="361">
        <f>'Balance Sheet'!AS24-'Balance Sheet'!AS9</f>
        <v/>
      </c>
      <c r="AT25" s="361">
        <f>'Balance Sheet'!AT24-'Balance Sheet'!AT9</f>
        <v/>
      </c>
      <c r="AU25" s="361">
        <f>'Balance Sheet'!AU24-'Balance Sheet'!AU9</f>
        <v/>
      </c>
      <c r="AV25" s="361">
        <f>'Balance Sheet'!AV24-'Balance Sheet'!AV9</f>
        <v/>
      </c>
      <c r="AW25" s="361">
        <f>'Balance Sheet'!AW24-'Balance Sheet'!AW9</f>
        <v/>
      </c>
    </row>
    <row r="26">
      <c r="B26" s="176" t="inlineStr">
        <is>
          <t>Total debt to equity (x)</t>
        </is>
      </c>
      <c r="C26" s="395">
        <f>'Balance Sheet'!C24/'Balance Sheet'!C26</f>
        <v/>
      </c>
      <c r="D26" s="395">
        <f>'Balance Sheet'!D24/'Balance Sheet'!D26</f>
        <v/>
      </c>
      <c r="E26" s="395">
        <f>'Balance Sheet'!E24/'Balance Sheet'!E26</f>
        <v/>
      </c>
      <c r="F26" s="395">
        <f>'Balance Sheet'!F24/'Balance Sheet'!F26</f>
        <v/>
      </c>
      <c r="G26" s="395" t="n"/>
      <c r="H26" s="395">
        <f>'Balance Sheet'!H24/'Balance Sheet'!H26</f>
        <v/>
      </c>
      <c r="I26" s="395">
        <f>'Balance Sheet'!I24/'Balance Sheet'!I26</f>
        <v/>
      </c>
      <c r="J26" s="395">
        <f>'Balance Sheet'!J24/'Balance Sheet'!J26</f>
        <v/>
      </c>
      <c r="K26" s="395">
        <f>'Balance Sheet'!K24/'Balance Sheet'!K26</f>
        <v/>
      </c>
      <c r="L26" s="395">
        <f>'Balance Sheet'!L24/'Balance Sheet'!L26</f>
        <v/>
      </c>
      <c r="M26" s="395">
        <f>'Balance Sheet'!M24/'Balance Sheet'!M26</f>
        <v/>
      </c>
      <c r="N26" s="395">
        <f>'Balance Sheet'!N24/'Balance Sheet'!N26</f>
        <v/>
      </c>
      <c r="O26" s="395">
        <f>'Balance Sheet'!O24/'Balance Sheet'!O26</f>
        <v/>
      </c>
      <c r="P26" s="395">
        <f>'Balance Sheet'!P24/'Balance Sheet'!P26</f>
        <v/>
      </c>
      <c r="Q26" s="395">
        <f>'Balance Sheet'!Q24/'Balance Sheet'!Q26</f>
        <v/>
      </c>
      <c r="R26" s="395">
        <f>'Balance Sheet'!R24/'Balance Sheet'!R26</f>
        <v/>
      </c>
      <c r="S26" s="395">
        <f>'Balance Sheet'!S24/'Balance Sheet'!S26</f>
        <v/>
      </c>
      <c r="T26" s="395">
        <f>'Balance Sheet'!T24/'Balance Sheet'!T26</f>
        <v/>
      </c>
      <c r="U26" s="395">
        <f>'Balance Sheet'!U24/'Balance Sheet'!U26</f>
        <v/>
      </c>
      <c r="V26" s="395">
        <f>'Balance Sheet'!V24/'Balance Sheet'!V26</f>
        <v/>
      </c>
      <c r="W26" s="395">
        <f>'Balance Sheet'!W24/'Balance Sheet'!W26</f>
        <v/>
      </c>
      <c r="X26" s="395">
        <f>'Balance Sheet'!X24/'Balance Sheet'!X26</f>
        <v/>
      </c>
      <c r="Y26" s="395">
        <f>'Balance Sheet'!Y24/'Balance Sheet'!Y26</f>
        <v/>
      </c>
      <c r="Z26" s="395">
        <f>'Balance Sheet'!Z24/'Balance Sheet'!Z26</f>
        <v/>
      </c>
      <c r="AA26" s="395">
        <f>'Balance Sheet'!AA24/'Balance Sheet'!AA26</f>
        <v/>
      </c>
      <c r="AB26" s="395">
        <f>'Balance Sheet'!AB24/'Balance Sheet'!AB26</f>
        <v/>
      </c>
      <c r="AC26" s="395">
        <f>'Balance Sheet'!AC24/'Balance Sheet'!AC26</f>
        <v/>
      </c>
      <c r="AD26" s="395">
        <f>'Balance Sheet'!AD24/'Balance Sheet'!AD26</f>
        <v/>
      </c>
      <c r="AE26" s="395">
        <f>'Balance Sheet'!AE24/'Balance Sheet'!AE26</f>
        <v/>
      </c>
      <c r="AF26" s="395">
        <f>'Balance Sheet'!AF24/'Balance Sheet'!AF26</f>
        <v/>
      </c>
      <c r="AG26" s="395">
        <f>'Balance Sheet'!AG24/'Balance Sheet'!AG26</f>
        <v/>
      </c>
      <c r="AH26" s="395">
        <f>'Balance Sheet'!AH24/'Balance Sheet'!AH26</f>
        <v/>
      </c>
      <c r="AI26" s="395">
        <f>'Balance Sheet'!AI24/'Balance Sheet'!AI26</f>
        <v/>
      </c>
      <c r="AJ26" s="395">
        <f>'Balance Sheet'!AJ24/'Balance Sheet'!AJ26</f>
        <v/>
      </c>
      <c r="AK26" s="395">
        <f>'Balance Sheet'!AK24/'Balance Sheet'!AK26</f>
        <v/>
      </c>
      <c r="AL26" s="395">
        <f>'Balance Sheet'!AL24/'Balance Sheet'!AL26</f>
        <v/>
      </c>
      <c r="AM26" s="395">
        <f>'Balance Sheet'!AM24/'Balance Sheet'!AM26</f>
        <v/>
      </c>
      <c r="AN26" s="395">
        <f>'Balance Sheet'!AN24/'Balance Sheet'!AN26</f>
        <v/>
      </c>
      <c r="AO26" s="395">
        <f>'Balance Sheet'!AO24/'Balance Sheet'!AO26</f>
        <v/>
      </c>
      <c r="AP26" s="395">
        <f>'Balance Sheet'!AP24/'Balance Sheet'!AP26</f>
        <v/>
      </c>
      <c r="AQ26" s="395">
        <f>'Balance Sheet'!AQ24/'Balance Sheet'!AQ26</f>
        <v/>
      </c>
      <c r="AR26" s="395">
        <f>'Balance Sheet'!AR24/'Balance Sheet'!AR26</f>
        <v/>
      </c>
      <c r="AS26" s="395">
        <f>'Balance Sheet'!AS24/'Balance Sheet'!AS26</f>
        <v/>
      </c>
      <c r="AT26" s="395">
        <f>'Balance Sheet'!AT24/'Balance Sheet'!AT26</f>
        <v/>
      </c>
      <c r="AU26" s="395">
        <f>'Balance Sheet'!AU24/'Balance Sheet'!AU26</f>
        <v/>
      </c>
      <c r="AV26" s="395">
        <f>'Balance Sheet'!AV24/'Balance Sheet'!AV26</f>
        <v/>
      </c>
      <c r="AW26" s="395">
        <f>'Balance Sheet'!AW24/'Balance Sheet'!AW26</f>
        <v/>
      </c>
    </row>
    <row r="27">
      <c r="B27" s="176" t="inlineStr">
        <is>
          <t>Net Debt to EBITDA</t>
        </is>
      </c>
      <c r="C27" s="362">
        <f>C25/'Income Statement'!C32</f>
        <v/>
      </c>
      <c r="D27" s="362">
        <f>D25/'Income Statement'!D32</f>
        <v/>
      </c>
      <c r="E27" s="362">
        <f>E25/'Income Statement'!E32</f>
        <v/>
      </c>
      <c r="F27" s="362">
        <f>F25/'Income Statement'!F32</f>
        <v/>
      </c>
      <c r="G27" s="362" t="n"/>
      <c r="H27" s="362">
        <f>H25/'Income Statement'!H32</f>
        <v/>
      </c>
      <c r="I27" s="362">
        <f>I25/'Income Statement'!I32</f>
        <v/>
      </c>
      <c r="J27" s="362">
        <f>J25/'Income Statement'!J32</f>
        <v/>
      </c>
      <c r="K27" s="362">
        <f>K25/'Income Statement'!K32</f>
        <v/>
      </c>
      <c r="L27" s="362">
        <f>L25/'Income Statement'!L32</f>
        <v/>
      </c>
      <c r="M27" s="362">
        <f>M25/'Income Statement'!M32</f>
        <v/>
      </c>
      <c r="N27" s="362">
        <f>N25/'Income Statement'!N32</f>
        <v/>
      </c>
      <c r="O27" s="362">
        <f>O25/'Income Statement'!O32</f>
        <v/>
      </c>
      <c r="P27" s="362">
        <f>P25/'Income Statement'!P32</f>
        <v/>
      </c>
      <c r="Q27" s="362">
        <f>Q25/'Income Statement'!Q32</f>
        <v/>
      </c>
      <c r="R27" s="362">
        <f>R25/'Income Statement'!R32</f>
        <v/>
      </c>
      <c r="S27" s="362">
        <f>S25/'Income Statement'!S32</f>
        <v/>
      </c>
      <c r="T27" s="362">
        <f>T25/'Income Statement'!T32</f>
        <v/>
      </c>
      <c r="U27" s="362">
        <f>U25/'Income Statement'!U32</f>
        <v/>
      </c>
      <c r="V27" s="362">
        <f>V25/'Income Statement'!V32</f>
        <v/>
      </c>
      <c r="W27" s="362">
        <f>W25/'Income Statement'!W32</f>
        <v/>
      </c>
      <c r="X27" s="362">
        <f>X25/'Income Statement'!X32</f>
        <v/>
      </c>
      <c r="Y27" s="362">
        <f>Y25/'Income Statement'!Y32</f>
        <v/>
      </c>
      <c r="Z27" s="362">
        <f>Z25/'Income Statement'!Z32</f>
        <v/>
      </c>
      <c r="AA27" s="362">
        <f>AA25/'Income Statement'!AA32</f>
        <v/>
      </c>
      <c r="AB27" s="362">
        <f>AB25/'Income Statement'!AB32</f>
        <v/>
      </c>
      <c r="AC27" s="362">
        <f>AC25/'Income Statement'!AC32</f>
        <v/>
      </c>
      <c r="AD27" s="362">
        <f>AD25/'Income Statement'!AD32</f>
        <v/>
      </c>
      <c r="AE27" s="362">
        <f>AE25/'Income Statement'!AE32</f>
        <v/>
      </c>
      <c r="AF27" s="362">
        <f>AF25/'Income Statement'!AF32</f>
        <v/>
      </c>
      <c r="AG27" s="362">
        <f>AG25/'Income Statement'!AG32</f>
        <v/>
      </c>
      <c r="AH27" s="362">
        <f>AH25/'Income Statement'!AH32</f>
        <v/>
      </c>
      <c r="AI27" s="362">
        <f>AI25/'Income Statement'!AI32</f>
        <v/>
      </c>
      <c r="AJ27" s="362">
        <f>AJ25/'Income Statement'!AJ32</f>
        <v/>
      </c>
      <c r="AK27" s="362">
        <f>AK25/'Income Statement'!AK32</f>
        <v/>
      </c>
      <c r="AL27" s="362">
        <f>AL25/'Income Statement'!AL32</f>
        <v/>
      </c>
      <c r="AM27" s="362">
        <f>AM25/'Income Statement'!AM32</f>
        <v/>
      </c>
      <c r="AN27" s="362">
        <f>AN25/'Income Statement'!AN32</f>
        <v/>
      </c>
      <c r="AO27" s="362">
        <f>AO25/'Income Statement'!AO32</f>
        <v/>
      </c>
      <c r="AP27" s="362">
        <f>AP25/'Income Statement'!AP32</f>
        <v/>
      </c>
      <c r="AQ27" s="362">
        <f>AQ25/'Income Statement'!AQ32</f>
        <v/>
      </c>
      <c r="AR27" s="362">
        <f>AR25/'Income Statement'!AR32</f>
        <v/>
      </c>
      <c r="AS27" s="362">
        <f>AS25/'Income Statement'!AS32</f>
        <v/>
      </c>
      <c r="AT27" s="362">
        <f>AT25/'Income Statement'!AT32</f>
        <v/>
      </c>
      <c r="AU27" s="362">
        <f>AU25/'Income Statement'!AU32</f>
        <v/>
      </c>
      <c r="AV27" s="362">
        <f>AV25/'Income Statement'!AV32</f>
        <v/>
      </c>
      <c r="AW27" s="362">
        <f>AW25/'Income Statement'!AW32</f>
        <v/>
      </c>
    </row>
    <row r="28">
      <c r="B28" s="176" t="n"/>
    </row>
    <row r="29">
      <c r="B29" s="172" t="inlineStr">
        <is>
          <t>Efficiency Ratio</t>
        </is>
      </c>
    </row>
    <row r="30">
      <c r="B30" s="173" t="inlineStr">
        <is>
          <t>Collection period (days)</t>
        </is>
      </c>
      <c r="C30" s="396">
        <f>'Balance Sheet Schedules'!C33</f>
        <v/>
      </c>
      <c r="D30" s="396">
        <f>'Balance Sheet Schedules'!D33</f>
        <v/>
      </c>
      <c r="E30" s="396">
        <f>'Balance Sheet Schedules'!E33</f>
        <v/>
      </c>
      <c r="F30" s="396">
        <f>'Balance Sheet Schedules'!F33</f>
        <v/>
      </c>
      <c r="H30" s="396">
        <f>'Balance Sheet Schedules'!H33</f>
        <v/>
      </c>
      <c r="I30" s="396">
        <f>'Balance Sheet Schedules'!I33</f>
        <v/>
      </c>
      <c r="J30" s="396">
        <f>'Balance Sheet Schedules'!J33</f>
        <v/>
      </c>
      <c r="K30" s="396">
        <f>'Balance Sheet Schedules'!K33</f>
        <v/>
      </c>
      <c r="L30" s="396">
        <f>'Balance Sheet Schedules'!L33</f>
        <v/>
      </c>
      <c r="M30" s="396">
        <f>'Balance Sheet Schedules'!M33</f>
        <v/>
      </c>
      <c r="N30" s="396">
        <f>'Balance Sheet Schedules'!N33</f>
        <v/>
      </c>
      <c r="O30" s="396">
        <f>'Balance Sheet Schedules'!O33</f>
        <v/>
      </c>
      <c r="P30" s="396">
        <f>'Balance Sheet Schedules'!P33</f>
        <v/>
      </c>
      <c r="Q30" s="396">
        <f>'Balance Sheet Schedules'!Q33</f>
        <v/>
      </c>
      <c r="R30" s="396">
        <f>'Balance Sheet Schedules'!R33</f>
        <v/>
      </c>
      <c r="S30" s="396">
        <f>'Balance Sheet Schedules'!S33</f>
        <v/>
      </c>
      <c r="T30" s="396">
        <f>'Balance Sheet Schedules'!T33</f>
        <v/>
      </c>
      <c r="U30" s="396">
        <f>'Balance Sheet Schedules'!U33</f>
        <v/>
      </c>
      <c r="V30" s="396">
        <f>'Balance Sheet Schedules'!V33</f>
        <v/>
      </c>
      <c r="W30" s="396">
        <f>'Balance Sheet Schedules'!W33</f>
        <v/>
      </c>
      <c r="X30" s="396">
        <f>'Balance Sheet Schedules'!X33</f>
        <v/>
      </c>
      <c r="Y30" s="396">
        <f>'Balance Sheet Schedules'!Y33</f>
        <v/>
      </c>
      <c r="Z30" s="396">
        <f>'Balance Sheet Schedules'!Z33</f>
        <v/>
      </c>
      <c r="AA30" s="396">
        <f>'Balance Sheet Schedules'!AA33</f>
        <v/>
      </c>
      <c r="AB30" s="396">
        <f>'Balance Sheet Schedules'!AB33</f>
        <v/>
      </c>
      <c r="AC30" s="396">
        <f>'Balance Sheet Schedules'!AC33</f>
        <v/>
      </c>
      <c r="AD30" s="396">
        <f>'Balance Sheet Schedules'!AD33</f>
        <v/>
      </c>
      <c r="AE30" s="396">
        <f>'Balance Sheet Schedules'!AE33</f>
        <v/>
      </c>
      <c r="AF30" s="396">
        <f>'Balance Sheet Schedules'!AF33</f>
        <v/>
      </c>
      <c r="AG30" s="396">
        <f>'Balance Sheet Schedules'!AG33</f>
        <v/>
      </c>
      <c r="AH30" s="396">
        <f>'Balance Sheet Schedules'!AH33</f>
        <v/>
      </c>
      <c r="AI30" s="396">
        <f>'Balance Sheet Schedules'!AI33</f>
        <v/>
      </c>
      <c r="AJ30" s="396">
        <f>'Balance Sheet Schedules'!AJ33</f>
        <v/>
      </c>
      <c r="AK30" s="396">
        <f>'Balance Sheet Schedules'!AK33</f>
        <v/>
      </c>
      <c r="AL30" s="396">
        <f>'Balance Sheet Schedules'!AL33</f>
        <v/>
      </c>
      <c r="AM30" s="396">
        <f>'Balance Sheet Schedules'!AM33</f>
        <v/>
      </c>
      <c r="AN30" s="396">
        <f>'Balance Sheet Schedules'!AN33</f>
        <v/>
      </c>
      <c r="AO30" s="396">
        <f>'Balance Sheet Schedules'!AO33</f>
        <v/>
      </c>
      <c r="AP30" s="396">
        <f>'Balance Sheet Schedules'!AP33</f>
        <v/>
      </c>
      <c r="AQ30" s="396">
        <f>'Balance Sheet Schedules'!AQ33</f>
        <v/>
      </c>
      <c r="AR30" s="396">
        <f>'Balance Sheet Schedules'!AR33</f>
        <v/>
      </c>
      <c r="AS30" s="396">
        <f>'Balance Sheet Schedules'!AS33</f>
        <v/>
      </c>
      <c r="AT30" s="396">
        <f>'Balance Sheet Schedules'!AT33</f>
        <v/>
      </c>
      <c r="AU30" s="396">
        <f>'Balance Sheet Schedules'!AU33</f>
        <v/>
      </c>
      <c r="AV30" s="396">
        <f>'Balance Sheet Schedules'!AV33</f>
        <v/>
      </c>
      <c r="AW30" s="396">
        <f>'Balance Sheet Schedules'!AW33</f>
        <v/>
      </c>
    </row>
    <row r="31">
      <c r="B31" s="37" t="inlineStr">
        <is>
          <t>Accounts payables (days)</t>
        </is>
      </c>
      <c r="C31" s="327">
        <f>'Balance Sheet Schedules'!C36</f>
        <v/>
      </c>
      <c r="D31" s="327">
        <f>'Balance Sheet Schedules'!D36</f>
        <v/>
      </c>
      <c r="E31" s="327">
        <f>'Balance Sheet Schedules'!E36</f>
        <v/>
      </c>
      <c r="F31" s="327">
        <f>'Balance Sheet Schedules'!F36</f>
        <v/>
      </c>
      <c r="H31" s="327">
        <f>'Balance Sheet Schedules'!H36</f>
        <v/>
      </c>
      <c r="I31" s="327">
        <f>'Balance Sheet Schedules'!I36</f>
        <v/>
      </c>
      <c r="J31" s="327">
        <f>'Balance Sheet Schedules'!J36</f>
        <v/>
      </c>
      <c r="K31" s="327">
        <f>'Balance Sheet Schedules'!K36</f>
        <v/>
      </c>
      <c r="L31" s="327">
        <f>'Balance Sheet Schedules'!L36</f>
        <v/>
      </c>
      <c r="M31" s="327">
        <f>'Balance Sheet Schedules'!M36</f>
        <v/>
      </c>
      <c r="N31" s="327">
        <f>'Balance Sheet Schedules'!N36</f>
        <v/>
      </c>
      <c r="O31" s="327">
        <f>'Balance Sheet Schedules'!O36</f>
        <v/>
      </c>
      <c r="P31" s="327">
        <f>'Balance Sheet Schedules'!P36</f>
        <v/>
      </c>
      <c r="Q31" s="327">
        <f>'Balance Sheet Schedules'!Q36</f>
        <v/>
      </c>
      <c r="R31" s="327">
        <f>'Balance Sheet Schedules'!R36</f>
        <v/>
      </c>
      <c r="S31" s="327">
        <f>'Balance Sheet Schedules'!S36</f>
        <v/>
      </c>
      <c r="T31" s="327">
        <f>'Balance Sheet Schedules'!T36</f>
        <v/>
      </c>
      <c r="U31" s="327">
        <f>'Balance Sheet Schedules'!U36</f>
        <v/>
      </c>
      <c r="V31" s="327">
        <f>'Balance Sheet Schedules'!V36</f>
        <v/>
      </c>
      <c r="W31" s="327">
        <f>'Balance Sheet Schedules'!W36</f>
        <v/>
      </c>
      <c r="X31" s="327">
        <f>'Balance Sheet Schedules'!X36</f>
        <v/>
      </c>
      <c r="Y31" s="327">
        <f>'Balance Sheet Schedules'!Y36</f>
        <v/>
      </c>
      <c r="Z31" s="327">
        <f>'Balance Sheet Schedules'!Z36</f>
        <v/>
      </c>
      <c r="AA31" s="327">
        <f>'Balance Sheet Schedules'!AA36</f>
        <v/>
      </c>
      <c r="AB31" s="327">
        <f>'Balance Sheet Schedules'!AB36</f>
        <v/>
      </c>
      <c r="AC31" s="327">
        <f>'Balance Sheet Schedules'!AC36</f>
        <v/>
      </c>
      <c r="AD31" s="327">
        <f>'Balance Sheet Schedules'!AD36</f>
        <v/>
      </c>
      <c r="AE31" s="327">
        <f>'Balance Sheet Schedules'!AE36</f>
        <v/>
      </c>
      <c r="AF31" s="327">
        <f>'Balance Sheet Schedules'!AF36</f>
        <v/>
      </c>
      <c r="AG31" s="327">
        <f>'Balance Sheet Schedules'!AG36</f>
        <v/>
      </c>
      <c r="AH31" s="327">
        <f>'Balance Sheet Schedules'!AH36</f>
        <v/>
      </c>
      <c r="AI31" s="327">
        <f>'Balance Sheet Schedules'!AI36</f>
        <v/>
      </c>
      <c r="AJ31" s="327">
        <f>'Balance Sheet Schedules'!AJ36</f>
        <v/>
      </c>
      <c r="AK31" s="327">
        <f>'Balance Sheet Schedules'!AK36</f>
        <v/>
      </c>
      <c r="AL31" s="327">
        <f>'Balance Sheet Schedules'!AL36</f>
        <v/>
      </c>
      <c r="AM31" s="327">
        <f>'Balance Sheet Schedules'!AM36</f>
        <v/>
      </c>
      <c r="AN31" s="327">
        <f>'Balance Sheet Schedules'!AN36</f>
        <v/>
      </c>
      <c r="AO31" s="327">
        <f>'Balance Sheet Schedules'!AO36</f>
        <v/>
      </c>
      <c r="AP31" s="327">
        <f>'Balance Sheet Schedules'!AP36</f>
        <v/>
      </c>
      <c r="AQ31" s="327">
        <f>'Balance Sheet Schedules'!AQ36</f>
        <v/>
      </c>
      <c r="AR31" s="327">
        <f>'Balance Sheet Schedules'!AR36</f>
        <v/>
      </c>
      <c r="AS31" s="327">
        <f>'Balance Sheet Schedules'!AS36</f>
        <v/>
      </c>
      <c r="AT31" s="327">
        <f>'Balance Sheet Schedules'!AT36</f>
        <v/>
      </c>
      <c r="AU31" s="327">
        <f>'Balance Sheet Schedules'!AU36</f>
        <v/>
      </c>
      <c r="AV31" s="327">
        <f>'Balance Sheet Schedules'!AV36</f>
        <v/>
      </c>
      <c r="AW31" s="327">
        <f>'Balance Sheet Schedules'!AW36</f>
        <v/>
      </c>
    </row>
    <row r="32">
      <c r="B32" s="40" t="inlineStr">
        <is>
          <t>Net Conversion days</t>
        </is>
      </c>
      <c r="C32" s="397">
        <f>C30-C31</f>
        <v/>
      </c>
      <c r="D32" s="397">
        <f>D30-D31</f>
        <v/>
      </c>
      <c r="E32" s="397">
        <f>E30-E31</f>
        <v/>
      </c>
      <c r="F32" s="397">
        <f>F30-F31</f>
        <v/>
      </c>
      <c r="H32" s="397">
        <f>H30-H31</f>
        <v/>
      </c>
      <c r="I32" s="397">
        <f>I30-I31</f>
        <v/>
      </c>
      <c r="J32" s="397">
        <f>J30-J31</f>
        <v/>
      </c>
      <c r="K32" s="397">
        <f>K30-K31</f>
        <v/>
      </c>
      <c r="L32" s="397">
        <f>L30-L31</f>
        <v/>
      </c>
      <c r="M32" s="397">
        <f>M30-M31</f>
        <v/>
      </c>
      <c r="N32" s="397">
        <f>N30-N31</f>
        <v/>
      </c>
      <c r="O32" s="397">
        <f>O30-O31</f>
        <v/>
      </c>
      <c r="P32" s="397">
        <f>P30-P31</f>
        <v/>
      </c>
      <c r="Q32" s="397">
        <f>Q30-Q31</f>
        <v/>
      </c>
      <c r="R32" s="397">
        <f>R30-R31</f>
        <v/>
      </c>
      <c r="S32" s="397">
        <f>S30-S31</f>
        <v/>
      </c>
      <c r="T32" s="397">
        <f>T30-T31</f>
        <v/>
      </c>
      <c r="U32" s="397">
        <f>U30-U31</f>
        <v/>
      </c>
      <c r="V32" s="397">
        <f>V30-V31</f>
        <v/>
      </c>
      <c r="W32" s="397">
        <f>W30-W31</f>
        <v/>
      </c>
      <c r="X32" s="397">
        <f>X30-X31</f>
        <v/>
      </c>
      <c r="Y32" s="397">
        <f>Y30-Y31</f>
        <v/>
      </c>
      <c r="Z32" s="397">
        <f>Z30-Z31</f>
        <v/>
      </c>
      <c r="AA32" s="397">
        <f>AA30-AA31</f>
        <v/>
      </c>
      <c r="AB32" s="397">
        <f>AB30-AB31</f>
        <v/>
      </c>
      <c r="AC32" s="397">
        <f>AC30-AC31</f>
        <v/>
      </c>
      <c r="AD32" s="397">
        <f>AD30-AD31</f>
        <v/>
      </c>
      <c r="AE32" s="397">
        <f>AE30-AE31</f>
        <v/>
      </c>
      <c r="AF32" s="397">
        <f>AF30-AF31</f>
        <v/>
      </c>
      <c r="AG32" s="397">
        <f>AG30-AG31</f>
        <v/>
      </c>
      <c r="AH32" s="397">
        <f>AH30-AH31</f>
        <v/>
      </c>
      <c r="AI32" s="397">
        <f>AI30-AI31</f>
        <v/>
      </c>
      <c r="AJ32" s="397">
        <f>AJ30-AJ31</f>
        <v/>
      </c>
      <c r="AK32" s="397">
        <f>AK30-AK31</f>
        <v/>
      </c>
      <c r="AL32" s="397">
        <f>AL30-AL31</f>
        <v/>
      </c>
      <c r="AM32" s="397">
        <f>AM30-AM31</f>
        <v/>
      </c>
      <c r="AN32" s="397">
        <f>AN30-AN31</f>
        <v/>
      </c>
      <c r="AO32" s="397">
        <f>AO30-AO31</f>
        <v/>
      </c>
      <c r="AP32" s="397">
        <f>AP30-AP31</f>
        <v/>
      </c>
      <c r="AQ32" s="397">
        <f>AQ30-AQ31</f>
        <v/>
      </c>
      <c r="AR32" s="397">
        <f>AR30-AR31</f>
        <v/>
      </c>
      <c r="AS32" s="397">
        <f>AS30-AS31</f>
        <v/>
      </c>
      <c r="AT32" s="397">
        <f>AT30-AT31</f>
        <v/>
      </c>
      <c r="AU32" s="397">
        <f>AU30-AU31</f>
        <v/>
      </c>
      <c r="AV32" s="397">
        <f>AV30-AV31</f>
        <v/>
      </c>
      <c r="AW32" s="397">
        <f>AW30-AW31</f>
        <v/>
      </c>
    </row>
    <row r="33">
      <c r="B33" s="1" t="inlineStr">
        <is>
          <t>Other net balances (days)</t>
        </is>
      </c>
      <c r="C33" s="327">
        <f>C36-C37</f>
        <v/>
      </c>
      <c r="D33" s="327">
        <f>D36-D37</f>
        <v/>
      </c>
      <c r="E33" s="327">
        <f>E36-E37</f>
        <v/>
      </c>
      <c r="F33" s="327">
        <f>F36-F37</f>
        <v/>
      </c>
      <c r="H33" s="327">
        <f>H36-H37</f>
        <v/>
      </c>
      <c r="I33" s="327">
        <f>I36-I37</f>
        <v/>
      </c>
      <c r="J33" s="327">
        <f>J36-J37</f>
        <v/>
      </c>
      <c r="K33" s="327">
        <f>K36-K37</f>
        <v/>
      </c>
      <c r="L33" s="327">
        <f>L36-L37</f>
        <v/>
      </c>
      <c r="M33" s="327">
        <f>M36-M37</f>
        <v/>
      </c>
      <c r="N33" s="327">
        <f>N36-N37</f>
        <v/>
      </c>
      <c r="O33" s="327">
        <f>O36-O37</f>
        <v/>
      </c>
      <c r="P33" s="327">
        <f>P36-P37</f>
        <v/>
      </c>
      <c r="Q33" s="327">
        <f>Q36-Q37</f>
        <v/>
      </c>
      <c r="R33" s="327">
        <f>R36-R37</f>
        <v/>
      </c>
      <c r="S33" s="327">
        <f>S36-S37</f>
        <v/>
      </c>
      <c r="T33" s="327">
        <f>T36-T37</f>
        <v/>
      </c>
      <c r="U33" s="327">
        <f>U36-U37</f>
        <v/>
      </c>
      <c r="V33" s="327">
        <f>V36-V37</f>
        <v/>
      </c>
      <c r="W33" s="327">
        <f>W36-W37</f>
        <v/>
      </c>
      <c r="X33" s="327">
        <f>X36-X37</f>
        <v/>
      </c>
      <c r="Y33" s="327">
        <f>Y36-Y37</f>
        <v/>
      </c>
      <c r="Z33" s="327">
        <f>Z36-Z37</f>
        <v/>
      </c>
      <c r="AA33" s="327">
        <f>AA36-AA37</f>
        <v/>
      </c>
      <c r="AB33" s="327">
        <f>AB36-AB37</f>
        <v/>
      </c>
      <c r="AC33" s="327">
        <f>AC36-AC37</f>
        <v/>
      </c>
      <c r="AD33" s="327">
        <f>AD36-AD37</f>
        <v/>
      </c>
      <c r="AE33" s="327">
        <f>AE36-AE37</f>
        <v/>
      </c>
      <c r="AF33" s="327">
        <f>AF36-AF37</f>
        <v/>
      </c>
      <c r="AG33" s="327">
        <f>AG36-AG37</f>
        <v/>
      </c>
      <c r="AH33" s="327">
        <f>AH36-AH37</f>
        <v/>
      </c>
      <c r="AI33" s="327">
        <f>AI36-AI37</f>
        <v/>
      </c>
      <c r="AJ33" s="327">
        <f>AJ36-AJ37</f>
        <v/>
      </c>
      <c r="AK33" s="327">
        <f>AK36-AK37</f>
        <v/>
      </c>
      <c r="AL33" s="327">
        <f>AL36-AL37</f>
        <v/>
      </c>
      <c r="AM33" s="327">
        <f>AM36-AM37</f>
        <v/>
      </c>
      <c r="AN33" s="327">
        <f>AN36-AN37</f>
        <v/>
      </c>
      <c r="AO33" s="327">
        <f>AO36-AO37</f>
        <v/>
      </c>
      <c r="AP33" s="327">
        <f>AP36-AP37</f>
        <v/>
      </c>
      <c r="AQ33" s="327">
        <f>AQ36-AQ37</f>
        <v/>
      </c>
      <c r="AR33" s="327">
        <f>AR36-AR37</f>
        <v/>
      </c>
      <c r="AS33" s="327">
        <f>AS36-AS37</f>
        <v/>
      </c>
      <c r="AT33" s="327">
        <f>AT36-AT37</f>
        <v/>
      </c>
      <c r="AU33" s="327">
        <f>AU36-AU37</f>
        <v/>
      </c>
      <c r="AV33" s="327">
        <f>AV36-AV37</f>
        <v/>
      </c>
      <c r="AW33" s="327">
        <f>AW36-AW37</f>
        <v/>
      </c>
    </row>
    <row r="34">
      <c r="B34" s="2" t="inlineStr">
        <is>
          <t>Total Conversion days</t>
        </is>
      </c>
      <c r="C34" s="397">
        <f>C32+C33</f>
        <v/>
      </c>
      <c r="D34" s="397">
        <f>D32+D33</f>
        <v/>
      </c>
      <c r="E34" s="397">
        <f>E32+E33</f>
        <v/>
      </c>
      <c r="F34" s="397">
        <f>F32+F33</f>
        <v/>
      </c>
      <c r="H34" s="397">
        <f>H32+H33</f>
        <v/>
      </c>
      <c r="I34" s="397">
        <f>I32+I33</f>
        <v/>
      </c>
      <c r="J34" s="397">
        <f>J32+J33</f>
        <v/>
      </c>
      <c r="K34" s="397">
        <f>K32+K33</f>
        <v/>
      </c>
      <c r="L34" s="397">
        <f>L32+L33</f>
        <v/>
      </c>
      <c r="M34" s="397">
        <f>M32+M33</f>
        <v/>
      </c>
      <c r="N34" s="397">
        <f>N32+N33</f>
        <v/>
      </c>
      <c r="O34" s="397">
        <f>O32+O33</f>
        <v/>
      </c>
      <c r="P34" s="397">
        <f>P32+P33</f>
        <v/>
      </c>
      <c r="Q34" s="397">
        <f>Q32+Q33</f>
        <v/>
      </c>
      <c r="R34" s="397">
        <f>R32+R33</f>
        <v/>
      </c>
      <c r="S34" s="397">
        <f>S32+S33</f>
        <v/>
      </c>
      <c r="T34" s="397">
        <f>T32+T33</f>
        <v/>
      </c>
      <c r="U34" s="397">
        <f>U32+U33</f>
        <v/>
      </c>
      <c r="V34" s="397">
        <f>V32+V33</f>
        <v/>
      </c>
      <c r="W34" s="397">
        <f>W32+W33</f>
        <v/>
      </c>
      <c r="X34" s="397">
        <f>X32+X33</f>
        <v/>
      </c>
      <c r="Y34" s="397">
        <f>Y32+Y33</f>
        <v/>
      </c>
      <c r="Z34" s="397">
        <f>Z32+Z33</f>
        <v/>
      </c>
      <c r="AA34" s="397">
        <f>AA32+AA33</f>
        <v/>
      </c>
      <c r="AB34" s="397">
        <f>AB32+AB33</f>
        <v/>
      </c>
      <c r="AC34" s="397">
        <f>AC32+AC33</f>
        <v/>
      </c>
      <c r="AD34" s="397">
        <f>AD32+AD33</f>
        <v/>
      </c>
      <c r="AE34" s="397">
        <f>AE32+AE33</f>
        <v/>
      </c>
      <c r="AF34" s="397">
        <f>AF32+AF33</f>
        <v/>
      </c>
      <c r="AG34" s="397">
        <f>AG32+AG33</f>
        <v/>
      </c>
      <c r="AH34" s="397">
        <f>AH32+AH33</f>
        <v/>
      </c>
      <c r="AI34" s="397">
        <f>AI32+AI33</f>
        <v/>
      </c>
      <c r="AJ34" s="397">
        <f>AJ32+AJ33</f>
        <v/>
      </c>
      <c r="AK34" s="397">
        <f>AK32+AK33</f>
        <v/>
      </c>
      <c r="AL34" s="397">
        <f>AL32+AL33</f>
        <v/>
      </c>
      <c r="AM34" s="397">
        <f>AM32+AM33</f>
        <v/>
      </c>
      <c r="AN34" s="397">
        <f>AN32+AN33</f>
        <v/>
      </c>
      <c r="AO34" s="397">
        <f>AO32+AO33</f>
        <v/>
      </c>
      <c r="AP34" s="397">
        <f>AP32+AP33</f>
        <v/>
      </c>
      <c r="AQ34" s="397">
        <f>AQ32+AQ33</f>
        <v/>
      </c>
      <c r="AR34" s="397">
        <f>AR32+AR33</f>
        <v/>
      </c>
      <c r="AS34" s="397">
        <f>AS32+AS33</f>
        <v/>
      </c>
      <c r="AT34" s="397">
        <f>AT32+AT33</f>
        <v/>
      </c>
      <c r="AU34" s="397">
        <f>AU32+AU33</f>
        <v/>
      </c>
      <c r="AV34" s="397">
        <f>AV32+AV33</f>
        <v/>
      </c>
      <c r="AW34" s="397">
        <f>AW32+AW33</f>
        <v/>
      </c>
    </row>
    <row r="35">
      <c r="C35" s="327" t="n"/>
      <c r="D35" s="327" t="n"/>
      <c r="E35" s="327" t="n"/>
      <c r="F35" s="327" t="n"/>
      <c r="H35" s="327" t="n"/>
      <c r="I35" s="327" t="n"/>
      <c r="J35" s="327" t="n"/>
      <c r="K35" s="327" t="n"/>
      <c r="L35" s="327" t="n"/>
      <c r="M35" s="327" t="n"/>
      <c r="N35" s="327" t="n"/>
      <c r="O35" s="327" t="n"/>
      <c r="P35" s="327" t="n"/>
      <c r="Q35" s="327" t="n"/>
      <c r="R35" s="327" t="n"/>
      <c r="S35" s="327" t="n"/>
      <c r="T35" s="327" t="n"/>
      <c r="U35" s="327" t="n"/>
      <c r="V35" s="327" t="n"/>
      <c r="W35" s="327" t="n"/>
      <c r="X35" s="327" t="n"/>
      <c r="Y35" s="327" t="n"/>
      <c r="Z35" s="327" t="n"/>
      <c r="AA35" s="327" t="n"/>
      <c r="AB35" s="327" t="n"/>
      <c r="AC35" s="327" t="n"/>
      <c r="AD35" s="327" t="n"/>
      <c r="AE35" s="327" t="n"/>
      <c r="AF35" s="327" t="n"/>
      <c r="AG35" s="327" t="n"/>
      <c r="AH35" s="327" t="n"/>
      <c r="AI35" s="327" t="n"/>
      <c r="AJ35" s="327" t="n"/>
      <c r="AK35" s="327" t="n"/>
      <c r="AL35" s="327" t="n"/>
      <c r="AM35" s="327" t="n"/>
      <c r="AN35" s="327" t="n"/>
      <c r="AO35" s="327" t="n"/>
      <c r="AP35" s="327" t="n"/>
      <c r="AQ35" s="327" t="n"/>
      <c r="AR35" s="327" t="n"/>
      <c r="AS35" s="327" t="n"/>
      <c r="AT35" s="327" t="n"/>
      <c r="AU35" s="327" t="n"/>
      <c r="AV35" s="327" t="n"/>
      <c r="AW35" s="327" t="n"/>
    </row>
    <row r="36">
      <c r="B36" s="176" t="inlineStr">
        <is>
          <t>Other debit balances period (days)</t>
        </is>
      </c>
      <c r="C36" s="327">
        <f>'Balance Sheet Schedules'!C39</f>
        <v/>
      </c>
      <c r="D36" s="327">
        <f>'Balance Sheet Schedules'!D39</f>
        <v/>
      </c>
      <c r="E36" s="327">
        <f>'Balance Sheet Schedules'!E39</f>
        <v/>
      </c>
      <c r="F36" s="327">
        <f>'Balance Sheet Schedules'!F39</f>
        <v/>
      </c>
      <c r="H36" s="327">
        <f>'Balance Sheet Schedules'!H39</f>
        <v/>
      </c>
      <c r="I36" s="327">
        <f>'Balance Sheet Schedules'!I39</f>
        <v/>
      </c>
      <c r="J36" s="327">
        <f>'Balance Sheet Schedules'!J39</f>
        <v/>
      </c>
      <c r="K36" s="327">
        <f>'Balance Sheet Schedules'!K39</f>
        <v/>
      </c>
      <c r="L36" s="327">
        <f>'Balance Sheet Schedules'!L39</f>
        <v/>
      </c>
      <c r="M36" s="327">
        <f>'Balance Sheet Schedules'!M39</f>
        <v/>
      </c>
      <c r="N36" s="327">
        <f>'Balance Sheet Schedules'!N39</f>
        <v/>
      </c>
      <c r="O36" s="327">
        <f>'Balance Sheet Schedules'!O39</f>
        <v/>
      </c>
      <c r="P36" s="327">
        <f>'Balance Sheet Schedules'!P39</f>
        <v/>
      </c>
      <c r="Q36" s="327">
        <f>'Balance Sheet Schedules'!Q39</f>
        <v/>
      </c>
      <c r="R36" s="327">
        <f>'Balance Sheet Schedules'!R39</f>
        <v/>
      </c>
      <c r="S36" s="327">
        <f>'Balance Sheet Schedules'!S39</f>
        <v/>
      </c>
      <c r="T36" s="327">
        <f>'Balance Sheet Schedules'!T39</f>
        <v/>
      </c>
      <c r="U36" s="327">
        <f>'Balance Sheet Schedules'!U39</f>
        <v/>
      </c>
      <c r="V36" s="327">
        <f>'Balance Sheet Schedules'!V39</f>
        <v/>
      </c>
      <c r="W36" s="327">
        <f>'Balance Sheet Schedules'!W39</f>
        <v/>
      </c>
      <c r="X36" s="327">
        <f>'Balance Sheet Schedules'!X39</f>
        <v/>
      </c>
      <c r="Y36" s="327">
        <f>'Balance Sheet Schedules'!Y39</f>
        <v/>
      </c>
      <c r="Z36" s="327">
        <f>'Balance Sheet Schedules'!Z39</f>
        <v/>
      </c>
      <c r="AA36" s="327">
        <f>'Balance Sheet Schedules'!AA39</f>
        <v/>
      </c>
      <c r="AB36" s="327">
        <f>'Balance Sheet Schedules'!AB39</f>
        <v/>
      </c>
      <c r="AC36" s="327">
        <f>'Balance Sheet Schedules'!AC39</f>
        <v/>
      </c>
      <c r="AD36" s="327">
        <f>'Balance Sheet Schedules'!AD39</f>
        <v/>
      </c>
      <c r="AE36" s="327">
        <f>'Balance Sheet Schedules'!AE39</f>
        <v/>
      </c>
      <c r="AF36" s="327">
        <f>'Balance Sheet Schedules'!AF39</f>
        <v/>
      </c>
      <c r="AG36" s="327">
        <f>'Balance Sheet Schedules'!AG39</f>
        <v/>
      </c>
      <c r="AH36" s="327">
        <f>'Balance Sheet Schedules'!AH39</f>
        <v/>
      </c>
      <c r="AI36" s="327">
        <f>'Balance Sheet Schedules'!AI39</f>
        <v/>
      </c>
      <c r="AJ36" s="327">
        <f>'Balance Sheet Schedules'!AJ39</f>
        <v/>
      </c>
      <c r="AK36" s="327">
        <f>'Balance Sheet Schedules'!AK39</f>
        <v/>
      </c>
      <c r="AL36" s="327">
        <f>'Balance Sheet Schedules'!AL39</f>
        <v/>
      </c>
      <c r="AM36" s="327">
        <f>'Balance Sheet Schedules'!AM39</f>
        <v/>
      </c>
      <c r="AN36" s="327">
        <f>'Balance Sheet Schedules'!AN39</f>
        <v/>
      </c>
      <c r="AO36" s="327">
        <f>'Balance Sheet Schedules'!AO39</f>
        <v/>
      </c>
      <c r="AP36" s="327">
        <f>'Balance Sheet Schedules'!AP39</f>
        <v/>
      </c>
      <c r="AQ36" s="327">
        <f>'Balance Sheet Schedules'!AQ39</f>
        <v/>
      </c>
      <c r="AR36" s="327">
        <f>'Balance Sheet Schedules'!AR39</f>
        <v/>
      </c>
      <c r="AS36" s="327">
        <f>'Balance Sheet Schedules'!AS39</f>
        <v/>
      </c>
      <c r="AT36" s="327">
        <f>'Balance Sheet Schedules'!AT39</f>
        <v/>
      </c>
      <c r="AU36" s="327">
        <f>'Balance Sheet Schedules'!AU39</f>
        <v/>
      </c>
      <c r="AV36" s="327">
        <f>'Balance Sheet Schedules'!AV39</f>
        <v/>
      </c>
      <c r="AW36" s="327">
        <f>'Balance Sheet Schedules'!AW39</f>
        <v/>
      </c>
    </row>
    <row r="37">
      <c r="B37" s="176" t="inlineStr">
        <is>
          <t>Other credit balances period (days)</t>
        </is>
      </c>
      <c r="C37" s="327">
        <f>'Balance Sheet Schedules'!C42</f>
        <v/>
      </c>
      <c r="D37" s="327">
        <f>'Balance Sheet Schedules'!D42</f>
        <v/>
      </c>
      <c r="E37" s="327">
        <f>'Balance Sheet Schedules'!E42</f>
        <v/>
      </c>
      <c r="F37" s="327">
        <f>'Balance Sheet Schedules'!F42</f>
        <v/>
      </c>
      <c r="H37" s="327">
        <f>'Balance Sheet Schedules'!H42</f>
        <v/>
      </c>
      <c r="I37" s="327">
        <f>'Balance Sheet Schedules'!I42</f>
        <v/>
      </c>
      <c r="J37" s="327">
        <f>'Balance Sheet Schedules'!J42</f>
        <v/>
      </c>
      <c r="K37" s="327">
        <f>'Balance Sheet Schedules'!K42</f>
        <v/>
      </c>
      <c r="L37" s="327">
        <f>'Balance Sheet Schedules'!L42</f>
        <v/>
      </c>
      <c r="M37" s="327">
        <f>'Balance Sheet Schedules'!M42</f>
        <v/>
      </c>
      <c r="N37" s="327">
        <f>'Balance Sheet Schedules'!N42</f>
        <v/>
      </c>
      <c r="O37" s="327">
        <f>'Balance Sheet Schedules'!O42</f>
        <v/>
      </c>
      <c r="P37" s="327">
        <f>'Balance Sheet Schedules'!P42</f>
        <v/>
      </c>
      <c r="Q37" s="327">
        <f>'Balance Sheet Schedules'!Q42</f>
        <v/>
      </c>
      <c r="R37" s="327">
        <f>'Balance Sheet Schedules'!R42</f>
        <v/>
      </c>
      <c r="S37" s="327">
        <f>'Balance Sheet Schedules'!S42</f>
        <v/>
      </c>
      <c r="T37" s="327">
        <f>'Balance Sheet Schedules'!T42</f>
        <v/>
      </c>
      <c r="U37" s="327">
        <f>'Balance Sheet Schedules'!U42</f>
        <v/>
      </c>
      <c r="V37" s="327">
        <f>'Balance Sheet Schedules'!V42</f>
        <v/>
      </c>
      <c r="W37" s="327">
        <f>'Balance Sheet Schedules'!W42</f>
        <v/>
      </c>
      <c r="X37" s="327">
        <f>'Balance Sheet Schedules'!X42</f>
        <v/>
      </c>
      <c r="Y37" s="327">
        <f>'Balance Sheet Schedules'!Y42</f>
        <v/>
      </c>
      <c r="Z37" s="327">
        <f>'Balance Sheet Schedules'!Z42</f>
        <v/>
      </c>
      <c r="AA37" s="327">
        <f>'Balance Sheet Schedules'!AA42</f>
        <v/>
      </c>
      <c r="AB37" s="327">
        <f>'Balance Sheet Schedules'!AB42</f>
        <v/>
      </c>
      <c r="AC37" s="327">
        <f>'Balance Sheet Schedules'!AC42</f>
        <v/>
      </c>
      <c r="AD37" s="327">
        <f>'Balance Sheet Schedules'!AD42</f>
        <v/>
      </c>
      <c r="AE37" s="327">
        <f>'Balance Sheet Schedules'!AE42</f>
        <v/>
      </c>
      <c r="AF37" s="327">
        <f>'Balance Sheet Schedules'!AF42</f>
        <v/>
      </c>
      <c r="AG37" s="327">
        <f>'Balance Sheet Schedules'!AG42</f>
        <v/>
      </c>
      <c r="AH37" s="327">
        <f>'Balance Sheet Schedules'!AH42</f>
        <v/>
      </c>
      <c r="AI37" s="327">
        <f>'Balance Sheet Schedules'!AI42</f>
        <v/>
      </c>
      <c r="AJ37" s="327">
        <f>'Balance Sheet Schedules'!AJ42</f>
        <v/>
      </c>
      <c r="AK37" s="327">
        <f>'Balance Sheet Schedules'!AK42</f>
        <v/>
      </c>
      <c r="AL37" s="327">
        <f>'Balance Sheet Schedules'!AL42</f>
        <v/>
      </c>
      <c r="AM37" s="327">
        <f>'Balance Sheet Schedules'!AM42</f>
        <v/>
      </c>
      <c r="AN37" s="327">
        <f>'Balance Sheet Schedules'!AN42</f>
        <v/>
      </c>
      <c r="AO37" s="327">
        <f>'Balance Sheet Schedules'!AO42</f>
        <v/>
      </c>
      <c r="AP37" s="327">
        <f>'Balance Sheet Schedules'!AP42</f>
        <v/>
      </c>
      <c r="AQ37" s="327">
        <f>'Balance Sheet Schedules'!AQ42</f>
        <v/>
      </c>
      <c r="AR37" s="327">
        <f>'Balance Sheet Schedules'!AR42</f>
        <v/>
      </c>
      <c r="AS37" s="327">
        <f>'Balance Sheet Schedules'!AS42</f>
        <v/>
      </c>
      <c r="AT37" s="327">
        <f>'Balance Sheet Schedules'!AT42</f>
        <v/>
      </c>
      <c r="AU37" s="327">
        <f>'Balance Sheet Schedules'!AU42</f>
        <v/>
      </c>
      <c r="AV37" s="327">
        <f>'Balance Sheet Schedules'!AV42</f>
        <v/>
      </c>
      <c r="AW37" s="327">
        <f>'Balance Sheet Schedules'!AW42</f>
        <v/>
      </c>
    </row>
    <row r="39">
      <c r="B39" s="184" t="inlineStr">
        <is>
          <t>Unit Economics</t>
        </is>
      </c>
      <c r="C39" s="185" t="n"/>
      <c r="D39" s="185" t="n"/>
      <c r="E39" s="185" t="n"/>
      <c r="F39" s="185" t="n"/>
      <c r="H39" s="185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  <c r="AC39" s="185" t="n"/>
      <c r="AD39" s="185" t="n"/>
      <c r="AE39" s="185" t="n"/>
      <c r="AF39" s="185" t="n"/>
      <c r="AG39" s="185" t="n"/>
      <c r="AH39" s="185" t="n"/>
      <c r="AI39" s="185" t="n"/>
      <c r="AJ39" s="185" t="n"/>
      <c r="AK39" s="185" t="n"/>
      <c r="AL39" s="185" t="n"/>
      <c r="AM39" s="185" t="n"/>
      <c r="AN39" s="185" t="n"/>
      <c r="AO39" s="185" t="n"/>
      <c r="AP39" s="185" t="n"/>
      <c r="AQ39" s="185" t="n"/>
      <c r="AR39" s="185" t="n"/>
      <c r="AS39" s="185" t="n"/>
      <c r="AT39" s="185" t="n"/>
      <c r="AU39" s="185" t="n"/>
      <c r="AV39" s="185" t="n"/>
      <c r="AW39" s="185" t="n"/>
    </row>
    <row r="40">
      <c r="B40" s="1" t="inlineStr">
        <is>
          <t>CAC</t>
        </is>
      </c>
      <c r="C40" s="398">
        <f>SUMIF($H$5:$AW$5,C$5,$H40:$AW40)</f>
        <v/>
      </c>
      <c r="D40" s="398">
        <f>SUMIF($H$5:$AW$5,D$5,$H40:$AW40)</f>
        <v/>
      </c>
      <c r="E40" s="398">
        <f>SUMIF($H$5:$AW$5,E$5,$H40:$AW40)</f>
        <v/>
      </c>
      <c r="F40" s="398">
        <f>SUMIF($H$5:$AW$5,F$5,$H40:$AW40)</f>
        <v/>
      </c>
      <c r="H40" s="399">
        <f>-('Income Statement'!H14+'Income Statement'!H9)/'Revenue Driver'!H45</f>
        <v/>
      </c>
      <c r="I40" s="399">
        <f>-('Income Statement'!I14+'Income Statement'!I9)/'Revenue Driver'!I45</f>
        <v/>
      </c>
      <c r="J40" s="399">
        <f>-('Income Statement'!J14+'Income Statement'!J9)/'Revenue Driver'!J45</f>
        <v/>
      </c>
      <c r="K40" s="399">
        <f>-('Income Statement'!K14+'Income Statement'!K9)/'Revenue Driver'!K45</f>
        <v/>
      </c>
      <c r="L40" s="399">
        <f>-('Income Statement'!L14+'Income Statement'!L9)/'Revenue Driver'!L45</f>
        <v/>
      </c>
      <c r="M40" s="399">
        <f>-('Income Statement'!M14+'Income Statement'!M9)/'Revenue Driver'!M45</f>
        <v/>
      </c>
      <c r="N40" s="399">
        <f>-('Income Statement'!N14+'Income Statement'!N9)/'Revenue Driver'!N45</f>
        <v/>
      </c>
      <c r="O40" s="399">
        <f>-('Income Statement'!O14+'Income Statement'!O9)/'Revenue Driver'!O45</f>
        <v/>
      </c>
      <c r="P40" s="399">
        <f>-('Income Statement'!P14+'Income Statement'!P9)/'Revenue Driver'!P45</f>
        <v/>
      </c>
      <c r="Q40" s="399">
        <f>-('Income Statement'!Q14+'Income Statement'!Q9)/'Revenue Driver'!Q45</f>
        <v/>
      </c>
      <c r="R40" s="399">
        <f>-('Income Statement'!R14+'Income Statement'!R9)/'Revenue Driver'!R45</f>
        <v/>
      </c>
      <c r="S40" s="399">
        <f>-('Income Statement'!S14+'Income Statement'!S9)/'Revenue Driver'!S45</f>
        <v/>
      </c>
      <c r="T40" s="399">
        <f>-('Income Statement'!T14+'Income Statement'!T9)/'Revenue Driver'!T45</f>
        <v/>
      </c>
      <c r="U40" s="399">
        <f>-('Income Statement'!U14+'Income Statement'!U9)/'Revenue Driver'!U45</f>
        <v/>
      </c>
      <c r="V40" s="399">
        <f>-('Income Statement'!V14+'Income Statement'!V9)/'Revenue Driver'!V45</f>
        <v/>
      </c>
      <c r="W40" s="399">
        <f>-('Income Statement'!W14+'Income Statement'!W9)/'Revenue Driver'!W45</f>
        <v/>
      </c>
      <c r="X40" s="399">
        <f>-('Income Statement'!X14+'Income Statement'!X9)/'Revenue Driver'!X45</f>
        <v/>
      </c>
      <c r="Y40" s="399">
        <f>-('Income Statement'!Y14+'Income Statement'!Y9)/'Revenue Driver'!Y45</f>
        <v/>
      </c>
      <c r="Z40" s="399">
        <f>-('Income Statement'!Z14+'Income Statement'!Z9)/'Revenue Driver'!Z45</f>
        <v/>
      </c>
      <c r="AA40" s="399">
        <f>-('Income Statement'!AA14+'Income Statement'!AA9)/'Revenue Driver'!AA45</f>
        <v/>
      </c>
      <c r="AB40" s="399">
        <f>-('Income Statement'!AB14+'Income Statement'!AB9)/'Revenue Driver'!AB45</f>
        <v/>
      </c>
      <c r="AC40" s="399">
        <f>-('Income Statement'!AC14+'Income Statement'!AC9)/'Revenue Driver'!AC45</f>
        <v/>
      </c>
      <c r="AD40" s="399">
        <f>-('Income Statement'!AD14+'Income Statement'!AD9)/'Revenue Driver'!AD45</f>
        <v/>
      </c>
      <c r="AE40" s="399">
        <f>-('Income Statement'!AE14+'Income Statement'!AE9)/'Revenue Driver'!AE45</f>
        <v/>
      </c>
      <c r="AF40" s="399">
        <f>-('Income Statement'!AF14+'Income Statement'!AF9)/'Revenue Driver'!AF45</f>
        <v/>
      </c>
      <c r="AG40" s="399">
        <f>-('Income Statement'!AG14+'Income Statement'!AG9)/'Revenue Driver'!AG45</f>
        <v/>
      </c>
      <c r="AH40" s="399">
        <f>-('Income Statement'!AH14+'Income Statement'!AH9)/'Revenue Driver'!AH45</f>
        <v/>
      </c>
      <c r="AI40" s="399">
        <f>-('Income Statement'!AI14+'Income Statement'!AI9)/'Revenue Driver'!AI45</f>
        <v/>
      </c>
      <c r="AJ40" s="399">
        <f>-('Income Statement'!AJ14+'Income Statement'!AJ9)/'Revenue Driver'!AJ45</f>
        <v/>
      </c>
      <c r="AK40" s="399">
        <f>-('Income Statement'!AK14+'Income Statement'!AK9)/'Revenue Driver'!AK45</f>
        <v/>
      </c>
      <c r="AL40" s="399">
        <f>-('Income Statement'!AL14+'Income Statement'!AL9)/'Revenue Driver'!AL45</f>
        <v/>
      </c>
      <c r="AM40" s="399">
        <f>-('Income Statement'!AM14+'Income Statement'!AM9)/'Revenue Driver'!AM45</f>
        <v/>
      </c>
      <c r="AN40" s="399">
        <f>-('Income Statement'!AN14+'Income Statement'!AN9)/'Revenue Driver'!AN45</f>
        <v/>
      </c>
      <c r="AO40" s="399">
        <f>-('Income Statement'!AO14+'Income Statement'!AO9)/'Revenue Driver'!AO45</f>
        <v/>
      </c>
      <c r="AP40" s="399">
        <f>-('Income Statement'!AP14+'Income Statement'!AP9)/'Revenue Driver'!AP45</f>
        <v/>
      </c>
      <c r="AQ40" s="399">
        <f>-('Income Statement'!AQ14+'Income Statement'!AQ9)/'Revenue Driver'!AQ45</f>
        <v/>
      </c>
      <c r="AR40" s="399">
        <f>-('Income Statement'!AR14+'Income Statement'!AR9)/'Revenue Driver'!AR45</f>
        <v/>
      </c>
      <c r="AS40" s="399">
        <f>-('Income Statement'!AS14+'Income Statement'!AS9)/'Revenue Driver'!AS45</f>
        <v/>
      </c>
      <c r="AT40" s="399">
        <f>-('Income Statement'!AT14+'Income Statement'!AT9)/'Revenue Driver'!AT45</f>
        <v/>
      </c>
      <c r="AU40" s="399">
        <f>-('Income Statement'!AU14+'Income Statement'!AU9)/'Revenue Driver'!AU45</f>
        <v/>
      </c>
      <c r="AV40" s="399">
        <f>-('Income Statement'!AV14+'Income Statement'!AV9)/'Revenue Driver'!AV45</f>
        <v/>
      </c>
      <c r="AW40" s="399">
        <f>-('Income Statement'!AW14+'Income Statement'!AW9)/'Revenue Driver'!AW45</f>
        <v/>
      </c>
    </row>
    <row r="41">
      <c r="B41" s="1" t="inlineStr">
        <is>
          <t>MRR</t>
        </is>
      </c>
      <c r="C41" s="382" t="n"/>
      <c r="D41" s="382" t="n"/>
      <c r="E41" s="382" t="n"/>
      <c r="F41" s="382" t="n"/>
      <c r="G41" s="382" t="n"/>
      <c r="H41" s="382">
        <f>'Revenue Driver'!H19+'Revenue Driver'!H71+'Revenue Driver'!H67</f>
        <v/>
      </c>
      <c r="I41" s="382">
        <f>'Revenue Driver'!I19+'Revenue Driver'!I71+'Revenue Driver'!I67</f>
        <v/>
      </c>
      <c r="J41" s="382">
        <f>'Revenue Driver'!J19+'Revenue Driver'!J71+'Revenue Driver'!J67</f>
        <v/>
      </c>
      <c r="K41" s="382">
        <f>'Revenue Driver'!K19+'Revenue Driver'!K71+'Revenue Driver'!K67</f>
        <v/>
      </c>
      <c r="L41" s="382">
        <f>'Revenue Driver'!L19+'Revenue Driver'!L71+'Revenue Driver'!L67</f>
        <v/>
      </c>
      <c r="M41" s="382">
        <f>'Revenue Driver'!M19+'Revenue Driver'!M71+'Revenue Driver'!M67</f>
        <v/>
      </c>
      <c r="N41" s="382">
        <f>'Revenue Driver'!N19+'Revenue Driver'!N71+'Revenue Driver'!N67</f>
        <v/>
      </c>
      <c r="O41" s="382">
        <f>'Revenue Driver'!O19+'Revenue Driver'!O71+'Revenue Driver'!O67</f>
        <v/>
      </c>
      <c r="P41" s="382">
        <f>'Revenue Driver'!P19+'Revenue Driver'!P71+'Revenue Driver'!P67</f>
        <v/>
      </c>
      <c r="Q41" s="382">
        <f>'Revenue Driver'!Q19+'Revenue Driver'!Q71+'Revenue Driver'!Q67</f>
        <v/>
      </c>
      <c r="R41" s="382">
        <f>'Revenue Driver'!R19+'Revenue Driver'!R71+'Revenue Driver'!R67</f>
        <v/>
      </c>
      <c r="S41" s="382">
        <f>'Revenue Driver'!S19+'Revenue Driver'!S71+'Revenue Driver'!S67</f>
        <v/>
      </c>
      <c r="T41" s="382">
        <f>'Revenue Driver'!T19+'Revenue Driver'!T71+'Revenue Driver'!T67</f>
        <v/>
      </c>
      <c r="U41" s="382">
        <f>'Revenue Driver'!U19+'Revenue Driver'!U71+'Revenue Driver'!U67</f>
        <v/>
      </c>
      <c r="V41" s="382">
        <f>'Revenue Driver'!V19+'Revenue Driver'!V71+'Revenue Driver'!V67</f>
        <v/>
      </c>
      <c r="W41" s="382">
        <f>'Revenue Driver'!W19+'Revenue Driver'!W71+'Revenue Driver'!W67</f>
        <v/>
      </c>
      <c r="X41" s="382">
        <f>'Revenue Driver'!X19+'Revenue Driver'!X71+'Revenue Driver'!X67</f>
        <v/>
      </c>
      <c r="Y41" s="382">
        <f>'Revenue Driver'!Y19+'Revenue Driver'!Y71+'Revenue Driver'!Y67</f>
        <v/>
      </c>
      <c r="Z41" s="382">
        <f>'Revenue Driver'!Z19+'Revenue Driver'!Z71+'Revenue Driver'!Z67</f>
        <v/>
      </c>
      <c r="AA41" s="382">
        <f>'Revenue Driver'!AA19+'Revenue Driver'!AA71+'Revenue Driver'!AA67</f>
        <v/>
      </c>
      <c r="AB41" s="382">
        <f>'Revenue Driver'!AB19+'Revenue Driver'!AB71+'Revenue Driver'!AB67</f>
        <v/>
      </c>
      <c r="AC41" s="382">
        <f>'Revenue Driver'!AC19+'Revenue Driver'!AC71+'Revenue Driver'!AC67</f>
        <v/>
      </c>
      <c r="AD41" s="382">
        <f>'Revenue Driver'!AD19+'Revenue Driver'!AD71+'Revenue Driver'!AD67</f>
        <v/>
      </c>
      <c r="AE41" s="382">
        <f>'Revenue Driver'!AE19+'Revenue Driver'!AE71+'Revenue Driver'!AE67</f>
        <v/>
      </c>
      <c r="AF41" s="382">
        <f>'Revenue Driver'!AF19+'Revenue Driver'!AF71+'Revenue Driver'!AF67</f>
        <v/>
      </c>
      <c r="AG41" s="382">
        <f>'Revenue Driver'!AG19+'Revenue Driver'!AG71+'Revenue Driver'!AG67</f>
        <v/>
      </c>
      <c r="AH41" s="382">
        <f>'Revenue Driver'!AH19+'Revenue Driver'!AH71+'Revenue Driver'!AH67</f>
        <v/>
      </c>
      <c r="AI41" s="382">
        <f>'Revenue Driver'!AI19+'Revenue Driver'!AI71+'Revenue Driver'!AI67</f>
        <v/>
      </c>
      <c r="AJ41" s="382">
        <f>'Revenue Driver'!AJ19+'Revenue Driver'!AJ71+'Revenue Driver'!AJ67</f>
        <v/>
      </c>
      <c r="AK41" s="382">
        <f>'Revenue Driver'!AK19+'Revenue Driver'!AK71+'Revenue Driver'!AK67</f>
        <v/>
      </c>
      <c r="AL41" s="382">
        <f>'Revenue Driver'!AL19+'Revenue Driver'!AL71+'Revenue Driver'!AL67</f>
        <v/>
      </c>
      <c r="AM41" s="382">
        <f>'Revenue Driver'!AM19+'Revenue Driver'!AM71+'Revenue Driver'!AM67</f>
        <v/>
      </c>
      <c r="AN41" s="382">
        <f>'Revenue Driver'!AN19+'Revenue Driver'!AN71+'Revenue Driver'!AN67</f>
        <v/>
      </c>
      <c r="AO41" s="382">
        <f>'Revenue Driver'!AO19+'Revenue Driver'!AO71+'Revenue Driver'!AO67</f>
        <v/>
      </c>
      <c r="AP41" s="382">
        <f>'Revenue Driver'!AP19+'Revenue Driver'!AP71+'Revenue Driver'!AP67</f>
        <v/>
      </c>
      <c r="AQ41" s="382">
        <f>'Revenue Driver'!AQ19+'Revenue Driver'!AQ71+'Revenue Driver'!AQ67</f>
        <v/>
      </c>
      <c r="AR41" s="382">
        <f>'Revenue Driver'!AR19+'Revenue Driver'!AR71+'Revenue Driver'!AR67</f>
        <v/>
      </c>
      <c r="AS41" s="382">
        <f>'Revenue Driver'!AS19+'Revenue Driver'!AS71+'Revenue Driver'!AS67</f>
        <v/>
      </c>
      <c r="AT41" s="382">
        <f>'Revenue Driver'!AT19+'Revenue Driver'!AT71+'Revenue Driver'!AT67</f>
        <v/>
      </c>
      <c r="AU41" s="382">
        <f>'Revenue Driver'!AU19+'Revenue Driver'!AU71+'Revenue Driver'!AU67</f>
        <v/>
      </c>
      <c r="AV41" s="382">
        <f>'Revenue Driver'!AV19+'Revenue Driver'!AV71+'Revenue Driver'!AV67</f>
        <v/>
      </c>
      <c r="AW41" s="382">
        <f>'Revenue Driver'!AW19+'Revenue Driver'!AW71+'Revenue Driver'!AW67</f>
        <v/>
      </c>
    </row>
    <row r="42">
      <c r="B42" s="1" t="inlineStr">
        <is>
          <t>ARR</t>
        </is>
      </c>
      <c r="C42" s="327">
        <f>IFERROR(INDEX($H42:$AW42,MATCH(DATE(C$5,12,31),$H$6:$AW$6,0)),0)</f>
        <v/>
      </c>
      <c r="D42" s="327">
        <f>IFERROR(INDEX($H42:$AW42,MATCH(DATE(D$5,12,31),$H$6:$AW$6,0)),0)</f>
        <v/>
      </c>
      <c r="E42" s="327">
        <f>IFERROR(INDEX($H42:$AW42,MATCH(DATE(E$5,12,31),$H$6:$AW$6,0)),0)</f>
        <v/>
      </c>
      <c r="F42" s="327">
        <f>IFERROR(INDEX($H42:$AW42,MATCH(DATE(F$5,12,31),$H$6:$AW$6,0)),0)</f>
        <v/>
      </c>
      <c r="G42" s="382" t="n"/>
      <c r="H42" s="382">
        <f>H41*12</f>
        <v/>
      </c>
      <c r="I42" s="382">
        <f>I41*12</f>
        <v/>
      </c>
      <c r="J42" s="382">
        <f>J41*12</f>
        <v/>
      </c>
      <c r="K42" s="382">
        <f>K41*12</f>
        <v/>
      </c>
      <c r="L42" s="382">
        <f>L41*12</f>
        <v/>
      </c>
      <c r="M42" s="382">
        <f>M41*12</f>
        <v/>
      </c>
      <c r="N42" s="382">
        <f>N41*12</f>
        <v/>
      </c>
      <c r="O42" s="382">
        <f>O41*12</f>
        <v/>
      </c>
      <c r="P42" s="382">
        <f>P41*12</f>
        <v/>
      </c>
      <c r="Q42" s="382">
        <f>Q41*12</f>
        <v/>
      </c>
      <c r="R42" s="382">
        <f>R41*12</f>
        <v/>
      </c>
      <c r="S42" s="382">
        <f>S41*12</f>
        <v/>
      </c>
      <c r="T42" s="382">
        <f>T41*12</f>
        <v/>
      </c>
      <c r="U42" s="382">
        <f>U41*12</f>
        <v/>
      </c>
      <c r="V42" s="382">
        <f>V41*12</f>
        <v/>
      </c>
      <c r="W42" s="382">
        <f>W41*12</f>
        <v/>
      </c>
      <c r="X42" s="382">
        <f>X41*12</f>
        <v/>
      </c>
      <c r="Y42" s="382">
        <f>Y41*12</f>
        <v/>
      </c>
      <c r="Z42" s="382">
        <f>Z41*12</f>
        <v/>
      </c>
      <c r="AA42" s="382">
        <f>AA41*12</f>
        <v/>
      </c>
      <c r="AB42" s="382">
        <f>AB41*12</f>
        <v/>
      </c>
      <c r="AC42" s="382">
        <f>AC41*12</f>
        <v/>
      </c>
      <c r="AD42" s="382">
        <f>AD41*12</f>
        <v/>
      </c>
      <c r="AE42" s="382">
        <f>AE41*12</f>
        <v/>
      </c>
      <c r="AF42" s="382">
        <f>AF41*12</f>
        <v/>
      </c>
      <c r="AG42" s="382">
        <f>AG41*12</f>
        <v/>
      </c>
      <c r="AH42" s="382">
        <f>AH41*12</f>
        <v/>
      </c>
      <c r="AI42" s="382">
        <f>AI41*12</f>
        <v/>
      </c>
      <c r="AJ42" s="382">
        <f>AJ41*12</f>
        <v/>
      </c>
      <c r="AK42" s="382">
        <f>AK41*12</f>
        <v/>
      </c>
      <c r="AL42" s="382">
        <f>AL41*12</f>
        <v/>
      </c>
      <c r="AM42" s="382">
        <f>AM41*12</f>
        <v/>
      </c>
      <c r="AN42" s="382">
        <f>AN41*12</f>
        <v/>
      </c>
      <c r="AO42" s="382">
        <f>AO41*12</f>
        <v/>
      </c>
      <c r="AP42" s="382">
        <f>AP41*12</f>
        <v/>
      </c>
      <c r="AQ42" s="382">
        <f>AQ41*12</f>
        <v/>
      </c>
      <c r="AR42" s="382">
        <f>AR41*12</f>
        <v/>
      </c>
      <c r="AS42" s="382">
        <f>AS41*12</f>
        <v/>
      </c>
      <c r="AT42" s="382">
        <f>AT41*12</f>
        <v/>
      </c>
      <c r="AU42" s="382">
        <f>AU41*12</f>
        <v/>
      </c>
      <c r="AV42" s="382">
        <f>AV41*12</f>
        <v/>
      </c>
      <c r="AW42" s="382">
        <f>AW41*12</f>
        <v/>
      </c>
    </row>
    <row r="43">
      <c r="B43" s="1" t="inlineStr">
        <is>
          <t>Burn Rate</t>
        </is>
      </c>
      <c r="C43" s="399">
        <f>-('Income Statement'!C30+'Income Statement'!C9)/'Revenue Driver'!C45</f>
        <v/>
      </c>
      <c r="D43" s="399">
        <f>-('Income Statement'!D30+'Income Statement'!D9)/'Revenue Driver'!D45</f>
        <v/>
      </c>
      <c r="E43" s="399">
        <f>-('Income Statement'!E30+'Income Statement'!E9)/'Revenue Driver'!E45</f>
        <v/>
      </c>
      <c r="F43" s="399">
        <f>-('Income Statement'!F30+'Income Statement'!F9)/'Revenue Driver'!F45</f>
        <v/>
      </c>
      <c r="G43" s="399" t="n"/>
      <c r="H43" s="399">
        <f>-('Income Statement'!H30+'Income Statement'!H9)/'Revenue Driver'!H45</f>
        <v/>
      </c>
      <c r="I43" s="399">
        <f>-('Income Statement'!I30+'Income Statement'!I9)/'Revenue Driver'!I45</f>
        <v/>
      </c>
      <c r="J43" s="399">
        <f>-('Income Statement'!J30+'Income Statement'!J9)/'Revenue Driver'!J45</f>
        <v/>
      </c>
      <c r="K43" s="399">
        <f>-('Income Statement'!K30+'Income Statement'!K9)/'Revenue Driver'!K45</f>
        <v/>
      </c>
      <c r="L43" s="399">
        <f>-('Income Statement'!L30+'Income Statement'!L9)/'Revenue Driver'!L45</f>
        <v/>
      </c>
      <c r="M43" s="399">
        <f>-('Income Statement'!M30+'Income Statement'!M9)/'Revenue Driver'!M45</f>
        <v/>
      </c>
      <c r="N43" s="399">
        <f>-('Income Statement'!N30+'Income Statement'!N9)/'Revenue Driver'!N45</f>
        <v/>
      </c>
      <c r="O43" s="399">
        <f>-('Income Statement'!O30+'Income Statement'!O9)/'Revenue Driver'!O45</f>
        <v/>
      </c>
      <c r="P43" s="399">
        <f>-('Income Statement'!P30+'Income Statement'!P9)/'Revenue Driver'!P45</f>
        <v/>
      </c>
      <c r="Q43" s="399">
        <f>-('Income Statement'!Q30+'Income Statement'!Q9)/'Revenue Driver'!Q45</f>
        <v/>
      </c>
      <c r="R43" s="399">
        <f>-('Income Statement'!R30+'Income Statement'!R9)/'Revenue Driver'!R45</f>
        <v/>
      </c>
      <c r="S43" s="399">
        <f>-('Income Statement'!S30+'Income Statement'!S9)/'Revenue Driver'!S45</f>
        <v/>
      </c>
      <c r="T43" s="399">
        <f>-('Income Statement'!T30+'Income Statement'!T9)/'Revenue Driver'!T45</f>
        <v/>
      </c>
      <c r="U43" s="399">
        <f>-('Income Statement'!U30+'Income Statement'!U9)/'Revenue Driver'!U45</f>
        <v/>
      </c>
      <c r="V43" s="399">
        <f>-('Income Statement'!V30+'Income Statement'!V9)/'Revenue Driver'!V45</f>
        <v/>
      </c>
      <c r="W43" s="399">
        <f>-('Income Statement'!W30+'Income Statement'!W9)/'Revenue Driver'!W45</f>
        <v/>
      </c>
      <c r="X43" s="399">
        <f>-('Income Statement'!X30+'Income Statement'!X9)/'Revenue Driver'!X45</f>
        <v/>
      </c>
      <c r="Y43" s="399">
        <f>-('Income Statement'!Y30+'Income Statement'!Y9)/'Revenue Driver'!Y45</f>
        <v/>
      </c>
      <c r="Z43" s="399">
        <f>-('Income Statement'!Z30+'Income Statement'!Z9)/'Revenue Driver'!Z45</f>
        <v/>
      </c>
      <c r="AA43" s="399">
        <f>-('Income Statement'!AA30+'Income Statement'!AA9)/'Revenue Driver'!AA45</f>
        <v/>
      </c>
      <c r="AB43" s="399">
        <f>-('Income Statement'!AB30+'Income Statement'!AB9)/'Revenue Driver'!AB45</f>
        <v/>
      </c>
      <c r="AC43" s="399">
        <f>-('Income Statement'!AC30+'Income Statement'!AC9)/'Revenue Driver'!AC45</f>
        <v/>
      </c>
      <c r="AD43" s="399">
        <f>-('Income Statement'!AD30+'Income Statement'!AD9)/'Revenue Driver'!AD45</f>
        <v/>
      </c>
      <c r="AE43" s="399">
        <f>-('Income Statement'!AE30+'Income Statement'!AE9)/'Revenue Driver'!AE45</f>
        <v/>
      </c>
      <c r="AF43" s="399">
        <f>-('Income Statement'!AF30+'Income Statement'!AF9)/'Revenue Driver'!AF45</f>
        <v/>
      </c>
      <c r="AG43" s="399">
        <f>-('Income Statement'!AG30+'Income Statement'!AG9)/'Revenue Driver'!AG45</f>
        <v/>
      </c>
      <c r="AH43" s="399">
        <f>-('Income Statement'!AH30+'Income Statement'!AH9)/'Revenue Driver'!AH45</f>
        <v/>
      </c>
      <c r="AI43" s="399">
        <f>-('Income Statement'!AI30+'Income Statement'!AI9)/'Revenue Driver'!AI45</f>
        <v/>
      </c>
      <c r="AJ43" s="399">
        <f>-('Income Statement'!AJ30+'Income Statement'!AJ9)/'Revenue Driver'!AJ45</f>
        <v/>
      </c>
      <c r="AK43" s="399">
        <f>-('Income Statement'!AK30+'Income Statement'!AK9)/'Revenue Driver'!AK45</f>
        <v/>
      </c>
      <c r="AL43" s="399">
        <f>-('Income Statement'!AL30+'Income Statement'!AL9)/'Revenue Driver'!AL45</f>
        <v/>
      </c>
      <c r="AM43" s="399">
        <f>-('Income Statement'!AM30+'Income Statement'!AM9)/'Revenue Driver'!AM45</f>
        <v/>
      </c>
      <c r="AN43" s="399">
        <f>-('Income Statement'!AN30+'Income Statement'!AN9)/'Revenue Driver'!AN45</f>
        <v/>
      </c>
      <c r="AO43" s="399">
        <f>-('Income Statement'!AO30+'Income Statement'!AO9)/'Revenue Driver'!AO45</f>
        <v/>
      </c>
      <c r="AP43" s="399">
        <f>-('Income Statement'!AP30+'Income Statement'!AP9)/'Revenue Driver'!AP45</f>
        <v/>
      </c>
      <c r="AQ43" s="399">
        <f>-('Income Statement'!AQ30+'Income Statement'!AQ9)/'Revenue Driver'!AQ45</f>
        <v/>
      </c>
      <c r="AR43" s="399">
        <f>-('Income Statement'!AR30+'Income Statement'!AR9)/'Revenue Driver'!AR45</f>
        <v/>
      </c>
      <c r="AS43" s="399">
        <f>-('Income Statement'!AS30+'Income Statement'!AS9)/'Revenue Driver'!AS45</f>
        <v/>
      </c>
      <c r="AT43" s="399">
        <f>-('Income Statement'!AT30+'Income Statement'!AT9)/'Revenue Driver'!AT45</f>
        <v/>
      </c>
      <c r="AU43" s="399">
        <f>-('Income Statement'!AU30+'Income Statement'!AU9)/'Revenue Driver'!AU45</f>
        <v/>
      </c>
      <c r="AV43" s="399">
        <f>-('Income Statement'!AV30+'Income Statement'!AV9)/'Revenue Driver'!AV45</f>
        <v/>
      </c>
      <c r="AW43" s="399">
        <f>-('Income Statement'!AW30+'Income Statement'!AW9)/'Revenue Driver'!AW45</f>
        <v/>
      </c>
    </row>
    <row r="45">
      <c r="B45" s="190" t="inlineStr">
        <is>
          <t>LTV Schedule</t>
        </is>
      </c>
    </row>
    <row r="46">
      <c r="B46" s="1" t="inlineStr">
        <is>
          <t>Revenue per Loan</t>
        </is>
      </c>
      <c r="C46" s="253">
        <f>SUM('Revenue Driver'!C67:C71)/'Revenue Driver'!C47</f>
        <v/>
      </c>
      <c r="D46" s="253">
        <f>SUM('Revenue Driver'!D67:D71)/'Revenue Driver'!D47</f>
        <v/>
      </c>
      <c r="E46" s="253">
        <f>SUM('Revenue Driver'!E67:E71)/'Revenue Driver'!E47</f>
        <v/>
      </c>
      <c r="F46" s="253">
        <f>SUM('Revenue Driver'!F67:F71)/'Revenue Driver'!F47</f>
        <v/>
      </c>
      <c r="G46" s="382" t="n"/>
      <c r="H46" s="382" t="n"/>
      <c r="I46" s="382" t="n"/>
      <c r="J46" s="382" t="n"/>
      <c r="K46" s="382" t="n"/>
      <c r="L46" s="382" t="n"/>
      <c r="M46" s="382" t="n"/>
      <c r="N46" s="382" t="n"/>
      <c r="O46" s="382" t="n"/>
      <c r="P46" s="382" t="n"/>
      <c r="Q46" s="382" t="n"/>
      <c r="R46" s="382" t="n"/>
      <c r="S46" s="382" t="n"/>
      <c r="T46" s="382" t="n"/>
      <c r="U46" s="382" t="n"/>
      <c r="V46" s="382" t="n"/>
      <c r="W46" s="382" t="n"/>
      <c r="X46" s="382" t="n"/>
      <c r="Y46" s="382" t="n"/>
      <c r="Z46" s="382" t="n"/>
      <c r="AA46" s="382" t="n"/>
      <c r="AB46" s="382" t="n"/>
      <c r="AC46" s="382" t="n"/>
      <c r="AD46" s="382" t="n"/>
      <c r="AE46" s="382" t="n"/>
      <c r="AF46" s="382" t="n"/>
      <c r="AG46" s="382" t="n"/>
      <c r="AH46" s="382" t="n"/>
      <c r="AI46" s="382" t="n"/>
      <c r="AJ46" s="382" t="n"/>
      <c r="AK46" s="382" t="n"/>
      <c r="AL46" s="382" t="n"/>
      <c r="AM46" s="382" t="n"/>
      <c r="AN46" s="382" t="n"/>
      <c r="AO46" s="382" t="n"/>
      <c r="AP46" s="382" t="n"/>
      <c r="AQ46" s="382" t="n"/>
      <c r="AR46" s="382" t="n"/>
      <c r="AS46" s="382" t="n"/>
      <c r="AT46" s="382" t="n"/>
      <c r="AU46" s="382" t="n"/>
      <c r="AV46" s="382" t="n"/>
      <c r="AW46" s="382" t="n"/>
    </row>
    <row r="47">
      <c r="B47" s="1" t="inlineStr">
        <is>
          <t>Tenure</t>
        </is>
      </c>
      <c r="C47" s="192" t="n">
        <v>3</v>
      </c>
      <c r="D47" s="192" t="n">
        <v>3</v>
      </c>
      <c r="E47" s="192" t="n">
        <v>3</v>
      </c>
      <c r="F47" s="192" t="n">
        <v>3</v>
      </c>
    </row>
    <row r="48">
      <c r="B48" s="1" t="inlineStr">
        <is>
          <t>Number of Times the Customer Avail Loan</t>
        </is>
      </c>
      <c r="C48" s="192" t="n">
        <v>3</v>
      </c>
      <c r="D48" s="192" t="n">
        <v>3</v>
      </c>
      <c r="E48" s="192" t="n">
        <v>3</v>
      </c>
      <c r="F48" s="192" t="n">
        <v>3</v>
      </c>
    </row>
    <row r="49">
      <c r="B49" s="1" t="inlineStr">
        <is>
          <t>LTV</t>
        </is>
      </c>
      <c r="C49" s="19">
        <f>C46*C47*C48</f>
        <v/>
      </c>
      <c r="D49" s="19">
        <f>D46*D47*D48</f>
        <v/>
      </c>
      <c r="E49" s="19">
        <f>E46*E47*E48</f>
        <v/>
      </c>
      <c r="F49" s="19">
        <f>F46*F47*F48</f>
        <v/>
      </c>
    </row>
  </sheetData>
  <mergeCells count="6">
    <mergeCell ref="G5:G6"/>
    <mergeCell ref="E5:E6"/>
    <mergeCell ref="F5:F6"/>
    <mergeCell ref="D5:D6"/>
    <mergeCell ref="B5:B6"/>
    <mergeCell ref="C5:C6"/>
  </mergeCells>
  <pageMargins left="0.7" right="0.7" top="0.75" bottom="0.75" header="0.3" footer="0.3"/>
  <pageSetup orientation="portrait" scale="14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1" sqref="A1"/>
    </sheetView>
  </sheetViews>
  <sheetFormatPr baseColWidth="10" defaultColWidth="12.5" defaultRowHeight="14"/>
  <cols>
    <col width="4.83203125" customWidth="1" style="196" min="1" max="1"/>
    <col width="30.5" customWidth="1" style="196" min="2" max="2"/>
    <col width="16" bestFit="1" customWidth="1" style="196" min="3" max="3"/>
    <col width="12.5" customWidth="1" style="196" min="4" max="16384"/>
  </cols>
  <sheetData>
    <row r="2" ht="13" customFormat="1" customHeight="1" s="1">
      <c r="B2" s="2">
        <f>DCF!B2</f>
        <v/>
      </c>
    </row>
    <row r="3" ht="13" customFormat="1" customHeight="1" s="1">
      <c r="B3" s="2" t="inlineStr">
        <is>
          <t>Assumptions</t>
        </is>
      </c>
    </row>
    <row r="4" ht="13" customFormat="1" customHeight="1" s="1"/>
    <row r="5" ht="14.5" customFormat="1" customHeight="1" s="193">
      <c r="B5" s="307" t="inlineStr">
        <is>
          <t>Particulars</t>
        </is>
      </c>
      <c r="C5" s="307" t="n"/>
    </row>
    <row r="7">
      <c r="B7" s="194" t="inlineStr">
        <is>
          <t>Tax Rate (%)</t>
        </is>
      </c>
      <c r="C7" s="195" t="n">
        <v>0.15</v>
      </c>
    </row>
    <row r="8">
      <c r="B8" s="197" t="inlineStr">
        <is>
          <t>Annual Interest (%)</t>
        </is>
      </c>
      <c r="C8" s="195" t="n">
        <v>0.1</v>
      </c>
    </row>
    <row r="9">
      <c r="B9" s="197" t="inlineStr">
        <is>
          <t>Monthly Interest (%)</t>
        </is>
      </c>
      <c r="C9" s="198">
        <f>C8/12</f>
        <v/>
      </c>
    </row>
    <row r="10">
      <c r="B10" s="197" t="inlineStr">
        <is>
          <t>Number of Installments</t>
        </is>
      </c>
      <c r="C10" s="199" t="n">
        <v>30</v>
      </c>
    </row>
    <row r="11">
      <c r="B11" s="194" t="inlineStr">
        <is>
          <t>Receivable Days</t>
        </is>
      </c>
      <c r="C11" s="400" t="n">
        <v>35</v>
      </c>
    </row>
    <row r="12">
      <c r="B12" s="194" t="inlineStr">
        <is>
          <t>Payable Days</t>
        </is>
      </c>
      <c r="C12" s="400" t="n">
        <v>30</v>
      </c>
    </row>
    <row r="13">
      <c r="B13" s="194" t="inlineStr">
        <is>
          <t>Other Current Assets Days</t>
        </is>
      </c>
      <c r="C13" s="400" t="n">
        <v>35</v>
      </c>
    </row>
    <row r="14">
      <c r="B14" s="194" t="inlineStr">
        <is>
          <t>Other Current Liabilities Days</t>
        </is>
      </c>
      <c r="C14" s="400" t="n">
        <v>30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274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D1" sqref="D1"/>
      <selection pane="bottomLeft" activeCell="A4" sqref="A4"/>
      <selection pane="bottomRight" activeCell="A1" sqref="A1"/>
    </sheetView>
  </sheetViews>
  <sheetFormatPr baseColWidth="10" defaultColWidth="12.5" defaultRowHeight="13" outlineLevelRow="1"/>
  <cols>
    <col width="9.1640625" bestFit="1" customWidth="1" style="1" min="1" max="1"/>
    <col width="48.5" customWidth="1" style="1" min="2" max="2"/>
    <col width="12.5" customWidth="1" style="1" min="3" max="4"/>
    <col width="13.1640625" bestFit="1" customWidth="1" style="1" min="5" max="6"/>
    <col width="6.5" customWidth="1" style="112" min="7" max="7"/>
    <col width="12.5" customWidth="1" style="1" min="8" max="16384"/>
  </cols>
  <sheetData>
    <row r="1" ht="14" customHeight="1">
      <c r="C1" s="196" t="n"/>
    </row>
    <row r="2">
      <c r="B2" s="2">
        <f>DCF!B2</f>
        <v/>
      </c>
    </row>
    <row r="3">
      <c r="B3" s="2" t="inlineStr">
        <is>
          <t>Revenue Driver</t>
        </is>
      </c>
    </row>
    <row r="4">
      <c r="A4" s="2" t="inlineStr">
        <is>
          <t>Start date</t>
        </is>
      </c>
      <c r="B4" s="201" t="n">
        <v>45497</v>
      </c>
    </row>
    <row r="5">
      <c r="B5" s="307" t="inlineStr">
        <is>
          <t>Particulars (Figures in USD)</t>
        </is>
      </c>
      <c r="C5" s="295">
        <f>YEAR(B4)</f>
        <v/>
      </c>
      <c r="D5" s="295">
        <f>C5+1</f>
        <v/>
      </c>
      <c r="E5" s="295">
        <f>D5+1</f>
        <v/>
      </c>
      <c r="F5" s="295">
        <f>E5+1</f>
        <v/>
      </c>
      <c r="G5" s="202" t="n"/>
      <c r="H5" s="203">
        <f>YEAR(H6)</f>
        <v/>
      </c>
      <c r="I5" s="203">
        <f>YEAR(I6)</f>
        <v/>
      </c>
      <c r="J5" s="203">
        <f>YEAR(J6)</f>
        <v/>
      </c>
      <c r="K5" s="203">
        <f>YEAR(K6)</f>
        <v/>
      </c>
      <c r="L5" s="203">
        <f>YEAR(L6)</f>
        <v/>
      </c>
      <c r="M5" s="203">
        <f>YEAR(M6)</f>
        <v/>
      </c>
      <c r="N5" s="203">
        <f>YEAR(N6)</f>
        <v/>
      </c>
      <c r="O5" s="203">
        <f>YEAR(O6)</f>
        <v/>
      </c>
      <c r="P5" s="203">
        <f>YEAR(P6)</f>
        <v/>
      </c>
      <c r="Q5" s="203">
        <f>YEAR(Q6)</f>
        <v/>
      </c>
      <c r="R5" s="203">
        <f>YEAR(R6)</f>
        <v/>
      </c>
      <c r="S5" s="203">
        <f>YEAR(S6)</f>
        <v/>
      </c>
      <c r="T5" s="203">
        <f>YEAR(T6)</f>
        <v/>
      </c>
      <c r="U5" s="203">
        <f>YEAR(U6)</f>
        <v/>
      </c>
      <c r="V5" s="203">
        <f>YEAR(V6)</f>
        <v/>
      </c>
      <c r="W5" s="203">
        <f>YEAR(W6)</f>
        <v/>
      </c>
      <c r="X5" s="203">
        <f>YEAR(X6)</f>
        <v/>
      </c>
      <c r="Y5" s="203">
        <f>YEAR(Y6)</f>
        <v/>
      </c>
      <c r="Z5" s="203">
        <f>YEAR(Z6)</f>
        <v/>
      </c>
      <c r="AA5" s="203">
        <f>YEAR(AA6)</f>
        <v/>
      </c>
      <c r="AB5" s="203">
        <f>YEAR(AB6)</f>
        <v/>
      </c>
      <c r="AC5" s="203">
        <f>YEAR(AC6)</f>
        <v/>
      </c>
      <c r="AD5" s="203">
        <f>YEAR(AD6)</f>
        <v/>
      </c>
      <c r="AE5" s="203">
        <f>YEAR(AE6)</f>
        <v/>
      </c>
      <c r="AF5" s="203">
        <f>YEAR(AF6)</f>
        <v/>
      </c>
      <c r="AG5" s="203">
        <f>YEAR(AG6)</f>
        <v/>
      </c>
      <c r="AH5" s="203">
        <f>YEAR(AH6)</f>
        <v/>
      </c>
      <c r="AI5" s="203">
        <f>YEAR(AI6)</f>
        <v/>
      </c>
      <c r="AJ5" s="203">
        <f>YEAR(AJ6)</f>
        <v/>
      </c>
      <c r="AK5" s="203">
        <f>YEAR(AK6)</f>
        <v/>
      </c>
      <c r="AL5" s="203">
        <f>YEAR(AL6)</f>
        <v/>
      </c>
      <c r="AM5" s="203">
        <f>YEAR(AM6)</f>
        <v/>
      </c>
      <c r="AN5" s="203">
        <f>YEAR(AN6)</f>
        <v/>
      </c>
      <c r="AO5" s="203">
        <f>YEAR(AO6)</f>
        <v/>
      </c>
      <c r="AP5" s="203">
        <f>YEAR(AP6)</f>
        <v/>
      </c>
      <c r="AQ5" s="203">
        <f>YEAR(AQ6)</f>
        <v/>
      </c>
      <c r="AR5" s="203">
        <f>YEAR(AR6)</f>
        <v/>
      </c>
      <c r="AS5" s="203">
        <f>YEAR(AS6)</f>
        <v/>
      </c>
      <c r="AT5" s="203">
        <f>YEAR(AT6)</f>
        <v/>
      </c>
      <c r="AU5" s="203">
        <f>YEAR(AU6)</f>
        <v/>
      </c>
      <c r="AV5" s="203">
        <f>YEAR(AV6)</f>
        <v/>
      </c>
      <c r="AW5" s="203">
        <f>YEAR(AW6)</f>
        <v/>
      </c>
    </row>
    <row r="6">
      <c r="G6" s="204" t="n"/>
      <c r="H6" s="8">
        <f>B4</f>
        <v/>
      </c>
      <c r="I6" s="8">
        <f>EOMONTH(H6,1)</f>
        <v/>
      </c>
      <c r="J6" s="8">
        <f>EOMONTH(I6,1)</f>
        <v/>
      </c>
      <c r="K6" s="8">
        <f>EOMONTH(J6,1)</f>
        <v/>
      </c>
      <c r="L6" s="8">
        <f>EOMONTH(K6,1)</f>
        <v/>
      </c>
      <c r="M6" s="8">
        <f>EOMONTH(L6,1)</f>
        <v/>
      </c>
      <c r="N6" s="8">
        <f>EOMONTH(M6,1)</f>
        <v/>
      </c>
      <c r="O6" s="8">
        <f>EOMONTH(N6,1)</f>
        <v/>
      </c>
      <c r="P6" s="8">
        <f>EOMONTH(O6,1)</f>
        <v/>
      </c>
      <c r="Q6" s="8">
        <f>EOMONTH(P6,1)</f>
        <v/>
      </c>
      <c r="R6" s="8">
        <f>EOMONTH(Q6,1)</f>
        <v/>
      </c>
      <c r="S6" s="8">
        <f>EOMONTH(R6,1)</f>
        <v/>
      </c>
      <c r="T6" s="8">
        <f>EOMONTH(S6,1)</f>
        <v/>
      </c>
      <c r="U6" s="8">
        <f>EOMONTH(T6,1)</f>
        <v/>
      </c>
      <c r="V6" s="8">
        <f>EOMONTH(U6,1)</f>
        <v/>
      </c>
      <c r="W6" s="8">
        <f>EOMONTH(V6,1)</f>
        <v/>
      </c>
      <c r="X6" s="8">
        <f>EOMONTH(W6,1)</f>
        <v/>
      </c>
      <c r="Y6" s="8">
        <f>EOMONTH(X6,1)</f>
        <v/>
      </c>
      <c r="Z6" s="8">
        <f>EOMONTH(Y6,1)</f>
        <v/>
      </c>
      <c r="AA6" s="8">
        <f>EOMONTH(Z6,1)</f>
        <v/>
      </c>
      <c r="AB6" s="8">
        <f>EOMONTH(AA6,1)</f>
        <v/>
      </c>
      <c r="AC6" s="8">
        <f>EOMONTH(AB6,1)</f>
        <v/>
      </c>
      <c r="AD6" s="8">
        <f>EOMONTH(AC6,1)</f>
        <v/>
      </c>
      <c r="AE6" s="8">
        <f>EOMONTH(AD6,1)</f>
        <v/>
      </c>
      <c r="AF6" s="8">
        <f>EOMONTH(AE6,1)</f>
        <v/>
      </c>
      <c r="AG6" s="8">
        <f>EOMONTH(AF6,1)</f>
        <v/>
      </c>
      <c r="AH6" s="8">
        <f>EOMONTH(AG6,1)</f>
        <v/>
      </c>
      <c r="AI6" s="8">
        <f>EOMONTH(AH6,1)</f>
        <v/>
      </c>
      <c r="AJ6" s="8">
        <f>EOMONTH(AI6,1)</f>
        <v/>
      </c>
      <c r="AK6" s="8">
        <f>EOMONTH(AJ6,1)</f>
        <v/>
      </c>
      <c r="AL6" s="8">
        <f>EOMONTH(AK6,1)</f>
        <v/>
      </c>
      <c r="AM6" s="8">
        <f>EOMONTH(AL6,1)</f>
        <v/>
      </c>
      <c r="AN6" s="8">
        <f>EOMONTH(AM6,1)</f>
        <v/>
      </c>
      <c r="AO6" s="8">
        <f>EOMONTH(AN6,1)</f>
        <v/>
      </c>
      <c r="AP6" s="8">
        <f>EOMONTH(AO6,1)</f>
        <v/>
      </c>
      <c r="AQ6" s="8">
        <f>EOMONTH(AP6,1)</f>
        <v/>
      </c>
      <c r="AR6" s="8">
        <f>EOMONTH(AQ6,1)</f>
        <v/>
      </c>
      <c r="AS6" s="8">
        <f>EOMONTH(AR6,1)</f>
        <v/>
      </c>
      <c r="AT6" s="8">
        <f>EOMONTH(AS6,1)</f>
        <v/>
      </c>
      <c r="AU6" s="8">
        <f>EOMONTH(AT6,1)</f>
        <v/>
      </c>
      <c r="AV6" s="8">
        <f>EOMONTH(AU6,1)</f>
        <v/>
      </c>
      <c r="AW6" s="8">
        <f>EOMONTH(AV6,1)</f>
        <v/>
      </c>
    </row>
    <row r="7">
      <c r="B7" s="205" t="n"/>
      <c r="C7" s="150" t="n"/>
      <c r="D7" s="150" t="n"/>
      <c r="E7" s="150" t="n"/>
      <c r="F7" s="150" t="n"/>
      <c r="G7" s="204" t="n"/>
      <c r="H7" s="206" t="n"/>
      <c r="I7" s="206" t="n"/>
      <c r="J7" s="206" t="n"/>
      <c r="K7" s="206" t="n"/>
      <c r="L7" s="206" t="n"/>
      <c r="M7" s="206" t="n"/>
      <c r="N7" s="206" t="n"/>
      <c r="O7" s="206" t="n"/>
      <c r="P7" s="206" t="n"/>
      <c r="Q7" s="206" t="n"/>
      <c r="R7" s="206" t="n"/>
      <c r="S7" s="206" t="n"/>
      <c r="T7" s="206" t="n"/>
      <c r="U7" s="206" t="n"/>
      <c r="V7" s="206" t="n"/>
      <c r="W7" s="206" t="n"/>
      <c r="X7" s="206" t="n"/>
      <c r="Y7" s="206" t="n"/>
      <c r="Z7" s="206" t="n"/>
      <c r="AA7" s="206" t="n"/>
      <c r="AB7" s="206" t="n"/>
      <c r="AC7" s="206" t="n"/>
      <c r="AD7" s="206" t="n"/>
      <c r="AE7" s="206" t="n"/>
      <c r="AF7" s="206" t="n"/>
      <c r="AG7" s="206" t="n"/>
      <c r="AH7" s="206" t="n"/>
      <c r="AI7" s="206" t="n"/>
      <c r="AJ7" s="206" t="n"/>
      <c r="AK7" s="206" t="n"/>
      <c r="AL7" s="206" t="n"/>
      <c r="AM7" s="206" t="n"/>
      <c r="AN7" s="206" t="n"/>
      <c r="AO7" s="206" t="n"/>
      <c r="AP7" s="206" t="n"/>
      <c r="AQ7" s="206" t="n"/>
      <c r="AR7" s="206" t="n"/>
      <c r="AS7" s="206" t="n"/>
      <c r="AT7" s="206" t="n"/>
      <c r="AU7" s="206" t="n"/>
      <c r="AV7" s="206" t="n"/>
      <c r="AW7" s="206" t="n"/>
    </row>
    <row r="8">
      <c r="A8" s="207" t="n"/>
      <c r="B8" s="149" t="inlineStr">
        <is>
          <t>Subscription based - B2B</t>
        </is>
      </c>
      <c r="C8" s="208" t="n"/>
      <c r="D8" s="208" t="n"/>
      <c r="E8" s="208" t="n"/>
      <c r="F8" s="208" t="n"/>
      <c r="G8" s="202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9" t="n"/>
      <c r="AF8" s="209" t="n"/>
      <c r="AG8" s="209" t="n"/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9" t="n"/>
      <c r="AV8" s="209" t="n"/>
      <c r="AW8" s="209" t="n"/>
    </row>
    <row r="9">
      <c r="A9" s="207" t="n"/>
      <c r="C9" s="210" t="n"/>
      <c r="D9" s="210" t="n"/>
      <c r="E9" s="210" t="n"/>
      <c r="F9" s="210" t="n"/>
    </row>
    <row r="10">
      <c r="A10" s="207" t="inlineStr">
        <is>
          <t>Numbers</t>
        </is>
      </c>
      <c r="B10" s="120" t="inlineStr">
        <is>
          <t>Opening user</t>
        </is>
      </c>
      <c r="C10" s="327">
        <f>H10</f>
        <v/>
      </c>
      <c r="D10" s="327">
        <f>C13</f>
        <v/>
      </c>
      <c r="E10" s="327">
        <f>D13</f>
        <v/>
      </c>
      <c r="F10" s="327">
        <f>E13</f>
        <v/>
      </c>
      <c r="G10" s="358" t="n"/>
      <c r="H10" s="368" t="n">
        <v>0</v>
      </c>
      <c r="I10" s="357">
        <f>H13</f>
        <v/>
      </c>
      <c r="J10" s="357">
        <f>I13</f>
        <v/>
      </c>
      <c r="K10" s="357">
        <f>J13</f>
        <v/>
      </c>
      <c r="L10" s="357">
        <f>K13</f>
        <v/>
      </c>
      <c r="M10" s="357">
        <f>L13</f>
        <v/>
      </c>
      <c r="N10" s="357">
        <f>M13</f>
        <v/>
      </c>
      <c r="O10" s="357">
        <f>N13</f>
        <v/>
      </c>
      <c r="P10" s="357">
        <f>O13</f>
        <v/>
      </c>
      <c r="Q10" s="357">
        <f>P13</f>
        <v/>
      </c>
      <c r="R10" s="357">
        <f>Q13</f>
        <v/>
      </c>
      <c r="S10" s="357">
        <f>R13</f>
        <v/>
      </c>
      <c r="T10" s="357">
        <f>S13</f>
        <v/>
      </c>
      <c r="U10" s="357">
        <f>T13</f>
        <v/>
      </c>
      <c r="V10" s="357">
        <f>U13</f>
        <v/>
      </c>
      <c r="W10" s="357">
        <f>V13</f>
        <v/>
      </c>
      <c r="X10" s="357">
        <f>W13</f>
        <v/>
      </c>
      <c r="Y10" s="357">
        <f>X13</f>
        <v/>
      </c>
      <c r="Z10" s="357">
        <f>Y13</f>
        <v/>
      </c>
      <c r="AA10" s="357">
        <f>Z13</f>
        <v/>
      </c>
      <c r="AB10" s="357">
        <f>AA13</f>
        <v/>
      </c>
      <c r="AC10" s="357">
        <f>AB13</f>
        <v/>
      </c>
      <c r="AD10" s="357">
        <f>AC13</f>
        <v/>
      </c>
      <c r="AE10" s="357">
        <f>AD13</f>
        <v/>
      </c>
      <c r="AF10" s="357">
        <f>AE13</f>
        <v/>
      </c>
      <c r="AG10" s="357">
        <f>AF13</f>
        <v/>
      </c>
      <c r="AH10" s="357">
        <f>AG13</f>
        <v/>
      </c>
      <c r="AI10" s="357">
        <f>AH13</f>
        <v/>
      </c>
      <c r="AJ10" s="357">
        <f>AI13</f>
        <v/>
      </c>
      <c r="AK10" s="357">
        <f>AJ13</f>
        <v/>
      </c>
      <c r="AL10" s="357">
        <f>AK13</f>
        <v/>
      </c>
      <c r="AM10" s="357">
        <f>AL13</f>
        <v/>
      </c>
      <c r="AN10" s="357">
        <f>AM13</f>
        <v/>
      </c>
      <c r="AO10" s="357">
        <f>AN13</f>
        <v/>
      </c>
      <c r="AP10" s="357">
        <f>AO13</f>
        <v/>
      </c>
      <c r="AQ10" s="357">
        <f>AP13</f>
        <v/>
      </c>
      <c r="AR10" s="357">
        <f>AQ13</f>
        <v/>
      </c>
      <c r="AS10" s="357">
        <f>AR13</f>
        <v/>
      </c>
      <c r="AT10" s="357">
        <f>AS13</f>
        <v/>
      </c>
      <c r="AU10" s="357">
        <f>AT13</f>
        <v/>
      </c>
      <c r="AV10" s="357">
        <f>AU13</f>
        <v/>
      </c>
      <c r="AW10" s="357">
        <f>AV13</f>
        <v/>
      </c>
    </row>
    <row r="11">
      <c r="A11" s="207" t="inlineStr">
        <is>
          <t>Numbers</t>
        </is>
      </c>
      <c r="B11" s="120" t="inlineStr">
        <is>
          <t>New</t>
        </is>
      </c>
      <c r="C11" s="327">
        <f>SUMIF($H$5:$AW$5,C$5,$H11:$AW11)</f>
        <v/>
      </c>
      <c r="D11" s="327">
        <f>SUMIF($H$5:$AW$5,D$5,$H11:$AW11)</f>
        <v/>
      </c>
      <c r="E11" s="327">
        <f>SUMIF($H$5:$AW$5,E$5,$H11:$AW11)</f>
        <v/>
      </c>
      <c r="F11" s="327">
        <f>SUMIF($H$5:$AW$5,F$5,$H11:$AW11)</f>
        <v/>
      </c>
      <c r="G11" s="358" t="n"/>
      <c r="H11" s="368" t="n">
        <v>10</v>
      </c>
      <c r="I11" s="368" t="n">
        <v>5</v>
      </c>
      <c r="J11" s="368" t="n">
        <v>5</v>
      </c>
      <c r="K11" s="368" t="n">
        <v>5</v>
      </c>
      <c r="L11" s="368" t="n">
        <v>5</v>
      </c>
      <c r="M11" s="368" t="n">
        <v>5</v>
      </c>
      <c r="N11" s="368" t="n">
        <v>5</v>
      </c>
      <c r="O11" s="368" t="n">
        <v>5</v>
      </c>
      <c r="P11" s="368" t="n">
        <v>5</v>
      </c>
      <c r="Q11" s="368" t="n">
        <v>5</v>
      </c>
      <c r="R11" s="368" t="n">
        <v>5</v>
      </c>
      <c r="S11" s="368" t="n">
        <v>5</v>
      </c>
      <c r="T11" s="368" t="n">
        <v>5</v>
      </c>
      <c r="U11" s="368" t="n">
        <v>5</v>
      </c>
      <c r="V11" s="368" t="n">
        <v>5</v>
      </c>
      <c r="W11" s="368" t="n">
        <v>5</v>
      </c>
      <c r="X11" s="368" t="n">
        <v>5</v>
      </c>
      <c r="Y11" s="368" t="n">
        <v>5</v>
      </c>
      <c r="Z11" s="368" t="n">
        <v>5</v>
      </c>
      <c r="AA11" s="368" t="n">
        <v>5</v>
      </c>
      <c r="AB11" s="368" t="n">
        <v>5</v>
      </c>
      <c r="AC11" s="368" t="n">
        <v>5</v>
      </c>
      <c r="AD11" s="368" t="n">
        <v>5</v>
      </c>
      <c r="AE11" s="368" t="n">
        <v>5</v>
      </c>
      <c r="AF11" s="368" t="n">
        <v>5</v>
      </c>
      <c r="AG11" s="368" t="n">
        <v>5</v>
      </c>
      <c r="AH11" s="368" t="n">
        <v>5</v>
      </c>
      <c r="AI11" s="368" t="n">
        <v>5</v>
      </c>
      <c r="AJ11" s="368" t="n">
        <v>5</v>
      </c>
      <c r="AK11" s="368" t="n">
        <v>5</v>
      </c>
      <c r="AL11" s="368" t="n">
        <v>5</v>
      </c>
      <c r="AM11" s="368" t="n">
        <v>5</v>
      </c>
      <c r="AN11" s="368" t="n">
        <v>5</v>
      </c>
      <c r="AO11" s="368" t="n">
        <v>5</v>
      </c>
      <c r="AP11" s="368" t="n">
        <v>5</v>
      </c>
      <c r="AQ11" s="368" t="n">
        <v>5</v>
      </c>
      <c r="AR11" s="368" t="n">
        <v>5</v>
      </c>
      <c r="AS11" s="368" t="n">
        <v>5</v>
      </c>
      <c r="AT11" s="368" t="n">
        <v>5</v>
      </c>
      <c r="AU11" s="368" t="n">
        <v>5</v>
      </c>
      <c r="AV11" s="368" t="n">
        <v>5</v>
      </c>
      <c r="AW11" s="368" t="n">
        <v>5</v>
      </c>
    </row>
    <row r="12">
      <c r="A12" s="207" t="inlineStr">
        <is>
          <t>%</t>
        </is>
      </c>
      <c r="B12" s="120" t="inlineStr">
        <is>
          <t>Churn % of opening</t>
        </is>
      </c>
      <c r="C12" s="401">
        <f>IFERROR(-(C13-C10-C11)/C10,"NA")</f>
        <v/>
      </c>
      <c r="D12" s="401">
        <f>IFERROR(-(D13-D10-D11)/D10,"NA")</f>
        <v/>
      </c>
      <c r="E12" s="401">
        <f>IFERROR(-(E13-E10-E11)/E10,"NA")</f>
        <v/>
      </c>
      <c r="F12" s="401">
        <f>IFERROR(-(F13-F10-F11)/F10,"NA")</f>
        <v/>
      </c>
      <c r="G12" s="402" t="n"/>
      <c r="H12" s="403" t="n">
        <v>0</v>
      </c>
      <c r="I12" s="403" t="n">
        <v>0</v>
      </c>
      <c r="J12" s="403" t="n">
        <v>0</v>
      </c>
      <c r="K12" s="403" t="n">
        <v>0.02</v>
      </c>
      <c r="L12" s="403" t="n">
        <v>0.02</v>
      </c>
      <c r="M12" s="403" t="n">
        <v>0.02</v>
      </c>
      <c r="N12" s="403" t="n">
        <v>0.02</v>
      </c>
      <c r="O12" s="403" t="n">
        <v>0.02</v>
      </c>
      <c r="P12" s="403" t="n">
        <v>0.02</v>
      </c>
      <c r="Q12" s="403" t="n">
        <v>0.02</v>
      </c>
      <c r="R12" s="403" t="n">
        <v>0.02</v>
      </c>
      <c r="S12" s="403" t="n">
        <v>0.02</v>
      </c>
      <c r="T12" s="403" t="n">
        <v>0.02</v>
      </c>
      <c r="U12" s="403" t="n">
        <v>0.02</v>
      </c>
      <c r="V12" s="403" t="n">
        <v>0.02</v>
      </c>
      <c r="W12" s="403" t="n">
        <v>0.02</v>
      </c>
      <c r="X12" s="403" t="n">
        <v>0.02</v>
      </c>
      <c r="Y12" s="403" t="n">
        <v>0.02</v>
      </c>
      <c r="Z12" s="403" t="n">
        <v>0.02</v>
      </c>
      <c r="AA12" s="403" t="n">
        <v>0.02</v>
      </c>
      <c r="AB12" s="403" t="n">
        <v>0.02</v>
      </c>
      <c r="AC12" s="403" t="n">
        <v>0.02</v>
      </c>
      <c r="AD12" s="403" t="n">
        <v>0.02</v>
      </c>
      <c r="AE12" s="403" t="n">
        <v>0.02</v>
      </c>
      <c r="AF12" s="403" t="n">
        <v>0.02</v>
      </c>
      <c r="AG12" s="403" t="n">
        <v>0.02</v>
      </c>
      <c r="AH12" s="403" t="n">
        <v>0.02</v>
      </c>
      <c r="AI12" s="403" t="n">
        <v>0.02</v>
      </c>
      <c r="AJ12" s="403" t="n">
        <v>0.02</v>
      </c>
      <c r="AK12" s="403" t="n">
        <v>0.02</v>
      </c>
      <c r="AL12" s="403" t="n">
        <v>0.02</v>
      </c>
      <c r="AM12" s="403" t="n">
        <v>0.02</v>
      </c>
      <c r="AN12" s="403" t="n">
        <v>0.02</v>
      </c>
      <c r="AO12" s="403" t="n">
        <v>0.02</v>
      </c>
      <c r="AP12" s="403" t="n">
        <v>0.02</v>
      </c>
      <c r="AQ12" s="403" t="n">
        <v>0.02</v>
      </c>
      <c r="AR12" s="403" t="n">
        <v>0.02</v>
      </c>
      <c r="AS12" s="403" t="n">
        <v>0.02</v>
      </c>
      <c r="AT12" s="403" t="n">
        <v>0.02</v>
      </c>
      <c r="AU12" s="403" t="n">
        <v>0.02</v>
      </c>
      <c r="AV12" s="403" t="n">
        <v>0.02</v>
      </c>
      <c r="AW12" s="403" t="n">
        <v>0.02</v>
      </c>
    </row>
    <row r="13">
      <c r="A13" s="207" t="inlineStr">
        <is>
          <t>Numbers</t>
        </is>
      </c>
      <c r="B13" s="120" t="inlineStr">
        <is>
          <t>Closing</t>
        </is>
      </c>
      <c r="C13" s="327">
        <f>IFERROR(INDEX($H13:$AW13,MATCH(DATE(C$5,12,31),$H$6:$AW$6,0)),0)</f>
        <v/>
      </c>
      <c r="D13" s="327">
        <f>IFERROR(INDEX($H13:$AW13,MATCH(DATE(D$5,12,31),$H$6:$AW$6,0)),0)</f>
        <v/>
      </c>
      <c r="E13" s="327">
        <f>IFERROR(INDEX($H13:$AW13,MATCH(DATE(E$5,12,31),$H$6:$AW$6,0)),0)</f>
        <v/>
      </c>
      <c r="F13" s="327">
        <f>IFERROR(INDEX($H13:$AW13,MATCH(DATE(F$5,12,31),$H$6:$AW$6,0)),0)</f>
        <v/>
      </c>
      <c r="G13" s="358" t="n"/>
      <c r="H13" s="357">
        <f>ROUNDDOWN((H10+H11-(H12*H10)),0)</f>
        <v/>
      </c>
      <c r="I13" s="357">
        <f>ROUNDDOWN((I10+I11-(I12*I10)),0)</f>
        <v/>
      </c>
      <c r="J13" s="357">
        <f>ROUNDDOWN((J10+J11-(J12*J10)),0)</f>
        <v/>
      </c>
      <c r="K13" s="357">
        <f>ROUNDDOWN((K10+K11-(K12*K10)),0)</f>
        <v/>
      </c>
      <c r="L13" s="357">
        <f>ROUNDDOWN((L10+L11-(L12*L10)),0)</f>
        <v/>
      </c>
      <c r="M13" s="357">
        <f>ROUNDDOWN((M10+M11-(M12*M10)),0)</f>
        <v/>
      </c>
      <c r="N13" s="357">
        <f>ROUNDDOWN((N10+N11-(N12*N10)),0)</f>
        <v/>
      </c>
      <c r="O13" s="357">
        <f>ROUNDDOWN((O10+O11-(O12*O10)),0)</f>
        <v/>
      </c>
      <c r="P13" s="357">
        <f>ROUNDDOWN((P10+P11-(P12*P10)),0)</f>
        <v/>
      </c>
      <c r="Q13" s="357">
        <f>ROUNDDOWN((Q10+Q11-(Q12*Q10)),0)</f>
        <v/>
      </c>
      <c r="R13" s="357">
        <f>ROUNDDOWN((R10+R11-(R12*R10)),0)</f>
        <v/>
      </c>
      <c r="S13" s="357">
        <f>ROUNDDOWN((S10+S11-(S12*S10)),0)</f>
        <v/>
      </c>
      <c r="T13" s="357">
        <f>ROUNDDOWN((T10+T11-(T12*T10)),0)</f>
        <v/>
      </c>
      <c r="U13" s="357">
        <f>ROUNDDOWN((U10+U11-(U12*U10)),0)</f>
        <v/>
      </c>
      <c r="V13" s="357">
        <f>ROUNDDOWN((V10+V11-(V12*V10)),0)</f>
        <v/>
      </c>
      <c r="W13" s="357">
        <f>ROUNDDOWN((W10+W11-(W12*W10)),0)</f>
        <v/>
      </c>
      <c r="X13" s="357">
        <f>ROUNDDOWN((X10+X11-(X12*X10)),0)</f>
        <v/>
      </c>
      <c r="Y13" s="357">
        <f>ROUNDDOWN((Y10+Y11-(Y12*Y10)),0)</f>
        <v/>
      </c>
      <c r="Z13" s="357">
        <f>ROUNDDOWN((Z10+Z11-(Z12*Z10)),0)</f>
        <v/>
      </c>
      <c r="AA13" s="357">
        <f>ROUNDDOWN((AA10+AA11-(AA12*AA10)),0)</f>
        <v/>
      </c>
      <c r="AB13" s="357">
        <f>ROUNDDOWN((AB10+AB11-(AB12*AB10)),0)</f>
        <v/>
      </c>
      <c r="AC13" s="357">
        <f>ROUNDDOWN((AC10+AC11-(AC12*AC10)),0)</f>
        <v/>
      </c>
      <c r="AD13" s="357">
        <f>ROUNDDOWN((AD10+AD11-(AD12*AD10)),0)</f>
        <v/>
      </c>
      <c r="AE13" s="357">
        <f>ROUNDDOWN((AE10+AE11-(AE12*AE10)),0)</f>
        <v/>
      </c>
      <c r="AF13" s="357">
        <f>ROUNDDOWN((AF10+AF11-(AF12*AF10)),0)</f>
        <v/>
      </c>
      <c r="AG13" s="357">
        <f>ROUNDDOWN((AG10+AG11-(AG12*AG10)),0)</f>
        <v/>
      </c>
      <c r="AH13" s="357">
        <f>ROUNDDOWN((AH10+AH11-(AH12*AH10)),0)</f>
        <v/>
      </c>
      <c r="AI13" s="357">
        <f>ROUNDDOWN((AI10+AI11-(AI12*AI10)),0)</f>
        <v/>
      </c>
      <c r="AJ13" s="357">
        <f>ROUNDDOWN((AJ10+AJ11-(AJ12*AJ10)),0)</f>
        <v/>
      </c>
      <c r="AK13" s="357">
        <f>ROUNDDOWN((AK10+AK11-(AK12*AK10)),0)</f>
        <v/>
      </c>
      <c r="AL13" s="357">
        <f>ROUNDDOWN((AL10+AL11-(AL12*AL10)),0)</f>
        <v/>
      </c>
      <c r="AM13" s="357">
        <f>ROUNDDOWN((AM10+AM11-(AM12*AM10)),0)</f>
        <v/>
      </c>
      <c r="AN13" s="357">
        <f>ROUNDDOWN((AN10+AN11-(AN12*AN10)),0)</f>
        <v/>
      </c>
      <c r="AO13" s="357">
        <f>ROUNDDOWN((AO10+AO11-(AO12*AO10)),0)</f>
        <v/>
      </c>
      <c r="AP13" s="357">
        <f>ROUNDDOWN((AP10+AP11-(AP12*AP10)),0)</f>
        <v/>
      </c>
      <c r="AQ13" s="357">
        <f>ROUNDDOWN((AQ10+AQ11-(AQ12*AQ10)),0)</f>
        <v/>
      </c>
      <c r="AR13" s="357">
        <f>ROUNDDOWN((AR10+AR11-(AR12*AR10)),0)</f>
        <v/>
      </c>
      <c r="AS13" s="357">
        <f>ROUNDDOWN((AS10+AS11-(AS12*AS10)),0)</f>
        <v/>
      </c>
      <c r="AT13" s="357">
        <f>ROUNDDOWN((AT10+AT11-(AT12*AT10)),0)</f>
        <v/>
      </c>
      <c r="AU13" s="357">
        <f>ROUNDDOWN((AU10+AU11-(AU12*AU10)),0)</f>
        <v/>
      </c>
      <c r="AV13" s="357">
        <f>ROUNDDOWN((AV10+AV11-(AV12*AV10)),0)</f>
        <v/>
      </c>
      <c r="AW13" s="357">
        <f>ROUNDDOWN((AW10+AW11-(AW12*AW10)),0)</f>
        <v/>
      </c>
    </row>
    <row r="14">
      <c r="A14" s="207" t="inlineStr">
        <is>
          <t>%</t>
        </is>
      </c>
      <c r="B14" s="120" t="inlineStr">
        <is>
          <t>Paid subscribers %</t>
        </is>
      </c>
      <c r="C14" s="401">
        <f>IFERROR(C16/C13,"NA")</f>
        <v/>
      </c>
      <c r="D14" s="401">
        <f>IFERROR(D16/D13,"NA")</f>
        <v/>
      </c>
      <c r="E14" s="401">
        <f>E16/E13</f>
        <v/>
      </c>
      <c r="F14" s="401">
        <f>F16/F13</f>
        <v/>
      </c>
      <c r="G14" s="402" t="n"/>
      <c r="H14" s="403" t="n">
        <v>1</v>
      </c>
      <c r="I14" s="403" t="n">
        <v>1</v>
      </c>
      <c r="J14" s="403" t="n">
        <v>1</v>
      </c>
      <c r="K14" s="403" t="n">
        <v>1</v>
      </c>
      <c r="L14" s="403" t="n">
        <v>1</v>
      </c>
      <c r="M14" s="403" t="n">
        <v>1</v>
      </c>
      <c r="N14" s="403" t="n">
        <v>1</v>
      </c>
      <c r="O14" s="403" t="n">
        <v>1</v>
      </c>
      <c r="P14" s="403" t="n">
        <v>1</v>
      </c>
      <c r="Q14" s="403" t="n">
        <v>1</v>
      </c>
      <c r="R14" s="403" t="n">
        <v>1</v>
      </c>
      <c r="S14" s="403" t="n">
        <v>1</v>
      </c>
      <c r="T14" s="403" t="n">
        <v>1</v>
      </c>
      <c r="U14" s="403" t="n">
        <v>1</v>
      </c>
      <c r="V14" s="403" t="n">
        <v>1</v>
      </c>
      <c r="W14" s="403" t="n">
        <v>1</v>
      </c>
      <c r="X14" s="403" t="n">
        <v>1</v>
      </c>
      <c r="Y14" s="403" t="n">
        <v>1</v>
      </c>
      <c r="Z14" s="403" t="n">
        <v>1</v>
      </c>
      <c r="AA14" s="403" t="n">
        <v>1</v>
      </c>
      <c r="AB14" s="403" t="n">
        <v>1</v>
      </c>
      <c r="AC14" s="403" t="n">
        <v>1</v>
      </c>
      <c r="AD14" s="403" t="n">
        <v>1</v>
      </c>
      <c r="AE14" s="403" t="n">
        <v>1</v>
      </c>
      <c r="AF14" s="403" t="n">
        <v>1</v>
      </c>
      <c r="AG14" s="403" t="n">
        <v>1</v>
      </c>
      <c r="AH14" s="403" t="n">
        <v>1</v>
      </c>
      <c r="AI14" s="403" t="n">
        <v>1</v>
      </c>
      <c r="AJ14" s="403" t="n">
        <v>1</v>
      </c>
      <c r="AK14" s="403" t="n">
        <v>1</v>
      </c>
      <c r="AL14" s="403" t="n">
        <v>1</v>
      </c>
      <c r="AM14" s="403" t="n">
        <v>1</v>
      </c>
      <c r="AN14" s="403" t="n">
        <v>1</v>
      </c>
      <c r="AO14" s="403" t="n">
        <v>1</v>
      </c>
      <c r="AP14" s="403" t="n">
        <v>1</v>
      </c>
      <c r="AQ14" s="403" t="n">
        <v>1</v>
      </c>
      <c r="AR14" s="403" t="n">
        <v>1</v>
      </c>
      <c r="AS14" s="403" t="n">
        <v>1</v>
      </c>
      <c r="AT14" s="403" t="n">
        <v>1</v>
      </c>
      <c r="AU14" s="403" t="n">
        <v>1</v>
      </c>
      <c r="AV14" s="403" t="n">
        <v>1</v>
      </c>
      <c r="AW14" s="403" t="n">
        <v>1</v>
      </c>
    </row>
    <row r="15">
      <c r="A15" s="207" t="n"/>
      <c r="B15" s="11" t="n"/>
      <c r="C15" s="259" t="n"/>
      <c r="D15" s="259" t="n"/>
      <c r="E15" s="259" t="n"/>
      <c r="F15" s="259" t="n"/>
      <c r="H15" s="404" t="n"/>
      <c r="I15" s="404" t="n"/>
      <c r="J15" s="404" t="n"/>
      <c r="K15" s="404" t="n"/>
      <c r="L15" s="404" t="n"/>
      <c r="M15" s="404" t="n"/>
      <c r="N15" s="404" t="n"/>
      <c r="O15" s="404" t="n"/>
      <c r="P15" s="404" t="n"/>
      <c r="Q15" s="404" t="n"/>
      <c r="R15" s="404" t="n"/>
      <c r="S15" s="404" t="n"/>
      <c r="T15" s="404" t="n"/>
      <c r="U15" s="404" t="n"/>
      <c r="V15" s="404" t="n"/>
      <c r="W15" s="404" t="n"/>
      <c r="X15" s="404" t="n"/>
      <c r="Y15" s="404" t="n"/>
      <c r="Z15" s="404" t="n"/>
      <c r="AA15" s="404" t="n"/>
      <c r="AB15" s="404" t="n"/>
      <c r="AC15" s="404" t="n"/>
      <c r="AD15" s="404" t="n"/>
      <c r="AE15" s="404" t="n"/>
      <c r="AF15" s="404" t="n"/>
      <c r="AG15" s="404" t="n"/>
      <c r="AH15" s="404" t="n"/>
      <c r="AI15" s="404" t="n"/>
      <c r="AJ15" s="404" t="n"/>
      <c r="AK15" s="404" t="n"/>
      <c r="AL15" s="404" t="n"/>
      <c r="AM15" s="404" t="n"/>
      <c r="AN15" s="404" t="n"/>
      <c r="AO15" s="404" t="n"/>
      <c r="AP15" s="404" t="n"/>
      <c r="AQ15" s="404" t="n"/>
      <c r="AR15" s="404" t="n"/>
      <c r="AS15" s="404" t="n"/>
      <c r="AT15" s="404" t="n"/>
      <c r="AU15" s="404" t="n"/>
      <c r="AV15" s="404" t="n"/>
      <c r="AW15" s="404" t="n"/>
    </row>
    <row r="16">
      <c r="A16" s="207" t="inlineStr">
        <is>
          <t>Numbers</t>
        </is>
      </c>
      <c r="B16" s="217" t="inlineStr">
        <is>
          <t>Paid subscribers</t>
        </is>
      </c>
      <c r="C16" s="397">
        <f>IFERROR(INDEX($H16:$AW16,MATCH(DATE(C$5,12,31),$H$6:$AW$6,0)),0)</f>
        <v/>
      </c>
      <c r="D16" s="397">
        <f>IFERROR(INDEX($H16:$AW16,MATCH(DATE(D$5,12,31),$H$6:$AW$6,0)),0)</f>
        <v/>
      </c>
      <c r="E16" s="397">
        <f>IFERROR(INDEX($H16:$AW16,MATCH(DATE(E$5,12,31),$H$6:$AW$6,0)),0)</f>
        <v/>
      </c>
      <c r="F16" s="397">
        <f>IFERROR(INDEX($H16:$AW16,MATCH(DATE(F$5,12,31),$H$6:$AW$6,0)),0)</f>
        <v/>
      </c>
      <c r="G16" s="360" t="n"/>
      <c r="H16" s="374">
        <f>H13*H14</f>
        <v/>
      </c>
      <c r="I16" s="374">
        <f>I13*I14</f>
        <v/>
      </c>
      <c r="J16" s="374">
        <f>J13*J14</f>
        <v/>
      </c>
      <c r="K16" s="374">
        <f>K13*K14</f>
        <v/>
      </c>
      <c r="L16" s="374">
        <f>L13*L14</f>
        <v/>
      </c>
      <c r="M16" s="374">
        <f>M13*M14</f>
        <v/>
      </c>
      <c r="N16" s="374">
        <f>N13*N14</f>
        <v/>
      </c>
      <c r="O16" s="374">
        <f>O13*O14</f>
        <v/>
      </c>
      <c r="P16" s="374">
        <f>P13*P14</f>
        <v/>
      </c>
      <c r="Q16" s="374">
        <f>Q13*Q14</f>
        <v/>
      </c>
      <c r="R16" s="374">
        <f>R13*R14</f>
        <v/>
      </c>
      <c r="S16" s="374">
        <f>S13*S14</f>
        <v/>
      </c>
      <c r="T16" s="374">
        <f>T13*T14</f>
        <v/>
      </c>
      <c r="U16" s="374">
        <f>U13*U14</f>
        <v/>
      </c>
      <c r="V16" s="374">
        <f>V13*V14</f>
        <v/>
      </c>
      <c r="W16" s="374">
        <f>W13*W14</f>
        <v/>
      </c>
      <c r="X16" s="374">
        <f>X13*X14</f>
        <v/>
      </c>
      <c r="Y16" s="374">
        <f>Y13*Y14</f>
        <v/>
      </c>
      <c r="Z16" s="374">
        <f>Z13*Z14</f>
        <v/>
      </c>
      <c r="AA16" s="374">
        <f>AA13*AA14</f>
        <v/>
      </c>
      <c r="AB16" s="374">
        <f>AB13*AB14</f>
        <v/>
      </c>
      <c r="AC16" s="374">
        <f>AC13*AC14</f>
        <v/>
      </c>
      <c r="AD16" s="374">
        <f>AD13*AD14</f>
        <v/>
      </c>
      <c r="AE16" s="374">
        <f>AE13*AE14</f>
        <v/>
      </c>
      <c r="AF16" s="374">
        <f>AF13*AF14</f>
        <v/>
      </c>
      <c r="AG16" s="374">
        <f>AG13*AG14</f>
        <v/>
      </c>
      <c r="AH16" s="374">
        <f>AH13*AH14</f>
        <v/>
      </c>
      <c r="AI16" s="374">
        <f>AI13*AI14</f>
        <v/>
      </c>
      <c r="AJ16" s="374">
        <f>AJ13*AJ14</f>
        <v/>
      </c>
      <c r="AK16" s="374">
        <f>AK13*AK14</f>
        <v/>
      </c>
      <c r="AL16" s="374">
        <f>AL13*AL14</f>
        <v/>
      </c>
      <c r="AM16" s="374">
        <f>AM13*AM14</f>
        <v/>
      </c>
      <c r="AN16" s="374">
        <f>AN13*AN14</f>
        <v/>
      </c>
      <c r="AO16" s="374">
        <f>AO13*AO14</f>
        <v/>
      </c>
      <c r="AP16" s="374">
        <f>AP13*AP14</f>
        <v/>
      </c>
      <c r="AQ16" s="374">
        <f>AQ13*AQ14</f>
        <v/>
      </c>
      <c r="AR16" s="374">
        <f>AR13*AR14</f>
        <v/>
      </c>
      <c r="AS16" s="374">
        <f>AS13*AS14</f>
        <v/>
      </c>
      <c r="AT16" s="374">
        <f>AT13*AT14</f>
        <v/>
      </c>
      <c r="AU16" s="374">
        <f>AU13*AU14</f>
        <v/>
      </c>
      <c r="AV16" s="374">
        <f>AV13*AV14</f>
        <v/>
      </c>
      <c r="AW16" s="374">
        <f>AW13*AW14</f>
        <v/>
      </c>
    </row>
    <row r="17">
      <c r="A17" s="207" t="inlineStr">
        <is>
          <t>US$</t>
        </is>
      </c>
      <c r="B17" s="217" t="inlineStr">
        <is>
          <t>Subs fee per user per month</t>
        </is>
      </c>
      <c r="C17" s="397">
        <f>IFERROR((C19/AVERAGE(C10,C16)/COUNTIF($H$5:$AW$5,C$5)),"NA")</f>
        <v/>
      </c>
      <c r="D17" s="397">
        <f>IFERROR((D19/AVERAGE(D10,D16)/COUNTIF($H$5:$AW$5,D$5)),"NA")</f>
        <v/>
      </c>
      <c r="E17" s="397">
        <f>IFERROR((E19/AVERAGE(E10,E16)/COUNTIF($H$5:$AW$5,E$5)),"NA")</f>
        <v/>
      </c>
      <c r="F17" s="397">
        <f>IFERROR((F19/AVERAGE(F10,F16)/COUNTIF($H$5:$AW$5,F$5)),"NA")</f>
        <v/>
      </c>
      <c r="G17" s="360" t="n"/>
      <c r="H17" s="405">
        <f>100*0.27</f>
        <v/>
      </c>
      <c r="I17" s="405">
        <f>100*0.27</f>
        <v/>
      </c>
      <c r="J17" s="405">
        <f>100*0.27</f>
        <v/>
      </c>
      <c r="K17" s="405">
        <f>100*0.27</f>
        <v/>
      </c>
      <c r="L17" s="405">
        <f>100*0.27</f>
        <v/>
      </c>
      <c r="M17" s="405">
        <f>100*0.27</f>
        <v/>
      </c>
      <c r="N17" s="405">
        <f>100*0.27</f>
        <v/>
      </c>
      <c r="O17" s="405">
        <f>100*0.27</f>
        <v/>
      </c>
      <c r="P17" s="405">
        <f>100*0.27</f>
        <v/>
      </c>
      <c r="Q17" s="405">
        <f>100*0.27</f>
        <v/>
      </c>
      <c r="R17" s="405">
        <f>100*0.27</f>
        <v/>
      </c>
      <c r="S17" s="405">
        <f>100*0.27</f>
        <v/>
      </c>
      <c r="T17" s="405">
        <f>100*0.27</f>
        <v/>
      </c>
      <c r="U17" s="405">
        <f>100*0.27</f>
        <v/>
      </c>
      <c r="V17" s="405">
        <f>100*0.27</f>
        <v/>
      </c>
      <c r="W17" s="405">
        <f>100*0.27</f>
        <v/>
      </c>
      <c r="X17" s="405">
        <f>100*0.27</f>
        <v/>
      </c>
      <c r="Y17" s="405">
        <f>100*0.27</f>
        <v/>
      </c>
      <c r="Z17" s="405">
        <f>100*0.27</f>
        <v/>
      </c>
      <c r="AA17" s="405">
        <f>100*0.27</f>
        <v/>
      </c>
      <c r="AB17" s="405">
        <f>100*0.27</f>
        <v/>
      </c>
      <c r="AC17" s="405">
        <f>100*0.27</f>
        <v/>
      </c>
      <c r="AD17" s="405">
        <f>100*0.27</f>
        <v/>
      </c>
      <c r="AE17" s="405">
        <f>100*0.27</f>
        <v/>
      </c>
      <c r="AF17" s="405">
        <f>100*0.27</f>
        <v/>
      </c>
      <c r="AG17" s="405">
        <f>100*0.27</f>
        <v/>
      </c>
      <c r="AH17" s="405">
        <f>100*0.27</f>
        <v/>
      </c>
      <c r="AI17" s="405">
        <f>100*0.27</f>
        <v/>
      </c>
      <c r="AJ17" s="405">
        <f>100*0.27</f>
        <v/>
      </c>
      <c r="AK17" s="405">
        <f>100*0.27</f>
        <v/>
      </c>
      <c r="AL17" s="405">
        <f>100*0.27</f>
        <v/>
      </c>
      <c r="AM17" s="405">
        <f>100*0.27</f>
        <v/>
      </c>
      <c r="AN17" s="405">
        <f>100*0.27</f>
        <v/>
      </c>
      <c r="AO17" s="405">
        <f>100*0.27</f>
        <v/>
      </c>
      <c r="AP17" s="405">
        <f>100*0.27</f>
        <v/>
      </c>
      <c r="AQ17" s="405">
        <f>100*0.27</f>
        <v/>
      </c>
      <c r="AR17" s="405">
        <f>100*0.27</f>
        <v/>
      </c>
      <c r="AS17" s="405">
        <f>100*0.27</f>
        <v/>
      </c>
      <c r="AT17" s="405">
        <f>100*0.27</f>
        <v/>
      </c>
      <c r="AU17" s="405">
        <f>100*0.27</f>
        <v/>
      </c>
      <c r="AV17" s="405">
        <f>100*0.27</f>
        <v/>
      </c>
      <c r="AW17" s="405">
        <f>100*0.27</f>
        <v/>
      </c>
    </row>
    <row r="18">
      <c r="A18" s="207" t="n"/>
      <c r="C18" s="327" t="n"/>
      <c r="D18" s="327" t="n"/>
      <c r="E18" s="327" t="n"/>
      <c r="F18" s="327" t="n"/>
      <c r="G18" s="358" t="n"/>
      <c r="H18" s="357" t="n"/>
      <c r="I18" s="357" t="n"/>
      <c r="J18" s="357" t="n"/>
      <c r="K18" s="357" t="n"/>
      <c r="L18" s="357" t="n"/>
      <c r="M18" s="357" t="n"/>
      <c r="N18" s="357" t="n"/>
      <c r="O18" s="357" t="n"/>
      <c r="P18" s="357" t="n"/>
      <c r="Q18" s="357" t="n"/>
      <c r="R18" s="357" t="n"/>
      <c r="S18" s="357" t="n"/>
      <c r="T18" s="357" t="n"/>
      <c r="U18" s="357" t="n"/>
      <c r="V18" s="357" t="n"/>
      <c r="W18" s="357" t="n"/>
      <c r="X18" s="357" t="n"/>
      <c r="Y18" s="357" t="n"/>
      <c r="Z18" s="357" t="n"/>
      <c r="AA18" s="357" t="n"/>
      <c r="AB18" s="357" t="n"/>
      <c r="AC18" s="357" t="n"/>
      <c r="AD18" s="357" t="n"/>
      <c r="AE18" s="357" t="n"/>
      <c r="AF18" s="357" t="n"/>
      <c r="AG18" s="357" t="n"/>
      <c r="AH18" s="357" t="n"/>
      <c r="AI18" s="357" t="n"/>
      <c r="AJ18" s="357" t="n"/>
      <c r="AK18" s="357" t="n"/>
      <c r="AL18" s="357" t="n"/>
      <c r="AM18" s="357" t="n"/>
      <c r="AN18" s="357" t="n"/>
      <c r="AO18" s="357" t="n"/>
      <c r="AP18" s="357" t="n"/>
      <c r="AQ18" s="357" t="n"/>
      <c r="AR18" s="357" t="n"/>
      <c r="AS18" s="357" t="n"/>
      <c r="AT18" s="357" t="n"/>
      <c r="AU18" s="357" t="n"/>
      <c r="AV18" s="357" t="n"/>
      <c r="AW18" s="357" t="n"/>
    </row>
    <row r="19">
      <c r="A19" s="207" t="inlineStr">
        <is>
          <t>US$</t>
        </is>
      </c>
      <c r="B19" s="219" t="inlineStr">
        <is>
          <t>Revenues From Subscribers</t>
        </is>
      </c>
      <c r="C19" s="406">
        <f>SUMIF($H$5:$AW$5,C$5,$H19:$AW19)</f>
        <v/>
      </c>
      <c r="D19" s="406">
        <f>SUMIF($H$5:$AW$5,D$5,$H19:$AW19)</f>
        <v/>
      </c>
      <c r="E19" s="406">
        <f>SUMIF($H$5:$AW$5,E$5,$H19:$AW19)</f>
        <v/>
      </c>
      <c r="F19" s="406">
        <f>SUMIF($H$5:$AW$5,F$5,$H19:$AW19)</f>
        <v/>
      </c>
      <c r="G19" s="360" t="n"/>
      <c r="H19" s="407">
        <f>H17*H16</f>
        <v/>
      </c>
      <c r="I19" s="407">
        <f>I17*I16</f>
        <v/>
      </c>
      <c r="J19" s="407">
        <f>J17*J16</f>
        <v/>
      </c>
      <c r="K19" s="407">
        <f>K17*K16</f>
        <v/>
      </c>
      <c r="L19" s="407">
        <f>L17*L16</f>
        <v/>
      </c>
      <c r="M19" s="407">
        <f>M17*M16</f>
        <v/>
      </c>
      <c r="N19" s="407">
        <f>N17*N16</f>
        <v/>
      </c>
      <c r="O19" s="407">
        <f>O17*O16</f>
        <v/>
      </c>
      <c r="P19" s="407">
        <f>P17*P16</f>
        <v/>
      </c>
      <c r="Q19" s="407">
        <f>Q17*Q16</f>
        <v/>
      </c>
      <c r="R19" s="407">
        <f>R17*R16</f>
        <v/>
      </c>
      <c r="S19" s="407">
        <f>S17*S16</f>
        <v/>
      </c>
      <c r="T19" s="407">
        <f>T17*T16</f>
        <v/>
      </c>
      <c r="U19" s="407">
        <f>U17*U16</f>
        <v/>
      </c>
      <c r="V19" s="407">
        <f>V17*V16</f>
        <v/>
      </c>
      <c r="W19" s="407">
        <f>W17*W16</f>
        <v/>
      </c>
      <c r="X19" s="407">
        <f>X17*X16</f>
        <v/>
      </c>
      <c r="Y19" s="407">
        <f>Y17*Y16</f>
        <v/>
      </c>
      <c r="Z19" s="407">
        <f>Z17*Z16</f>
        <v/>
      </c>
      <c r="AA19" s="407">
        <f>AA17*AA16</f>
        <v/>
      </c>
      <c r="AB19" s="407">
        <f>AB17*AB16</f>
        <v/>
      </c>
      <c r="AC19" s="407">
        <f>AC17*AC16</f>
        <v/>
      </c>
      <c r="AD19" s="407">
        <f>AD17*AD16</f>
        <v/>
      </c>
      <c r="AE19" s="407">
        <f>AE17*AE16</f>
        <v/>
      </c>
      <c r="AF19" s="407">
        <f>AF17*AF16</f>
        <v/>
      </c>
      <c r="AG19" s="407">
        <f>AG17*AG16</f>
        <v/>
      </c>
      <c r="AH19" s="407">
        <f>AH17*AH16</f>
        <v/>
      </c>
      <c r="AI19" s="407">
        <f>AI17*AI16</f>
        <v/>
      </c>
      <c r="AJ19" s="407">
        <f>AJ17*AJ16</f>
        <v/>
      </c>
      <c r="AK19" s="407">
        <f>AK17*AK16</f>
        <v/>
      </c>
      <c r="AL19" s="407">
        <f>AL17*AL16</f>
        <v/>
      </c>
      <c r="AM19" s="407">
        <f>AM17*AM16</f>
        <v/>
      </c>
      <c r="AN19" s="407">
        <f>AN17*AN16</f>
        <v/>
      </c>
      <c r="AO19" s="407">
        <f>AO17*AO16</f>
        <v/>
      </c>
      <c r="AP19" s="407">
        <f>AP17*AP16</f>
        <v/>
      </c>
      <c r="AQ19" s="407">
        <f>AQ17*AQ16</f>
        <v/>
      </c>
      <c r="AR19" s="407">
        <f>AR17*AR16</f>
        <v/>
      </c>
      <c r="AS19" s="407">
        <f>AS17*AS16</f>
        <v/>
      </c>
      <c r="AT19" s="407">
        <f>AT17*AT16</f>
        <v/>
      </c>
      <c r="AU19" s="407">
        <f>AU17*AU16</f>
        <v/>
      </c>
      <c r="AV19" s="407">
        <f>AV17*AV16</f>
        <v/>
      </c>
      <c r="AW19" s="407">
        <f>AW17*AW16</f>
        <v/>
      </c>
    </row>
    <row r="20">
      <c r="A20" s="207" t="n"/>
      <c r="B20" s="2" t="n"/>
      <c r="C20" s="222" t="n"/>
      <c r="D20" s="222" t="n"/>
      <c r="E20" s="222" t="n"/>
      <c r="F20" s="222" t="n"/>
      <c r="G20" s="190" t="n"/>
      <c r="H20" s="118" t="n"/>
      <c r="I20" s="118" t="n"/>
      <c r="J20" s="118" t="n"/>
      <c r="K20" s="118" t="n"/>
      <c r="L20" s="118" t="n"/>
      <c r="M20" s="118" t="n"/>
      <c r="N20" s="118" t="n"/>
      <c r="O20" s="118" t="n"/>
      <c r="P20" s="118" t="n"/>
      <c r="Q20" s="118" t="n"/>
      <c r="R20" s="118" t="n"/>
      <c r="S20" s="118" t="n"/>
      <c r="T20" s="118" t="n"/>
      <c r="U20" s="118" t="n"/>
      <c r="V20" s="118" t="n"/>
      <c r="W20" s="118" t="n"/>
      <c r="X20" s="118" t="n"/>
      <c r="Y20" s="118" t="n"/>
      <c r="Z20" s="118" t="n"/>
      <c r="AA20" s="118" t="n"/>
      <c r="AB20" s="118" t="n"/>
      <c r="AC20" s="118" t="n"/>
      <c r="AD20" s="118" t="n"/>
      <c r="AE20" s="118" t="n"/>
      <c r="AF20" s="118" t="n"/>
      <c r="AG20" s="118" t="n"/>
      <c r="AH20" s="118" t="n"/>
      <c r="AI20" s="118" t="n"/>
      <c r="AJ20" s="118" t="n"/>
      <c r="AK20" s="118" t="n"/>
      <c r="AL20" s="118" t="n"/>
      <c r="AM20" s="118" t="n"/>
      <c r="AN20" s="118" t="n"/>
      <c r="AO20" s="118" t="n"/>
      <c r="AP20" s="118" t="n"/>
      <c r="AQ20" s="118" t="n"/>
      <c r="AR20" s="118" t="n"/>
      <c r="AS20" s="118" t="n"/>
      <c r="AT20" s="118" t="n"/>
      <c r="AU20" s="118" t="n"/>
      <c r="AV20" s="118" t="n"/>
      <c r="AW20" s="118" t="n"/>
    </row>
    <row r="21" outlineLevel="1">
      <c r="A21" s="207" t="n"/>
      <c r="B21" s="149" t="inlineStr">
        <is>
          <t>SaaS based - B2B</t>
        </is>
      </c>
      <c r="C21" s="208" t="n"/>
      <c r="D21" s="208" t="n"/>
      <c r="E21" s="208" t="n"/>
      <c r="F21" s="208" t="n"/>
      <c r="G21" s="202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  <c r="AB21" s="209" t="n"/>
      <c r="AC21" s="209" t="n"/>
      <c r="AD21" s="209" t="n"/>
      <c r="AE21" s="209" t="n"/>
      <c r="AF21" s="209" t="n"/>
      <c r="AG21" s="209" t="n"/>
      <c r="AH21" s="209" t="n"/>
      <c r="AI21" s="209" t="n"/>
      <c r="AJ21" s="209" t="n"/>
      <c r="AK21" s="209" t="n"/>
      <c r="AL21" s="209" t="n"/>
      <c r="AM21" s="209" t="n"/>
      <c r="AN21" s="209" t="n"/>
      <c r="AO21" s="209" t="n"/>
      <c r="AP21" s="209" t="n"/>
      <c r="AQ21" s="209" t="n"/>
      <c r="AR21" s="209" t="n"/>
      <c r="AS21" s="209" t="n"/>
      <c r="AT21" s="209" t="n"/>
      <c r="AU21" s="209" t="n"/>
      <c r="AV21" s="209" t="n"/>
      <c r="AW21" s="209" t="n"/>
    </row>
    <row r="22" outlineLevel="1">
      <c r="A22" s="207" t="n"/>
      <c r="C22" s="210" t="n"/>
      <c r="D22" s="210" t="n"/>
      <c r="E22" s="210" t="n"/>
      <c r="F22" s="210" t="n"/>
    </row>
    <row r="23" outlineLevel="1">
      <c r="A23" s="207" t="n"/>
      <c r="B23" s="120" t="inlineStr">
        <is>
          <t>Opening customer</t>
        </is>
      </c>
      <c r="C23" s="327">
        <f>H23</f>
        <v/>
      </c>
      <c r="D23" s="327">
        <f>C26</f>
        <v/>
      </c>
      <c r="E23" s="327">
        <f>D26</f>
        <v/>
      </c>
      <c r="F23" s="327">
        <f>E26</f>
        <v/>
      </c>
      <c r="G23" s="358" t="n"/>
      <c r="H23" s="368" t="n">
        <v>0</v>
      </c>
      <c r="I23" s="357">
        <f>H26</f>
        <v/>
      </c>
      <c r="J23" s="357">
        <f>I26</f>
        <v/>
      </c>
      <c r="K23" s="357">
        <f>J26</f>
        <v/>
      </c>
      <c r="L23" s="357">
        <f>K26</f>
        <v/>
      </c>
      <c r="M23" s="357">
        <f>L26</f>
        <v/>
      </c>
      <c r="N23" s="357">
        <f>M26</f>
        <v/>
      </c>
      <c r="O23" s="357">
        <f>N26</f>
        <v/>
      </c>
      <c r="P23" s="357">
        <f>O26</f>
        <v/>
      </c>
      <c r="Q23" s="357">
        <f>P26</f>
        <v/>
      </c>
      <c r="R23" s="357">
        <f>Q26</f>
        <v/>
      </c>
      <c r="S23" s="357">
        <f>R26</f>
        <v/>
      </c>
      <c r="T23" s="357">
        <f>S26</f>
        <v/>
      </c>
      <c r="U23" s="357">
        <f>T26</f>
        <v/>
      </c>
      <c r="V23" s="357">
        <f>U26</f>
        <v/>
      </c>
      <c r="W23" s="357">
        <f>V26</f>
        <v/>
      </c>
      <c r="X23" s="357">
        <f>W26</f>
        <v/>
      </c>
      <c r="Y23" s="357">
        <f>X26</f>
        <v/>
      </c>
      <c r="Z23" s="357">
        <f>Y26</f>
        <v/>
      </c>
      <c r="AA23" s="357">
        <f>Z26</f>
        <v/>
      </c>
      <c r="AB23" s="357">
        <f>AA26</f>
        <v/>
      </c>
      <c r="AC23" s="357">
        <f>AB26</f>
        <v/>
      </c>
      <c r="AD23" s="357">
        <f>AC26</f>
        <v/>
      </c>
      <c r="AE23" s="357">
        <f>AD26</f>
        <v/>
      </c>
      <c r="AF23" s="357">
        <f>AE26</f>
        <v/>
      </c>
      <c r="AG23" s="357">
        <f>AF26</f>
        <v/>
      </c>
      <c r="AH23" s="357">
        <f>AG26</f>
        <v/>
      </c>
      <c r="AI23" s="357">
        <f>AH26</f>
        <v/>
      </c>
      <c r="AJ23" s="357">
        <f>AI26</f>
        <v/>
      </c>
      <c r="AK23" s="357">
        <f>AJ26</f>
        <v/>
      </c>
      <c r="AL23" s="357">
        <f>AK26</f>
        <v/>
      </c>
      <c r="AM23" s="357">
        <f>AL26</f>
        <v/>
      </c>
      <c r="AN23" s="357">
        <f>AM26</f>
        <v/>
      </c>
      <c r="AO23" s="357">
        <f>AN26</f>
        <v/>
      </c>
      <c r="AP23" s="357">
        <f>AO26</f>
        <v/>
      </c>
      <c r="AQ23" s="357">
        <f>AP26</f>
        <v/>
      </c>
      <c r="AR23" s="357">
        <f>AQ26</f>
        <v/>
      </c>
      <c r="AS23" s="357">
        <f>AR26</f>
        <v/>
      </c>
      <c r="AT23" s="357">
        <f>AS26</f>
        <v/>
      </c>
      <c r="AU23" s="357">
        <f>AT26</f>
        <v/>
      </c>
      <c r="AV23" s="357">
        <f>AU26</f>
        <v/>
      </c>
      <c r="AW23" s="357">
        <f>AV26</f>
        <v/>
      </c>
    </row>
    <row r="24" outlineLevel="1">
      <c r="A24" s="207" t="n"/>
      <c r="B24" s="120" t="inlineStr">
        <is>
          <t>New</t>
        </is>
      </c>
      <c r="C24" s="327">
        <f>SUMIF($H$5:$AW$5,C$5,$H24:$AW24)</f>
        <v/>
      </c>
      <c r="D24" s="327">
        <f>SUMIF($H$5:$AW$5,D$5,$H24:$AW24)</f>
        <v/>
      </c>
      <c r="E24" s="327">
        <f>SUMIF($H$5:$AW$5,E$5,$H24:$AW24)</f>
        <v/>
      </c>
      <c r="F24" s="327">
        <f>SUMIF($H$5:$AW$5,F$5,$H24:$AW24)</f>
        <v/>
      </c>
      <c r="G24" s="358" t="n"/>
      <c r="H24" s="368" t="n">
        <v>0</v>
      </c>
      <c r="I24" s="368" t="n">
        <v>0</v>
      </c>
      <c r="J24" s="368" t="n">
        <v>0</v>
      </c>
      <c r="K24" s="368" t="n">
        <v>0</v>
      </c>
      <c r="L24" s="368" t="n">
        <v>0</v>
      </c>
      <c r="M24" s="368" t="n">
        <v>0</v>
      </c>
      <c r="N24" s="368" t="n">
        <v>0</v>
      </c>
      <c r="O24" s="368" t="n">
        <v>0</v>
      </c>
      <c r="P24" s="368" t="n">
        <v>0</v>
      </c>
      <c r="Q24" s="368" t="n">
        <v>0</v>
      </c>
      <c r="R24" s="368" t="n">
        <v>0</v>
      </c>
      <c r="S24" s="368" t="n">
        <v>0</v>
      </c>
      <c r="T24" s="368" t="n">
        <v>0</v>
      </c>
      <c r="U24" s="368" t="n">
        <v>0</v>
      </c>
      <c r="V24" s="368" t="n">
        <v>0</v>
      </c>
      <c r="W24" s="368" t="n">
        <v>0</v>
      </c>
      <c r="X24" s="368" t="n">
        <v>0</v>
      </c>
      <c r="Y24" s="368" t="n">
        <v>0</v>
      </c>
      <c r="Z24" s="368" t="n">
        <v>0</v>
      </c>
      <c r="AA24" s="368" t="n">
        <v>0</v>
      </c>
      <c r="AB24" s="368" t="n">
        <v>0</v>
      </c>
      <c r="AC24" s="368" t="n">
        <v>0</v>
      </c>
      <c r="AD24" s="368" t="n">
        <v>0</v>
      </c>
      <c r="AE24" s="368" t="n">
        <v>0</v>
      </c>
      <c r="AF24" s="368" t="n">
        <v>0</v>
      </c>
      <c r="AG24" s="368" t="n">
        <v>0</v>
      </c>
      <c r="AH24" s="368" t="n">
        <v>0</v>
      </c>
      <c r="AI24" s="368" t="n">
        <v>0</v>
      </c>
      <c r="AJ24" s="368" t="n">
        <v>0</v>
      </c>
      <c r="AK24" s="368" t="n">
        <v>0</v>
      </c>
      <c r="AL24" s="368" t="n">
        <v>0</v>
      </c>
      <c r="AM24" s="368" t="n">
        <v>0</v>
      </c>
      <c r="AN24" s="368" t="n">
        <v>0</v>
      </c>
      <c r="AO24" s="368" t="n">
        <v>0</v>
      </c>
      <c r="AP24" s="368" t="n">
        <v>0</v>
      </c>
      <c r="AQ24" s="368" t="n">
        <v>0</v>
      </c>
      <c r="AR24" s="368" t="n">
        <v>0</v>
      </c>
      <c r="AS24" s="368" t="n">
        <v>0</v>
      </c>
      <c r="AT24" s="368" t="n">
        <v>0</v>
      </c>
      <c r="AU24" s="368" t="n">
        <v>0</v>
      </c>
      <c r="AV24" s="368" t="n">
        <v>0</v>
      </c>
      <c r="AW24" s="368" t="n">
        <v>0</v>
      </c>
    </row>
    <row r="25" outlineLevel="1">
      <c r="A25" s="207" t="n"/>
      <c r="B25" s="120" t="inlineStr">
        <is>
          <t>Churn % of opening</t>
        </is>
      </c>
      <c r="C25" s="408" t="n"/>
      <c r="D25" s="401">
        <f>IFERROR(-(D26-D23-D24)/D23,"NA")</f>
        <v/>
      </c>
      <c r="E25" s="401">
        <f>IFERROR(-(E26-E23-E24)/E23,"NA")</f>
        <v/>
      </c>
      <c r="F25" s="401">
        <f>IFERROR(-(F26-F23-F24)/F23,"NA")</f>
        <v/>
      </c>
      <c r="G25" s="402" t="n"/>
      <c r="H25" s="403" t="n">
        <v>0.002</v>
      </c>
      <c r="I25" s="403" t="n">
        <v>0.002</v>
      </c>
      <c r="J25" s="403" t="n">
        <v>0.002</v>
      </c>
      <c r="K25" s="403" t="n">
        <v>0.002</v>
      </c>
      <c r="L25" s="403" t="n">
        <v>0.002</v>
      </c>
      <c r="M25" s="403" t="n">
        <v>0.002</v>
      </c>
      <c r="N25" s="403" t="n">
        <v>0.002</v>
      </c>
      <c r="O25" s="403" t="n">
        <v>0.002</v>
      </c>
      <c r="P25" s="403" t="n">
        <v>0.002</v>
      </c>
      <c r="Q25" s="403" t="n">
        <v>0.002</v>
      </c>
      <c r="R25" s="403" t="n">
        <v>0.002</v>
      </c>
      <c r="S25" s="403" t="n">
        <v>0.002</v>
      </c>
      <c r="T25" s="403" t="n">
        <v>0.002</v>
      </c>
      <c r="U25" s="403" t="n">
        <v>0.002</v>
      </c>
      <c r="V25" s="403" t="n">
        <v>0.002</v>
      </c>
      <c r="W25" s="403" t="n">
        <v>0.002</v>
      </c>
      <c r="X25" s="403" t="n">
        <v>0.002</v>
      </c>
      <c r="Y25" s="403" t="n">
        <v>0.002</v>
      </c>
      <c r="Z25" s="403" t="n">
        <v>0.002</v>
      </c>
      <c r="AA25" s="403" t="n">
        <v>0.002</v>
      </c>
      <c r="AB25" s="403" t="n">
        <v>0.002</v>
      </c>
      <c r="AC25" s="403" t="n">
        <v>0.002</v>
      </c>
      <c r="AD25" s="403" t="n">
        <v>0.002</v>
      </c>
      <c r="AE25" s="403" t="n">
        <v>0.002</v>
      </c>
      <c r="AF25" s="403" t="n">
        <v>0.002</v>
      </c>
      <c r="AG25" s="403" t="n">
        <v>0.002</v>
      </c>
      <c r="AH25" s="403" t="n">
        <v>0.002</v>
      </c>
      <c r="AI25" s="403" t="n">
        <v>0.002</v>
      </c>
      <c r="AJ25" s="403" t="n">
        <v>0.002</v>
      </c>
      <c r="AK25" s="403" t="n">
        <v>0.002</v>
      </c>
      <c r="AL25" s="403" t="n">
        <v>0.002</v>
      </c>
      <c r="AM25" s="403" t="n">
        <v>0.002</v>
      </c>
      <c r="AN25" s="403" t="n">
        <v>0.002</v>
      </c>
      <c r="AO25" s="403" t="n">
        <v>0.002</v>
      </c>
      <c r="AP25" s="403" t="n">
        <v>0.002</v>
      </c>
      <c r="AQ25" s="403" t="n">
        <v>0.002</v>
      </c>
      <c r="AR25" s="403" t="n">
        <v>0.002</v>
      </c>
      <c r="AS25" s="403" t="n">
        <v>0.002</v>
      </c>
      <c r="AT25" s="403" t="n">
        <v>0.002</v>
      </c>
      <c r="AU25" s="403" t="n">
        <v>0.002</v>
      </c>
      <c r="AV25" s="403" t="n">
        <v>0.002</v>
      </c>
      <c r="AW25" s="403" t="n">
        <v>0.002</v>
      </c>
    </row>
    <row r="26" outlineLevel="1">
      <c r="A26" s="207" t="n"/>
      <c r="B26" s="120" t="inlineStr">
        <is>
          <t>Closing customers</t>
        </is>
      </c>
      <c r="C26" s="327">
        <f>IFERROR(INDEX($H26:$AW26,MATCH(DATE(C$5,12,31),$H$6:$AW$6,0)),0)</f>
        <v/>
      </c>
      <c r="D26" s="327">
        <f>IFERROR(INDEX($H26:$AW26,MATCH(DATE(D$5,12,31),$H$6:$AW$6,0)),0)</f>
        <v/>
      </c>
      <c r="E26" s="327">
        <f>IFERROR(INDEX($H26:$AW26,MATCH(DATE(E$5,12,31),$H$6:$AW$6,0)),0)</f>
        <v/>
      </c>
      <c r="F26" s="327">
        <f>IFERROR(INDEX($H26:$AW26,MATCH(DATE(F$5,12,31),$H$6:$AW$6,0)),0)</f>
        <v/>
      </c>
      <c r="G26" s="358" t="n"/>
      <c r="H26" s="357">
        <f>ROUNDDOWN((H23+H24-(H25*H23)),0)</f>
        <v/>
      </c>
      <c r="I26" s="357">
        <f>ROUNDDOWN((I23+I24-(I25*I23)),0)</f>
        <v/>
      </c>
      <c r="J26" s="357">
        <f>ROUNDDOWN((J23+J24-(J25*J23)),0)</f>
        <v/>
      </c>
      <c r="K26" s="357">
        <f>ROUNDDOWN((K23+K24-(K25*K23)),0)</f>
        <v/>
      </c>
      <c r="L26" s="357">
        <f>ROUNDDOWN((L23+L24-(L25*L23)),0)</f>
        <v/>
      </c>
      <c r="M26" s="357">
        <f>ROUNDDOWN((M23+M24-(M25*M23)),0)</f>
        <v/>
      </c>
      <c r="N26" s="357">
        <f>ROUNDDOWN((N23+N24-(N25*N23)),0)</f>
        <v/>
      </c>
      <c r="O26" s="357">
        <f>ROUNDDOWN((O23+O24-(O25*O23)),0)</f>
        <v/>
      </c>
      <c r="P26" s="357">
        <f>ROUNDDOWN((P23+P24-(P25*P23)),0)</f>
        <v/>
      </c>
      <c r="Q26" s="357">
        <f>ROUNDDOWN((Q23+Q24-(Q25*Q23)),0)</f>
        <v/>
      </c>
      <c r="R26" s="357">
        <f>ROUNDDOWN((R23+R24-(R25*R23)),0)</f>
        <v/>
      </c>
      <c r="S26" s="357">
        <f>ROUNDDOWN((S23+S24-(S25*S23)),0)</f>
        <v/>
      </c>
      <c r="T26" s="357">
        <f>ROUNDDOWN((T23+T24-(T25*T23)),0)</f>
        <v/>
      </c>
      <c r="U26" s="357">
        <f>ROUNDDOWN((U23+U24-(U25*U23)),0)</f>
        <v/>
      </c>
      <c r="V26" s="357">
        <f>ROUNDDOWN((V23+V24-(V25*V23)),0)</f>
        <v/>
      </c>
      <c r="W26" s="357">
        <f>ROUNDDOWN((W23+W24-(W25*W23)),0)</f>
        <v/>
      </c>
      <c r="X26" s="357">
        <f>ROUNDDOWN((X23+X24-(X25*X23)),0)</f>
        <v/>
      </c>
      <c r="Y26" s="357">
        <f>ROUNDDOWN((Y23+Y24-(Y25*Y23)),0)</f>
        <v/>
      </c>
      <c r="Z26" s="357">
        <f>ROUNDDOWN((Z23+Z24-(Z25*Z23)),0)</f>
        <v/>
      </c>
      <c r="AA26" s="357">
        <f>ROUNDDOWN((AA23+AA24-(AA25*AA23)),0)</f>
        <v/>
      </c>
      <c r="AB26" s="357">
        <f>ROUNDDOWN((AB23+AB24-(AB25*AB23)),0)</f>
        <v/>
      </c>
      <c r="AC26" s="357">
        <f>ROUNDDOWN((AC23+AC24-(AC25*AC23)),0)</f>
        <v/>
      </c>
      <c r="AD26" s="357">
        <f>ROUNDDOWN((AD23+AD24-(AD25*AD23)),0)</f>
        <v/>
      </c>
      <c r="AE26" s="357">
        <f>ROUNDDOWN((AE23+AE24-(AE25*AE23)),0)</f>
        <v/>
      </c>
      <c r="AF26" s="357">
        <f>ROUNDDOWN((AF23+AF24-(AF25*AF23)),0)</f>
        <v/>
      </c>
      <c r="AG26" s="357">
        <f>ROUNDDOWN((AG23+AG24-(AG25*AG23)),0)</f>
        <v/>
      </c>
      <c r="AH26" s="357">
        <f>ROUNDDOWN((AH23+AH24-(AH25*AH23)),0)</f>
        <v/>
      </c>
      <c r="AI26" s="357">
        <f>ROUNDDOWN((AI23+AI24-(AI25*AI23)),0)</f>
        <v/>
      </c>
      <c r="AJ26" s="357">
        <f>ROUNDDOWN((AJ23+AJ24-(AJ25*AJ23)),0)</f>
        <v/>
      </c>
      <c r="AK26" s="357">
        <f>ROUNDDOWN((AK23+AK24-(AK25*AK23)),0)</f>
        <v/>
      </c>
      <c r="AL26" s="357">
        <f>ROUNDDOWN((AL23+AL24-(AL25*AL23)),0)</f>
        <v/>
      </c>
      <c r="AM26" s="357">
        <f>ROUNDDOWN((AM23+AM24-(AM25*AM23)),0)</f>
        <v/>
      </c>
      <c r="AN26" s="357">
        <f>ROUNDDOWN((AN23+AN24-(AN25*AN23)),0)</f>
        <v/>
      </c>
      <c r="AO26" s="357">
        <f>ROUNDDOWN((AO23+AO24-(AO25*AO23)),0)</f>
        <v/>
      </c>
      <c r="AP26" s="357">
        <f>ROUNDDOWN((AP23+AP24-(AP25*AP23)),0)</f>
        <v/>
      </c>
      <c r="AQ26" s="357">
        <f>ROUNDDOWN((AQ23+AQ24-(AQ25*AQ23)),0)</f>
        <v/>
      </c>
      <c r="AR26" s="357">
        <f>ROUNDDOWN((AR23+AR24-(AR25*AR23)),0)</f>
        <v/>
      </c>
      <c r="AS26" s="357">
        <f>ROUNDDOWN((AS23+AS24-(AS25*AS23)),0)</f>
        <v/>
      </c>
      <c r="AT26" s="357">
        <f>ROUNDDOWN((AT23+AT24-(AT25*AT23)),0)</f>
        <v/>
      </c>
      <c r="AU26" s="357">
        <f>ROUNDDOWN((AU23+AU24-(AU25*AU23)),0)</f>
        <v/>
      </c>
      <c r="AV26" s="357">
        <f>ROUNDDOWN((AV23+AV24-(AV25*AV23)),0)</f>
        <v/>
      </c>
      <c r="AW26" s="357">
        <f>ROUNDDOWN((AW23+AW24-(AW25*AW23)),0)</f>
        <v/>
      </c>
    </row>
    <row r="27" outlineLevel="1">
      <c r="A27" s="207" t="n"/>
      <c r="B27" s="120" t="inlineStr">
        <is>
          <t>Implementation revs per customer</t>
        </is>
      </c>
      <c r="C27" s="327">
        <f>IFERROR(C35/C24,"NA")</f>
        <v/>
      </c>
      <c r="D27" s="327">
        <f>IFERROR(D35/D24,"NA")</f>
        <v/>
      </c>
      <c r="E27" s="327">
        <f>IFERROR(E35/E24,"NA")</f>
        <v/>
      </c>
      <c r="F27" s="327">
        <f>IFERROR(F35/F24,"NA")</f>
        <v/>
      </c>
      <c r="G27" s="358" t="n"/>
      <c r="H27" s="368" t="n">
        <v>10</v>
      </c>
      <c r="I27" s="368" t="n">
        <v>10</v>
      </c>
      <c r="J27" s="368" t="n">
        <v>10</v>
      </c>
      <c r="K27" s="368" t="n">
        <v>10</v>
      </c>
      <c r="L27" s="368" t="n">
        <v>10</v>
      </c>
      <c r="M27" s="368" t="n">
        <v>10</v>
      </c>
      <c r="N27" s="368" t="n">
        <v>10</v>
      </c>
      <c r="O27" s="368" t="n">
        <v>10</v>
      </c>
      <c r="P27" s="368" t="n">
        <v>10</v>
      </c>
      <c r="Q27" s="368" t="n">
        <v>10</v>
      </c>
      <c r="R27" s="368" t="n">
        <v>10</v>
      </c>
      <c r="S27" s="368" t="n">
        <v>10</v>
      </c>
      <c r="T27" s="368" t="n">
        <v>10</v>
      </c>
      <c r="U27" s="368" t="n">
        <v>10</v>
      </c>
      <c r="V27" s="368" t="n">
        <v>10</v>
      </c>
      <c r="W27" s="368" t="n">
        <v>10</v>
      </c>
      <c r="X27" s="368" t="n">
        <v>10</v>
      </c>
      <c r="Y27" s="368" t="n">
        <v>10</v>
      </c>
      <c r="Z27" s="368" t="n">
        <v>10</v>
      </c>
      <c r="AA27" s="368" t="n">
        <v>10</v>
      </c>
      <c r="AB27" s="368" t="n">
        <v>10</v>
      </c>
      <c r="AC27" s="368" t="n">
        <v>10</v>
      </c>
      <c r="AD27" s="368" t="n">
        <v>10</v>
      </c>
      <c r="AE27" s="368" t="n">
        <v>10</v>
      </c>
      <c r="AF27" s="368" t="n">
        <v>10</v>
      </c>
      <c r="AG27" s="368" t="n">
        <v>10</v>
      </c>
      <c r="AH27" s="368" t="n">
        <v>10</v>
      </c>
      <c r="AI27" s="368" t="n">
        <v>10</v>
      </c>
      <c r="AJ27" s="368" t="n">
        <v>10</v>
      </c>
      <c r="AK27" s="368" t="n">
        <v>10</v>
      </c>
      <c r="AL27" s="368" t="n">
        <v>10</v>
      </c>
      <c r="AM27" s="368" t="n">
        <v>10</v>
      </c>
      <c r="AN27" s="368" t="n">
        <v>10</v>
      </c>
      <c r="AO27" s="368" t="n">
        <v>10</v>
      </c>
      <c r="AP27" s="368" t="n">
        <v>10</v>
      </c>
      <c r="AQ27" s="368" t="n">
        <v>10</v>
      </c>
      <c r="AR27" s="368" t="n">
        <v>10</v>
      </c>
      <c r="AS27" s="368" t="n">
        <v>10</v>
      </c>
      <c r="AT27" s="368" t="n">
        <v>10</v>
      </c>
      <c r="AU27" s="368" t="n">
        <v>10</v>
      </c>
      <c r="AV27" s="368" t="n">
        <v>10</v>
      </c>
      <c r="AW27" s="368" t="n">
        <v>10</v>
      </c>
    </row>
    <row r="28" outlineLevel="1">
      <c r="A28" s="207" t="n"/>
      <c r="B28" s="120" t="inlineStr">
        <is>
          <t>Annual system revs per customer</t>
        </is>
      </c>
      <c r="C28" s="327">
        <f>IFERROR(C36/AVERAGE(C26),"NA")</f>
        <v/>
      </c>
      <c r="D28" s="327">
        <f>IFERROR(D36/AVERAGE(C26:D26),"NA")</f>
        <v/>
      </c>
      <c r="E28" s="327">
        <f>IFERROR(E36/AVERAGE(D26:E26),"NA")</f>
        <v/>
      </c>
      <c r="F28" s="327">
        <f>IFERROR(F36/AVERAGE(E26:F26),"NA")</f>
        <v/>
      </c>
      <c r="G28" s="358" t="n"/>
      <c r="H28" s="368">
        <f>5/12</f>
        <v/>
      </c>
      <c r="I28" s="368">
        <f>5/12</f>
        <v/>
      </c>
      <c r="J28" s="368">
        <f>5/12</f>
        <v/>
      </c>
      <c r="K28" s="368">
        <f>5/12</f>
        <v/>
      </c>
      <c r="L28" s="368">
        <f>5/12</f>
        <v/>
      </c>
      <c r="M28" s="368">
        <f>5/12</f>
        <v/>
      </c>
      <c r="N28" s="368">
        <f>5/12</f>
        <v/>
      </c>
      <c r="O28" s="368">
        <f>5/12</f>
        <v/>
      </c>
      <c r="P28" s="368">
        <f>5/12</f>
        <v/>
      </c>
      <c r="Q28" s="368">
        <f>5/12</f>
        <v/>
      </c>
      <c r="R28" s="368">
        <f>5/12</f>
        <v/>
      </c>
      <c r="S28" s="368">
        <f>5/12</f>
        <v/>
      </c>
      <c r="T28" s="368">
        <f>5/12</f>
        <v/>
      </c>
      <c r="U28" s="368">
        <f>5/12</f>
        <v/>
      </c>
      <c r="V28" s="368">
        <f>5/12</f>
        <v/>
      </c>
      <c r="W28" s="368">
        <f>5/12</f>
        <v/>
      </c>
      <c r="X28" s="368">
        <f>5/12</f>
        <v/>
      </c>
      <c r="Y28" s="368">
        <f>5/12</f>
        <v/>
      </c>
      <c r="Z28" s="368">
        <f>5/12</f>
        <v/>
      </c>
      <c r="AA28" s="368">
        <f>5/12</f>
        <v/>
      </c>
      <c r="AB28" s="368">
        <f>5/12</f>
        <v/>
      </c>
      <c r="AC28" s="368">
        <f>5/12</f>
        <v/>
      </c>
      <c r="AD28" s="368">
        <f>5/12</f>
        <v/>
      </c>
      <c r="AE28" s="368">
        <f>5/12</f>
        <v/>
      </c>
      <c r="AF28" s="368">
        <f>5/12</f>
        <v/>
      </c>
      <c r="AG28" s="368">
        <f>5/12</f>
        <v/>
      </c>
      <c r="AH28" s="368">
        <f>5/12</f>
        <v/>
      </c>
      <c r="AI28" s="368">
        <f>5/12</f>
        <v/>
      </c>
      <c r="AJ28" s="368">
        <f>5/12</f>
        <v/>
      </c>
      <c r="AK28" s="368">
        <f>5/12</f>
        <v/>
      </c>
      <c r="AL28" s="368">
        <f>5/12</f>
        <v/>
      </c>
      <c r="AM28" s="368">
        <f>5/12</f>
        <v/>
      </c>
      <c r="AN28" s="368">
        <f>5/12</f>
        <v/>
      </c>
      <c r="AO28" s="368">
        <f>5/12</f>
        <v/>
      </c>
      <c r="AP28" s="368">
        <f>5/12</f>
        <v/>
      </c>
      <c r="AQ28" s="368">
        <f>5/12</f>
        <v/>
      </c>
      <c r="AR28" s="368">
        <f>5/12</f>
        <v/>
      </c>
      <c r="AS28" s="368">
        <f>5/12</f>
        <v/>
      </c>
      <c r="AT28" s="368">
        <f>5/12</f>
        <v/>
      </c>
      <c r="AU28" s="368">
        <f>5/12</f>
        <v/>
      </c>
      <c r="AV28" s="368">
        <f>5/12</f>
        <v/>
      </c>
      <c r="AW28" s="368">
        <f>5/12</f>
        <v/>
      </c>
    </row>
    <row r="29" outlineLevel="1">
      <c r="A29" s="207" t="n"/>
      <c r="C29" s="327" t="n"/>
      <c r="D29" s="327" t="n"/>
      <c r="E29" s="327" t="n"/>
      <c r="F29" s="327" t="n"/>
      <c r="G29" s="358" t="n"/>
      <c r="H29" s="357" t="n"/>
      <c r="I29" s="357" t="n"/>
      <c r="J29" s="357" t="n"/>
      <c r="K29" s="357" t="n"/>
      <c r="L29" s="357" t="n"/>
      <c r="M29" s="357" t="n"/>
      <c r="N29" s="357" t="n"/>
      <c r="O29" s="357" t="n"/>
      <c r="P29" s="357" t="n"/>
      <c r="Q29" s="357" t="n"/>
      <c r="R29" s="357" t="n"/>
      <c r="S29" s="357" t="n"/>
      <c r="T29" s="357" t="n"/>
      <c r="U29" s="357" t="n"/>
      <c r="V29" s="357" t="n"/>
      <c r="W29" s="357" t="n"/>
      <c r="X29" s="357" t="n"/>
      <c r="Y29" s="357" t="n"/>
      <c r="Z29" s="357" t="n"/>
      <c r="AA29" s="357" t="n"/>
      <c r="AB29" s="357" t="n"/>
      <c r="AC29" s="357" t="n"/>
      <c r="AD29" s="357" t="n"/>
      <c r="AE29" s="357" t="n"/>
      <c r="AF29" s="357" t="n"/>
      <c r="AG29" s="357" t="n"/>
      <c r="AH29" s="357" t="n"/>
      <c r="AI29" s="357" t="n"/>
      <c r="AJ29" s="357" t="n"/>
      <c r="AK29" s="357" t="n"/>
      <c r="AL29" s="357" t="n"/>
      <c r="AM29" s="357" t="n"/>
      <c r="AN29" s="357" t="n"/>
      <c r="AO29" s="357" t="n"/>
      <c r="AP29" s="357" t="n"/>
      <c r="AQ29" s="357" t="n"/>
      <c r="AR29" s="357" t="n"/>
      <c r="AS29" s="357" t="n"/>
      <c r="AT29" s="357" t="n"/>
      <c r="AU29" s="357" t="n"/>
      <c r="AV29" s="357" t="n"/>
      <c r="AW29" s="357" t="n"/>
    </row>
    <row r="30" outlineLevel="1">
      <c r="A30" s="207" t="n"/>
      <c r="B30" s="120" t="inlineStr">
        <is>
          <t>No of users per customer</t>
        </is>
      </c>
      <c r="C30" s="327">
        <f>IFERROR(INDEX($H30:$AW30,MATCH(DATE(C$5,12,31),$H$6:$AW$6,0)),0)</f>
        <v/>
      </c>
      <c r="D30" s="327">
        <f>IFERROR(INDEX($H30:$AW30,MATCH(DATE(D$5,12,31),$H$6:$AW$6,0)),0)</f>
        <v/>
      </c>
      <c r="E30" s="327">
        <f>IFERROR(INDEX($H30:$AW30,MATCH(DATE(E$5,12,31),$H$6:$AW$6,0)),0)</f>
        <v/>
      </c>
      <c r="F30" s="327">
        <f>IFERROR(INDEX($H30:$AW30,MATCH(DATE(F$5,12,31),$H$6:$AW$6,0)),0)</f>
        <v/>
      </c>
      <c r="G30" s="358" t="n"/>
      <c r="H30" s="368" t="n">
        <v>10</v>
      </c>
      <c r="I30" s="368">
        <f>ROUNDDOWN(H30*(1+I31),0)</f>
        <v/>
      </c>
      <c r="J30" s="368">
        <f>ROUNDDOWN(I30*(1+J31),0)</f>
        <v/>
      </c>
      <c r="K30" s="368">
        <f>ROUNDDOWN(J30*(1+K31),0)</f>
        <v/>
      </c>
      <c r="L30" s="368">
        <f>ROUNDDOWN(K30*(1+L31),0)</f>
        <v/>
      </c>
      <c r="M30" s="368">
        <f>ROUNDDOWN(L30*(1+M31),0)</f>
        <v/>
      </c>
      <c r="N30" s="368">
        <f>ROUNDDOWN(M30*(1+N31),0)</f>
        <v/>
      </c>
      <c r="O30" s="368">
        <f>ROUNDDOWN(N30*(1+O31),0)</f>
        <v/>
      </c>
      <c r="P30" s="368">
        <f>ROUNDDOWN(O30*(1+P31),0)</f>
        <v/>
      </c>
      <c r="Q30" s="368">
        <f>ROUNDDOWN(P30*(1+Q31),0)</f>
        <v/>
      </c>
      <c r="R30" s="368">
        <f>ROUNDDOWN(Q30*(1+R31),0)</f>
        <v/>
      </c>
      <c r="S30" s="368">
        <f>ROUNDDOWN(R30*(1+S31),0)</f>
        <v/>
      </c>
      <c r="T30" s="368">
        <f>ROUNDDOWN(H30*(1+T31),0)</f>
        <v/>
      </c>
      <c r="U30" s="368">
        <f>ROUNDDOWN(I30*(1+U31),0)</f>
        <v/>
      </c>
      <c r="V30" s="368">
        <f>ROUNDDOWN(J30*(1+V31),0)</f>
        <v/>
      </c>
      <c r="W30" s="368">
        <f>ROUNDDOWN(K30*(1+W31),0)</f>
        <v/>
      </c>
      <c r="X30" s="368">
        <f>ROUNDDOWN(L30*(1+X31),0)</f>
        <v/>
      </c>
      <c r="Y30" s="368">
        <f>ROUNDDOWN(M30*(1+Y31),0)</f>
        <v/>
      </c>
      <c r="Z30" s="368">
        <f>ROUNDDOWN(N30*(1+Z31),0)</f>
        <v/>
      </c>
      <c r="AA30" s="368">
        <f>ROUNDDOWN(O30*(1+AA31),0)</f>
        <v/>
      </c>
      <c r="AB30" s="368">
        <f>ROUNDDOWN(P30*(1+AB31),0)</f>
        <v/>
      </c>
      <c r="AC30" s="368">
        <f>ROUNDDOWN(Q30*(1+AC31),0)</f>
        <v/>
      </c>
      <c r="AD30" s="368">
        <f>ROUNDDOWN(R30*(1+AD31),0)</f>
        <v/>
      </c>
      <c r="AE30" s="368">
        <f>ROUNDDOWN(S30*(1+AE31),0)</f>
        <v/>
      </c>
      <c r="AF30" s="368">
        <f>ROUNDDOWN(T30*(1+AF31),0)</f>
        <v/>
      </c>
      <c r="AG30" s="368">
        <f>ROUNDDOWN(U30*(1+AG31),0)</f>
        <v/>
      </c>
      <c r="AH30" s="368">
        <f>ROUNDDOWN(V30*(1+AH31),0)</f>
        <v/>
      </c>
      <c r="AI30" s="368">
        <f>ROUNDDOWN(W30*(1+AI31),0)</f>
        <v/>
      </c>
      <c r="AJ30" s="368">
        <f>ROUNDDOWN(X30*(1+AJ31),0)</f>
        <v/>
      </c>
      <c r="AK30" s="368">
        <f>ROUNDDOWN(Y30*(1+AK31),0)</f>
        <v/>
      </c>
      <c r="AL30" s="368">
        <f>ROUNDDOWN(Z30*(1+AL31),0)</f>
        <v/>
      </c>
      <c r="AM30" s="368">
        <f>ROUNDDOWN(AA30*(1+AM31),0)</f>
        <v/>
      </c>
      <c r="AN30" s="368">
        <f>ROUNDDOWN(AB30*(1+AN31),0)</f>
        <v/>
      </c>
      <c r="AO30" s="368">
        <f>ROUNDDOWN(AC30*(1+AO31),0)</f>
        <v/>
      </c>
      <c r="AP30" s="368">
        <f>ROUNDDOWN(AD30*(1+AP31),0)</f>
        <v/>
      </c>
      <c r="AQ30" s="368">
        <f>ROUNDDOWN(AE30*(1+AQ31),0)</f>
        <v/>
      </c>
      <c r="AR30" s="368">
        <f>ROUNDDOWN(AF30*(1+AR31),0)</f>
        <v/>
      </c>
      <c r="AS30" s="368">
        <f>ROUNDDOWN(AG30*(1+AS31),0)</f>
        <v/>
      </c>
      <c r="AT30" s="368">
        <f>ROUNDDOWN(AH30*(1+AT31),0)</f>
        <v/>
      </c>
      <c r="AU30" s="368">
        <f>ROUNDDOWN(AI30*(1+AU31),0)</f>
        <v/>
      </c>
      <c r="AV30" s="368">
        <f>ROUNDDOWN(AJ30*(1+AV31),0)</f>
        <v/>
      </c>
      <c r="AW30" s="368">
        <f>ROUNDDOWN(AK30*(1+AW31),0)</f>
        <v/>
      </c>
    </row>
    <row r="31" outlineLevel="1">
      <c r="A31" s="207" t="n"/>
      <c r="B31" s="224" t="inlineStr">
        <is>
          <t>% growth in user per customer YoY</t>
        </is>
      </c>
      <c r="C31" s="409" t="n"/>
      <c r="D31" s="408">
        <f>IFERROR(D30/C30-1,"NA")</f>
        <v/>
      </c>
      <c r="E31" s="408">
        <f>IFERROR(E30/D30-1,"NA")</f>
        <v/>
      </c>
      <c r="F31" s="408">
        <f>IFERROR(F30/E30-1,"NA")</f>
        <v/>
      </c>
      <c r="G31" s="402" t="n"/>
      <c r="H31" s="403" t="n"/>
      <c r="I31" s="410" t="n"/>
      <c r="J31" s="410" t="n"/>
      <c r="K31" s="410" t="n"/>
      <c r="L31" s="410" t="n"/>
      <c r="M31" s="410" t="n"/>
      <c r="N31" s="410" t="n"/>
      <c r="O31" s="410" t="n"/>
      <c r="P31" s="410" t="n"/>
      <c r="Q31" s="410" t="n"/>
      <c r="R31" s="410" t="n"/>
      <c r="S31" s="410" t="n"/>
      <c r="T31" s="410" t="n">
        <v>0.1</v>
      </c>
      <c r="U31" s="410" t="n">
        <v>0.1</v>
      </c>
      <c r="V31" s="410" t="n">
        <v>0.1</v>
      </c>
      <c r="W31" s="410" t="n">
        <v>0.1</v>
      </c>
      <c r="X31" s="410" t="n">
        <v>0.1</v>
      </c>
      <c r="Y31" s="410" t="n">
        <v>0.1</v>
      </c>
      <c r="Z31" s="410" t="n">
        <v>0.1</v>
      </c>
      <c r="AA31" s="410" t="n">
        <v>0.1</v>
      </c>
      <c r="AB31" s="410" t="n">
        <v>0.1</v>
      </c>
      <c r="AC31" s="410" t="n">
        <v>0.1</v>
      </c>
      <c r="AD31" s="410" t="n">
        <v>0.1</v>
      </c>
      <c r="AE31" s="410" t="n">
        <v>0.1</v>
      </c>
      <c r="AF31" s="410" t="n">
        <v>0.1</v>
      </c>
      <c r="AG31" s="410" t="n">
        <v>0.1</v>
      </c>
      <c r="AH31" s="410" t="n">
        <v>0.1</v>
      </c>
      <c r="AI31" s="410" t="n">
        <v>0.1</v>
      </c>
      <c r="AJ31" s="410" t="n">
        <v>0.1</v>
      </c>
      <c r="AK31" s="410" t="n">
        <v>0.1</v>
      </c>
      <c r="AL31" s="410" t="n">
        <v>0.1</v>
      </c>
      <c r="AM31" s="410" t="n">
        <v>0.1</v>
      </c>
      <c r="AN31" s="410" t="n">
        <v>0.1</v>
      </c>
      <c r="AO31" s="410" t="n">
        <v>0.1</v>
      </c>
      <c r="AP31" s="410" t="n">
        <v>0.1</v>
      </c>
      <c r="AQ31" s="410" t="n">
        <v>0.1</v>
      </c>
      <c r="AR31" s="410" t="n">
        <v>0.1</v>
      </c>
      <c r="AS31" s="410" t="n">
        <v>0.1</v>
      </c>
      <c r="AT31" s="410" t="n">
        <v>0.1</v>
      </c>
      <c r="AU31" s="410" t="n">
        <v>0.1</v>
      </c>
      <c r="AV31" s="410" t="n">
        <v>0.1</v>
      </c>
      <c r="AW31" s="410" t="n">
        <v>0.1</v>
      </c>
    </row>
    <row r="32" outlineLevel="1">
      <c r="A32" s="207" t="n"/>
      <c r="B32" s="120" t="inlineStr">
        <is>
          <t>Total users</t>
        </is>
      </c>
      <c r="C32" s="327">
        <f>IFERROR(INDEX($H32:$AW32,MATCH(DATE(C$5,12,31),$H$6:$AW$6,0)),0)</f>
        <v/>
      </c>
      <c r="D32" s="327">
        <f>IFERROR(INDEX($H32:$AW32,MATCH(DATE(D$5,12,31),$H$6:$AW$6,0)),0)</f>
        <v/>
      </c>
      <c r="E32" s="327">
        <f>IFERROR(INDEX($H32:$AW32,MATCH(DATE(E$5,12,31),$H$6:$AW$6,0)),0)</f>
        <v/>
      </c>
      <c r="F32" s="327">
        <f>IFERROR(INDEX($H32:$AW32,MATCH(DATE(F$5,12,31),$H$6:$AW$6,0)),0)</f>
        <v/>
      </c>
      <c r="G32" s="358" t="n"/>
      <c r="H32" s="357">
        <f>H26*H30</f>
        <v/>
      </c>
      <c r="I32" s="357">
        <f>I26*I30</f>
        <v/>
      </c>
      <c r="J32" s="357">
        <f>J26*J30</f>
        <v/>
      </c>
      <c r="K32" s="357">
        <f>K26*K30</f>
        <v/>
      </c>
      <c r="L32" s="357">
        <f>L26*L30</f>
        <v/>
      </c>
      <c r="M32" s="357">
        <f>M26*M30</f>
        <v/>
      </c>
      <c r="N32" s="357">
        <f>N26*N30</f>
        <v/>
      </c>
      <c r="O32" s="357">
        <f>O26*O30</f>
        <v/>
      </c>
      <c r="P32" s="357">
        <f>P26*P30</f>
        <v/>
      </c>
      <c r="Q32" s="357">
        <f>Q26*Q30</f>
        <v/>
      </c>
      <c r="R32" s="357">
        <f>R26*R30</f>
        <v/>
      </c>
      <c r="S32" s="357">
        <f>S26*S30</f>
        <v/>
      </c>
      <c r="T32" s="357">
        <f>T26*T30</f>
        <v/>
      </c>
      <c r="U32" s="357">
        <f>U26*U30</f>
        <v/>
      </c>
      <c r="V32" s="357">
        <f>V26*V30</f>
        <v/>
      </c>
      <c r="W32" s="357">
        <f>W26*W30</f>
        <v/>
      </c>
      <c r="X32" s="357">
        <f>X26*X30</f>
        <v/>
      </c>
      <c r="Y32" s="357">
        <f>Y26*Y30</f>
        <v/>
      </c>
      <c r="Z32" s="357">
        <f>Z26*Z30</f>
        <v/>
      </c>
      <c r="AA32" s="357">
        <f>AA26*AA30</f>
        <v/>
      </c>
      <c r="AB32" s="357">
        <f>AB26*AB30</f>
        <v/>
      </c>
      <c r="AC32" s="357">
        <f>AC26*AC30</f>
        <v/>
      </c>
      <c r="AD32" s="357">
        <f>AD26*AD30</f>
        <v/>
      </c>
      <c r="AE32" s="357">
        <f>AE26*AE30</f>
        <v/>
      </c>
      <c r="AF32" s="357">
        <f>AF26*AF30</f>
        <v/>
      </c>
      <c r="AG32" s="357">
        <f>AG26*AG30</f>
        <v/>
      </c>
      <c r="AH32" s="357">
        <f>AH26*AH30</f>
        <v/>
      </c>
      <c r="AI32" s="357">
        <f>AI26*AI30</f>
        <v/>
      </c>
      <c r="AJ32" s="357">
        <f>AJ26*AJ30</f>
        <v/>
      </c>
      <c r="AK32" s="357">
        <f>AK26*AK30</f>
        <v/>
      </c>
      <c r="AL32" s="357">
        <f>AL26*AL30</f>
        <v/>
      </c>
      <c r="AM32" s="357">
        <f>AM26*AM30</f>
        <v/>
      </c>
      <c r="AN32" s="357">
        <f>AN26*AN30</f>
        <v/>
      </c>
      <c r="AO32" s="357">
        <f>AO26*AO30</f>
        <v/>
      </c>
      <c r="AP32" s="357">
        <f>AP26*AP30</f>
        <v/>
      </c>
      <c r="AQ32" s="357">
        <f>AQ26*AQ30</f>
        <v/>
      </c>
      <c r="AR32" s="357">
        <f>AR26*AR30</f>
        <v/>
      </c>
      <c r="AS32" s="357">
        <f>AS26*AS30</f>
        <v/>
      </c>
      <c r="AT32" s="357">
        <f>AT26*AT30</f>
        <v/>
      </c>
      <c r="AU32" s="357">
        <f>AU26*AU30</f>
        <v/>
      </c>
      <c r="AV32" s="357">
        <f>AV26*AV30</f>
        <v/>
      </c>
      <c r="AW32" s="357">
        <f>AW26*AW30</f>
        <v/>
      </c>
    </row>
    <row r="33" outlineLevel="1">
      <c r="A33" s="207" t="n"/>
      <c r="B33" s="120" t="inlineStr">
        <is>
          <t>Maintenance fee per user per month</t>
        </is>
      </c>
      <c r="C33" s="327">
        <f>IFERROR((C37/AVERAGE(C23,C32)/COUNTIF($H$5:$AK$5,C$5)),"NA")</f>
        <v/>
      </c>
      <c r="D33" s="327">
        <f>IFERROR((D37/AVERAGE(C32,D32)/COUNTIF($H$5:$AK$5,D$5)),"NA")</f>
        <v/>
      </c>
      <c r="E33" s="327">
        <f>IFERROR((E37/AVERAGE(D32,E32)/COUNTIF($H$5:$AK$5,E$5)),"NA")</f>
        <v/>
      </c>
      <c r="F33" s="327">
        <f>IFERROR((F37/AVERAGE(E32,F32)/COUNTIF($H$5:$AW$5,F$5)),"NA")</f>
        <v/>
      </c>
      <c r="G33" s="358" t="n"/>
      <c r="H33" s="368" t="n">
        <v>2</v>
      </c>
      <c r="I33" s="368" t="n">
        <v>2</v>
      </c>
      <c r="J33" s="368" t="n">
        <v>2</v>
      </c>
      <c r="K33" s="368" t="n">
        <v>2</v>
      </c>
      <c r="L33" s="368" t="n">
        <v>2</v>
      </c>
      <c r="M33" s="368" t="n">
        <v>2</v>
      </c>
      <c r="N33" s="368" t="n">
        <v>2</v>
      </c>
      <c r="O33" s="368" t="n">
        <v>2</v>
      </c>
      <c r="P33" s="368" t="n">
        <v>2</v>
      </c>
      <c r="Q33" s="368" t="n">
        <v>2</v>
      </c>
      <c r="R33" s="368" t="n">
        <v>2</v>
      </c>
      <c r="S33" s="368" t="n">
        <v>2</v>
      </c>
      <c r="T33" s="368" t="n">
        <v>2</v>
      </c>
      <c r="U33" s="368" t="n">
        <v>2</v>
      </c>
      <c r="V33" s="368" t="n">
        <v>2</v>
      </c>
      <c r="W33" s="368" t="n">
        <v>2</v>
      </c>
      <c r="X33" s="368" t="n">
        <v>2</v>
      </c>
      <c r="Y33" s="368" t="n">
        <v>2</v>
      </c>
      <c r="Z33" s="368" t="n">
        <v>2</v>
      </c>
      <c r="AA33" s="368" t="n">
        <v>2</v>
      </c>
      <c r="AB33" s="368" t="n">
        <v>2</v>
      </c>
      <c r="AC33" s="368" t="n">
        <v>2</v>
      </c>
      <c r="AD33" s="368" t="n">
        <v>2</v>
      </c>
      <c r="AE33" s="368" t="n">
        <v>2</v>
      </c>
      <c r="AF33" s="368" t="n">
        <v>2</v>
      </c>
      <c r="AG33" s="368" t="n">
        <v>2</v>
      </c>
      <c r="AH33" s="368" t="n">
        <v>2</v>
      </c>
      <c r="AI33" s="368" t="n">
        <v>2</v>
      </c>
      <c r="AJ33" s="368" t="n">
        <v>2</v>
      </c>
      <c r="AK33" s="368" t="n">
        <v>2</v>
      </c>
      <c r="AL33" s="368" t="n">
        <v>2</v>
      </c>
      <c r="AM33" s="368" t="n">
        <v>2</v>
      </c>
      <c r="AN33" s="368" t="n">
        <v>2</v>
      </c>
      <c r="AO33" s="368" t="n">
        <v>2</v>
      </c>
      <c r="AP33" s="368" t="n">
        <v>2</v>
      </c>
      <c r="AQ33" s="368" t="n">
        <v>2</v>
      </c>
      <c r="AR33" s="368" t="n">
        <v>2</v>
      </c>
      <c r="AS33" s="368" t="n">
        <v>2</v>
      </c>
      <c r="AT33" s="368" t="n">
        <v>2</v>
      </c>
      <c r="AU33" s="368" t="n">
        <v>2</v>
      </c>
      <c r="AV33" s="368" t="n">
        <v>2</v>
      </c>
      <c r="AW33" s="368" t="n">
        <v>2</v>
      </c>
    </row>
    <row r="34" outlineLevel="1">
      <c r="A34" s="207" t="n"/>
      <c r="C34" s="327" t="n"/>
      <c r="D34" s="327" t="n"/>
      <c r="E34" s="327" t="n"/>
      <c r="F34" s="327" t="n"/>
      <c r="G34" s="358" t="n"/>
      <c r="H34" s="357" t="n"/>
      <c r="I34" s="357" t="n"/>
      <c r="J34" s="357" t="n"/>
      <c r="K34" s="357" t="n"/>
      <c r="L34" s="357" t="n"/>
      <c r="M34" s="357" t="n"/>
      <c r="N34" s="357" t="n"/>
      <c r="O34" s="357" t="n"/>
      <c r="P34" s="357" t="n"/>
      <c r="Q34" s="357" t="n"/>
      <c r="R34" s="357" t="n"/>
      <c r="S34" s="357" t="n"/>
      <c r="T34" s="357" t="n"/>
      <c r="U34" s="357" t="n"/>
      <c r="V34" s="357" t="n"/>
      <c r="W34" s="357" t="n"/>
      <c r="X34" s="357" t="n"/>
      <c r="Y34" s="357" t="n"/>
      <c r="Z34" s="357" t="n"/>
      <c r="AA34" s="357" t="n"/>
      <c r="AB34" s="357" t="n"/>
      <c r="AC34" s="357" t="n"/>
      <c r="AD34" s="357" t="n"/>
      <c r="AE34" s="357" t="n"/>
      <c r="AF34" s="357" t="n"/>
      <c r="AG34" s="357" t="n"/>
      <c r="AH34" s="357" t="n"/>
      <c r="AI34" s="357" t="n"/>
      <c r="AJ34" s="357" t="n"/>
      <c r="AK34" s="357" t="n"/>
      <c r="AL34" s="357" t="n"/>
      <c r="AM34" s="357" t="n"/>
      <c r="AN34" s="357" t="n"/>
      <c r="AO34" s="357" t="n"/>
      <c r="AP34" s="357" t="n"/>
      <c r="AQ34" s="357" t="n"/>
      <c r="AR34" s="357" t="n"/>
      <c r="AS34" s="357" t="n"/>
      <c r="AT34" s="357" t="n"/>
      <c r="AU34" s="357" t="n"/>
      <c r="AV34" s="357" t="n"/>
      <c r="AW34" s="357" t="n"/>
    </row>
    <row r="35" outlineLevel="1" customFormat="1" s="2">
      <c r="A35" s="299" t="n"/>
      <c r="B35" s="219" t="inlineStr">
        <is>
          <t>Implementation revs</t>
        </is>
      </c>
      <c r="C35" s="406">
        <f>SUMIF($H$5:$AW$5,C$5,$H35:$AW35)</f>
        <v/>
      </c>
      <c r="D35" s="406">
        <f>SUMIF($H$5:$AW$5,D$5,$H35:$AW35)</f>
        <v/>
      </c>
      <c r="E35" s="406">
        <f>SUMIF($H$5:$AW$5,E$5,$H35:$AW35)</f>
        <v/>
      </c>
      <c r="F35" s="406">
        <f>SUMIF($H$5:$AW$5,F$5,$H35:$AW35)</f>
        <v/>
      </c>
      <c r="G35" s="360" t="n"/>
      <c r="H35" s="407">
        <f>H24*H27</f>
        <v/>
      </c>
      <c r="I35" s="407">
        <f>I24*I27</f>
        <v/>
      </c>
      <c r="J35" s="407">
        <f>J24*J27</f>
        <v/>
      </c>
      <c r="K35" s="407">
        <f>K24*K27</f>
        <v/>
      </c>
      <c r="L35" s="407">
        <f>L24*L27</f>
        <v/>
      </c>
      <c r="M35" s="407">
        <f>M24*M27</f>
        <v/>
      </c>
      <c r="N35" s="407">
        <f>N24*N27</f>
        <v/>
      </c>
      <c r="O35" s="407">
        <f>O24*O27</f>
        <v/>
      </c>
      <c r="P35" s="407">
        <f>P24*P27</f>
        <v/>
      </c>
      <c r="Q35" s="407">
        <f>Q24*Q27</f>
        <v/>
      </c>
      <c r="R35" s="407">
        <f>R24*R27</f>
        <v/>
      </c>
      <c r="S35" s="407">
        <f>S24*S27</f>
        <v/>
      </c>
      <c r="T35" s="407">
        <f>T24*T27</f>
        <v/>
      </c>
      <c r="U35" s="407">
        <f>U24*U27</f>
        <v/>
      </c>
      <c r="V35" s="407">
        <f>V24*V27</f>
        <v/>
      </c>
      <c r="W35" s="407">
        <f>W24*W27</f>
        <v/>
      </c>
      <c r="X35" s="407">
        <f>X24*X27</f>
        <v/>
      </c>
      <c r="Y35" s="407">
        <f>Y24*Y27</f>
        <v/>
      </c>
      <c r="Z35" s="407">
        <f>Z24*Z27</f>
        <v/>
      </c>
      <c r="AA35" s="407">
        <f>AA24*AA27</f>
        <v/>
      </c>
      <c r="AB35" s="407">
        <f>AB24*AB27</f>
        <v/>
      </c>
      <c r="AC35" s="407">
        <f>AC24*AC27</f>
        <v/>
      </c>
      <c r="AD35" s="407">
        <f>AD24*AD27</f>
        <v/>
      </c>
      <c r="AE35" s="407">
        <f>AE24*AE27</f>
        <v/>
      </c>
      <c r="AF35" s="407">
        <f>AF24*AF27</f>
        <v/>
      </c>
      <c r="AG35" s="407">
        <f>AG24*AG27</f>
        <v/>
      </c>
      <c r="AH35" s="407">
        <f>AH24*AH27</f>
        <v/>
      </c>
      <c r="AI35" s="407">
        <f>AI24*AI27</f>
        <v/>
      </c>
      <c r="AJ35" s="407">
        <f>AJ24*AJ27</f>
        <v/>
      </c>
      <c r="AK35" s="407">
        <f>AK24*AK27</f>
        <v/>
      </c>
      <c r="AL35" s="407">
        <f>AL24*AL27</f>
        <v/>
      </c>
      <c r="AM35" s="407">
        <f>AM24*AM27</f>
        <v/>
      </c>
      <c r="AN35" s="407">
        <f>AN24*AN27</f>
        <v/>
      </c>
      <c r="AO35" s="407">
        <f>AO24*AO27</f>
        <v/>
      </c>
      <c r="AP35" s="407">
        <f>AP24*AP27</f>
        <v/>
      </c>
      <c r="AQ35" s="407">
        <f>AQ24*AQ27</f>
        <v/>
      </c>
      <c r="AR35" s="407">
        <f>AR24*AR27</f>
        <v/>
      </c>
      <c r="AS35" s="407">
        <f>AS24*AS27</f>
        <v/>
      </c>
      <c r="AT35" s="407">
        <f>AT24*AT27</f>
        <v/>
      </c>
      <c r="AU35" s="407">
        <f>AU24*AU27</f>
        <v/>
      </c>
      <c r="AV35" s="407">
        <f>AV24*AV27</f>
        <v/>
      </c>
      <c r="AW35" s="407">
        <f>AW24*AW27</f>
        <v/>
      </c>
    </row>
    <row r="36" outlineLevel="1" customFormat="1" s="2">
      <c r="A36" s="299" t="n"/>
      <c r="B36" s="227" t="inlineStr">
        <is>
          <t>Customer maintenance revs (after 6 months)</t>
        </is>
      </c>
      <c r="C36" s="411">
        <f>SUMIF($H$5:$AW$5,C$5,$H36:$AW36)</f>
        <v/>
      </c>
      <c r="D36" s="411">
        <f>SUMIF($H$5:$AW$5,D$5,$H36:$AW36)</f>
        <v/>
      </c>
      <c r="E36" s="411">
        <f>SUMIF($H$5:$AW$5,E$5,$H36:$AW36)</f>
        <v/>
      </c>
      <c r="F36" s="411">
        <f>SUMIF($H$5:$AW$5,F$5,$H36:$AW36)</f>
        <v/>
      </c>
      <c r="G36" s="360" t="n"/>
      <c r="H36" s="412" t="n"/>
      <c r="I36" s="412" t="n"/>
      <c r="J36" s="412" t="n"/>
      <c r="K36" s="412" t="n"/>
      <c r="L36" s="412" t="n"/>
      <c r="M36" s="412" t="n"/>
      <c r="N36" s="412">
        <f>N28*(AVERAGE(I26,H26))</f>
        <v/>
      </c>
      <c r="O36" s="412">
        <f>O28*(AVERAGE(J26,I26))</f>
        <v/>
      </c>
      <c r="P36" s="412">
        <f>P28*(AVERAGE(K26,J26))</f>
        <v/>
      </c>
      <c r="Q36" s="412">
        <f>Q28*(AVERAGE(L26,K26))</f>
        <v/>
      </c>
      <c r="R36" s="412">
        <f>R28*(AVERAGE(M26,L26))</f>
        <v/>
      </c>
      <c r="S36" s="412">
        <f>S28*(AVERAGE(N26,M26))</f>
        <v/>
      </c>
      <c r="T36" s="412">
        <f>T28*(AVERAGE(O26,N26))</f>
        <v/>
      </c>
      <c r="U36" s="412">
        <f>U28*(AVERAGE(P26,O26))</f>
        <v/>
      </c>
      <c r="V36" s="412">
        <f>V28*(AVERAGE(Q26,P26))</f>
        <v/>
      </c>
      <c r="W36" s="412">
        <f>W28*(AVERAGE(R26,Q26))</f>
        <v/>
      </c>
      <c r="X36" s="412">
        <f>X28*(AVERAGE(S26,R26))</f>
        <v/>
      </c>
      <c r="Y36" s="412">
        <f>Y28*(AVERAGE(T26,S26))</f>
        <v/>
      </c>
      <c r="Z36" s="412">
        <f>Z28*(AVERAGE(U26,T26))</f>
        <v/>
      </c>
      <c r="AA36" s="412">
        <f>AA28*(AVERAGE(V26,U26))</f>
        <v/>
      </c>
      <c r="AB36" s="412">
        <f>AB28*(AVERAGE(W26,V26))</f>
        <v/>
      </c>
      <c r="AC36" s="412">
        <f>AC28*(AVERAGE(X26,W26))</f>
        <v/>
      </c>
      <c r="AD36" s="412">
        <f>AD28*(AVERAGE(Y26,X26))</f>
        <v/>
      </c>
      <c r="AE36" s="412">
        <f>AE28*(AVERAGE(Z26,Y26))</f>
        <v/>
      </c>
      <c r="AF36" s="412">
        <f>AF28*(AVERAGE(AA26,Z26))</f>
        <v/>
      </c>
      <c r="AG36" s="412">
        <f>AG28*(AVERAGE(AB26,AA26))</f>
        <v/>
      </c>
      <c r="AH36" s="412">
        <f>AH28*(AVERAGE(AC26,AB26))</f>
        <v/>
      </c>
      <c r="AI36" s="412">
        <f>AI28*(AVERAGE(AD26,AC26))</f>
        <v/>
      </c>
      <c r="AJ36" s="412">
        <f>AJ28*(AVERAGE(AE26,AD26))</f>
        <v/>
      </c>
      <c r="AK36" s="412">
        <f>AK28*(AVERAGE(AF26,AE26))</f>
        <v/>
      </c>
      <c r="AL36" s="412">
        <f>AL28*(AVERAGE(AG26,AF26))</f>
        <v/>
      </c>
      <c r="AM36" s="412">
        <f>AM28*(AVERAGE(AH26,AG26))</f>
        <v/>
      </c>
      <c r="AN36" s="412">
        <f>AN28*(AVERAGE(AI26,AH26))</f>
        <v/>
      </c>
      <c r="AO36" s="412">
        <f>AO28*(AVERAGE(AJ26,AI26))</f>
        <v/>
      </c>
      <c r="AP36" s="412">
        <f>AP28*(AVERAGE(AK26,AJ26))</f>
        <v/>
      </c>
      <c r="AQ36" s="412">
        <f>AQ28*(AVERAGE(AL26,AK26))</f>
        <v/>
      </c>
      <c r="AR36" s="412">
        <f>AR28*(AVERAGE(AM26,AL26))</f>
        <v/>
      </c>
      <c r="AS36" s="412">
        <f>AS28*(AVERAGE(AN26,AM26))</f>
        <v/>
      </c>
      <c r="AT36" s="412">
        <f>AT28*(AVERAGE(AO26,AN26))</f>
        <v/>
      </c>
      <c r="AU36" s="412">
        <f>AU28*(AVERAGE(AP26,AO26))</f>
        <v/>
      </c>
      <c r="AV36" s="412">
        <f>AV28*(AVERAGE(AQ26,AP26))</f>
        <v/>
      </c>
      <c r="AW36" s="412">
        <f>AW28*(AVERAGE(AR26,AQ26))</f>
        <v/>
      </c>
    </row>
    <row r="37" outlineLevel="1" customFormat="1" s="2">
      <c r="A37" s="299" t="n"/>
      <c r="B37" s="227" t="inlineStr">
        <is>
          <t>User Maintenance Revs</t>
        </is>
      </c>
      <c r="C37" s="411">
        <f>SUMIF($H$5:$AW$5,C$5,$H37:$AW37)</f>
        <v/>
      </c>
      <c r="D37" s="411">
        <f>SUMIF($H$5:$AW$5,D$5,$H37:$AW37)</f>
        <v/>
      </c>
      <c r="E37" s="411">
        <f>SUMIF($H$5:$AW$5,E$5,$H37:$AW37)</f>
        <v/>
      </c>
      <c r="F37" s="411">
        <f>SUMIF($H$5:$AW$5,F$5,$H37:$AW37)</f>
        <v/>
      </c>
      <c r="G37" s="360" t="n"/>
      <c r="H37" s="412">
        <f>H33*H32</f>
        <v/>
      </c>
      <c r="I37" s="412">
        <f>I33*I32</f>
        <v/>
      </c>
      <c r="J37" s="412">
        <f>J33*J32</f>
        <v/>
      </c>
      <c r="K37" s="412">
        <f>K33*K32</f>
        <v/>
      </c>
      <c r="L37" s="412">
        <f>L33*L32</f>
        <v/>
      </c>
      <c r="M37" s="412">
        <f>M33*M32</f>
        <v/>
      </c>
      <c r="N37" s="412">
        <f>N33*N32</f>
        <v/>
      </c>
      <c r="O37" s="412">
        <f>O33*O32</f>
        <v/>
      </c>
      <c r="P37" s="412">
        <f>P33*P32</f>
        <v/>
      </c>
      <c r="Q37" s="412">
        <f>Q33*Q32</f>
        <v/>
      </c>
      <c r="R37" s="412">
        <f>R33*R32</f>
        <v/>
      </c>
      <c r="S37" s="412">
        <f>S33*S32</f>
        <v/>
      </c>
      <c r="T37" s="412">
        <f>T33*T32</f>
        <v/>
      </c>
      <c r="U37" s="412">
        <f>U33*U32</f>
        <v/>
      </c>
      <c r="V37" s="412">
        <f>V33*V32</f>
        <v/>
      </c>
      <c r="W37" s="412">
        <f>W33*W32</f>
        <v/>
      </c>
      <c r="X37" s="412">
        <f>X33*X32</f>
        <v/>
      </c>
      <c r="Y37" s="412">
        <f>Y33*Y32</f>
        <v/>
      </c>
      <c r="Z37" s="412">
        <f>Z33*Z32</f>
        <v/>
      </c>
      <c r="AA37" s="412">
        <f>AA33*AA32</f>
        <v/>
      </c>
      <c r="AB37" s="412">
        <f>AB33*AB32</f>
        <v/>
      </c>
      <c r="AC37" s="412">
        <f>AC33*AC32</f>
        <v/>
      </c>
      <c r="AD37" s="412">
        <f>AD33*AD32</f>
        <v/>
      </c>
      <c r="AE37" s="412">
        <f>AE33*AE32</f>
        <v/>
      </c>
      <c r="AF37" s="412">
        <f>AF33*AF32</f>
        <v/>
      </c>
      <c r="AG37" s="412">
        <f>AG33*AG32</f>
        <v/>
      </c>
      <c r="AH37" s="412">
        <f>AH33*AH32</f>
        <v/>
      </c>
      <c r="AI37" s="412">
        <f>AI33*AI32</f>
        <v/>
      </c>
      <c r="AJ37" s="412">
        <f>AJ33*AJ32</f>
        <v/>
      </c>
      <c r="AK37" s="412">
        <f>AK33*AK32</f>
        <v/>
      </c>
      <c r="AL37" s="412">
        <f>AL33*AL32</f>
        <v/>
      </c>
      <c r="AM37" s="412">
        <f>AM33*AM32</f>
        <v/>
      </c>
      <c r="AN37" s="412">
        <f>AN33*AN32</f>
        <v/>
      </c>
      <c r="AO37" s="412">
        <f>AO33*AO32</f>
        <v/>
      </c>
      <c r="AP37" s="412">
        <f>AP33*AP32</f>
        <v/>
      </c>
      <c r="AQ37" s="412">
        <f>AQ33*AQ32</f>
        <v/>
      </c>
      <c r="AR37" s="412">
        <f>AR33*AR32</f>
        <v/>
      </c>
      <c r="AS37" s="412">
        <f>AS33*AS32</f>
        <v/>
      </c>
      <c r="AT37" s="412">
        <f>AT33*AT32</f>
        <v/>
      </c>
      <c r="AU37" s="412">
        <f>AU33*AU32</f>
        <v/>
      </c>
      <c r="AV37" s="412">
        <f>AV33*AV32</f>
        <v/>
      </c>
      <c r="AW37" s="412">
        <f>AW33*AW32</f>
        <v/>
      </c>
    </row>
    <row r="38">
      <c r="A38" s="207" t="n"/>
      <c r="C38" s="210" t="n"/>
      <c r="D38" s="210" t="n"/>
      <c r="E38" s="210" t="n"/>
      <c r="F38" s="210" t="n"/>
    </row>
    <row r="39">
      <c r="A39" s="207" t="n"/>
      <c r="B39" s="149" t="inlineStr">
        <is>
          <t>Transaction based (loans) - B2B</t>
        </is>
      </c>
      <c r="C39" s="208" t="n"/>
      <c r="D39" s="208" t="n"/>
      <c r="E39" s="208" t="n"/>
      <c r="F39" s="208" t="n"/>
      <c r="G39" s="202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209" t="n"/>
      <c r="AB39" s="209" t="n"/>
      <c r="AC39" s="209" t="n"/>
      <c r="AD39" s="209" t="n"/>
      <c r="AE39" s="209" t="n"/>
      <c r="AF39" s="209" t="n"/>
      <c r="AG39" s="209" t="n"/>
      <c r="AH39" s="209" t="n"/>
      <c r="AI39" s="209" t="n"/>
      <c r="AJ39" s="209" t="n"/>
      <c r="AK39" s="209" t="n"/>
      <c r="AL39" s="209" t="n"/>
      <c r="AM39" s="209" t="n"/>
      <c r="AN39" s="209" t="n"/>
      <c r="AO39" s="209" t="n"/>
      <c r="AP39" s="209" t="n"/>
      <c r="AQ39" s="209" t="n"/>
      <c r="AR39" s="209" t="n"/>
      <c r="AS39" s="209" t="n"/>
      <c r="AT39" s="209" t="n"/>
      <c r="AU39" s="209" t="n"/>
      <c r="AV39" s="209" t="n"/>
      <c r="AW39" s="209" t="n"/>
    </row>
    <row r="40">
      <c r="A40" s="207" t="n"/>
      <c r="C40" s="210" t="n"/>
      <c r="D40" s="210" t="n"/>
      <c r="E40" s="210" t="n"/>
      <c r="F40" s="210" t="n"/>
    </row>
    <row r="41">
      <c r="A41" s="207" t="n"/>
      <c r="C41" s="210" t="n"/>
      <c r="D41" s="210" t="n"/>
      <c r="E41" s="210" t="n"/>
      <c r="F41" s="210" t="n"/>
    </row>
    <row r="42">
      <c r="A42" s="207" t="inlineStr">
        <is>
          <t>Numbers</t>
        </is>
      </c>
      <c r="B42" s="230" t="inlineStr">
        <is>
          <t>Customers</t>
        </is>
      </c>
      <c r="C42" s="327">
        <f>H42</f>
        <v/>
      </c>
      <c r="D42" s="327">
        <f>C45</f>
        <v/>
      </c>
      <c r="E42" s="327">
        <f>D45</f>
        <v/>
      </c>
      <c r="F42" s="327">
        <f>E45</f>
        <v/>
      </c>
      <c r="G42" s="358" t="n"/>
      <c r="H42" s="368" t="n">
        <v>0</v>
      </c>
      <c r="I42" s="357">
        <f>H45</f>
        <v/>
      </c>
      <c r="J42" s="357">
        <f>I45</f>
        <v/>
      </c>
      <c r="K42" s="357">
        <f>J45</f>
        <v/>
      </c>
      <c r="L42" s="357">
        <f>K45</f>
        <v/>
      </c>
      <c r="M42" s="357">
        <f>L45</f>
        <v/>
      </c>
      <c r="N42" s="357">
        <f>M45</f>
        <v/>
      </c>
      <c r="O42" s="357">
        <f>N45</f>
        <v/>
      </c>
      <c r="P42" s="357">
        <f>O45</f>
        <v/>
      </c>
      <c r="Q42" s="357">
        <f>P45</f>
        <v/>
      </c>
      <c r="R42" s="357">
        <f>Q45</f>
        <v/>
      </c>
      <c r="S42" s="357">
        <f>R45</f>
        <v/>
      </c>
      <c r="T42" s="357">
        <f>S45</f>
        <v/>
      </c>
      <c r="U42" s="357">
        <f>T45</f>
        <v/>
      </c>
      <c r="V42" s="357">
        <f>U45</f>
        <v/>
      </c>
      <c r="W42" s="357">
        <f>V45</f>
        <v/>
      </c>
      <c r="X42" s="357">
        <f>W45</f>
        <v/>
      </c>
      <c r="Y42" s="357">
        <f>X45</f>
        <v/>
      </c>
      <c r="Z42" s="357">
        <f>Y45</f>
        <v/>
      </c>
      <c r="AA42" s="357">
        <f>Z45</f>
        <v/>
      </c>
      <c r="AB42" s="357">
        <f>AA45</f>
        <v/>
      </c>
      <c r="AC42" s="357">
        <f>AB45</f>
        <v/>
      </c>
      <c r="AD42" s="357">
        <f>AC45</f>
        <v/>
      </c>
      <c r="AE42" s="357">
        <f>AD45</f>
        <v/>
      </c>
      <c r="AF42" s="357">
        <f>AE45</f>
        <v/>
      </c>
      <c r="AG42" s="357">
        <f>AF45</f>
        <v/>
      </c>
      <c r="AH42" s="357">
        <f>AG45</f>
        <v/>
      </c>
      <c r="AI42" s="357">
        <f>AH45</f>
        <v/>
      </c>
      <c r="AJ42" s="357">
        <f>AI45</f>
        <v/>
      </c>
      <c r="AK42" s="357">
        <f>AJ45</f>
        <v/>
      </c>
      <c r="AL42" s="357">
        <f>AK45</f>
        <v/>
      </c>
      <c r="AM42" s="357">
        <f>AL45</f>
        <v/>
      </c>
      <c r="AN42" s="357">
        <f>AM45</f>
        <v/>
      </c>
      <c r="AO42" s="357">
        <f>AN45</f>
        <v/>
      </c>
      <c r="AP42" s="357">
        <f>AO45</f>
        <v/>
      </c>
      <c r="AQ42" s="357">
        <f>AP45</f>
        <v/>
      </c>
      <c r="AR42" s="357">
        <f>AQ45</f>
        <v/>
      </c>
      <c r="AS42" s="357">
        <f>AR45</f>
        <v/>
      </c>
      <c r="AT42" s="357">
        <f>AS45</f>
        <v/>
      </c>
      <c r="AU42" s="357">
        <f>AT45</f>
        <v/>
      </c>
      <c r="AV42" s="357">
        <f>AU45</f>
        <v/>
      </c>
      <c r="AW42" s="357">
        <f>AV45</f>
        <v/>
      </c>
    </row>
    <row r="43">
      <c r="A43" s="207" t="inlineStr">
        <is>
          <t>Numbers</t>
        </is>
      </c>
      <c r="B43" s="230" t="inlineStr">
        <is>
          <t>New</t>
        </is>
      </c>
      <c r="C43" s="327">
        <f>SUMIF($H$5:$AW$5,C$5,$H43:$AW43)</f>
        <v/>
      </c>
      <c r="D43" s="327">
        <f>SUMIF($H$5:$AW$5,D$5,$H43:$AW43)</f>
        <v/>
      </c>
      <c r="E43" s="327">
        <f>SUMIF($H$5:$AW$5,E$5,$H43:$AW43)</f>
        <v/>
      </c>
      <c r="F43" s="327">
        <f>SUMIF($H$5:$AW$5,F$5,$H43:$AW43)</f>
        <v/>
      </c>
      <c r="G43" s="358" t="n"/>
      <c r="H43" s="368" t="n">
        <v>500</v>
      </c>
      <c r="I43" s="368" t="n">
        <v>1000</v>
      </c>
      <c r="J43" s="368" t="n">
        <v>1200</v>
      </c>
      <c r="K43" s="368" t="n">
        <v>1400</v>
      </c>
      <c r="L43" s="368" t="n">
        <v>1800</v>
      </c>
      <c r="M43" s="368" t="n">
        <v>2000</v>
      </c>
      <c r="N43" s="368" t="n">
        <v>2500</v>
      </c>
      <c r="O43" s="368" t="n">
        <v>3000</v>
      </c>
      <c r="P43" s="368" t="n">
        <v>3500</v>
      </c>
      <c r="Q43" s="368" t="n">
        <v>4000</v>
      </c>
      <c r="R43" s="368" t="n">
        <v>4500</v>
      </c>
      <c r="S43" s="368" t="n">
        <v>5000</v>
      </c>
      <c r="T43" s="368" t="n">
        <v>5500</v>
      </c>
      <c r="U43" s="368">
        <f>T43+500</f>
        <v/>
      </c>
      <c r="V43" s="368">
        <f>U43+500</f>
        <v/>
      </c>
      <c r="W43" s="368">
        <f>V43+500</f>
        <v/>
      </c>
      <c r="X43" s="368">
        <f>W43+500</f>
        <v/>
      </c>
      <c r="Y43" s="368">
        <f>X43+500</f>
        <v/>
      </c>
      <c r="Z43" s="368">
        <f>Y43+500</f>
        <v/>
      </c>
      <c r="AA43" s="368">
        <f>Z43+500</f>
        <v/>
      </c>
      <c r="AB43" s="368">
        <f>AA43+500</f>
        <v/>
      </c>
      <c r="AC43" s="368">
        <f>AB43+500</f>
        <v/>
      </c>
      <c r="AD43" s="368">
        <f>AC43+500</f>
        <v/>
      </c>
      <c r="AE43" s="368">
        <f>AD43+500</f>
        <v/>
      </c>
      <c r="AF43" s="368">
        <f>AE43+500</f>
        <v/>
      </c>
      <c r="AG43" s="368">
        <f>AF43+500</f>
        <v/>
      </c>
      <c r="AH43" s="368">
        <f>AG43+500</f>
        <v/>
      </c>
      <c r="AI43" s="368">
        <f>AH43+500</f>
        <v/>
      </c>
      <c r="AJ43" s="368">
        <f>AI43+500</f>
        <v/>
      </c>
      <c r="AK43" s="368">
        <f>AJ43+500</f>
        <v/>
      </c>
      <c r="AL43" s="368">
        <f>AK43+100</f>
        <v/>
      </c>
      <c r="AM43" s="368">
        <f>AL43+100</f>
        <v/>
      </c>
      <c r="AN43" s="368">
        <f>AM43+100</f>
        <v/>
      </c>
      <c r="AO43" s="368">
        <f>AN43+100</f>
        <v/>
      </c>
      <c r="AP43" s="368">
        <f>AO43+100</f>
        <v/>
      </c>
      <c r="AQ43" s="368">
        <f>AP43+100</f>
        <v/>
      </c>
      <c r="AR43" s="368">
        <f>AQ43+100</f>
        <v/>
      </c>
      <c r="AS43" s="368">
        <f>AR43+100</f>
        <v/>
      </c>
      <c r="AT43" s="368">
        <f>AS43+100</f>
        <v/>
      </c>
      <c r="AU43" s="368">
        <f>AT43+100</f>
        <v/>
      </c>
      <c r="AV43" s="368">
        <f>AU43+100</f>
        <v/>
      </c>
      <c r="AW43" s="368">
        <f>AV43+100</f>
        <v/>
      </c>
    </row>
    <row r="44">
      <c r="A44" s="207" t="inlineStr">
        <is>
          <t>%</t>
        </is>
      </c>
      <c r="B44" s="230" t="inlineStr">
        <is>
          <t>Closed / Churn % of opening</t>
        </is>
      </c>
      <c r="C44" s="211" t="n"/>
      <c r="D44" s="408">
        <f>IFERROR(-(D45-D42-D43)/D42,"NA")</f>
        <v/>
      </c>
      <c r="E44" s="408">
        <f>IFERROR(-(E45-E42-E43)/E42,"NA")</f>
        <v/>
      </c>
      <c r="F44" s="408">
        <f>IFERROR(-(F45-F42-F43)/F42,"NA")</f>
        <v/>
      </c>
      <c r="G44" s="402" t="n"/>
      <c r="H44" s="403" t="n"/>
      <c r="I44" s="403" t="n">
        <v>0</v>
      </c>
      <c r="J44" s="403" t="n">
        <v>0</v>
      </c>
      <c r="K44" s="403" t="n">
        <v>0</v>
      </c>
      <c r="L44" s="403" t="n">
        <v>0</v>
      </c>
      <c r="M44" s="403" t="n">
        <v>0</v>
      </c>
      <c r="N44" s="403" t="n">
        <v>0</v>
      </c>
      <c r="O44" s="403" t="n">
        <v>0</v>
      </c>
      <c r="P44" s="403" t="n">
        <v>0</v>
      </c>
      <c r="Q44" s="403" t="n">
        <v>0</v>
      </c>
      <c r="R44" s="403" t="n">
        <v>0</v>
      </c>
      <c r="S44" s="403" t="n">
        <v>0</v>
      </c>
      <c r="T44" s="403" t="n">
        <v>0</v>
      </c>
      <c r="U44" s="403" t="n">
        <v>0</v>
      </c>
      <c r="V44" s="403" t="n">
        <v>0</v>
      </c>
      <c r="W44" s="403" t="n">
        <v>0</v>
      </c>
      <c r="X44" s="403" t="n">
        <v>0</v>
      </c>
      <c r="Y44" s="403" t="n">
        <v>0</v>
      </c>
      <c r="Z44" s="403" t="n">
        <v>0</v>
      </c>
      <c r="AA44" s="403" t="n">
        <v>0</v>
      </c>
      <c r="AB44" s="403" t="n">
        <v>0</v>
      </c>
      <c r="AC44" s="403" t="n">
        <v>0</v>
      </c>
      <c r="AD44" s="403" t="n">
        <v>0</v>
      </c>
      <c r="AE44" s="403" t="n">
        <v>0</v>
      </c>
      <c r="AF44" s="403" t="n">
        <v>0</v>
      </c>
      <c r="AG44" s="403" t="n">
        <v>0</v>
      </c>
      <c r="AH44" s="403" t="n">
        <v>0</v>
      </c>
      <c r="AI44" s="403" t="n">
        <v>0</v>
      </c>
      <c r="AJ44" s="403" t="n">
        <v>0</v>
      </c>
      <c r="AK44" s="403" t="n">
        <v>0</v>
      </c>
      <c r="AL44" s="403" t="n">
        <v>0</v>
      </c>
      <c r="AM44" s="403" t="n">
        <v>0</v>
      </c>
      <c r="AN44" s="403" t="n">
        <v>0</v>
      </c>
      <c r="AO44" s="403" t="n">
        <v>0</v>
      </c>
      <c r="AP44" s="403" t="n">
        <v>0</v>
      </c>
      <c r="AQ44" s="403" t="n">
        <v>0</v>
      </c>
      <c r="AR44" s="403" t="n">
        <v>0</v>
      </c>
      <c r="AS44" s="403" t="n">
        <v>0</v>
      </c>
      <c r="AT44" s="403" t="n">
        <v>0</v>
      </c>
      <c r="AU44" s="403" t="n">
        <v>0</v>
      </c>
      <c r="AV44" s="403" t="n">
        <v>0</v>
      </c>
      <c r="AW44" s="403" t="n">
        <v>0</v>
      </c>
    </row>
    <row r="45">
      <c r="A45" s="207" t="inlineStr">
        <is>
          <t>Numbers</t>
        </is>
      </c>
      <c r="B45" s="231" t="inlineStr">
        <is>
          <t>Closing Customers</t>
        </is>
      </c>
      <c r="C45" s="397">
        <f>IFERROR(INDEX($H45:$AW45,MATCH(DATE(C$5,12,31),$H$6:$AW$6,0)),0)</f>
        <v/>
      </c>
      <c r="D45" s="397">
        <f>IFERROR(INDEX($H45:$AW45,MATCH(DATE(D$5,12,31),$H$6:$AW$6,0)),0)</f>
        <v/>
      </c>
      <c r="E45" s="397">
        <f>IFERROR(INDEX($H45:$AW45,MATCH(DATE(E$5,12,31),$H$6:$AW$6,0)),0)</f>
        <v/>
      </c>
      <c r="F45" s="397">
        <f>IFERROR(INDEX($H45:$AW45,MATCH(DATE(F$5,12,31),$H$6:$AW$6,0)),0)</f>
        <v/>
      </c>
      <c r="G45" s="360" t="n"/>
      <c r="H45" s="374">
        <f>ROUNDDOWN((H42+H43-(H44*H42)),0)</f>
        <v/>
      </c>
      <c r="I45" s="374">
        <f>ROUNDDOWN((I42+I43-(I44*I42)),0)</f>
        <v/>
      </c>
      <c r="J45" s="374">
        <f>ROUNDDOWN((J42+J43-(J44*J42)),0)</f>
        <v/>
      </c>
      <c r="K45" s="374">
        <f>ROUNDDOWN((K42+K43-(K44*K42)),0)</f>
        <v/>
      </c>
      <c r="L45" s="374">
        <f>ROUNDDOWN((L42+L43-(L44*L42)),0)</f>
        <v/>
      </c>
      <c r="M45" s="374">
        <f>ROUNDDOWN((M42+M43-(M44*M42)),0)</f>
        <v/>
      </c>
      <c r="N45" s="374">
        <f>ROUNDDOWN((N42+N43-(N44*N42)),0)</f>
        <v/>
      </c>
      <c r="O45" s="374">
        <f>ROUNDDOWN((O42+O43-(O44*O42)),0)</f>
        <v/>
      </c>
      <c r="P45" s="374">
        <f>ROUNDDOWN((P42+P43-(P44*P42)),0)</f>
        <v/>
      </c>
      <c r="Q45" s="374">
        <f>ROUNDDOWN((Q42+Q43-(Q44*Q42)),0)</f>
        <v/>
      </c>
      <c r="R45" s="374">
        <f>ROUNDDOWN((R42+R43-(R44*R42)),0)</f>
        <v/>
      </c>
      <c r="S45" s="374">
        <f>ROUNDDOWN((S42+S43-(S44*S42)),0)</f>
        <v/>
      </c>
      <c r="T45" s="374">
        <f>ROUNDDOWN((T42+T43-(T44*T42)),0)</f>
        <v/>
      </c>
      <c r="U45" s="374">
        <f>ROUNDDOWN((U42+U43-(U44*U42)),0)</f>
        <v/>
      </c>
      <c r="V45" s="374">
        <f>ROUNDDOWN((V42+V43-(V44*V42)),0)</f>
        <v/>
      </c>
      <c r="W45" s="374">
        <f>ROUNDDOWN((W42+W43-(W44*W42)),0)</f>
        <v/>
      </c>
      <c r="X45" s="374">
        <f>ROUNDDOWN((X42+X43-(X44*X42)),0)</f>
        <v/>
      </c>
      <c r="Y45" s="374">
        <f>ROUNDDOWN((Y42+Y43-(Y44*Y42)),0)</f>
        <v/>
      </c>
      <c r="Z45" s="374">
        <f>ROUNDDOWN((Z42+Z43-(Z44*Z42)),0)</f>
        <v/>
      </c>
      <c r="AA45" s="374">
        <f>ROUNDDOWN((AA42+AA43-(AA44*AA42)),0)</f>
        <v/>
      </c>
      <c r="AB45" s="374">
        <f>ROUNDDOWN((AB42+AB43-(AB44*AB42)),0)</f>
        <v/>
      </c>
      <c r="AC45" s="374">
        <f>ROUNDDOWN((AC42+AC43-(AC44*AC42)),0)</f>
        <v/>
      </c>
      <c r="AD45" s="374">
        <f>ROUNDDOWN((AD42+AD43-(AD44*AD42)),0)</f>
        <v/>
      </c>
      <c r="AE45" s="374">
        <f>ROUNDDOWN((AE42+AE43-(AE44*AE42)),0)</f>
        <v/>
      </c>
      <c r="AF45" s="374">
        <f>ROUNDDOWN((AF42+AF43-(AF44*AF42)),0)</f>
        <v/>
      </c>
      <c r="AG45" s="374">
        <f>ROUNDDOWN((AG42+AG43-(AG44*AG42)),0)</f>
        <v/>
      </c>
      <c r="AH45" s="374">
        <f>ROUNDDOWN((AH42+AH43-(AH44*AH42)),0)</f>
        <v/>
      </c>
      <c r="AI45" s="374">
        <f>ROUNDDOWN((AI42+AI43-(AI44*AI42)),0)</f>
        <v/>
      </c>
      <c r="AJ45" s="374">
        <f>ROUNDDOWN((AJ42+AJ43-(AJ44*AJ42)),0)</f>
        <v/>
      </c>
      <c r="AK45" s="374">
        <f>ROUNDDOWN((AK42+AK43-(AK44*AK42)),0)</f>
        <v/>
      </c>
      <c r="AL45" s="374">
        <f>ROUNDDOWN((AL42+AL43-(AL44*AL42)),0)</f>
        <v/>
      </c>
      <c r="AM45" s="374">
        <f>ROUNDDOWN((AM42+AM43-(AM44*AM42)),0)</f>
        <v/>
      </c>
      <c r="AN45" s="374">
        <f>ROUNDDOWN((AN42+AN43-(AN44*AN42)),0)</f>
        <v/>
      </c>
      <c r="AO45" s="374">
        <f>ROUNDDOWN((AO42+AO43-(AO44*AO42)),0)</f>
        <v/>
      </c>
      <c r="AP45" s="374">
        <f>ROUNDDOWN((AP42+AP43-(AP44*AP42)),0)</f>
        <v/>
      </c>
      <c r="AQ45" s="374">
        <f>ROUNDDOWN((AQ42+AQ43-(AQ44*AQ42)),0)</f>
        <v/>
      </c>
      <c r="AR45" s="374">
        <f>ROUNDDOWN((AR42+AR43-(AR44*AR42)),0)</f>
        <v/>
      </c>
      <c r="AS45" s="374">
        <f>ROUNDDOWN((AS42+AS43-(AS44*AS42)),0)</f>
        <v/>
      </c>
      <c r="AT45" s="374">
        <f>ROUNDDOWN((AT42+AT43-(AT44*AT42)),0)</f>
        <v/>
      </c>
      <c r="AU45" s="374">
        <f>ROUNDDOWN((AU42+AU43-(AU44*AU42)),0)</f>
        <v/>
      </c>
      <c r="AV45" s="374">
        <f>ROUNDDOWN((AV42+AV43-(AV44*AV42)),0)</f>
        <v/>
      </c>
      <c r="AW45" s="374">
        <f>ROUNDDOWN((AW42+AW43-(AW44*AW42)),0)</f>
        <v/>
      </c>
    </row>
    <row r="46">
      <c r="A46" s="207" t="inlineStr">
        <is>
          <t>%</t>
        </is>
      </c>
      <c r="B46" s="11" t="inlineStr">
        <is>
          <t>% of Customers Availing Loan</t>
        </is>
      </c>
      <c r="C46" s="327" t="n"/>
      <c r="D46" s="327" t="n"/>
      <c r="E46" s="327" t="n"/>
      <c r="F46" s="327" t="n"/>
      <c r="G46" s="358" t="n"/>
      <c r="H46" s="232" t="n">
        <v>0.1</v>
      </c>
      <c r="I46" s="232" t="n">
        <v>0.1</v>
      </c>
      <c r="J46" s="232" t="n">
        <v>0.1</v>
      </c>
      <c r="K46" s="232" t="n">
        <v>0.1</v>
      </c>
      <c r="L46" s="232" t="n">
        <v>0.1</v>
      </c>
      <c r="M46" s="232" t="n">
        <v>0.1</v>
      </c>
      <c r="N46" s="232" t="n">
        <v>0.1</v>
      </c>
      <c r="O46" s="232" t="n">
        <v>0.1</v>
      </c>
      <c r="P46" s="232" t="n">
        <v>0.1</v>
      </c>
      <c r="Q46" s="232" t="n">
        <v>0.1</v>
      </c>
      <c r="R46" s="232" t="n">
        <v>0.1</v>
      </c>
      <c r="S46" s="232" t="n">
        <v>0.1</v>
      </c>
      <c r="T46" s="232" t="n">
        <v>0.1</v>
      </c>
      <c r="U46" s="232" t="n">
        <v>0.1</v>
      </c>
      <c r="V46" s="232" t="n">
        <v>0.1</v>
      </c>
      <c r="W46" s="232" t="n">
        <v>0.1</v>
      </c>
      <c r="X46" s="232" t="n">
        <v>0.1</v>
      </c>
      <c r="Y46" s="232" t="n">
        <v>0.1</v>
      </c>
      <c r="Z46" s="232" t="n">
        <v>0.1</v>
      </c>
      <c r="AA46" s="232" t="n">
        <v>0.1</v>
      </c>
      <c r="AB46" s="232" t="n">
        <v>0.1</v>
      </c>
      <c r="AC46" s="232" t="n">
        <v>0.1</v>
      </c>
      <c r="AD46" s="232" t="n">
        <v>0.1</v>
      </c>
      <c r="AE46" s="232" t="n">
        <v>0.1</v>
      </c>
      <c r="AF46" s="232" t="n">
        <v>0.1</v>
      </c>
      <c r="AG46" s="232" t="n">
        <v>0.1</v>
      </c>
      <c r="AH46" s="232" t="n">
        <v>0.1</v>
      </c>
      <c r="AI46" s="232" t="n">
        <v>0.1</v>
      </c>
      <c r="AJ46" s="232" t="n">
        <v>0.1</v>
      </c>
      <c r="AK46" s="232" t="n">
        <v>0.1</v>
      </c>
      <c r="AL46" s="232" t="n">
        <v>0.1</v>
      </c>
      <c r="AM46" s="232" t="n">
        <v>0.1</v>
      </c>
      <c r="AN46" s="232" t="n">
        <v>0.1</v>
      </c>
      <c r="AO46" s="232" t="n">
        <v>0.1</v>
      </c>
      <c r="AP46" s="232" t="n">
        <v>0.1</v>
      </c>
      <c r="AQ46" s="232" t="n">
        <v>0.1</v>
      </c>
      <c r="AR46" s="232" t="n">
        <v>0.1</v>
      </c>
      <c r="AS46" s="232" t="n">
        <v>0.1</v>
      </c>
      <c r="AT46" s="232" t="n">
        <v>0.1</v>
      </c>
      <c r="AU46" s="232" t="n">
        <v>0.1</v>
      </c>
      <c r="AV46" s="232" t="n">
        <v>0.1</v>
      </c>
      <c r="AW46" s="232" t="n">
        <v>0.1</v>
      </c>
    </row>
    <row r="47">
      <c r="A47" s="207" t="inlineStr">
        <is>
          <t>Numbers</t>
        </is>
      </c>
      <c r="B47" s="230" t="inlineStr">
        <is>
          <t>No. of Loan Disbursed</t>
        </is>
      </c>
      <c r="C47" s="327">
        <f>SUMIF($H$5:$AW$5,C$5,$H47:$AW47)</f>
        <v/>
      </c>
      <c r="D47" s="327">
        <f>SUMIF($H$5:$AW$5,D$5,$H47:$AW47)</f>
        <v/>
      </c>
      <c r="E47" s="327">
        <f>SUMIF($H$5:$AW$5,E$5,$H47:$AW47)</f>
        <v/>
      </c>
      <c r="F47" s="327">
        <f>SUMIF($H$5:$AW$5,F$5,$H47:$AW47)</f>
        <v/>
      </c>
      <c r="G47" s="1" t="n"/>
      <c r="H47" s="357">
        <f>H45*H46</f>
        <v/>
      </c>
      <c r="I47" s="357">
        <f>I45*I46</f>
        <v/>
      </c>
      <c r="J47" s="357">
        <f>J45*J46</f>
        <v/>
      </c>
      <c r="K47" s="357">
        <f>K45*K46</f>
        <v/>
      </c>
      <c r="L47" s="357">
        <f>L45*L46</f>
        <v/>
      </c>
      <c r="M47" s="357">
        <f>M45*M46</f>
        <v/>
      </c>
      <c r="N47" s="357">
        <f>N45*N46</f>
        <v/>
      </c>
      <c r="O47" s="357">
        <f>O45*O46</f>
        <v/>
      </c>
      <c r="P47" s="357">
        <f>P45*P46</f>
        <v/>
      </c>
      <c r="Q47" s="357">
        <f>Q45*Q46</f>
        <v/>
      </c>
      <c r="R47" s="357">
        <f>R45*R46</f>
        <v/>
      </c>
      <c r="S47" s="357">
        <f>S45*S46</f>
        <v/>
      </c>
      <c r="T47" s="357">
        <f>T45*T46</f>
        <v/>
      </c>
      <c r="U47" s="357">
        <f>U45*U46</f>
        <v/>
      </c>
      <c r="V47" s="357">
        <f>V45*V46</f>
        <v/>
      </c>
      <c r="W47" s="357">
        <f>W45*W46</f>
        <v/>
      </c>
      <c r="X47" s="357">
        <f>X45*X46</f>
        <v/>
      </c>
      <c r="Y47" s="357">
        <f>Y45*Y46</f>
        <v/>
      </c>
      <c r="Z47" s="357">
        <f>Z45*Z46</f>
        <v/>
      </c>
      <c r="AA47" s="357">
        <f>AA45*AA46</f>
        <v/>
      </c>
      <c r="AB47" s="357">
        <f>AB45*AB46</f>
        <v/>
      </c>
      <c r="AC47" s="357">
        <f>AC45*AC46</f>
        <v/>
      </c>
      <c r="AD47" s="357">
        <f>AD45*AD46</f>
        <v/>
      </c>
      <c r="AE47" s="357">
        <f>AE45*AE46</f>
        <v/>
      </c>
      <c r="AF47" s="357">
        <f>AF45*AF46</f>
        <v/>
      </c>
      <c r="AG47" s="357">
        <f>AG45*AG46</f>
        <v/>
      </c>
      <c r="AH47" s="357">
        <f>AH45*AH46</f>
        <v/>
      </c>
      <c r="AI47" s="357">
        <f>AI45*AI46</f>
        <v/>
      </c>
      <c r="AJ47" s="357">
        <f>AJ45*AJ46</f>
        <v/>
      </c>
      <c r="AK47" s="357">
        <f>AK45*AK46</f>
        <v/>
      </c>
      <c r="AL47" s="357">
        <f>AL45*AL46</f>
        <v/>
      </c>
      <c r="AM47" s="357">
        <f>AM45*AM46</f>
        <v/>
      </c>
      <c r="AN47" s="357">
        <f>AN45*AN46</f>
        <v/>
      </c>
      <c r="AO47" s="357">
        <f>AO45*AO46</f>
        <v/>
      </c>
      <c r="AP47" s="357">
        <f>AP45*AP46</f>
        <v/>
      </c>
      <c r="AQ47" s="357">
        <f>AQ45*AQ46</f>
        <v/>
      </c>
      <c r="AR47" s="357">
        <f>AR45*AR46</f>
        <v/>
      </c>
      <c r="AS47" s="357">
        <f>AS45*AS46</f>
        <v/>
      </c>
      <c r="AT47" s="357">
        <f>AT45*AT46</f>
        <v/>
      </c>
      <c r="AU47" s="357">
        <f>AU45*AU46</f>
        <v/>
      </c>
      <c r="AV47" s="357">
        <f>AV45*AV46</f>
        <v/>
      </c>
      <c r="AW47" s="357">
        <f>AW45*AW46</f>
        <v/>
      </c>
    </row>
    <row r="48">
      <c r="A48" s="207" t="inlineStr">
        <is>
          <t>%</t>
        </is>
      </c>
      <c r="B48" s="230" t="inlineStr">
        <is>
          <t>Late repayment % of Loan</t>
        </is>
      </c>
      <c r="C48" s="210" t="n"/>
      <c r="D48" s="210" t="n"/>
      <c r="E48" s="210" t="n"/>
      <c r="F48" s="210" t="n"/>
      <c r="H48" s="233" t="n"/>
      <c r="I48" s="234" t="n">
        <v>0.003</v>
      </c>
      <c r="J48" s="234" t="n">
        <v>0.003</v>
      </c>
      <c r="K48" s="234" t="n">
        <v>0.003</v>
      </c>
      <c r="L48" s="234" t="n">
        <v>0.003</v>
      </c>
      <c r="M48" s="234" t="n">
        <v>0.005</v>
      </c>
      <c r="N48" s="234" t="n">
        <v>0.005</v>
      </c>
      <c r="O48" s="234" t="n">
        <v>0.005</v>
      </c>
      <c r="P48" s="234" t="n">
        <v>0.005</v>
      </c>
      <c r="Q48" s="234" t="n">
        <v>0.005</v>
      </c>
      <c r="R48" s="234" t="n">
        <v>0.005</v>
      </c>
      <c r="S48" s="234" t="n">
        <v>0.005</v>
      </c>
      <c r="T48" s="234" t="n">
        <v>0.005</v>
      </c>
      <c r="U48" s="234" t="n">
        <v>0.005</v>
      </c>
      <c r="V48" s="234" t="n">
        <v>0.005</v>
      </c>
      <c r="W48" s="234" t="n">
        <v>0.005</v>
      </c>
      <c r="X48" s="234" t="n">
        <v>0.005</v>
      </c>
      <c r="Y48" s="234" t="n">
        <v>0.01</v>
      </c>
      <c r="Z48" s="234" t="n">
        <v>0.01</v>
      </c>
      <c r="AA48" s="234" t="n">
        <v>0.01</v>
      </c>
      <c r="AB48" s="234" t="n">
        <v>0.01</v>
      </c>
      <c r="AC48" s="234" t="n">
        <v>0.01</v>
      </c>
      <c r="AD48" s="234" t="n">
        <v>0.01</v>
      </c>
      <c r="AE48" s="234" t="n">
        <v>0.01</v>
      </c>
      <c r="AF48" s="234" t="n">
        <v>0.01</v>
      </c>
      <c r="AG48" s="234" t="n">
        <v>0.01</v>
      </c>
      <c r="AH48" s="234" t="n">
        <v>0.01</v>
      </c>
      <c r="AI48" s="234" t="n">
        <v>0.01</v>
      </c>
      <c r="AJ48" s="234" t="n">
        <v>0.01</v>
      </c>
      <c r="AK48" s="234" t="n">
        <v>0.01</v>
      </c>
      <c r="AL48" s="234" t="n">
        <v>0.01</v>
      </c>
      <c r="AM48" s="234" t="n">
        <v>0.01</v>
      </c>
      <c r="AN48" s="234" t="n">
        <v>0.01</v>
      </c>
      <c r="AO48" s="234" t="n">
        <v>0.01</v>
      </c>
      <c r="AP48" s="234" t="n">
        <v>0.01</v>
      </c>
      <c r="AQ48" s="234" t="n">
        <v>0.01</v>
      </c>
      <c r="AR48" s="234" t="n">
        <v>0.01</v>
      </c>
      <c r="AS48" s="234" t="n">
        <v>0.01</v>
      </c>
      <c r="AT48" s="234" t="n">
        <v>0.01</v>
      </c>
      <c r="AU48" s="234" t="n">
        <v>0.01</v>
      </c>
      <c r="AV48" s="234" t="n">
        <v>0.01</v>
      </c>
      <c r="AW48" s="234" t="n">
        <v>0.01</v>
      </c>
    </row>
    <row r="49">
      <c r="A49" s="207" t="n"/>
      <c r="C49" s="210" t="n"/>
      <c r="D49" s="210" t="n"/>
      <c r="E49" s="210" t="n"/>
      <c r="F49" s="210" t="n"/>
    </row>
    <row r="50">
      <c r="A50" s="207" t="inlineStr">
        <is>
          <t>US$</t>
        </is>
      </c>
      <c r="B50" s="230" t="inlineStr">
        <is>
          <t>Application fee perLoan</t>
        </is>
      </c>
      <c r="C50" s="327">
        <f>IFERROR(C67/C43,"NA")</f>
        <v/>
      </c>
      <c r="D50" s="327">
        <f>IFERROR(D67/D43,"NA")</f>
        <v/>
      </c>
      <c r="E50" s="327">
        <f>IFERROR(E67/E43,"NA")</f>
        <v/>
      </c>
      <c r="F50" s="327">
        <f>IFERROR(F67/F43,"NA")</f>
        <v/>
      </c>
      <c r="G50" s="358" t="n"/>
      <c r="H50" s="368">
        <f>10*0.27</f>
        <v/>
      </c>
      <c r="I50" s="368">
        <f>10*0.27</f>
        <v/>
      </c>
      <c r="J50" s="368">
        <f>10*0.27</f>
        <v/>
      </c>
      <c r="K50" s="368">
        <f>10*0.27</f>
        <v/>
      </c>
      <c r="L50" s="368">
        <f>10*0.27</f>
        <v/>
      </c>
      <c r="M50" s="368">
        <f>10*0.27</f>
        <v/>
      </c>
      <c r="N50" s="368">
        <f>10*0.27</f>
        <v/>
      </c>
      <c r="O50" s="368">
        <f>10*0.27</f>
        <v/>
      </c>
      <c r="P50" s="368">
        <f>10*0.27</f>
        <v/>
      </c>
      <c r="Q50" s="368">
        <f>10*0.27</f>
        <v/>
      </c>
      <c r="R50" s="368">
        <f>10*0.27</f>
        <v/>
      </c>
      <c r="S50" s="368">
        <f>10*0.27</f>
        <v/>
      </c>
      <c r="T50" s="368">
        <f>10*0.27</f>
        <v/>
      </c>
      <c r="U50" s="368">
        <f>10*0.27</f>
        <v/>
      </c>
      <c r="V50" s="368">
        <f>10*0.27</f>
        <v/>
      </c>
      <c r="W50" s="368">
        <f>10*0.27</f>
        <v/>
      </c>
      <c r="X50" s="368">
        <f>10*0.27</f>
        <v/>
      </c>
      <c r="Y50" s="368">
        <f>10*0.27</f>
        <v/>
      </c>
      <c r="Z50" s="368">
        <f>10*0.27</f>
        <v/>
      </c>
      <c r="AA50" s="368">
        <f>10*0.27</f>
        <v/>
      </c>
      <c r="AB50" s="368">
        <f>10*0.27</f>
        <v/>
      </c>
      <c r="AC50" s="368">
        <f>10*0.27</f>
        <v/>
      </c>
      <c r="AD50" s="368">
        <f>10*0.27</f>
        <v/>
      </c>
      <c r="AE50" s="368">
        <f>10*0.27</f>
        <v/>
      </c>
      <c r="AF50" s="368">
        <f>10*0.27</f>
        <v/>
      </c>
      <c r="AG50" s="368">
        <f>10*0.27</f>
        <v/>
      </c>
      <c r="AH50" s="368">
        <f>10*0.27</f>
        <v/>
      </c>
      <c r="AI50" s="368">
        <f>10*0.27</f>
        <v/>
      </c>
      <c r="AJ50" s="368">
        <f>10*0.27</f>
        <v/>
      </c>
      <c r="AK50" s="368">
        <f>10*0.27</f>
        <v/>
      </c>
      <c r="AL50" s="368">
        <f>10*0.27</f>
        <v/>
      </c>
      <c r="AM50" s="368">
        <f>10*0.27</f>
        <v/>
      </c>
      <c r="AN50" s="368">
        <f>10*0.27</f>
        <v/>
      </c>
      <c r="AO50" s="368">
        <f>10*0.27</f>
        <v/>
      </c>
      <c r="AP50" s="368">
        <f>10*0.27</f>
        <v/>
      </c>
      <c r="AQ50" s="368">
        <f>10*0.27</f>
        <v/>
      </c>
      <c r="AR50" s="368">
        <f>10*0.27</f>
        <v/>
      </c>
      <c r="AS50" s="368">
        <f>10*0.27</f>
        <v/>
      </c>
      <c r="AT50" s="368">
        <f>10*0.27</f>
        <v/>
      </c>
      <c r="AU50" s="368">
        <f>10*0.27</f>
        <v/>
      </c>
      <c r="AV50" s="368">
        <f>10*0.27</f>
        <v/>
      </c>
      <c r="AW50" s="368">
        <f>10*0.27</f>
        <v/>
      </c>
    </row>
    <row r="51">
      <c r="A51" s="207" t="inlineStr">
        <is>
          <t>US$</t>
        </is>
      </c>
      <c r="B51" s="230" t="inlineStr">
        <is>
          <t>Monthly fee (avg account for month)</t>
        </is>
      </c>
      <c r="C51" s="327">
        <f>IFERROR((C68/AVERAGE(C42,C45)/COUNTIF($H$5:$AW$5,C$5)),"NA")</f>
        <v/>
      </c>
      <c r="D51" s="327">
        <f>IFERROR((D68/AVERAGE(D42,D45)/COUNTIF($H$5:$AW$5,D$5)),"NA")</f>
        <v/>
      </c>
      <c r="E51" s="327">
        <f>IFERROR((E68/AVERAGE(E42,E45)/COUNTIF($H$5:$AW$5,E$5)),"NA")</f>
        <v/>
      </c>
      <c r="F51" s="327">
        <f>IFERROR((F68/AVERAGE(F42,F45)/COUNTIF($H$5:$AW$5,F$5)),"NA")</f>
        <v/>
      </c>
      <c r="G51" s="358" t="n"/>
      <c r="H51" s="368" t="n">
        <v>0</v>
      </c>
      <c r="I51" s="368" t="n">
        <v>0</v>
      </c>
      <c r="J51" s="368" t="n">
        <v>0</v>
      </c>
      <c r="K51" s="368" t="n">
        <v>0</v>
      </c>
      <c r="L51" s="368" t="n">
        <v>0</v>
      </c>
      <c r="M51" s="368" t="n">
        <v>0</v>
      </c>
      <c r="N51" s="368" t="n">
        <v>0</v>
      </c>
      <c r="O51" s="368" t="n">
        <v>0</v>
      </c>
      <c r="P51" s="368" t="n">
        <v>0</v>
      </c>
      <c r="Q51" s="368" t="n">
        <v>0</v>
      </c>
      <c r="R51" s="368" t="n">
        <v>0</v>
      </c>
      <c r="S51" s="368" t="n">
        <v>0</v>
      </c>
      <c r="T51" s="368" t="n">
        <v>0</v>
      </c>
      <c r="U51" s="368" t="n">
        <v>0</v>
      </c>
      <c r="V51" s="368" t="n">
        <v>0</v>
      </c>
      <c r="W51" s="368" t="n">
        <v>0</v>
      </c>
      <c r="X51" s="368" t="n">
        <v>0</v>
      </c>
      <c r="Y51" s="368" t="n">
        <v>0</v>
      </c>
      <c r="Z51" s="368" t="n">
        <v>0</v>
      </c>
      <c r="AA51" s="368" t="n">
        <v>0</v>
      </c>
      <c r="AB51" s="368" t="n">
        <v>0</v>
      </c>
      <c r="AC51" s="368" t="n">
        <v>0</v>
      </c>
      <c r="AD51" s="368" t="n">
        <v>0</v>
      </c>
      <c r="AE51" s="368" t="n">
        <v>0</v>
      </c>
      <c r="AF51" s="368" t="n">
        <v>0</v>
      </c>
      <c r="AG51" s="368" t="n">
        <v>0</v>
      </c>
      <c r="AH51" s="368" t="n">
        <v>0</v>
      </c>
      <c r="AI51" s="368" t="n">
        <v>0</v>
      </c>
      <c r="AJ51" s="368" t="n">
        <v>0</v>
      </c>
      <c r="AK51" s="368" t="n">
        <v>0</v>
      </c>
      <c r="AL51" s="368" t="n">
        <v>0</v>
      </c>
      <c r="AM51" s="368" t="n">
        <v>0</v>
      </c>
      <c r="AN51" s="368" t="n">
        <v>0</v>
      </c>
      <c r="AO51" s="368" t="n">
        <v>0</v>
      </c>
      <c r="AP51" s="368" t="n">
        <v>0</v>
      </c>
      <c r="AQ51" s="368" t="n">
        <v>0</v>
      </c>
      <c r="AR51" s="368" t="n">
        <v>0</v>
      </c>
      <c r="AS51" s="368" t="n">
        <v>0</v>
      </c>
      <c r="AT51" s="368" t="n">
        <v>0</v>
      </c>
      <c r="AU51" s="368" t="n">
        <v>0</v>
      </c>
      <c r="AV51" s="368" t="n">
        <v>0</v>
      </c>
      <c r="AW51" s="368" t="n">
        <v>0</v>
      </c>
    </row>
    <row r="52">
      <c r="A52" s="207" t="inlineStr">
        <is>
          <t>US$</t>
        </is>
      </c>
      <c r="B52" s="230" t="inlineStr">
        <is>
          <t>Late repayment flat fee</t>
        </is>
      </c>
      <c r="C52" s="327" t="n"/>
      <c r="D52" s="327" t="n"/>
      <c r="E52" s="327" t="n"/>
      <c r="F52" s="327" t="n"/>
      <c r="G52" s="358" t="n"/>
      <c r="H52" s="368">
        <f>5*0.27</f>
        <v/>
      </c>
      <c r="I52" s="368">
        <f>5*0.27</f>
        <v/>
      </c>
      <c r="J52" s="368">
        <f>5*0.27</f>
        <v/>
      </c>
      <c r="K52" s="368">
        <f>5*0.27</f>
        <v/>
      </c>
      <c r="L52" s="368">
        <f>5*0.27</f>
        <v/>
      </c>
      <c r="M52" s="368">
        <f>5*0.27</f>
        <v/>
      </c>
      <c r="N52" s="368">
        <f>5*0.27</f>
        <v/>
      </c>
      <c r="O52" s="368">
        <f>5*0.27</f>
        <v/>
      </c>
      <c r="P52" s="368">
        <f>5*0.27</f>
        <v/>
      </c>
      <c r="Q52" s="368">
        <f>5*0.27</f>
        <v/>
      </c>
      <c r="R52" s="368">
        <f>5*0.27</f>
        <v/>
      </c>
      <c r="S52" s="368">
        <f>5*0.27</f>
        <v/>
      </c>
      <c r="T52" s="368">
        <f>5*0.27</f>
        <v/>
      </c>
      <c r="U52" s="368">
        <f>5*0.27</f>
        <v/>
      </c>
      <c r="V52" s="368">
        <f>5*0.27</f>
        <v/>
      </c>
      <c r="W52" s="368">
        <f>5*0.27</f>
        <v/>
      </c>
      <c r="X52" s="368">
        <f>5*0.27</f>
        <v/>
      </c>
      <c r="Y52" s="368">
        <f>5*0.27</f>
        <v/>
      </c>
      <c r="Z52" s="368">
        <f>5*0.27</f>
        <v/>
      </c>
      <c r="AA52" s="368">
        <f>5*0.27</f>
        <v/>
      </c>
      <c r="AB52" s="368">
        <f>5*0.27</f>
        <v/>
      </c>
      <c r="AC52" s="368">
        <f>5*0.27</f>
        <v/>
      </c>
      <c r="AD52" s="368">
        <f>5*0.27</f>
        <v/>
      </c>
      <c r="AE52" s="368">
        <f>5*0.27</f>
        <v/>
      </c>
      <c r="AF52" s="368">
        <f>5*0.27</f>
        <v/>
      </c>
      <c r="AG52" s="368">
        <f>5*0.27</f>
        <v/>
      </c>
      <c r="AH52" s="368">
        <f>5*0.27</f>
        <v/>
      </c>
      <c r="AI52" s="368">
        <f>5*0.27</f>
        <v/>
      </c>
      <c r="AJ52" s="368">
        <f>5*0.27</f>
        <v/>
      </c>
      <c r="AK52" s="368">
        <f>5*0.27</f>
        <v/>
      </c>
      <c r="AL52" s="368">
        <f>5*0.27</f>
        <v/>
      </c>
      <c r="AM52" s="368">
        <f>5*0.27</f>
        <v/>
      </c>
      <c r="AN52" s="368">
        <f>5*0.27</f>
        <v/>
      </c>
      <c r="AO52" s="368">
        <f>5*0.27</f>
        <v/>
      </c>
      <c r="AP52" s="368">
        <f>5*0.27</f>
        <v/>
      </c>
      <c r="AQ52" s="368">
        <f>5*0.27</f>
        <v/>
      </c>
      <c r="AR52" s="368">
        <f>5*0.27</f>
        <v/>
      </c>
      <c r="AS52" s="368">
        <f>5*0.27</f>
        <v/>
      </c>
      <c r="AT52" s="368">
        <f>5*0.27</f>
        <v/>
      </c>
      <c r="AU52" s="368">
        <f>5*0.27</f>
        <v/>
      </c>
      <c r="AV52" s="368">
        <f>5*0.27</f>
        <v/>
      </c>
      <c r="AW52" s="368">
        <f>5*0.27</f>
        <v/>
      </c>
    </row>
    <row r="53">
      <c r="A53" s="207" t="inlineStr">
        <is>
          <t>%</t>
        </is>
      </c>
      <c r="B53" s="230" t="inlineStr">
        <is>
          <t>Late Repayment Fees as  a % of Monthly Installment</t>
        </is>
      </c>
      <c r="C53" s="327" t="n"/>
      <c r="D53" s="327" t="n"/>
      <c r="E53" s="327" t="n"/>
      <c r="F53" s="327" t="n"/>
      <c r="G53" s="357" t="n"/>
      <c r="H53" s="232" t="n">
        <v>0.05</v>
      </c>
      <c r="I53" s="232" t="n">
        <v>0.05</v>
      </c>
      <c r="J53" s="232" t="n">
        <v>0.05</v>
      </c>
      <c r="K53" s="232" t="n">
        <v>0.05</v>
      </c>
      <c r="L53" s="232" t="n">
        <v>0.05</v>
      </c>
      <c r="M53" s="232" t="n">
        <v>0.05</v>
      </c>
      <c r="N53" s="232" t="n">
        <v>0.05</v>
      </c>
      <c r="O53" s="232" t="n">
        <v>0.05</v>
      </c>
      <c r="P53" s="232" t="n">
        <v>0.05</v>
      </c>
      <c r="Q53" s="232" t="n">
        <v>0.05</v>
      </c>
      <c r="R53" s="232" t="n">
        <v>0.05</v>
      </c>
      <c r="S53" s="232" t="n">
        <v>0.05</v>
      </c>
      <c r="T53" s="232" t="n">
        <v>0.05</v>
      </c>
      <c r="U53" s="232" t="n">
        <v>0.05</v>
      </c>
      <c r="V53" s="232" t="n">
        <v>0.05</v>
      </c>
      <c r="W53" s="232" t="n">
        <v>0.05</v>
      </c>
      <c r="X53" s="232" t="n">
        <v>0.05</v>
      </c>
      <c r="Y53" s="232" t="n">
        <v>0.05</v>
      </c>
      <c r="Z53" s="232" t="n">
        <v>0.05</v>
      </c>
      <c r="AA53" s="232" t="n">
        <v>0.05</v>
      </c>
      <c r="AB53" s="232" t="n">
        <v>0.05</v>
      </c>
      <c r="AC53" s="232" t="n">
        <v>0.05</v>
      </c>
      <c r="AD53" s="232" t="n">
        <v>0.05</v>
      </c>
      <c r="AE53" s="232" t="n">
        <v>0.05</v>
      </c>
      <c r="AF53" s="232" t="n">
        <v>0.05</v>
      </c>
      <c r="AG53" s="232" t="n">
        <v>0.05</v>
      </c>
      <c r="AH53" s="232" t="n">
        <v>0.05</v>
      </c>
      <c r="AI53" s="232" t="n">
        <v>0.05</v>
      </c>
      <c r="AJ53" s="232" t="n">
        <v>0.05</v>
      </c>
      <c r="AK53" s="232" t="n">
        <v>0.05</v>
      </c>
      <c r="AL53" s="232" t="n">
        <v>0.05</v>
      </c>
      <c r="AM53" s="232" t="n">
        <v>0.05</v>
      </c>
      <c r="AN53" s="232" t="n">
        <v>0.05</v>
      </c>
      <c r="AO53" s="232" t="n">
        <v>0.05</v>
      </c>
      <c r="AP53" s="232" t="n">
        <v>0.05</v>
      </c>
      <c r="AQ53" s="232" t="n">
        <v>0.05</v>
      </c>
      <c r="AR53" s="232" t="n">
        <v>0.05</v>
      </c>
      <c r="AS53" s="232" t="n">
        <v>0.05</v>
      </c>
      <c r="AT53" s="232" t="n">
        <v>0.05</v>
      </c>
      <c r="AU53" s="232" t="n">
        <v>0.05</v>
      </c>
      <c r="AV53" s="232" t="n">
        <v>0.05</v>
      </c>
      <c r="AW53" s="232" t="n">
        <v>0.05</v>
      </c>
    </row>
    <row r="54">
      <c r="A54" s="207" t="n"/>
      <c r="B54" s="230" t="n"/>
      <c r="C54" s="327" t="n"/>
      <c r="D54" s="327" t="n"/>
      <c r="E54" s="327" t="n"/>
      <c r="F54" s="327" t="n"/>
      <c r="G54" s="357" t="n"/>
      <c r="H54" s="373" t="n"/>
      <c r="I54" s="373" t="n"/>
      <c r="J54" s="373" t="n"/>
      <c r="K54" s="373" t="n"/>
      <c r="L54" s="373" t="n"/>
      <c r="M54" s="373" t="n"/>
      <c r="N54" s="373" t="n"/>
      <c r="O54" s="373" t="n"/>
      <c r="P54" s="373" t="n"/>
      <c r="Q54" s="373" t="n"/>
      <c r="R54" s="373" t="n"/>
      <c r="S54" s="373" t="n"/>
      <c r="T54" s="373" t="n"/>
      <c r="U54" s="373" t="n"/>
      <c r="V54" s="373" t="n"/>
      <c r="W54" s="373" t="n"/>
      <c r="X54" s="373" t="n"/>
      <c r="Y54" s="373" t="n"/>
      <c r="Z54" s="373" t="n"/>
      <c r="AA54" s="373" t="n"/>
      <c r="AB54" s="373" t="n"/>
      <c r="AC54" s="373" t="n"/>
      <c r="AD54" s="373" t="n"/>
      <c r="AE54" s="373" t="n"/>
      <c r="AF54" s="373" t="n"/>
      <c r="AG54" s="373" t="n"/>
      <c r="AH54" s="373" t="n"/>
      <c r="AI54" s="373" t="n"/>
      <c r="AJ54" s="373" t="n"/>
      <c r="AK54" s="373" t="n"/>
      <c r="AL54" s="373" t="n"/>
      <c r="AM54" s="373" t="n"/>
      <c r="AN54" s="373" t="n"/>
      <c r="AO54" s="373" t="n"/>
      <c r="AP54" s="373" t="n"/>
      <c r="AQ54" s="373" t="n"/>
      <c r="AR54" s="373" t="n"/>
      <c r="AS54" s="373" t="n"/>
      <c r="AT54" s="373" t="n"/>
      <c r="AU54" s="373" t="n"/>
      <c r="AV54" s="373" t="n"/>
      <c r="AW54" s="373" t="n"/>
    </row>
    <row r="55">
      <c r="A55" s="207" t="inlineStr">
        <is>
          <t>Numbers</t>
        </is>
      </c>
      <c r="B55" s="230" t="inlineStr">
        <is>
          <t>No. of Employees</t>
        </is>
      </c>
      <c r="C55" s="210" t="n"/>
      <c r="D55" s="210" t="n"/>
      <c r="E55" s="210" t="n"/>
      <c r="F55" s="210" t="n"/>
      <c r="G55" s="1" t="n"/>
      <c r="H55" s="235" t="n">
        <v>10</v>
      </c>
      <c r="I55" s="235" t="n">
        <v>10</v>
      </c>
      <c r="J55" s="235" t="n">
        <v>10</v>
      </c>
      <c r="K55" s="235" t="n">
        <v>10</v>
      </c>
      <c r="L55" s="235" t="n">
        <v>10</v>
      </c>
      <c r="M55" s="235" t="n">
        <v>10</v>
      </c>
      <c r="N55" s="235" t="n">
        <v>10</v>
      </c>
      <c r="O55" s="235" t="n">
        <v>10</v>
      </c>
      <c r="P55" s="235" t="n">
        <v>10</v>
      </c>
      <c r="Q55" s="235" t="n">
        <v>10</v>
      </c>
      <c r="R55" s="235" t="n">
        <v>10</v>
      </c>
      <c r="S55" s="235" t="n">
        <v>10</v>
      </c>
      <c r="T55" s="235" t="n">
        <v>10</v>
      </c>
      <c r="U55" s="235" t="n">
        <v>10</v>
      </c>
      <c r="V55" s="235" t="n">
        <v>10</v>
      </c>
      <c r="W55" s="235" t="n">
        <v>10</v>
      </c>
      <c r="X55" s="235" t="n">
        <v>10</v>
      </c>
      <c r="Y55" s="235" t="n">
        <v>10</v>
      </c>
      <c r="Z55" s="235" t="n">
        <v>10</v>
      </c>
      <c r="AA55" s="235" t="n">
        <v>10</v>
      </c>
      <c r="AB55" s="235" t="n">
        <v>10</v>
      </c>
      <c r="AC55" s="235" t="n">
        <v>10</v>
      </c>
      <c r="AD55" s="235" t="n">
        <v>10</v>
      </c>
      <c r="AE55" s="235" t="n">
        <v>10</v>
      </c>
      <c r="AF55" s="235" t="n">
        <v>10</v>
      </c>
      <c r="AG55" s="235" t="n">
        <v>10</v>
      </c>
      <c r="AH55" s="235" t="n">
        <v>10</v>
      </c>
      <c r="AI55" s="235" t="n">
        <v>10</v>
      </c>
      <c r="AJ55" s="235" t="n">
        <v>10</v>
      </c>
      <c r="AK55" s="235" t="n">
        <v>10</v>
      </c>
      <c r="AL55" s="235" t="n">
        <v>10</v>
      </c>
      <c r="AM55" s="235" t="n">
        <v>10</v>
      </c>
      <c r="AN55" s="235" t="n">
        <v>10</v>
      </c>
      <c r="AO55" s="235" t="n">
        <v>10</v>
      </c>
      <c r="AP55" s="235" t="n">
        <v>10</v>
      </c>
      <c r="AQ55" s="235" t="n">
        <v>10</v>
      </c>
      <c r="AR55" s="235" t="n">
        <v>10</v>
      </c>
      <c r="AS55" s="235" t="n">
        <v>10</v>
      </c>
      <c r="AT55" s="235" t="n">
        <v>10</v>
      </c>
      <c r="AU55" s="235" t="n">
        <v>10</v>
      </c>
      <c r="AV55" s="235" t="n">
        <v>10</v>
      </c>
      <c r="AW55" s="235" t="n">
        <v>10</v>
      </c>
    </row>
    <row r="56">
      <c r="A56" s="207" t="inlineStr">
        <is>
          <t>US$</t>
        </is>
      </c>
      <c r="B56" s="230" t="inlineStr">
        <is>
          <t>Salary Per Month</t>
        </is>
      </c>
      <c r="C56" s="210" t="n"/>
      <c r="D56" s="210" t="n"/>
      <c r="E56" s="210" t="n"/>
      <c r="F56" s="210" t="n"/>
      <c r="G56" s="1" t="n"/>
      <c r="H56" s="235">
        <f>2500*0.27</f>
        <v/>
      </c>
      <c r="I56" s="235">
        <f>2500*0.27</f>
        <v/>
      </c>
      <c r="J56" s="235">
        <f>2500*0.27</f>
        <v/>
      </c>
      <c r="K56" s="235">
        <f>2500*0.27</f>
        <v/>
      </c>
      <c r="L56" s="235">
        <f>2500*0.27</f>
        <v/>
      </c>
      <c r="M56" s="235">
        <f>2500*0.27</f>
        <v/>
      </c>
      <c r="N56" s="235">
        <f>2500*0.27</f>
        <v/>
      </c>
      <c r="O56" s="235">
        <f>2500*0.27</f>
        <v/>
      </c>
      <c r="P56" s="235">
        <f>2500*0.27</f>
        <v/>
      </c>
      <c r="Q56" s="235">
        <f>2500*0.27</f>
        <v/>
      </c>
      <c r="R56" s="235">
        <f>2500*0.27</f>
        <v/>
      </c>
      <c r="S56" s="235">
        <f>2500*0.27</f>
        <v/>
      </c>
      <c r="T56" s="235">
        <f>2500*0.27</f>
        <v/>
      </c>
      <c r="U56" s="235">
        <f>2500*0.27</f>
        <v/>
      </c>
      <c r="V56" s="235">
        <f>2500*0.27</f>
        <v/>
      </c>
      <c r="W56" s="235">
        <f>2500*0.27</f>
        <v/>
      </c>
      <c r="X56" s="235">
        <f>2500*0.27</f>
        <v/>
      </c>
      <c r="Y56" s="235">
        <f>2500*0.27</f>
        <v/>
      </c>
      <c r="Z56" s="235">
        <f>2500*0.27</f>
        <v/>
      </c>
      <c r="AA56" s="235">
        <f>2500*0.27</f>
        <v/>
      </c>
      <c r="AB56" s="235">
        <f>2500*0.27</f>
        <v/>
      </c>
      <c r="AC56" s="235">
        <f>2500*0.27</f>
        <v/>
      </c>
      <c r="AD56" s="235">
        <f>2500*0.27</f>
        <v/>
      </c>
      <c r="AE56" s="235">
        <f>2500*0.27</f>
        <v/>
      </c>
      <c r="AF56" s="235">
        <f>2500*0.27</f>
        <v/>
      </c>
      <c r="AG56" s="235">
        <f>2500*0.27</f>
        <v/>
      </c>
      <c r="AH56" s="235">
        <f>2500*0.27</f>
        <v/>
      </c>
      <c r="AI56" s="235">
        <f>2500*0.27</f>
        <v/>
      </c>
      <c r="AJ56" s="235">
        <f>2500*0.27</f>
        <v/>
      </c>
      <c r="AK56" s="235">
        <f>2500*0.27</f>
        <v/>
      </c>
      <c r="AL56" s="235">
        <f>2500*0.27</f>
        <v/>
      </c>
      <c r="AM56" s="235">
        <f>2500*0.27</f>
        <v/>
      </c>
      <c r="AN56" s="235">
        <f>2500*0.27</f>
        <v/>
      </c>
      <c r="AO56" s="235">
        <f>2500*0.27</f>
        <v/>
      </c>
      <c r="AP56" s="235">
        <f>2500*0.27</f>
        <v/>
      </c>
      <c r="AQ56" s="235">
        <f>2500*0.27</f>
        <v/>
      </c>
      <c r="AR56" s="235">
        <f>2500*0.27</f>
        <v/>
      </c>
      <c r="AS56" s="235">
        <f>2500*0.27</f>
        <v/>
      </c>
      <c r="AT56" s="235">
        <f>2500*0.27</f>
        <v/>
      </c>
      <c r="AU56" s="235">
        <f>2500*0.27</f>
        <v/>
      </c>
      <c r="AV56" s="235">
        <f>2500*0.27</f>
        <v/>
      </c>
      <c r="AW56" s="235">
        <f>2500*0.27</f>
        <v/>
      </c>
    </row>
    <row r="57">
      <c r="A57" s="207" t="n"/>
      <c r="C57" s="210" t="n"/>
      <c r="D57" s="210" t="n"/>
      <c r="E57" s="210" t="n"/>
      <c r="F57" s="210" t="n"/>
    </row>
    <row r="58">
      <c r="A58" s="207" t="n"/>
      <c r="B58" s="217" t="inlineStr">
        <is>
          <t>Payment rev. drivers</t>
        </is>
      </c>
      <c r="C58" s="210" t="n"/>
      <c r="D58" s="210" t="n"/>
      <c r="E58" s="210" t="n"/>
      <c r="F58" s="210" t="n"/>
    </row>
    <row r="59">
      <c r="A59" s="207" t="inlineStr">
        <is>
          <t>US$</t>
        </is>
      </c>
      <c r="B59" s="230" t="inlineStr">
        <is>
          <t>Avg. loan amount per account</t>
        </is>
      </c>
      <c r="C59" s="210" t="n"/>
      <c r="D59" s="210" t="n"/>
      <c r="E59" s="210" t="n"/>
      <c r="F59" s="210" t="n"/>
      <c r="H59" s="413">
        <f>H55*H56</f>
        <v/>
      </c>
      <c r="I59" s="413">
        <f>I55*I56</f>
        <v/>
      </c>
      <c r="J59" s="413">
        <f>J55*J56</f>
        <v/>
      </c>
      <c r="K59" s="413">
        <f>K55*K56</f>
        <v/>
      </c>
      <c r="L59" s="413">
        <f>L55*L56</f>
        <v/>
      </c>
      <c r="M59" s="413">
        <f>M55*M56</f>
        <v/>
      </c>
      <c r="N59" s="413">
        <f>N55*N56</f>
        <v/>
      </c>
      <c r="O59" s="413">
        <f>O55*O56</f>
        <v/>
      </c>
      <c r="P59" s="413">
        <f>P55*P56</f>
        <v/>
      </c>
      <c r="Q59" s="413">
        <f>Q55*Q56</f>
        <v/>
      </c>
      <c r="R59" s="413">
        <f>R55*R56</f>
        <v/>
      </c>
      <c r="S59" s="413">
        <f>S55*S56</f>
        <v/>
      </c>
      <c r="T59" s="413">
        <f>T55*T56</f>
        <v/>
      </c>
      <c r="U59" s="413">
        <f>U55*U56</f>
        <v/>
      </c>
      <c r="V59" s="413">
        <f>V55*V56</f>
        <v/>
      </c>
      <c r="W59" s="413">
        <f>W55*W56</f>
        <v/>
      </c>
      <c r="X59" s="413">
        <f>X55*X56</f>
        <v/>
      </c>
      <c r="Y59" s="413">
        <f>Y55*Y56</f>
        <v/>
      </c>
      <c r="Z59" s="413">
        <f>Z55*Z56</f>
        <v/>
      </c>
      <c r="AA59" s="413">
        <f>AA55*AA56</f>
        <v/>
      </c>
      <c r="AB59" s="413">
        <f>AB55*AB56</f>
        <v/>
      </c>
      <c r="AC59" s="413">
        <f>AC55*AC56</f>
        <v/>
      </c>
      <c r="AD59" s="413">
        <f>AD55*AD56</f>
        <v/>
      </c>
      <c r="AE59" s="413">
        <f>AE55*AE56</f>
        <v/>
      </c>
      <c r="AF59" s="413">
        <f>AF55*AF56</f>
        <v/>
      </c>
      <c r="AG59" s="413">
        <f>AG55*AG56</f>
        <v/>
      </c>
      <c r="AH59" s="413">
        <f>AH55*AH56</f>
        <v/>
      </c>
      <c r="AI59" s="413">
        <f>AI55*AI56</f>
        <v/>
      </c>
      <c r="AJ59" s="413">
        <f>AJ55*AJ56</f>
        <v/>
      </c>
      <c r="AK59" s="413">
        <f>AK55*AK56</f>
        <v/>
      </c>
      <c r="AL59" s="413">
        <f>AL55*AL56</f>
        <v/>
      </c>
      <c r="AM59" s="413">
        <f>AM55*AM56</f>
        <v/>
      </c>
      <c r="AN59" s="413">
        <f>AN55*AN56</f>
        <v/>
      </c>
      <c r="AO59" s="413">
        <f>AO55*AO56</f>
        <v/>
      </c>
      <c r="AP59" s="413">
        <f>AP55*AP56</f>
        <v/>
      </c>
      <c r="AQ59" s="413">
        <f>AQ55*AQ56</f>
        <v/>
      </c>
      <c r="AR59" s="413">
        <f>AR55*AR56</f>
        <v/>
      </c>
      <c r="AS59" s="413">
        <f>AS55*AS56</f>
        <v/>
      </c>
      <c r="AT59" s="413">
        <f>AT55*AT56</f>
        <v/>
      </c>
      <c r="AU59" s="413">
        <f>AU55*AU56</f>
        <v/>
      </c>
      <c r="AV59" s="413">
        <f>AV55*AV56</f>
        <v/>
      </c>
      <c r="AW59" s="413">
        <f>AW55*AW56</f>
        <v/>
      </c>
    </row>
    <row r="60">
      <c r="A60" s="207" t="inlineStr">
        <is>
          <t>%</t>
        </is>
      </c>
      <c r="B60" s="230" t="inlineStr">
        <is>
          <t>Annual int. rate</t>
        </is>
      </c>
      <c r="C60" s="210" t="n"/>
      <c r="D60" s="210" t="n"/>
      <c r="E60" s="210" t="n"/>
      <c r="F60" s="210" t="n"/>
      <c r="H60" s="403" t="n">
        <v>0</v>
      </c>
      <c r="I60" s="403" t="n">
        <v>0</v>
      </c>
      <c r="J60" s="403" t="n">
        <v>0</v>
      </c>
      <c r="K60" s="403" t="n">
        <v>0</v>
      </c>
      <c r="L60" s="403" t="n">
        <v>0</v>
      </c>
      <c r="M60" s="403" t="n">
        <v>0</v>
      </c>
      <c r="N60" s="403" t="n">
        <v>0</v>
      </c>
      <c r="O60" s="403" t="n">
        <v>0</v>
      </c>
      <c r="P60" s="403" t="n">
        <v>0</v>
      </c>
      <c r="Q60" s="403" t="n">
        <v>0</v>
      </c>
      <c r="R60" s="403" t="n">
        <v>0</v>
      </c>
      <c r="S60" s="403" t="n">
        <v>0</v>
      </c>
      <c r="T60" s="403" t="n">
        <v>0</v>
      </c>
      <c r="U60" s="403" t="n">
        <v>0</v>
      </c>
      <c r="V60" s="403" t="n">
        <v>0</v>
      </c>
      <c r="W60" s="403" t="n">
        <v>0</v>
      </c>
      <c r="X60" s="403" t="n">
        <v>0</v>
      </c>
      <c r="Y60" s="403" t="n">
        <v>0</v>
      </c>
      <c r="Z60" s="403" t="n">
        <v>0</v>
      </c>
      <c r="AA60" s="403" t="n">
        <v>0</v>
      </c>
      <c r="AB60" s="403" t="n">
        <v>0</v>
      </c>
      <c r="AC60" s="403" t="n">
        <v>0</v>
      </c>
      <c r="AD60" s="403" t="n">
        <v>0</v>
      </c>
      <c r="AE60" s="403" t="n">
        <v>0</v>
      </c>
      <c r="AF60" s="403" t="n">
        <v>0</v>
      </c>
      <c r="AG60" s="403" t="n">
        <v>0</v>
      </c>
      <c r="AH60" s="403" t="n">
        <v>0</v>
      </c>
      <c r="AI60" s="403" t="n">
        <v>0</v>
      </c>
      <c r="AJ60" s="403" t="n">
        <v>0</v>
      </c>
      <c r="AK60" s="403" t="n">
        <v>0</v>
      </c>
      <c r="AL60" s="403" t="n">
        <v>0</v>
      </c>
      <c r="AM60" s="403" t="n">
        <v>0</v>
      </c>
      <c r="AN60" s="403" t="n">
        <v>0</v>
      </c>
      <c r="AO60" s="403" t="n">
        <v>0</v>
      </c>
      <c r="AP60" s="403" t="n">
        <v>0</v>
      </c>
      <c r="AQ60" s="403" t="n">
        <v>0</v>
      </c>
      <c r="AR60" s="403" t="n">
        <v>0</v>
      </c>
      <c r="AS60" s="403" t="n">
        <v>0</v>
      </c>
      <c r="AT60" s="403" t="n">
        <v>0</v>
      </c>
      <c r="AU60" s="403" t="n">
        <v>0</v>
      </c>
      <c r="AV60" s="403" t="n">
        <v>0</v>
      </c>
      <c r="AW60" s="403" t="n">
        <v>0</v>
      </c>
    </row>
    <row r="61">
      <c r="A61" s="207" t="inlineStr">
        <is>
          <t>Months</t>
        </is>
      </c>
      <c r="B61" s="230" t="inlineStr">
        <is>
          <t>Avg. tenure (months)</t>
        </is>
      </c>
      <c r="C61" s="210" t="n"/>
      <c r="D61" s="210" t="n"/>
      <c r="E61" s="210" t="n"/>
      <c r="F61" s="210" t="n"/>
      <c r="H61" s="368" t="n">
        <v>3</v>
      </c>
      <c r="I61" s="368" t="n">
        <v>3</v>
      </c>
      <c r="J61" s="368" t="n">
        <v>3</v>
      </c>
      <c r="K61" s="368" t="n">
        <v>3</v>
      </c>
      <c r="L61" s="368" t="n">
        <v>3</v>
      </c>
      <c r="M61" s="368" t="n">
        <v>3</v>
      </c>
      <c r="N61" s="368" t="n">
        <v>3</v>
      </c>
      <c r="O61" s="368" t="n">
        <v>3</v>
      </c>
      <c r="P61" s="368" t="n">
        <v>3</v>
      </c>
      <c r="Q61" s="368" t="n">
        <v>3</v>
      </c>
      <c r="R61" s="368" t="n">
        <v>3</v>
      </c>
      <c r="S61" s="368" t="n">
        <v>3</v>
      </c>
      <c r="T61" s="368" t="n">
        <v>3</v>
      </c>
      <c r="U61" s="368" t="n">
        <v>3</v>
      </c>
      <c r="V61" s="368" t="n">
        <v>3</v>
      </c>
      <c r="W61" s="368" t="n">
        <v>3</v>
      </c>
      <c r="X61" s="368" t="n">
        <v>3</v>
      </c>
      <c r="Y61" s="368" t="n">
        <v>3</v>
      </c>
      <c r="Z61" s="368" t="n">
        <v>3</v>
      </c>
      <c r="AA61" s="368" t="n">
        <v>3</v>
      </c>
      <c r="AB61" s="368" t="n">
        <v>3</v>
      </c>
      <c r="AC61" s="368" t="n">
        <v>3</v>
      </c>
      <c r="AD61" s="368" t="n">
        <v>3</v>
      </c>
      <c r="AE61" s="368" t="n">
        <v>3</v>
      </c>
      <c r="AF61" s="368" t="n">
        <v>3</v>
      </c>
      <c r="AG61" s="368" t="n">
        <v>3</v>
      </c>
      <c r="AH61" s="368" t="n">
        <v>3</v>
      </c>
      <c r="AI61" s="368" t="n">
        <v>3</v>
      </c>
      <c r="AJ61" s="368" t="n">
        <v>3</v>
      </c>
      <c r="AK61" s="368" t="n">
        <v>3</v>
      </c>
      <c r="AL61" s="368" t="n">
        <v>3</v>
      </c>
      <c r="AM61" s="368" t="n">
        <v>3</v>
      </c>
      <c r="AN61" s="368" t="n">
        <v>3</v>
      </c>
      <c r="AO61" s="368" t="n">
        <v>3</v>
      </c>
      <c r="AP61" s="368" t="n">
        <v>3</v>
      </c>
      <c r="AQ61" s="368" t="n">
        <v>3</v>
      </c>
      <c r="AR61" s="368" t="n">
        <v>3</v>
      </c>
      <c r="AS61" s="368" t="n">
        <v>3</v>
      </c>
      <c r="AT61" s="368" t="n">
        <v>3</v>
      </c>
      <c r="AU61" s="368" t="n">
        <v>3</v>
      </c>
      <c r="AV61" s="368" t="n">
        <v>3</v>
      </c>
      <c r="AW61" s="368" t="n">
        <v>3</v>
      </c>
    </row>
    <row r="62">
      <c r="A62" s="207" t="inlineStr">
        <is>
          <t>US$</t>
        </is>
      </c>
      <c r="B62" s="230" t="inlineStr">
        <is>
          <t>Monthly installment</t>
        </is>
      </c>
      <c r="C62" s="210" t="n"/>
      <c r="D62" s="210" t="n"/>
      <c r="E62" s="210" t="n"/>
      <c r="F62" s="210" t="n"/>
      <c r="H62" s="357">
        <f>PMT(H60/12,H61,-H59)</f>
        <v/>
      </c>
      <c r="I62" s="357">
        <f>PMT(I60/12,I61,-I59)</f>
        <v/>
      </c>
      <c r="J62" s="357">
        <f>PMT(J60/12,J61,-J59)</f>
        <v/>
      </c>
      <c r="K62" s="357">
        <f>PMT(K60/12,K61,-K59)</f>
        <v/>
      </c>
      <c r="L62" s="357">
        <f>PMT(L60/12,L61,-L59)</f>
        <v/>
      </c>
      <c r="M62" s="357">
        <f>PMT(M60/12,M61,-M59)</f>
        <v/>
      </c>
      <c r="N62" s="357">
        <f>PMT(N60/12,N61,-N59)</f>
        <v/>
      </c>
      <c r="O62" s="357">
        <f>PMT(O60/12,O61,-O59)</f>
        <v/>
      </c>
      <c r="P62" s="357">
        <f>PMT(P60/12,P61,-P59)</f>
        <v/>
      </c>
      <c r="Q62" s="357">
        <f>PMT(Q60/12,Q61,-Q59)</f>
        <v/>
      </c>
      <c r="R62" s="357">
        <f>PMT(R60/12,R61,-R59)</f>
        <v/>
      </c>
      <c r="S62" s="357">
        <f>PMT(S60/12,S61,-S59)</f>
        <v/>
      </c>
      <c r="T62" s="357">
        <f>PMT(T60/12,T61,-T59)</f>
        <v/>
      </c>
      <c r="U62" s="357">
        <f>PMT(U60/12,U61,-U59)</f>
        <v/>
      </c>
      <c r="V62" s="357">
        <f>PMT(V60/12,V61,-V59)</f>
        <v/>
      </c>
      <c r="W62" s="357">
        <f>PMT(W60/12,W61,-W59)</f>
        <v/>
      </c>
      <c r="X62" s="357">
        <f>PMT(X60/12,X61,-X59)</f>
        <v/>
      </c>
      <c r="Y62" s="357">
        <f>PMT(Y60/12,Y61,-Y59)</f>
        <v/>
      </c>
      <c r="Z62" s="357">
        <f>PMT(Z60/12,Z61,-Z59)</f>
        <v/>
      </c>
      <c r="AA62" s="357">
        <f>PMT(AA60/12,AA61,-AA59)</f>
        <v/>
      </c>
      <c r="AB62" s="357">
        <f>PMT(AB60/12,AB61,-AB59)</f>
        <v/>
      </c>
      <c r="AC62" s="357">
        <f>PMT(AC60/12,AC61,-AC59)</f>
        <v/>
      </c>
      <c r="AD62" s="357">
        <f>PMT(AD60/12,AD61,-AD59)</f>
        <v/>
      </c>
      <c r="AE62" s="357">
        <f>PMT(AE60/12,AE61,-AE59)</f>
        <v/>
      </c>
      <c r="AF62" s="357">
        <f>PMT(AF60/12,AF61,-AF59)</f>
        <v/>
      </c>
      <c r="AG62" s="357">
        <f>PMT(AG60/12,AG61,-AG59)</f>
        <v/>
      </c>
      <c r="AH62" s="357">
        <f>PMT(AH60/12,AH61,-AH59)</f>
        <v/>
      </c>
      <c r="AI62" s="357">
        <f>PMT(AI60/12,AI61,-AI59)</f>
        <v/>
      </c>
      <c r="AJ62" s="357">
        <f>PMT(AJ60/12,AJ61,-AJ59)</f>
        <v/>
      </c>
      <c r="AK62" s="357">
        <f>PMT(AK60/12,AK61,-AK59)</f>
        <v/>
      </c>
      <c r="AL62" s="357">
        <f>PMT(AL60/12,AL61,-AL59)</f>
        <v/>
      </c>
      <c r="AM62" s="357">
        <f>PMT(AM60/12,AM61,-AM59)</f>
        <v/>
      </c>
      <c r="AN62" s="357">
        <f>PMT(AN60/12,AN61,-AN59)</f>
        <v/>
      </c>
      <c r="AO62" s="357">
        <f>PMT(AO60/12,AO61,-AO59)</f>
        <v/>
      </c>
      <c r="AP62" s="357">
        <f>PMT(AP60/12,AP61,-AP59)</f>
        <v/>
      </c>
      <c r="AQ62" s="357">
        <f>PMT(AQ60/12,AQ61,-AQ59)</f>
        <v/>
      </c>
      <c r="AR62" s="357">
        <f>PMT(AR60/12,AR61,-AR59)</f>
        <v/>
      </c>
      <c r="AS62" s="357">
        <f>PMT(AS60/12,AS61,-AS59)</f>
        <v/>
      </c>
      <c r="AT62" s="357">
        <f>PMT(AT60/12,AT61,-AT59)</f>
        <v/>
      </c>
      <c r="AU62" s="357">
        <f>PMT(AU60/12,AU61,-AU59)</f>
        <v/>
      </c>
      <c r="AV62" s="357">
        <f>PMT(AV60/12,AV61,-AV59)</f>
        <v/>
      </c>
      <c r="AW62" s="357">
        <f>PMT(AW60/12,AW61,-AW59)</f>
        <v/>
      </c>
    </row>
    <row r="63">
      <c r="A63" s="207" t="n"/>
      <c r="C63" s="210" t="n"/>
      <c r="D63" s="210" t="n"/>
      <c r="E63" s="210" t="n"/>
      <c r="F63" s="210" t="n"/>
    </row>
    <row r="64">
      <c r="A64" s="207" t="inlineStr">
        <is>
          <t>US$</t>
        </is>
      </c>
      <c r="B64" s="11" t="inlineStr">
        <is>
          <t>Monthly transaction total</t>
        </is>
      </c>
      <c r="C64" s="327">
        <f>SUMIF($H$5:$AW$5,C$5,$H64:$AW64)</f>
        <v/>
      </c>
      <c r="D64" s="327">
        <f>SUMIF($H$5:$AW$5,D$5,$H64:$AW64)</f>
        <v/>
      </c>
      <c r="E64" s="327">
        <f>SUMIF($H$5:$AW$5,E$5,$H64:$AW64)</f>
        <v/>
      </c>
      <c r="F64" s="327">
        <f>SUMIF($H$5:$AW$5,F$5,$H64:$AW64)</f>
        <v/>
      </c>
      <c r="H64" s="357">
        <f>H62*H47</f>
        <v/>
      </c>
      <c r="I64" s="357">
        <f>I62*I47</f>
        <v/>
      </c>
      <c r="J64" s="357">
        <f>J62*J47</f>
        <v/>
      </c>
      <c r="K64" s="357">
        <f>K62*K47</f>
        <v/>
      </c>
      <c r="L64" s="357">
        <f>L62*L47</f>
        <v/>
      </c>
      <c r="M64" s="357">
        <f>M62*M47</f>
        <v/>
      </c>
      <c r="N64" s="357">
        <f>N62*N47</f>
        <v/>
      </c>
      <c r="O64" s="357">
        <f>O62*O47</f>
        <v/>
      </c>
      <c r="P64" s="357">
        <f>P62*P47</f>
        <v/>
      </c>
      <c r="Q64" s="357">
        <f>Q62*Q47</f>
        <v/>
      </c>
      <c r="R64" s="357">
        <f>R62*R47</f>
        <v/>
      </c>
      <c r="S64" s="357">
        <f>S62*S47</f>
        <v/>
      </c>
      <c r="T64" s="357">
        <f>T62*T47</f>
        <v/>
      </c>
      <c r="U64" s="357">
        <f>U62*U47</f>
        <v/>
      </c>
      <c r="V64" s="357">
        <f>V62*V47</f>
        <v/>
      </c>
      <c r="W64" s="357">
        <f>W62*W47</f>
        <v/>
      </c>
      <c r="X64" s="357">
        <f>X62*X47</f>
        <v/>
      </c>
      <c r="Y64" s="357">
        <f>Y62*Y47</f>
        <v/>
      </c>
      <c r="Z64" s="357">
        <f>Z62*Z47</f>
        <v/>
      </c>
      <c r="AA64" s="357">
        <f>AA62*AA47</f>
        <v/>
      </c>
      <c r="AB64" s="357">
        <f>AB62*AB47</f>
        <v/>
      </c>
      <c r="AC64" s="357">
        <f>AC62*AC47</f>
        <v/>
      </c>
      <c r="AD64" s="357">
        <f>AD62*AD47</f>
        <v/>
      </c>
      <c r="AE64" s="357">
        <f>AE62*AE47</f>
        <v/>
      </c>
      <c r="AF64" s="357">
        <f>AF62*AF47</f>
        <v/>
      </c>
      <c r="AG64" s="357">
        <f>AG62*AG47</f>
        <v/>
      </c>
      <c r="AH64" s="357">
        <f>AH62*AH47</f>
        <v/>
      </c>
      <c r="AI64" s="357">
        <f>AI62*AI47</f>
        <v/>
      </c>
      <c r="AJ64" s="357">
        <f>AJ62*AJ47</f>
        <v/>
      </c>
      <c r="AK64" s="357">
        <f>AK62*AK47</f>
        <v/>
      </c>
      <c r="AL64" s="357">
        <f>AL62*AL47</f>
        <v/>
      </c>
      <c r="AM64" s="357">
        <f>AM62*AM47</f>
        <v/>
      </c>
      <c r="AN64" s="357">
        <f>AN62*AN47</f>
        <v/>
      </c>
      <c r="AO64" s="357">
        <f>AO62*AO47</f>
        <v/>
      </c>
      <c r="AP64" s="357">
        <f>AP62*AP47</f>
        <v/>
      </c>
      <c r="AQ64" s="357">
        <f>AQ62*AQ47</f>
        <v/>
      </c>
      <c r="AR64" s="357">
        <f>AR62*AR47</f>
        <v/>
      </c>
      <c r="AS64" s="357">
        <f>AS62*AS47</f>
        <v/>
      </c>
      <c r="AT64" s="357">
        <f>AT62*AT47</f>
        <v/>
      </c>
      <c r="AU64" s="357">
        <f>AU62*AU47</f>
        <v/>
      </c>
      <c r="AV64" s="357">
        <f>AV62*AV47</f>
        <v/>
      </c>
      <c r="AW64" s="357">
        <f>AW62*AW47</f>
        <v/>
      </c>
    </row>
    <row r="65">
      <c r="A65" s="207" t="inlineStr">
        <is>
          <t>US$</t>
        </is>
      </c>
      <c r="B65" s="11" t="inlineStr">
        <is>
          <t>Flat Repayment Fees</t>
        </is>
      </c>
      <c r="C65" s="401" t="n"/>
      <c r="D65" s="401" t="n"/>
      <c r="E65" s="401" t="n"/>
      <c r="F65" s="401" t="n"/>
      <c r="G65" s="402" t="n"/>
      <c r="H65" s="414">
        <f>5*0.27</f>
        <v/>
      </c>
      <c r="I65" s="414">
        <f>5*0.27</f>
        <v/>
      </c>
      <c r="J65" s="414">
        <f>5*0.27</f>
        <v/>
      </c>
      <c r="K65" s="414">
        <f>5*0.27</f>
        <v/>
      </c>
      <c r="L65" s="414">
        <f>5*0.27</f>
        <v/>
      </c>
      <c r="M65" s="414">
        <f>5*0.27</f>
        <v/>
      </c>
      <c r="N65" s="414">
        <f>5*0.27</f>
        <v/>
      </c>
      <c r="O65" s="414">
        <f>5*0.27</f>
        <v/>
      </c>
      <c r="P65" s="414">
        <f>5*0.27</f>
        <v/>
      </c>
      <c r="Q65" s="414">
        <f>5*0.27</f>
        <v/>
      </c>
      <c r="R65" s="414">
        <f>5*0.27</f>
        <v/>
      </c>
      <c r="S65" s="414">
        <f>5*0.27</f>
        <v/>
      </c>
      <c r="T65" s="414">
        <f>5*0.27</f>
        <v/>
      </c>
      <c r="U65" s="414">
        <f>5*0.27</f>
        <v/>
      </c>
      <c r="V65" s="414">
        <f>5*0.27</f>
        <v/>
      </c>
      <c r="W65" s="414">
        <f>5*0.27</f>
        <v/>
      </c>
      <c r="X65" s="414">
        <f>5*0.27</f>
        <v/>
      </c>
      <c r="Y65" s="414">
        <f>5*0.27</f>
        <v/>
      </c>
      <c r="Z65" s="414">
        <f>5*0.27</f>
        <v/>
      </c>
      <c r="AA65" s="414">
        <f>5*0.27</f>
        <v/>
      </c>
      <c r="AB65" s="414">
        <f>5*0.27</f>
        <v/>
      </c>
      <c r="AC65" s="414">
        <f>5*0.27</f>
        <v/>
      </c>
      <c r="AD65" s="414">
        <f>5*0.27</f>
        <v/>
      </c>
      <c r="AE65" s="414">
        <f>5*0.27</f>
        <v/>
      </c>
      <c r="AF65" s="414">
        <f>5*0.27</f>
        <v/>
      </c>
      <c r="AG65" s="414">
        <f>5*0.27</f>
        <v/>
      </c>
      <c r="AH65" s="414">
        <f>5*0.27</f>
        <v/>
      </c>
      <c r="AI65" s="414">
        <f>5*0.27</f>
        <v/>
      </c>
      <c r="AJ65" s="414">
        <f>5*0.27</f>
        <v/>
      </c>
      <c r="AK65" s="414">
        <f>5*0.27</f>
        <v/>
      </c>
      <c r="AL65" s="414">
        <f>5*0.27</f>
        <v/>
      </c>
      <c r="AM65" s="414">
        <f>5*0.27</f>
        <v/>
      </c>
      <c r="AN65" s="414">
        <f>5*0.27</f>
        <v/>
      </c>
      <c r="AO65" s="414">
        <f>5*0.27</f>
        <v/>
      </c>
      <c r="AP65" s="414">
        <f>5*0.27</f>
        <v/>
      </c>
      <c r="AQ65" s="414">
        <f>5*0.27</f>
        <v/>
      </c>
      <c r="AR65" s="414">
        <f>5*0.27</f>
        <v/>
      </c>
      <c r="AS65" s="414">
        <f>5*0.27</f>
        <v/>
      </c>
      <c r="AT65" s="414">
        <f>5*0.27</f>
        <v/>
      </c>
      <c r="AU65" s="414">
        <f>5*0.27</f>
        <v/>
      </c>
      <c r="AV65" s="414">
        <f>5*0.27</f>
        <v/>
      </c>
      <c r="AW65" s="414">
        <f>5*0.27</f>
        <v/>
      </c>
    </row>
    <row r="66">
      <c r="A66" s="207" t="n"/>
      <c r="C66" s="210" t="n"/>
      <c r="D66" s="210" t="n"/>
      <c r="E66" s="210" t="n"/>
      <c r="F66" s="210" t="n"/>
    </row>
    <row r="67">
      <c r="A67" s="207" t="inlineStr">
        <is>
          <t>US$</t>
        </is>
      </c>
      <c r="B67" s="219" t="inlineStr">
        <is>
          <t>Application fee revs</t>
        </is>
      </c>
      <c r="C67" s="415">
        <f>SUMIF($H$5:$AW$5,C$5,$H67:$AW67)</f>
        <v/>
      </c>
      <c r="D67" s="415">
        <f>SUMIF($H$5:$AW$5,D$5,$H67:$AW67)</f>
        <v/>
      </c>
      <c r="E67" s="415">
        <f>SUMIF($H$5:$AW$5,E$5,$H67:$AW67)</f>
        <v/>
      </c>
      <c r="F67" s="415">
        <f>SUMIF($H$5:$AW$5,F$5,$H67:$AW67)</f>
        <v/>
      </c>
      <c r="G67" s="360" t="n"/>
      <c r="H67" s="365">
        <f>H50*H47</f>
        <v/>
      </c>
      <c r="I67" s="365">
        <f>I50*I47</f>
        <v/>
      </c>
      <c r="J67" s="365">
        <f>J50*J47</f>
        <v/>
      </c>
      <c r="K67" s="365">
        <f>K50*K47</f>
        <v/>
      </c>
      <c r="L67" s="365">
        <f>L50*L47</f>
        <v/>
      </c>
      <c r="M67" s="365">
        <f>M50*M47</f>
        <v/>
      </c>
      <c r="N67" s="365">
        <f>N50*N47</f>
        <v/>
      </c>
      <c r="O67" s="365">
        <f>O50*O47</f>
        <v/>
      </c>
      <c r="P67" s="365">
        <f>P50*P47</f>
        <v/>
      </c>
      <c r="Q67" s="365">
        <f>Q50*Q47</f>
        <v/>
      </c>
      <c r="R67" s="365">
        <f>R50*R47</f>
        <v/>
      </c>
      <c r="S67" s="365">
        <f>S50*S47</f>
        <v/>
      </c>
      <c r="T67" s="365">
        <f>T50*T47</f>
        <v/>
      </c>
      <c r="U67" s="365">
        <f>U50*U47</f>
        <v/>
      </c>
      <c r="V67" s="365">
        <f>V50*V47</f>
        <v/>
      </c>
      <c r="W67" s="365">
        <f>W50*W47</f>
        <v/>
      </c>
      <c r="X67" s="365">
        <f>X50*X47</f>
        <v/>
      </c>
      <c r="Y67" s="365">
        <f>Y50*Y47</f>
        <v/>
      </c>
      <c r="Z67" s="365">
        <f>Z50*Z47</f>
        <v/>
      </c>
      <c r="AA67" s="365">
        <f>AA50*AA47</f>
        <v/>
      </c>
      <c r="AB67" s="365">
        <f>AB50*AB47</f>
        <v/>
      </c>
      <c r="AC67" s="365">
        <f>AC50*AC47</f>
        <v/>
      </c>
      <c r="AD67" s="365">
        <f>AD50*AD47</f>
        <v/>
      </c>
      <c r="AE67" s="365">
        <f>AE50*AE47</f>
        <v/>
      </c>
      <c r="AF67" s="365">
        <f>AF50*AF47</f>
        <v/>
      </c>
      <c r="AG67" s="365">
        <f>AG50*AG47</f>
        <v/>
      </c>
      <c r="AH67" s="365">
        <f>AH50*AH47</f>
        <v/>
      </c>
      <c r="AI67" s="365">
        <f>AI50*AI47</f>
        <v/>
      </c>
      <c r="AJ67" s="365">
        <f>AJ50*AJ47</f>
        <v/>
      </c>
      <c r="AK67" s="365">
        <f>AK50*AK47</f>
        <v/>
      </c>
      <c r="AL67" s="365">
        <f>AL50*AL47</f>
        <v/>
      </c>
      <c r="AM67" s="365">
        <f>AM50*AM47</f>
        <v/>
      </c>
      <c r="AN67" s="365">
        <f>AN50*AN47</f>
        <v/>
      </c>
      <c r="AO67" s="365">
        <f>AO50*AO47</f>
        <v/>
      </c>
      <c r="AP67" s="365">
        <f>AP50*AP47</f>
        <v/>
      </c>
      <c r="AQ67" s="365">
        <f>AQ50*AQ47</f>
        <v/>
      </c>
      <c r="AR67" s="365">
        <f>AR50*AR47</f>
        <v/>
      </c>
      <c r="AS67" s="365">
        <f>AS50*AS47</f>
        <v/>
      </c>
      <c r="AT67" s="365">
        <f>AT50*AT47</f>
        <v/>
      </c>
      <c r="AU67" s="365">
        <f>AU50*AU47</f>
        <v/>
      </c>
      <c r="AV67" s="365">
        <f>AV50*AV47</f>
        <v/>
      </c>
      <c r="AW67" s="365">
        <f>AW50*AW47</f>
        <v/>
      </c>
    </row>
    <row r="68">
      <c r="A68" s="207" t="inlineStr">
        <is>
          <t>US$</t>
        </is>
      </c>
      <c r="B68" s="184" t="inlineStr">
        <is>
          <t>Monthly management fee revs</t>
        </is>
      </c>
      <c r="C68" s="416">
        <f>SUMIF($H$5:$AW$5,C$5,$H68:$AW68)</f>
        <v/>
      </c>
      <c r="D68" s="416">
        <f>SUMIF($H$5:$AW$5,D$5,$H68:$AW68)</f>
        <v/>
      </c>
      <c r="E68" s="416">
        <f>SUMIF($H$5:$AW$5,E$5,$H68:$AW68)</f>
        <v/>
      </c>
      <c r="F68" s="416">
        <f>SUMIF($H$5:$AW$5,F$5,$H68:$AW68)</f>
        <v/>
      </c>
      <c r="G68" s="360" t="n"/>
      <c r="H68" s="417">
        <f>H51*AVERAGE(G45:H45)</f>
        <v/>
      </c>
      <c r="I68" s="417">
        <f>I51*AVERAGE(H45:I45)</f>
        <v/>
      </c>
      <c r="J68" s="417">
        <f>J51*AVERAGE(I45:J45)</f>
        <v/>
      </c>
      <c r="K68" s="417">
        <f>K51*AVERAGE(J45:K45)</f>
        <v/>
      </c>
      <c r="L68" s="417">
        <f>L51*AVERAGE(K45:L45)</f>
        <v/>
      </c>
      <c r="M68" s="417">
        <f>M51*AVERAGE(L45:M45)</f>
        <v/>
      </c>
      <c r="N68" s="417">
        <f>N51*AVERAGE(M45:N45)</f>
        <v/>
      </c>
      <c r="O68" s="417">
        <f>O51*AVERAGE(N45:O45)</f>
        <v/>
      </c>
      <c r="P68" s="417">
        <f>P51*AVERAGE(O45:P45)</f>
        <v/>
      </c>
      <c r="Q68" s="417">
        <f>Q51*AVERAGE(P45:Q45)</f>
        <v/>
      </c>
      <c r="R68" s="417">
        <f>R51*AVERAGE(Q45:R45)</f>
        <v/>
      </c>
      <c r="S68" s="417">
        <f>S51*AVERAGE(R45:S45)</f>
        <v/>
      </c>
      <c r="T68" s="417">
        <f>T51*AVERAGE(S45:T45)</f>
        <v/>
      </c>
      <c r="U68" s="417">
        <f>U51*AVERAGE(T45:U45)</f>
        <v/>
      </c>
      <c r="V68" s="417">
        <f>V51*AVERAGE(U45:V45)</f>
        <v/>
      </c>
      <c r="W68" s="417">
        <f>W51*AVERAGE(V45:W45)</f>
        <v/>
      </c>
      <c r="X68" s="417">
        <f>X51*AVERAGE(W45:X45)</f>
        <v/>
      </c>
      <c r="Y68" s="417">
        <f>Y51*AVERAGE(X45:Y45)</f>
        <v/>
      </c>
      <c r="Z68" s="417">
        <f>Z51*AVERAGE(Y45:Z45)</f>
        <v/>
      </c>
      <c r="AA68" s="417">
        <f>AA51*AVERAGE(Z45:AA45)</f>
        <v/>
      </c>
      <c r="AB68" s="417">
        <f>AB51*AVERAGE(AA45:AB45)</f>
        <v/>
      </c>
      <c r="AC68" s="417">
        <f>AC51*AVERAGE(AB45:AC45)</f>
        <v/>
      </c>
      <c r="AD68" s="417">
        <f>AD51*AVERAGE(AC45:AD45)</f>
        <v/>
      </c>
      <c r="AE68" s="417">
        <f>AE51*AVERAGE(AD45:AE45)</f>
        <v/>
      </c>
      <c r="AF68" s="417">
        <f>AF51*AVERAGE(AE45:AF45)</f>
        <v/>
      </c>
      <c r="AG68" s="417">
        <f>AG51*AVERAGE(AF45:AG45)</f>
        <v/>
      </c>
      <c r="AH68" s="417">
        <f>AH51*AVERAGE(AG45:AH45)</f>
        <v/>
      </c>
      <c r="AI68" s="417">
        <f>AI51*AVERAGE(AH45:AI45)</f>
        <v/>
      </c>
      <c r="AJ68" s="417">
        <f>AJ51*AVERAGE(AI45:AJ45)</f>
        <v/>
      </c>
      <c r="AK68" s="417">
        <f>AK51*AVERAGE(AJ45:AK45)</f>
        <v/>
      </c>
      <c r="AL68" s="417">
        <f>AL51*AVERAGE(AK45:AL45)</f>
        <v/>
      </c>
      <c r="AM68" s="417">
        <f>AM51*AVERAGE(AL45:AM45)</f>
        <v/>
      </c>
      <c r="AN68" s="417">
        <f>AN51*AVERAGE(AM45:AN45)</f>
        <v/>
      </c>
      <c r="AO68" s="417">
        <f>AO51*AVERAGE(AN45:AO45)</f>
        <v/>
      </c>
      <c r="AP68" s="417">
        <f>AP51*AVERAGE(AO45:AP45)</f>
        <v/>
      </c>
      <c r="AQ68" s="417">
        <f>AQ51*AVERAGE(AP45:AQ45)</f>
        <v/>
      </c>
      <c r="AR68" s="417">
        <f>AR51*AVERAGE(AQ45:AR45)</f>
        <v/>
      </c>
      <c r="AS68" s="417">
        <f>AS51*AVERAGE(AR45:AS45)</f>
        <v/>
      </c>
      <c r="AT68" s="417">
        <f>AT51*AVERAGE(AS45:AT45)</f>
        <v/>
      </c>
      <c r="AU68" s="417">
        <f>AU51*AVERAGE(AT45:AU45)</f>
        <v/>
      </c>
      <c r="AV68" s="417">
        <f>AV51*AVERAGE(AU45:AV45)</f>
        <v/>
      </c>
      <c r="AW68" s="417">
        <f>AW51*AVERAGE(AV45:AW45)</f>
        <v/>
      </c>
    </row>
    <row r="69">
      <c r="A69" s="207" t="inlineStr">
        <is>
          <t>US$</t>
        </is>
      </c>
      <c r="B69" s="227" t="inlineStr">
        <is>
          <t>Late Repayment Fee as a % of Monthly Installments</t>
        </is>
      </c>
      <c r="C69" s="416">
        <f>SUMIF($H$5:$AW$5,C$5,$H69:$AW69)</f>
        <v/>
      </c>
      <c r="D69" s="416">
        <f>SUMIF($H$5:$AW$5,D$5,$H69:$AW69)</f>
        <v/>
      </c>
      <c r="E69" s="416">
        <f>SUMIF($H$5:$AW$5,E$5,$H69:$AW69)</f>
        <v/>
      </c>
      <c r="F69" s="416">
        <f>SUMIF($H$5:$AW$5,F$5,$H69:$AW69)</f>
        <v/>
      </c>
      <c r="G69" s="360" t="n"/>
      <c r="H69" s="417">
        <f>H62*H47*H48*H53</f>
        <v/>
      </c>
      <c r="I69" s="417">
        <f>I62*I47*I48*I53</f>
        <v/>
      </c>
      <c r="J69" s="417">
        <f>J62*J47*J48*J53</f>
        <v/>
      </c>
      <c r="K69" s="417">
        <f>K62*K47*K48*K53</f>
        <v/>
      </c>
      <c r="L69" s="417">
        <f>L62*L47*L48*L53</f>
        <v/>
      </c>
      <c r="M69" s="417">
        <f>M62*M47*M48*M53</f>
        <v/>
      </c>
      <c r="N69" s="417">
        <f>N62*N47*N48*N53</f>
        <v/>
      </c>
      <c r="O69" s="417">
        <f>O62*O47*O48*O53</f>
        <v/>
      </c>
      <c r="P69" s="417">
        <f>P62*P47*P48*P53</f>
        <v/>
      </c>
      <c r="Q69" s="417">
        <f>Q62*Q47*Q48*Q53</f>
        <v/>
      </c>
      <c r="R69" s="417">
        <f>R62*R47*R48*R53</f>
        <v/>
      </c>
      <c r="S69" s="417">
        <f>S62*S47*S48*S53</f>
        <v/>
      </c>
      <c r="T69" s="417">
        <f>T62*T47*T48*T53</f>
        <v/>
      </c>
      <c r="U69" s="417">
        <f>U62*U47*U48*U53</f>
        <v/>
      </c>
      <c r="V69" s="417">
        <f>V62*V47*V48*V53</f>
        <v/>
      </c>
      <c r="W69" s="417">
        <f>W62*W47*W48*W53</f>
        <v/>
      </c>
      <c r="X69" s="417">
        <f>X62*X47*X48*X53</f>
        <v/>
      </c>
      <c r="Y69" s="417">
        <f>Y62*Y47*Y48*Y53</f>
        <v/>
      </c>
      <c r="Z69" s="417">
        <f>Z62*Z47*Z48*Z53</f>
        <v/>
      </c>
      <c r="AA69" s="417">
        <f>AA62*AA47*AA48*AA53</f>
        <v/>
      </c>
      <c r="AB69" s="417">
        <f>AB62*AB47*AB48*AB53</f>
        <v/>
      </c>
      <c r="AC69" s="417">
        <f>AC62*AC47*AC48*AC53</f>
        <v/>
      </c>
      <c r="AD69" s="417">
        <f>AD62*AD47*AD48*AD53</f>
        <v/>
      </c>
      <c r="AE69" s="417">
        <f>AE62*AE47*AE48*AE53</f>
        <v/>
      </c>
      <c r="AF69" s="417">
        <f>AF62*AF47*AF48*AF53</f>
        <v/>
      </c>
      <c r="AG69" s="417">
        <f>AG62*AG47*AG48*AG53</f>
        <v/>
      </c>
      <c r="AH69" s="417">
        <f>AH62*AH47*AH48*AH53</f>
        <v/>
      </c>
      <c r="AI69" s="417">
        <f>AI62*AI47*AI48*AI53</f>
        <v/>
      </c>
      <c r="AJ69" s="417">
        <f>AJ62*AJ47*AJ48*AJ53</f>
        <v/>
      </c>
      <c r="AK69" s="417">
        <f>AK62*AK47*AK48*AK53</f>
        <v/>
      </c>
      <c r="AL69" s="417">
        <f>AL62*AL47*AL48*AL53</f>
        <v/>
      </c>
      <c r="AM69" s="417">
        <f>AM62*AM47*AM48*AM53</f>
        <v/>
      </c>
      <c r="AN69" s="417">
        <f>AN62*AN47*AN48*AN53</f>
        <v/>
      </c>
      <c r="AO69" s="417">
        <f>AO62*AO47*AO48*AO53</f>
        <v/>
      </c>
      <c r="AP69" s="417">
        <f>AP62*AP47*AP48*AP53</f>
        <v/>
      </c>
      <c r="AQ69" s="417">
        <f>AQ62*AQ47*AQ48*AQ53</f>
        <v/>
      </c>
      <c r="AR69" s="417">
        <f>AR62*AR47*AR48*AR53</f>
        <v/>
      </c>
      <c r="AS69" s="417">
        <f>AS62*AS47*AS48*AS53</f>
        <v/>
      </c>
      <c r="AT69" s="417">
        <f>AT62*AT47*AT48*AT53</f>
        <v/>
      </c>
      <c r="AU69" s="417">
        <f>AU62*AU47*AU48*AU53</f>
        <v/>
      </c>
      <c r="AV69" s="417">
        <f>AV62*AV47*AV48*AV53</f>
        <v/>
      </c>
      <c r="AW69" s="417">
        <f>AW62*AW47*AW48*AW53</f>
        <v/>
      </c>
    </row>
    <row r="70">
      <c r="A70" s="207" t="inlineStr">
        <is>
          <t>US$</t>
        </is>
      </c>
      <c r="B70" s="184" t="inlineStr">
        <is>
          <t>Late repayment fee</t>
        </is>
      </c>
      <c r="C70" s="416">
        <f>SUMIF($H$5:$AW$5,C$5,$H70:$AW70)</f>
        <v/>
      </c>
      <c r="D70" s="416">
        <f>SUMIF($H$5:$AW$5,D$5,$H70:$AW70)</f>
        <v/>
      </c>
      <c r="E70" s="416">
        <f>SUMIF($H$5:$AW$5,E$5,$H70:$AW70)</f>
        <v/>
      </c>
      <c r="F70" s="416">
        <f>SUMIF($H$5:$AW$5,F$5,$H70:$AW70)</f>
        <v/>
      </c>
      <c r="G70" s="360" t="n"/>
      <c r="H70" s="417">
        <f>H52*H48*H47</f>
        <v/>
      </c>
      <c r="I70" s="417">
        <f>I52*I48*I47</f>
        <v/>
      </c>
      <c r="J70" s="417">
        <f>J52*J48*J47</f>
        <v/>
      </c>
      <c r="K70" s="417">
        <f>K52*K48*K47</f>
        <v/>
      </c>
      <c r="L70" s="417">
        <f>L52*L48*L47</f>
        <v/>
      </c>
      <c r="M70" s="417">
        <f>M52*M48*M47</f>
        <v/>
      </c>
      <c r="N70" s="417">
        <f>N52*N48*N47</f>
        <v/>
      </c>
      <c r="O70" s="417">
        <f>O52*O48*O47</f>
        <v/>
      </c>
      <c r="P70" s="417">
        <f>P52*P48*P47</f>
        <v/>
      </c>
      <c r="Q70" s="417">
        <f>Q52*Q48*Q47</f>
        <v/>
      </c>
      <c r="R70" s="417">
        <f>R52*R48*R47</f>
        <v/>
      </c>
      <c r="S70" s="417">
        <f>S52*S48*S47</f>
        <v/>
      </c>
      <c r="T70" s="417">
        <f>T52*T48*T47</f>
        <v/>
      </c>
      <c r="U70" s="417">
        <f>U52*U48*U47</f>
        <v/>
      </c>
      <c r="V70" s="417">
        <f>V52*V48*V47</f>
        <v/>
      </c>
      <c r="W70" s="417">
        <f>W52*W48*W47</f>
        <v/>
      </c>
      <c r="X70" s="417">
        <f>X52*X48*X47</f>
        <v/>
      </c>
      <c r="Y70" s="417">
        <f>Y52*Y48*Y47</f>
        <v/>
      </c>
      <c r="Z70" s="417">
        <f>Z52*Z48*Z47</f>
        <v/>
      </c>
      <c r="AA70" s="417">
        <f>AA52*AA48*AA47</f>
        <v/>
      </c>
      <c r="AB70" s="417">
        <f>AB52*AB48*AB47</f>
        <v/>
      </c>
      <c r="AC70" s="417">
        <f>AC52*AC48*AC47</f>
        <v/>
      </c>
      <c r="AD70" s="417">
        <f>AD52*AD48*AD47</f>
        <v/>
      </c>
      <c r="AE70" s="417">
        <f>AE52*AE48*AE47</f>
        <v/>
      </c>
      <c r="AF70" s="417">
        <f>AF52*AF48*AF47</f>
        <v/>
      </c>
      <c r="AG70" s="417">
        <f>AG52*AG48*AG47</f>
        <v/>
      </c>
      <c r="AH70" s="417">
        <f>AH52*AH48*AH47</f>
        <v/>
      </c>
      <c r="AI70" s="417">
        <f>AI52*AI48*AI47</f>
        <v/>
      </c>
      <c r="AJ70" s="417">
        <f>AJ52*AJ48*AJ47</f>
        <v/>
      </c>
      <c r="AK70" s="417">
        <f>AK52*AK48*AK47</f>
        <v/>
      </c>
      <c r="AL70" s="417">
        <f>AL52*AL48*AL47</f>
        <v/>
      </c>
      <c r="AM70" s="417">
        <f>AM52*AM48*AM47</f>
        <v/>
      </c>
      <c r="AN70" s="417">
        <f>AN52*AN48*AN47</f>
        <v/>
      </c>
      <c r="AO70" s="417">
        <f>AO52*AO48*AO47</f>
        <v/>
      </c>
      <c r="AP70" s="417">
        <f>AP52*AP48*AP47</f>
        <v/>
      </c>
      <c r="AQ70" s="417">
        <f>AQ52*AQ48*AQ47</f>
        <v/>
      </c>
      <c r="AR70" s="417">
        <f>AR52*AR48*AR47</f>
        <v/>
      </c>
      <c r="AS70" s="417">
        <f>AS52*AS48*AS47</f>
        <v/>
      </c>
      <c r="AT70" s="417">
        <f>AT52*AT48*AT47</f>
        <v/>
      </c>
      <c r="AU70" s="417">
        <f>AU52*AU48*AU47</f>
        <v/>
      </c>
      <c r="AV70" s="417">
        <f>AV52*AV48*AV47</f>
        <v/>
      </c>
      <c r="AW70" s="417">
        <f>AW52*AW48*AW47</f>
        <v/>
      </c>
    </row>
    <row r="71">
      <c r="A71" s="207" t="inlineStr">
        <is>
          <t>US$</t>
        </is>
      </c>
      <c r="B71" s="184" t="inlineStr">
        <is>
          <t>Payment revs</t>
        </is>
      </c>
      <c r="C71" s="416">
        <f>SUMIF($H$5:$AW$5,C$5,$H71:$AW71)</f>
        <v/>
      </c>
      <c r="D71" s="416">
        <f>SUMIF($H$5:$AW$5,D$5,$H71:$AW71)</f>
        <v/>
      </c>
      <c r="E71" s="416">
        <f>SUMIF($H$5:$AW$5,E$5,$H71:$AW71)</f>
        <v/>
      </c>
      <c r="F71" s="416">
        <f>SUMIF($H$5:$AW$5,F$5,$H71:$AW71)</f>
        <v/>
      </c>
      <c r="G71" s="360" t="n"/>
      <c r="H71" s="417">
        <f>H45*H65</f>
        <v/>
      </c>
      <c r="I71" s="417">
        <f>I45*I65</f>
        <v/>
      </c>
      <c r="J71" s="417">
        <f>J45*J65</f>
        <v/>
      </c>
      <c r="K71" s="417">
        <f>K45*K65</f>
        <v/>
      </c>
      <c r="L71" s="417">
        <f>L45*L65</f>
        <v/>
      </c>
      <c r="M71" s="417">
        <f>M45*M65</f>
        <v/>
      </c>
      <c r="N71" s="417">
        <f>N45*N65</f>
        <v/>
      </c>
      <c r="O71" s="417">
        <f>O45*O65</f>
        <v/>
      </c>
      <c r="P71" s="417">
        <f>P45*P65</f>
        <v/>
      </c>
      <c r="Q71" s="417">
        <f>Q45*Q65</f>
        <v/>
      </c>
      <c r="R71" s="417">
        <f>R45*R65</f>
        <v/>
      </c>
      <c r="S71" s="417">
        <f>S45*S65</f>
        <v/>
      </c>
      <c r="T71" s="417">
        <f>T45*T65</f>
        <v/>
      </c>
      <c r="U71" s="417">
        <f>U45*U65</f>
        <v/>
      </c>
      <c r="V71" s="417">
        <f>V45*V65</f>
        <v/>
      </c>
      <c r="W71" s="417">
        <f>W45*W65</f>
        <v/>
      </c>
      <c r="X71" s="417">
        <f>X45*X65</f>
        <v/>
      </c>
      <c r="Y71" s="417">
        <f>Y45*Y65</f>
        <v/>
      </c>
      <c r="Z71" s="417">
        <f>Z45*Z65</f>
        <v/>
      </c>
      <c r="AA71" s="417">
        <f>AA45*AA65</f>
        <v/>
      </c>
      <c r="AB71" s="417">
        <f>AB45*AB65</f>
        <v/>
      </c>
      <c r="AC71" s="417">
        <f>AC45*AC65</f>
        <v/>
      </c>
      <c r="AD71" s="417">
        <f>AD45*AD65</f>
        <v/>
      </c>
      <c r="AE71" s="417">
        <f>AE45*AE65</f>
        <v/>
      </c>
      <c r="AF71" s="417">
        <f>AF45*AF65</f>
        <v/>
      </c>
      <c r="AG71" s="417">
        <f>AG45*AG65</f>
        <v/>
      </c>
      <c r="AH71" s="417">
        <f>AH45*AH65</f>
        <v/>
      </c>
      <c r="AI71" s="417">
        <f>AI45*AI65</f>
        <v/>
      </c>
      <c r="AJ71" s="417">
        <f>AJ45*AJ65</f>
        <v/>
      </c>
      <c r="AK71" s="417">
        <f>AK45*AK65</f>
        <v/>
      </c>
      <c r="AL71" s="417">
        <f>AL45*AL65</f>
        <v/>
      </c>
      <c r="AM71" s="417">
        <f>AM45*AM65</f>
        <v/>
      </c>
      <c r="AN71" s="417">
        <f>AN45*AN65</f>
        <v/>
      </c>
      <c r="AO71" s="417">
        <f>AO45*AO65</f>
        <v/>
      </c>
      <c r="AP71" s="417">
        <f>AP45*AP65</f>
        <v/>
      </c>
      <c r="AQ71" s="417">
        <f>AQ45*AQ65</f>
        <v/>
      </c>
      <c r="AR71" s="417">
        <f>AR45*AR65</f>
        <v/>
      </c>
      <c r="AS71" s="417">
        <f>AS45*AS65</f>
        <v/>
      </c>
      <c r="AT71" s="417">
        <f>AT45*AT65</f>
        <v/>
      </c>
      <c r="AU71" s="417">
        <f>AU45*AU65</f>
        <v/>
      </c>
      <c r="AV71" s="417">
        <f>AV45*AV65</f>
        <v/>
      </c>
      <c r="AW71" s="417">
        <f>AW45*AW65</f>
        <v/>
      </c>
    </row>
    <row r="72">
      <c r="A72" s="207" t="n"/>
      <c r="C72" s="210" t="n"/>
      <c r="D72" s="210" t="n"/>
      <c r="E72" s="210" t="n"/>
      <c r="F72" s="210" t="n"/>
    </row>
    <row r="73" outlineLevel="1">
      <c r="A73" s="207" t="n"/>
      <c r="B73" s="149" t="inlineStr">
        <is>
          <t>Transaction based (loans) - B2B2C</t>
        </is>
      </c>
      <c r="C73" s="208" t="n"/>
      <c r="D73" s="208" t="n"/>
      <c r="E73" s="208" t="n"/>
      <c r="F73" s="208" t="n"/>
      <c r="G73" s="202" t="n"/>
      <c r="H73" s="209" t="n"/>
      <c r="I73" s="209" t="n"/>
      <c r="J73" s="209" t="n"/>
      <c r="K73" s="209" t="n"/>
      <c r="L73" s="209" t="n"/>
      <c r="M73" s="209" t="n"/>
      <c r="N73" s="209" t="n"/>
      <c r="O73" s="209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209" t="n"/>
      <c r="Z73" s="209" t="n"/>
      <c r="AA73" s="209" t="n"/>
      <c r="AB73" s="209" t="n"/>
      <c r="AC73" s="209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</row>
    <row r="74" outlineLevel="1">
      <c r="A74" s="207" t="n"/>
      <c r="C74" s="210" t="n"/>
      <c r="D74" s="210" t="n"/>
      <c r="E74" s="210" t="n"/>
      <c r="F74" s="210" t="n"/>
    </row>
    <row r="75" outlineLevel="1">
      <c r="A75" s="207" t="n"/>
      <c r="B75" s="230" t="inlineStr">
        <is>
          <t>Opening user loan account</t>
        </is>
      </c>
      <c r="C75" s="327">
        <f>H75</f>
        <v/>
      </c>
      <c r="D75" s="327">
        <f>C78</f>
        <v/>
      </c>
      <c r="E75" s="327">
        <f>D78</f>
        <v/>
      </c>
      <c r="F75" s="327">
        <f>E78</f>
        <v/>
      </c>
      <c r="G75" s="358" t="n"/>
      <c r="H75" s="368" t="n">
        <v>0</v>
      </c>
      <c r="I75" s="357">
        <f>H78</f>
        <v/>
      </c>
      <c r="J75" s="357">
        <f>I78</f>
        <v/>
      </c>
      <c r="K75" s="357">
        <f>J78</f>
        <v/>
      </c>
      <c r="L75" s="357">
        <f>K78</f>
        <v/>
      </c>
      <c r="M75" s="357">
        <f>L78</f>
        <v/>
      </c>
      <c r="N75" s="357">
        <f>M78</f>
        <v/>
      </c>
      <c r="O75" s="357">
        <f>N78</f>
        <v/>
      </c>
      <c r="P75" s="357">
        <f>O78</f>
        <v/>
      </c>
      <c r="Q75" s="357">
        <f>P78</f>
        <v/>
      </c>
      <c r="R75" s="357">
        <f>Q78</f>
        <v/>
      </c>
      <c r="S75" s="357">
        <f>R78</f>
        <v/>
      </c>
      <c r="T75" s="357">
        <f>S78</f>
        <v/>
      </c>
      <c r="U75" s="357">
        <f>T78</f>
        <v/>
      </c>
      <c r="V75" s="357">
        <f>U78</f>
        <v/>
      </c>
      <c r="W75" s="357">
        <f>V78</f>
        <v/>
      </c>
      <c r="X75" s="357">
        <f>W78</f>
        <v/>
      </c>
      <c r="Y75" s="357">
        <f>X78</f>
        <v/>
      </c>
      <c r="Z75" s="357">
        <f>Y78</f>
        <v/>
      </c>
      <c r="AA75" s="357">
        <f>Z78</f>
        <v/>
      </c>
      <c r="AB75" s="357">
        <f>AA78</f>
        <v/>
      </c>
      <c r="AC75" s="357">
        <f>AB78</f>
        <v/>
      </c>
      <c r="AD75" s="357">
        <f>AC78</f>
        <v/>
      </c>
      <c r="AE75" s="357">
        <f>AD78</f>
        <v/>
      </c>
      <c r="AF75" s="357">
        <f>AE78</f>
        <v/>
      </c>
      <c r="AG75" s="357">
        <f>AF78</f>
        <v/>
      </c>
      <c r="AH75" s="357">
        <f>AG78</f>
        <v/>
      </c>
      <c r="AI75" s="357">
        <f>AH78</f>
        <v/>
      </c>
      <c r="AJ75" s="357">
        <f>AI78</f>
        <v/>
      </c>
      <c r="AK75" s="357">
        <f>AJ78</f>
        <v/>
      </c>
      <c r="AL75" s="357">
        <f>AK78</f>
        <v/>
      </c>
      <c r="AM75" s="357">
        <f>AL78</f>
        <v/>
      </c>
      <c r="AN75" s="357">
        <f>AM78</f>
        <v/>
      </c>
      <c r="AO75" s="357">
        <f>AN78</f>
        <v/>
      </c>
      <c r="AP75" s="357">
        <f>AO78</f>
        <v/>
      </c>
      <c r="AQ75" s="357">
        <f>AP78</f>
        <v/>
      </c>
      <c r="AR75" s="357">
        <f>AQ78</f>
        <v/>
      </c>
      <c r="AS75" s="357">
        <f>AR78</f>
        <v/>
      </c>
      <c r="AT75" s="357">
        <f>AS78</f>
        <v/>
      </c>
      <c r="AU75" s="357">
        <f>AT78</f>
        <v/>
      </c>
      <c r="AV75" s="357">
        <f>AU78</f>
        <v/>
      </c>
      <c r="AW75" s="357">
        <f>AV78</f>
        <v/>
      </c>
    </row>
    <row r="76" outlineLevel="1">
      <c r="A76" s="207" t="n"/>
      <c r="B76" s="230" t="inlineStr">
        <is>
          <t>New</t>
        </is>
      </c>
      <c r="C76" s="327">
        <f>SUMIF($H$5:$AW$5,C$5,$H76:$AW76)</f>
        <v/>
      </c>
      <c r="D76" s="327">
        <f>SUMIF($H$5:$AW$5,D$5,$H76:$AW76)</f>
        <v/>
      </c>
      <c r="E76" s="327">
        <f>SUMIF($H$5:$AW$5,E$5,$H76:$AW76)</f>
        <v/>
      </c>
      <c r="F76" s="327">
        <f>SUMIF($H$5:$AW$5,F$5,$H76:$AW76)</f>
        <v/>
      </c>
      <c r="G76" s="358" t="n"/>
      <c r="H76" s="368" t="n">
        <v>0</v>
      </c>
      <c r="I76" s="368" t="n">
        <v>0</v>
      </c>
      <c r="J76" s="368" t="n">
        <v>0</v>
      </c>
      <c r="K76" s="368" t="n">
        <v>0</v>
      </c>
      <c r="L76" s="368" t="n">
        <v>0</v>
      </c>
      <c r="M76" s="368" t="n">
        <v>0</v>
      </c>
      <c r="N76" s="368" t="n">
        <v>0</v>
      </c>
      <c r="O76" s="368" t="n">
        <v>0</v>
      </c>
      <c r="P76" s="368" t="n">
        <v>0</v>
      </c>
      <c r="Q76" s="368" t="n">
        <v>0</v>
      </c>
      <c r="R76" s="368" t="n">
        <v>0</v>
      </c>
      <c r="S76" s="368" t="n">
        <v>0</v>
      </c>
      <c r="T76" s="368" t="n">
        <v>0</v>
      </c>
      <c r="U76" s="368" t="n">
        <v>0</v>
      </c>
      <c r="V76" s="368" t="n">
        <v>0</v>
      </c>
      <c r="W76" s="368" t="n">
        <v>0</v>
      </c>
      <c r="X76" s="368" t="n">
        <v>0</v>
      </c>
      <c r="Y76" s="368" t="n">
        <v>0</v>
      </c>
      <c r="Z76" s="368" t="n">
        <v>0</v>
      </c>
      <c r="AA76" s="368" t="n">
        <v>0</v>
      </c>
      <c r="AB76" s="368" t="n">
        <v>0</v>
      </c>
      <c r="AC76" s="368" t="n">
        <v>0</v>
      </c>
      <c r="AD76" s="368" t="n">
        <v>0</v>
      </c>
      <c r="AE76" s="368" t="n">
        <v>0</v>
      </c>
      <c r="AF76" s="368" t="n">
        <v>0</v>
      </c>
      <c r="AG76" s="368" t="n">
        <v>0</v>
      </c>
      <c r="AH76" s="368" t="n">
        <v>0</v>
      </c>
      <c r="AI76" s="368" t="n">
        <v>0</v>
      </c>
      <c r="AJ76" s="368" t="n">
        <v>0</v>
      </c>
      <c r="AK76" s="368" t="n">
        <v>0</v>
      </c>
      <c r="AL76" s="368" t="n">
        <v>0</v>
      </c>
      <c r="AM76" s="368" t="n">
        <v>0</v>
      </c>
      <c r="AN76" s="368" t="n">
        <v>0</v>
      </c>
      <c r="AO76" s="368" t="n">
        <v>0</v>
      </c>
      <c r="AP76" s="368" t="n">
        <v>0</v>
      </c>
      <c r="AQ76" s="368" t="n">
        <v>0</v>
      </c>
      <c r="AR76" s="368" t="n">
        <v>0</v>
      </c>
      <c r="AS76" s="368" t="n">
        <v>0</v>
      </c>
      <c r="AT76" s="368" t="n">
        <v>0</v>
      </c>
      <c r="AU76" s="368" t="n">
        <v>0</v>
      </c>
      <c r="AV76" s="368" t="n">
        <v>0</v>
      </c>
      <c r="AW76" s="368" t="n">
        <v>0</v>
      </c>
    </row>
    <row r="77" outlineLevel="1">
      <c r="A77" s="207" t="n"/>
      <c r="B77" s="230" t="inlineStr">
        <is>
          <t>Closed / Churn % of opening users</t>
        </is>
      </c>
      <c r="C77" s="211" t="n"/>
      <c r="D77" s="408">
        <f>IFERROR(-(D78-D75-D76)/D75,"NA")</f>
        <v/>
      </c>
      <c r="E77" s="408">
        <f>IFERROR(-(E78-E75-E76)/E75,"NA")</f>
        <v/>
      </c>
      <c r="F77" s="408">
        <f>IFERROR(-(F78-F75-F76)/F75,"NA")</f>
        <v/>
      </c>
      <c r="G77" s="402" t="n"/>
      <c r="H77" s="403" t="n"/>
      <c r="I77" s="403" t="n">
        <v>0.001</v>
      </c>
      <c r="J77" s="403" t="n">
        <v>0.001</v>
      </c>
      <c r="K77" s="403" t="n">
        <v>0.001</v>
      </c>
      <c r="L77" s="403" t="n">
        <v>0.002</v>
      </c>
      <c r="M77" s="403" t="n">
        <v>0.003</v>
      </c>
      <c r="N77" s="403" t="n">
        <v>0.003</v>
      </c>
      <c r="O77" s="403" t="n">
        <v>0.003</v>
      </c>
      <c r="P77" s="403" t="n">
        <v>0.003</v>
      </c>
      <c r="Q77" s="403" t="n">
        <v>0.003</v>
      </c>
      <c r="R77" s="403" t="n">
        <v>0.003</v>
      </c>
      <c r="S77" s="403" t="n">
        <v>0.003</v>
      </c>
      <c r="T77" s="403" t="n">
        <v>0.003</v>
      </c>
      <c r="U77" s="403" t="n">
        <v>0.003</v>
      </c>
      <c r="V77" s="403" t="n">
        <v>0.003</v>
      </c>
      <c r="W77" s="403" t="n">
        <v>0.003</v>
      </c>
      <c r="X77" s="403" t="n">
        <v>0.003</v>
      </c>
      <c r="Y77" s="403" t="n">
        <v>0.003</v>
      </c>
      <c r="Z77" s="403" t="n">
        <v>0.003</v>
      </c>
      <c r="AA77" s="403" t="n">
        <v>0.003</v>
      </c>
      <c r="AB77" s="403" t="n">
        <v>0.003</v>
      </c>
      <c r="AC77" s="403" t="n">
        <v>0.003</v>
      </c>
      <c r="AD77" s="403" t="n">
        <v>0.003</v>
      </c>
      <c r="AE77" s="403" t="n">
        <v>0.003</v>
      </c>
      <c r="AF77" s="403" t="n">
        <v>0.003</v>
      </c>
      <c r="AG77" s="403" t="n">
        <v>0.003</v>
      </c>
      <c r="AH77" s="403" t="n">
        <v>0.003</v>
      </c>
      <c r="AI77" s="403" t="n">
        <v>0.003</v>
      </c>
      <c r="AJ77" s="403" t="n">
        <v>0.003</v>
      </c>
      <c r="AK77" s="403" t="n">
        <v>0.003</v>
      </c>
      <c r="AL77" s="403" t="n">
        <v>0.003</v>
      </c>
      <c r="AM77" s="403" t="n">
        <v>0.003</v>
      </c>
      <c r="AN77" s="403" t="n">
        <v>0.003</v>
      </c>
      <c r="AO77" s="403" t="n">
        <v>0.003</v>
      </c>
      <c r="AP77" s="403" t="n">
        <v>0.003</v>
      </c>
      <c r="AQ77" s="403" t="n">
        <v>0.003</v>
      </c>
      <c r="AR77" s="403" t="n">
        <v>0.003</v>
      </c>
      <c r="AS77" s="403" t="n">
        <v>0.003</v>
      </c>
      <c r="AT77" s="403" t="n">
        <v>0.003</v>
      </c>
      <c r="AU77" s="403" t="n">
        <v>0.003</v>
      </c>
      <c r="AV77" s="403" t="n">
        <v>0.003</v>
      </c>
      <c r="AW77" s="403" t="n">
        <v>0.003</v>
      </c>
    </row>
    <row r="78" outlineLevel="1">
      <c r="A78" s="207" t="n"/>
      <c r="B78" s="11" t="inlineStr">
        <is>
          <t>Closing active user accounts</t>
        </is>
      </c>
      <c r="C78" s="327">
        <f>IFERROR(INDEX($H78:$AW78,MATCH(DATE(C$5,12,31),$H$6:$AW$6,0)),0)</f>
        <v/>
      </c>
      <c r="D78" s="327">
        <f>IFERROR(INDEX($H78:$AW78,MATCH(DATE(D$5,12,31),$H$6:$AW$6,0)),0)</f>
        <v/>
      </c>
      <c r="E78" s="327">
        <f>IFERROR(INDEX($H78:$AW78,MATCH(DATE(E$5,12,31),$H$6:$AW$6,0)),0)</f>
        <v/>
      </c>
      <c r="F78" s="327">
        <f>IFERROR(INDEX($H78:$AW78,MATCH(DATE(F$5,12,31),$H$6:$AW$6,0)),0)</f>
        <v/>
      </c>
      <c r="G78" s="358" t="n"/>
      <c r="H78" s="357">
        <f>ROUNDDOWN((H75+H76-(H77*H75)),0)</f>
        <v/>
      </c>
      <c r="I78" s="357">
        <f>ROUNDDOWN((I75+I76-(I77*I75)),0)</f>
        <v/>
      </c>
      <c r="J78" s="357">
        <f>ROUNDDOWN((J75+J76-(J77*J75)),0)</f>
        <v/>
      </c>
      <c r="K78" s="357">
        <f>ROUNDDOWN((K75+K76-(K77*K75)),0)</f>
        <v/>
      </c>
      <c r="L78" s="357">
        <f>ROUNDDOWN((L75+L76-(L77*L75)),0)</f>
        <v/>
      </c>
      <c r="M78" s="357">
        <f>ROUNDDOWN((M75+M76-(M77*M75)),0)</f>
        <v/>
      </c>
      <c r="N78" s="357">
        <f>ROUNDDOWN((N75+N76-(N77*N75)),0)</f>
        <v/>
      </c>
      <c r="O78" s="357">
        <f>ROUNDDOWN((O75+O76-(O77*O75)),0)</f>
        <v/>
      </c>
      <c r="P78" s="357">
        <f>ROUNDDOWN((P75+P76-(P77*P75)),0)</f>
        <v/>
      </c>
      <c r="Q78" s="357">
        <f>ROUNDDOWN((Q75+Q76-(Q77*Q75)),0)</f>
        <v/>
      </c>
      <c r="R78" s="357">
        <f>ROUNDDOWN((R75+R76-(R77*R75)),0)</f>
        <v/>
      </c>
      <c r="S78" s="357">
        <f>ROUNDDOWN((S75+S76-(S77*S75)),0)</f>
        <v/>
      </c>
      <c r="T78" s="357">
        <f>ROUNDDOWN((T75+T76-(T77*T75)),0)</f>
        <v/>
      </c>
      <c r="U78" s="357">
        <f>ROUNDDOWN((U75+U76-(U77*U75)),0)</f>
        <v/>
      </c>
      <c r="V78" s="357">
        <f>ROUNDDOWN((V75+V76-(V77*V75)),0)</f>
        <v/>
      </c>
      <c r="W78" s="357">
        <f>ROUNDDOWN((W75+W76-(W77*W75)),0)</f>
        <v/>
      </c>
      <c r="X78" s="357">
        <f>ROUNDDOWN((X75+X76-(X77*X75)),0)</f>
        <v/>
      </c>
      <c r="Y78" s="357">
        <f>ROUNDDOWN((Y75+Y76-(Y77*Y75)),0)</f>
        <v/>
      </c>
      <c r="Z78" s="357">
        <f>ROUNDDOWN((Z75+Z76-(Z77*Z75)),0)</f>
        <v/>
      </c>
      <c r="AA78" s="357">
        <f>ROUNDDOWN((AA75+AA76-(AA77*AA75)),0)</f>
        <v/>
      </c>
      <c r="AB78" s="357">
        <f>ROUNDDOWN((AB75+AB76-(AB77*AB75)),0)</f>
        <v/>
      </c>
      <c r="AC78" s="357">
        <f>ROUNDDOWN((AC75+AC76-(AC77*AC75)),0)</f>
        <v/>
      </c>
      <c r="AD78" s="357">
        <f>ROUNDDOWN((AD75+AD76-(AD77*AD75)),0)</f>
        <v/>
      </c>
      <c r="AE78" s="357">
        <f>ROUNDDOWN((AE75+AE76-(AE77*AE75)),0)</f>
        <v/>
      </c>
      <c r="AF78" s="357">
        <f>ROUNDDOWN((AF75+AF76-(AF77*AF75)),0)</f>
        <v/>
      </c>
      <c r="AG78" s="357">
        <f>ROUNDDOWN((AG75+AG76-(AG77*AG75)),0)</f>
        <v/>
      </c>
      <c r="AH78" s="357">
        <f>ROUNDDOWN((AH75+AH76-(AH77*AH75)),0)</f>
        <v/>
      </c>
      <c r="AI78" s="357">
        <f>ROUNDDOWN((AI75+AI76-(AI77*AI75)),0)</f>
        <v/>
      </c>
      <c r="AJ78" s="357">
        <f>ROUNDDOWN((AJ75+AJ76-(AJ77*AJ75)),0)</f>
        <v/>
      </c>
      <c r="AK78" s="357">
        <f>ROUNDDOWN((AK75+AK76-(AK77*AK75)),0)</f>
        <v/>
      </c>
      <c r="AL78" s="357">
        <f>ROUNDDOWN((AL75+AL76-(AL77*AL75)),0)</f>
        <v/>
      </c>
      <c r="AM78" s="357">
        <f>ROUNDDOWN((AM75+AM76-(AM77*AM75)),0)</f>
        <v/>
      </c>
      <c r="AN78" s="357">
        <f>ROUNDDOWN((AN75+AN76-(AN77*AN75)),0)</f>
        <v/>
      </c>
      <c r="AO78" s="357">
        <f>ROUNDDOWN((AO75+AO76-(AO77*AO75)),0)</f>
        <v/>
      </c>
      <c r="AP78" s="357">
        <f>ROUNDDOWN((AP75+AP76-(AP77*AP75)),0)</f>
        <v/>
      </c>
      <c r="AQ78" s="357">
        <f>ROUNDDOWN((AQ75+AQ76-(AQ77*AQ75)),0)</f>
        <v/>
      </c>
      <c r="AR78" s="357">
        <f>ROUNDDOWN((AR75+AR76-(AR77*AR75)),0)</f>
        <v/>
      </c>
      <c r="AS78" s="357">
        <f>ROUNDDOWN((AS75+AS76-(AS77*AS75)),0)</f>
        <v/>
      </c>
      <c r="AT78" s="357">
        <f>ROUNDDOWN((AT75+AT76-(AT77*AT75)),0)</f>
        <v/>
      </c>
      <c r="AU78" s="357">
        <f>ROUNDDOWN((AU75+AU76-(AU77*AU75)),0)</f>
        <v/>
      </c>
      <c r="AV78" s="357">
        <f>ROUNDDOWN((AV75+AV76-(AV77*AV75)),0)</f>
        <v/>
      </c>
      <c r="AW78" s="357">
        <f>ROUNDDOWN((AW75+AW76-(AW77*AW75)),0)</f>
        <v/>
      </c>
    </row>
    <row r="79" outlineLevel="1">
      <c r="A79" s="207" t="n"/>
      <c r="B79" s="230" t="inlineStr">
        <is>
          <t>Late repayment % of opening</t>
        </is>
      </c>
      <c r="C79" s="210" t="n"/>
      <c r="D79" s="210" t="n"/>
      <c r="E79" s="210" t="n"/>
      <c r="F79" s="210" t="n"/>
      <c r="H79" s="233" t="n"/>
      <c r="I79" s="403" t="n">
        <v>0.003</v>
      </c>
      <c r="J79" s="403" t="n">
        <v>0.003</v>
      </c>
      <c r="K79" s="403" t="n">
        <v>0.003</v>
      </c>
      <c r="L79" s="403" t="n">
        <v>0.003</v>
      </c>
      <c r="M79" s="403" t="n">
        <v>0.005</v>
      </c>
      <c r="N79" s="403" t="n">
        <v>0.005</v>
      </c>
      <c r="O79" s="403" t="n">
        <v>0.005</v>
      </c>
      <c r="P79" s="403" t="n">
        <v>0.005</v>
      </c>
      <c r="Q79" s="403" t="n">
        <v>0.005</v>
      </c>
      <c r="R79" s="403" t="n">
        <v>0.005</v>
      </c>
      <c r="S79" s="403" t="n">
        <v>0.005</v>
      </c>
      <c r="T79" s="403" t="n">
        <v>0.005</v>
      </c>
      <c r="U79" s="403" t="n">
        <v>0.005</v>
      </c>
      <c r="V79" s="403" t="n">
        <v>0.005</v>
      </c>
      <c r="W79" s="403" t="n">
        <v>0.005</v>
      </c>
      <c r="X79" s="403" t="n">
        <v>0.005</v>
      </c>
      <c r="Y79" s="403" t="n">
        <v>0.01</v>
      </c>
      <c r="Z79" s="403" t="n">
        <v>0.01</v>
      </c>
      <c r="AA79" s="403" t="n">
        <v>0.01</v>
      </c>
      <c r="AB79" s="403" t="n">
        <v>0.01</v>
      </c>
      <c r="AC79" s="403" t="n">
        <v>0.01</v>
      </c>
      <c r="AD79" s="403" t="n">
        <v>0.01</v>
      </c>
      <c r="AE79" s="403" t="n">
        <v>0.01</v>
      </c>
      <c r="AF79" s="403" t="n">
        <v>0.01</v>
      </c>
      <c r="AG79" s="403" t="n">
        <v>0.01</v>
      </c>
      <c r="AH79" s="403" t="n">
        <v>0.01</v>
      </c>
      <c r="AI79" s="403" t="n">
        <v>0.01</v>
      </c>
      <c r="AJ79" s="403" t="n">
        <v>0.01</v>
      </c>
      <c r="AK79" s="403" t="n">
        <v>0.01</v>
      </c>
      <c r="AL79" s="403" t="n">
        <v>0.01</v>
      </c>
      <c r="AM79" s="403" t="n">
        <v>0.01</v>
      </c>
      <c r="AN79" s="403" t="n">
        <v>0.01</v>
      </c>
      <c r="AO79" s="403" t="n">
        <v>0.01</v>
      </c>
      <c r="AP79" s="403" t="n">
        <v>0.01</v>
      </c>
      <c r="AQ79" s="403" t="n">
        <v>0.01</v>
      </c>
      <c r="AR79" s="403" t="n">
        <v>0.01</v>
      </c>
      <c r="AS79" s="403" t="n">
        <v>0.01</v>
      </c>
      <c r="AT79" s="403" t="n">
        <v>0.01</v>
      </c>
      <c r="AU79" s="403" t="n">
        <v>0.01</v>
      </c>
      <c r="AV79" s="403" t="n">
        <v>0.01</v>
      </c>
      <c r="AW79" s="403" t="n">
        <v>0.01</v>
      </c>
    </row>
    <row r="80" outlineLevel="1">
      <c r="A80" s="207" t="n"/>
      <c r="C80" s="210" t="n"/>
      <c r="D80" s="210" t="n"/>
      <c r="E80" s="210" t="n"/>
      <c r="F80" s="210" t="n"/>
    </row>
    <row r="81" outlineLevel="1">
      <c r="A81" s="207" t="n"/>
      <c r="B81" s="230" t="inlineStr">
        <is>
          <t>Application fee per new user account</t>
        </is>
      </c>
      <c r="C81" s="327">
        <f>IFERROR(C94/C76,"NA")</f>
        <v/>
      </c>
      <c r="D81" s="327">
        <f>IFERROR(D94/D76,"NA")</f>
        <v/>
      </c>
      <c r="E81" s="327">
        <f>IFERROR(E94/E76,"NA")</f>
        <v/>
      </c>
      <c r="F81" s="327">
        <f>IFERROR(F94/F76,"NA")</f>
        <v/>
      </c>
      <c r="G81" s="358" t="n"/>
      <c r="H81" s="368" t="n">
        <v>10</v>
      </c>
      <c r="I81" s="368" t="n">
        <v>10</v>
      </c>
      <c r="J81" s="368" t="n">
        <v>10</v>
      </c>
      <c r="K81" s="368" t="n">
        <v>10</v>
      </c>
      <c r="L81" s="368" t="n">
        <v>10</v>
      </c>
      <c r="M81" s="368" t="n">
        <v>10</v>
      </c>
      <c r="N81" s="368" t="n">
        <v>10</v>
      </c>
      <c r="O81" s="368" t="n">
        <v>10</v>
      </c>
      <c r="P81" s="368" t="n">
        <v>10</v>
      </c>
      <c r="Q81" s="368" t="n">
        <v>10</v>
      </c>
      <c r="R81" s="368" t="n">
        <v>10</v>
      </c>
      <c r="S81" s="368" t="n">
        <v>10</v>
      </c>
      <c r="T81" s="368" t="n">
        <v>10</v>
      </c>
      <c r="U81" s="368" t="n">
        <v>10</v>
      </c>
      <c r="V81" s="368" t="n">
        <v>10</v>
      </c>
      <c r="W81" s="368" t="n">
        <v>10</v>
      </c>
      <c r="X81" s="368" t="n">
        <v>10</v>
      </c>
      <c r="Y81" s="368" t="n">
        <v>10</v>
      </c>
      <c r="Z81" s="368" t="n">
        <v>10</v>
      </c>
      <c r="AA81" s="368" t="n">
        <v>10</v>
      </c>
      <c r="AB81" s="368" t="n">
        <v>10</v>
      </c>
      <c r="AC81" s="368" t="n">
        <v>10</v>
      </c>
      <c r="AD81" s="368" t="n">
        <v>10</v>
      </c>
      <c r="AE81" s="368" t="n">
        <v>10</v>
      </c>
      <c r="AF81" s="368" t="n">
        <v>10</v>
      </c>
      <c r="AG81" s="368" t="n">
        <v>10</v>
      </c>
      <c r="AH81" s="368" t="n">
        <v>10</v>
      </c>
      <c r="AI81" s="368" t="n">
        <v>10</v>
      </c>
      <c r="AJ81" s="368" t="n">
        <v>10</v>
      </c>
      <c r="AK81" s="368" t="n">
        <v>10</v>
      </c>
      <c r="AL81" s="368" t="n">
        <v>10</v>
      </c>
      <c r="AM81" s="368" t="n">
        <v>10</v>
      </c>
      <c r="AN81" s="368" t="n">
        <v>10</v>
      </c>
      <c r="AO81" s="368" t="n">
        <v>10</v>
      </c>
      <c r="AP81" s="368" t="n">
        <v>10</v>
      </c>
      <c r="AQ81" s="368" t="n">
        <v>10</v>
      </c>
      <c r="AR81" s="368" t="n">
        <v>10</v>
      </c>
      <c r="AS81" s="368" t="n">
        <v>10</v>
      </c>
      <c r="AT81" s="368" t="n">
        <v>10</v>
      </c>
      <c r="AU81" s="368" t="n">
        <v>10</v>
      </c>
      <c r="AV81" s="368" t="n">
        <v>10</v>
      </c>
      <c r="AW81" s="368" t="n">
        <v>10</v>
      </c>
    </row>
    <row r="82" outlineLevel="1">
      <c r="A82" s="207" t="n"/>
      <c r="B82" s="230" t="inlineStr">
        <is>
          <t>Monthly fee (avg account for month)</t>
        </is>
      </c>
      <c r="C82" s="327">
        <f>IFERROR((C95/AVERAGE(C75,C78)/COUNTIF($H$5:$AW$5,C$5)),"NA")</f>
        <v/>
      </c>
      <c r="D82" s="327">
        <f>IFERROR((D95/AVERAGE(D75,D78)/COUNTIF($H$5:$AW$5,D$5)),"NA")</f>
        <v/>
      </c>
      <c r="E82" s="327">
        <f>IFERROR((E95/AVERAGE(E75,E78)/COUNTIF($H$5:$AW$5,E$5)),"NA")</f>
        <v/>
      </c>
      <c r="F82" s="327">
        <f>IFERROR((F95/AVERAGE(F75,F78)/COUNTIF($H$5:$AW$5,F$5)),"NA")</f>
        <v/>
      </c>
      <c r="G82" s="358" t="n"/>
      <c r="H82" s="368" t="n">
        <v>1</v>
      </c>
      <c r="I82" s="368" t="n">
        <v>1</v>
      </c>
      <c r="J82" s="368" t="n">
        <v>1</v>
      </c>
      <c r="K82" s="368" t="n">
        <v>1</v>
      </c>
      <c r="L82" s="368" t="n">
        <v>1</v>
      </c>
      <c r="M82" s="368" t="n">
        <v>1</v>
      </c>
      <c r="N82" s="368" t="n">
        <v>1</v>
      </c>
      <c r="O82" s="368" t="n">
        <v>1</v>
      </c>
      <c r="P82" s="368" t="n">
        <v>1</v>
      </c>
      <c r="Q82" s="368" t="n">
        <v>1</v>
      </c>
      <c r="R82" s="368" t="n">
        <v>1</v>
      </c>
      <c r="S82" s="368" t="n">
        <v>1</v>
      </c>
      <c r="T82" s="368" t="n">
        <v>1</v>
      </c>
      <c r="U82" s="368" t="n">
        <v>1</v>
      </c>
      <c r="V82" s="368" t="n">
        <v>1</v>
      </c>
      <c r="W82" s="368" t="n">
        <v>1</v>
      </c>
      <c r="X82" s="368" t="n">
        <v>1</v>
      </c>
      <c r="Y82" s="368" t="n">
        <v>1</v>
      </c>
      <c r="Z82" s="368" t="n">
        <v>1</v>
      </c>
      <c r="AA82" s="368" t="n">
        <v>1</v>
      </c>
      <c r="AB82" s="368" t="n">
        <v>1</v>
      </c>
      <c r="AC82" s="368" t="n">
        <v>1</v>
      </c>
      <c r="AD82" s="368" t="n">
        <v>1</v>
      </c>
      <c r="AE82" s="368" t="n">
        <v>1</v>
      </c>
      <c r="AF82" s="368" t="n">
        <v>1</v>
      </c>
      <c r="AG82" s="368" t="n">
        <v>1</v>
      </c>
      <c r="AH82" s="368" t="n">
        <v>1</v>
      </c>
      <c r="AI82" s="368" t="n">
        <v>1</v>
      </c>
      <c r="AJ82" s="368" t="n">
        <v>1</v>
      </c>
      <c r="AK82" s="368" t="n">
        <v>1</v>
      </c>
      <c r="AL82" s="368" t="n">
        <v>1</v>
      </c>
      <c r="AM82" s="368" t="n">
        <v>1</v>
      </c>
      <c r="AN82" s="368" t="n">
        <v>1</v>
      </c>
      <c r="AO82" s="368" t="n">
        <v>1</v>
      </c>
      <c r="AP82" s="368" t="n">
        <v>1</v>
      </c>
      <c r="AQ82" s="368" t="n">
        <v>1</v>
      </c>
      <c r="AR82" s="368" t="n">
        <v>1</v>
      </c>
      <c r="AS82" s="368" t="n">
        <v>1</v>
      </c>
      <c r="AT82" s="368" t="n">
        <v>1</v>
      </c>
      <c r="AU82" s="368" t="n">
        <v>1</v>
      </c>
      <c r="AV82" s="368" t="n">
        <v>1</v>
      </c>
      <c r="AW82" s="368" t="n">
        <v>1</v>
      </c>
    </row>
    <row r="83" outlineLevel="1">
      <c r="A83" s="207" t="n"/>
      <c r="B83" s="230" t="inlineStr">
        <is>
          <t>Late repayment flat fee</t>
        </is>
      </c>
      <c r="C83" s="327" t="n"/>
      <c r="D83" s="327" t="n"/>
      <c r="E83" s="327" t="n"/>
      <c r="F83" s="327" t="n"/>
      <c r="G83" s="358" t="n"/>
      <c r="H83" s="368" t="n">
        <v>2</v>
      </c>
      <c r="I83" s="368" t="n">
        <v>2</v>
      </c>
      <c r="J83" s="368" t="n">
        <v>2</v>
      </c>
      <c r="K83" s="368" t="n">
        <v>2</v>
      </c>
      <c r="L83" s="368" t="n">
        <v>2</v>
      </c>
      <c r="M83" s="368" t="n">
        <v>2</v>
      </c>
      <c r="N83" s="368" t="n">
        <v>2</v>
      </c>
      <c r="O83" s="368" t="n">
        <v>2</v>
      </c>
      <c r="P83" s="368" t="n">
        <v>2</v>
      </c>
      <c r="Q83" s="368" t="n">
        <v>2</v>
      </c>
      <c r="R83" s="368" t="n">
        <v>2</v>
      </c>
      <c r="S83" s="368" t="n">
        <v>2</v>
      </c>
      <c r="T83" s="368" t="n">
        <v>2</v>
      </c>
      <c r="U83" s="368" t="n">
        <v>2</v>
      </c>
      <c r="V83" s="368" t="n">
        <v>2</v>
      </c>
      <c r="W83" s="368" t="n">
        <v>2</v>
      </c>
      <c r="X83" s="368" t="n">
        <v>2</v>
      </c>
      <c r="Y83" s="368" t="n">
        <v>2</v>
      </c>
      <c r="Z83" s="368" t="n">
        <v>2</v>
      </c>
      <c r="AA83" s="368" t="n">
        <v>2</v>
      </c>
      <c r="AB83" s="368" t="n">
        <v>2</v>
      </c>
      <c r="AC83" s="368" t="n">
        <v>2</v>
      </c>
      <c r="AD83" s="368" t="n">
        <v>2</v>
      </c>
      <c r="AE83" s="368" t="n">
        <v>2</v>
      </c>
      <c r="AF83" s="368" t="n">
        <v>2</v>
      </c>
      <c r="AG83" s="368" t="n">
        <v>2</v>
      </c>
      <c r="AH83" s="368" t="n">
        <v>2</v>
      </c>
      <c r="AI83" s="368" t="n">
        <v>2</v>
      </c>
      <c r="AJ83" s="368" t="n">
        <v>2</v>
      </c>
      <c r="AK83" s="368" t="n">
        <v>2</v>
      </c>
      <c r="AL83" s="368" t="n">
        <v>2</v>
      </c>
      <c r="AM83" s="368" t="n">
        <v>2</v>
      </c>
      <c r="AN83" s="368" t="n">
        <v>2</v>
      </c>
      <c r="AO83" s="368" t="n">
        <v>2</v>
      </c>
      <c r="AP83" s="368" t="n">
        <v>2</v>
      </c>
      <c r="AQ83" s="368" t="n">
        <v>2</v>
      </c>
      <c r="AR83" s="368" t="n">
        <v>2</v>
      </c>
      <c r="AS83" s="368" t="n">
        <v>2</v>
      </c>
      <c r="AT83" s="368" t="n">
        <v>2</v>
      </c>
      <c r="AU83" s="368" t="n">
        <v>2</v>
      </c>
      <c r="AV83" s="368" t="n">
        <v>2</v>
      </c>
      <c r="AW83" s="368" t="n">
        <v>2</v>
      </c>
    </row>
    <row r="84" outlineLevel="1">
      <c r="A84" s="207" t="n"/>
      <c r="C84" s="210" t="n"/>
      <c r="D84" s="210" t="n"/>
      <c r="E84" s="210" t="n"/>
      <c r="F84" s="210" t="n"/>
    </row>
    <row r="85" outlineLevel="1">
      <c r="A85" s="207" t="n"/>
      <c r="B85" s="217" t="inlineStr">
        <is>
          <t>Payment rev. drivers</t>
        </is>
      </c>
      <c r="C85" s="210" t="n"/>
      <c r="D85" s="210" t="n"/>
      <c r="E85" s="210" t="n"/>
      <c r="F85" s="210" t="n"/>
    </row>
    <row r="86" outlineLevel="1">
      <c r="A86" s="207" t="n"/>
      <c r="B86" s="230" t="inlineStr">
        <is>
          <t>Avg. loan amount per user account</t>
        </is>
      </c>
      <c r="C86" s="210" t="n"/>
      <c r="D86" s="210" t="n"/>
      <c r="E86" s="210" t="n"/>
      <c r="F86" s="210" t="n"/>
      <c r="H86" s="368" t="n">
        <v>1000</v>
      </c>
      <c r="I86" s="368">
        <f>H86*1.01</f>
        <v/>
      </c>
      <c r="J86" s="368">
        <f>I86*1.01</f>
        <v/>
      </c>
      <c r="K86" s="368">
        <f>J86*1.01</f>
        <v/>
      </c>
      <c r="L86" s="368">
        <f>K86*1.01</f>
        <v/>
      </c>
      <c r="M86" s="368">
        <f>L86*1.01</f>
        <v/>
      </c>
      <c r="N86" s="368">
        <f>M86*1.01</f>
        <v/>
      </c>
      <c r="O86" s="368">
        <f>N86*1.01</f>
        <v/>
      </c>
      <c r="P86" s="368">
        <f>O86*1.01</f>
        <v/>
      </c>
      <c r="Q86" s="368">
        <f>P86*1.01</f>
        <v/>
      </c>
      <c r="R86" s="368">
        <f>Q86*1.01</f>
        <v/>
      </c>
      <c r="S86" s="368">
        <f>R86*1.01</f>
        <v/>
      </c>
      <c r="T86" s="368">
        <f>S86*1.01</f>
        <v/>
      </c>
      <c r="U86" s="368">
        <f>T86*1.01</f>
        <v/>
      </c>
      <c r="V86" s="368">
        <f>U86*1.01</f>
        <v/>
      </c>
      <c r="W86" s="368">
        <f>V86*1.01</f>
        <v/>
      </c>
      <c r="X86" s="368">
        <f>W86*1.01</f>
        <v/>
      </c>
      <c r="Y86" s="368">
        <f>X86*1.01</f>
        <v/>
      </c>
      <c r="Z86" s="368">
        <f>Y86*1.01</f>
        <v/>
      </c>
      <c r="AA86" s="368">
        <f>Z86*1.01</f>
        <v/>
      </c>
      <c r="AB86" s="368">
        <f>AA86*1.01</f>
        <v/>
      </c>
      <c r="AC86" s="368">
        <f>AB86*1.01</f>
        <v/>
      </c>
      <c r="AD86" s="368">
        <f>AC86*1.01</f>
        <v/>
      </c>
      <c r="AE86" s="368">
        <f>AD86*1.01</f>
        <v/>
      </c>
      <c r="AF86" s="368">
        <f>AE86*1.01</f>
        <v/>
      </c>
      <c r="AG86" s="368">
        <f>AF86*1.01</f>
        <v/>
      </c>
      <c r="AH86" s="368">
        <f>AG86*1.01</f>
        <v/>
      </c>
      <c r="AI86" s="368">
        <f>AH86*1.01</f>
        <v/>
      </c>
      <c r="AJ86" s="368">
        <f>AI86*1.01</f>
        <v/>
      </c>
      <c r="AK86" s="368">
        <f>AJ86*1.01</f>
        <v/>
      </c>
      <c r="AL86" s="368">
        <f>AK86*1.01</f>
        <v/>
      </c>
      <c r="AM86" s="368">
        <f>AL86*1.01</f>
        <v/>
      </c>
      <c r="AN86" s="368">
        <f>AM86*1.01</f>
        <v/>
      </c>
      <c r="AO86" s="368">
        <f>AN86*1.01</f>
        <v/>
      </c>
      <c r="AP86" s="368">
        <f>AO86*1.01</f>
        <v/>
      </c>
      <c r="AQ86" s="368">
        <f>AP86*1.01</f>
        <v/>
      </c>
      <c r="AR86" s="368">
        <f>AQ86*1.01</f>
        <v/>
      </c>
      <c r="AS86" s="368">
        <f>AR86*1.01</f>
        <v/>
      </c>
      <c r="AT86" s="368">
        <f>AS86*1.01</f>
        <v/>
      </c>
      <c r="AU86" s="368">
        <f>AT86*1.01</f>
        <v/>
      </c>
      <c r="AV86" s="368">
        <f>AU86*1.01</f>
        <v/>
      </c>
      <c r="AW86" s="368">
        <f>AV86*1.01</f>
        <v/>
      </c>
    </row>
    <row r="87" outlineLevel="1">
      <c r="A87" s="207" t="n"/>
      <c r="B87" s="230" t="inlineStr">
        <is>
          <t>Annual int. rate</t>
        </is>
      </c>
      <c r="C87" s="210" t="n"/>
      <c r="D87" s="210" t="n"/>
      <c r="E87" s="210" t="n"/>
      <c r="F87" s="210" t="n"/>
      <c r="H87" s="403" t="n">
        <v>0.09</v>
      </c>
      <c r="I87" s="403" t="n">
        <v>0.09</v>
      </c>
      <c r="J87" s="403" t="n">
        <v>0.09</v>
      </c>
      <c r="K87" s="403" t="n">
        <v>0.09</v>
      </c>
      <c r="L87" s="403" t="n">
        <v>0.09</v>
      </c>
      <c r="M87" s="403" t="n">
        <v>0.09</v>
      </c>
      <c r="N87" s="403" t="n">
        <v>0.09</v>
      </c>
      <c r="O87" s="403" t="n">
        <v>0.09</v>
      </c>
      <c r="P87" s="403" t="n">
        <v>0.09</v>
      </c>
      <c r="Q87" s="403" t="n">
        <v>0.09</v>
      </c>
      <c r="R87" s="403" t="n">
        <v>0.09</v>
      </c>
      <c r="S87" s="403" t="n">
        <v>0.09</v>
      </c>
      <c r="T87" s="403" t="n">
        <v>0.09</v>
      </c>
      <c r="U87" s="403" t="n">
        <v>0.09</v>
      </c>
      <c r="V87" s="403" t="n">
        <v>0.09</v>
      </c>
      <c r="W87" s="403" t="n">
        <v>0.09</v>
      </c>
      <c r="X87" s="403" t="n">
        <v>0.09</v>
      </c>
      <c r="Y87" s="403" t="n">
        <v>0.09</v>
      </c>
      <c r="Z87" s="403" t="n">
        <v>0.09</v>
      </c>
      <c r="AA87" s="403" t="n">
        <v>0.09</v>
      </c>
      <c r="AB87" s="403" t="n">
        <v>0.09</v>
      </c>
      <c r="AC87" s="403" t="n">
        <v>0.09</v>
      </c>
      <c r="AD87" s="403" t="n">
        <v>0.09</v>
      </c>
      <c r="AE87" s="403" t="n">
        <v>0.09</v>
      </c>
      <c r="AF87" s="403" t="n">
        <v>0.09</v>
      </c>
      <c r="AG87" s="403" t="n">
        <v>0.09</v>
      </c>
      <c r="AH87" s="403" t="n">
        <v>0.09</v>
      </c>
      <c r="AI87" s="403" t="n">
        <v>0.09</v>
      </c>
      <c r="AJ87" s="403" t="n">
        <v>0.09</v>
      </c>
      <c r="AK87" s="403" t="n">
        <v>0.09</v>
      </c>
      <c r="AL87" s="403" t="n">
        <v>0.09</v>
      </c>
      <c r="AM87" s="403" t="n">
        <v>0.09</v>
      </c>
      <c r="AN87" s="403" t="n">
        <v>0.09</v>
      </c>
      <c r="AO87" s="403" t="n">
        <v>0.09</v>
      </c>
      <c r="AP87" s="403" t="n">
        <v>0.09</v>
      </c>
      <c r="AQ87" s="403" t="n">
        <v>0.09</v>
      </c>
      <c r="AR87" s="403" t="n">
        <v>0.09</v>
      </c>
      <c r="AS87" s="403" t="n">
        <v>0.09</v>
      </c>
      <c r="AT87" s="403" t="n">
        <v>0.09</v>
      </c>
      <c r="AU87" s="403" t="n">
        <v>0.09</v>
      </c>
      <c r="AV87" s="403" t="n">
        <v>0.09</v>
      </c>
      <c r="AW87" s="403" t="n">
        <v>0.09</v>
      </c>
    </row>
    <row r="88" outlineLevel="1">
      <c r="A88" s="207" t="n"/>
      <c r="B88" s="230" t="inlineStr">
        <is>
          <t>Avg. tenure (months)</t>
        </is>
      </c>
      <c r="C88" s="210" t="n"/>
      <c r="D88" s="210" t="n"/>
      <c r="E88" s="210" t="n"/>
      <c r="F88" s="210" t="n"/>
      <c r="H88" s="368" t="n">
        <v>84</v>
      </c>
      <c r="I88" s="368" t="n">
        <v>84</v>
      </c>
      <c r="J88" s="368" t="n">
        <v>84</v>
      </c>
      <c r="K88" s="368" t="n">
        <v>84</v>
      </c>
      <c r="L88" s="368" t="n">
        <v>84</v>
      </c>
      <c r="M88" s="368" t="n">
        <v>84</v>
      </c>
      <c r="N88" s="368" t="n">
        <v>84</v>
      </c>
      <c r="O88" s="368" t="n">
        <v>84</v>
      </c>
      <c r="P88" s="368" t="n">
        <v>84</v>
      </c>
      <c r="Q88" s="368" t="n">
        <v>84</v>
      </c>
      <c r="R88" s="368" t="n">
        <v>84</v>
      </c>
      <c r="S88" s="368" t="n">
        <v>84</v>
      </c>
      <c r="T88" s="368" t="n">
        <v>84</v>
      </c>
      <c r="U88" s="368" t="n">
        <v>84</v>
      </c>
      <c r="V88" s="368" t="n">
        <v>84</v>
      </c>
      <c r="W88" s="368" t="n">
        <v>84</v>
      </c>
      <c r="X88" s="368" t="n">
        <v>84</v>
      </c>
      <c r="Y88" s="368" t="n">
        <v>84</v>
      </c>
      <c r="Z88" s="368" t="n">
        <v>84</v>
      </c>
      <c r="AA88" s="368" t="n">
        <v>84</v>
      </c>
      <c r="AB88" s="368" t="n">
        <v>84</v>
      </c>
      <c r="AC88" s="368" t="n">
        <v>84</v>
      </c>
      <c r="AD88" s="368" t="n">
        <v>84</v>
      </c>
      <c r="AE88" s="368" t="n">
        <v>84</v>
      </c>
      <c r="AF88" s="368" t="n">
        <v>84</v>
      </c>
      <c r="AG88" s="368" t="n">
        <v>84</v>
      </c>
      <c r="AH88" s="368" t="n">
        <v>84</v>
      </c>
      <c r="AI88" s="368" t="n">
        <v>84</v>
      </c>
      <c r="AJ88" s="368" t="n">
        <v>84</v>
      </c>
      <c r="AK88" s="368" t="n">
        <v>84</v>
      </c>
      <c r="AL88" s="368" t="n">
        <v>84</v>
      </c>
      <c r="AM88" s="368" t="n">
        <v>84</v>
      </c>
      <c r="AN88" s="368" t="n">
        <v>84</v>
      </c>
      <c r="AO88" s="368" t="n">
        <v>84</v>
      </c>
      <c r="AP88" s="368" t="n">
        <v>84</v>
      </c>
      <c r="AQ88" s="368" t="n">
        <v>84</v>
      </c>
      <c r="AR88" s="368" t="n">
        <v>84</v>
      </c>
      <c r="AS88" s="368" t="n">
        <v>84</v>
      </c>
      <c r="AT88" s="368" t="n">
        <v>84</v>
      </c>
      <c r="AU88" s="368" t="n">
        <v>84</v>
      </c>
      <c r="AV88" s="368" t="n">
        <v>84</v>
      </c>
      <c r="AW88" s="368" t="n">
        <v>84</v>
      </c>
    </row>
    <row r="89" outlineLevel="1">
      <c r="A89" s="207" t="n"/>
      <c r="B89" s="230" t="inlineStr">
        <is>
          <t>Monthly installment</t>
        </is>
      </c>
      <c r="C89" s="210" t="n"/>
      <c r="D89" s="210" t="n"/>
      <c r="E89" s="210" t="n"/>
      <c r="F89" s="210" t="n"/>
      <c r="H89" s="357">
        <f>PMT(H87/12,H88,-H86)</f>
        <v/>
      </c>
      <c r="I89" s="357">
        <f>PMT(I87/12,I88,-I86)</f>
        <v/>
      </c>
      <c r="J89" s="357">
        <f>PMT(J87/12,J88,-J86)</f>
        <v/>
      </c>
      <c r="K89" s="357">
        <f>PMT(K87/12,K88,-K86)</f>
        <v/>
      </c>
      <c r="L89" s="357">
        <f>PMT(L87/12,L88,-L86)</f>
        <v/>
      </c>
      <c r="M89" s="357">
        <f>PMT(M87/12,M88,-M86)</f>
        <v/>
      </c>
      <c r="N89" s="357">
        <f>PMT(N87/12,N88,-N86)</f>
        <v/>
      </c>
      <c r="O89" s="357">
        <f>PMT(O87/12,O88,-O86)</f>
        <v/>
      </c>
      <c r="P89" s="357">
        <f>PMT(P87/12,P88,-P86)</f>
        <v/>
      </c>
      <c r="Q89" s="357">
        <f>PMT(Q87/12,Q88,-Q86)</f>
        <v/>
      </c>
      <c r="R89" s="357">
        <f>PMT(R87/12,R88,-R86)</f>
        <v/>
      </c>
      <c r="S89" s="357">
        <f>PMT(S87/12,S88,-S86)</f>
        <v/>
      </c>
      <c r="T89" s="357">
        <f>PMT(T87/12,T88,-T86)</f>
        <v/>
      </c>
      <c r="U89" s="357">
        <f>PMT(U87/12,U88,-U86)</f>
        <v/>
      </c>
      <c r="V89" s="357">
        <f>PMT(V87/12,V88,-V86)</f>
        <v/>
      </c>
      <c r="W89" s="357">
        <f>PMT(W87/12,W88,-W86)</f>
        <v/>
      </c>
      <c r="X89" s="357">
        <f>PMT(X87/12,X88,-X86)</f>
        <v/>
      </c>
      <c r="Y89" s="357">
        <f>PMT(Y87/12,Y88,-Y86)</f>
        <v/>
      </c>
      <c r="Z89" s="357">
        <f>PMT(Z87/12,Z88,-Z86)</f>
        <v/>
      </c>
      <c r="AA89" s="357">
        <f>PMT(AA87/12,AA88,-AA86)</f>
        <v/>
      </c>
      <c r="AB89" s="357">
        <f>PMT(AB87/12,AB88,-AB86)</f>
        <v/>
      </c>
      <c r="AC89" s="357">
        <f>PMT(AC87/12,AC88,-AC86)</f>
        <v/>
      </c>
      <c r="AD89" s="357">
        <f>PMT(AD87/12,AD88,-AD86)</f>
        <v/>
      </c>
      <c r="AE89" s="357">
        <f>PMT(AE87/12,AE88,-AE86)</f>
        <v/>
      </c>
      <c r="AF89" s="357">
        <f>PMT(AF87/12,AF88,-AF86)</f>
        <v/>
      </c>
      <c r="AG89" s="357">
        <f>PMT(AG87/12,AG88,-AG86)</f>
        <v/>
      </c>
      <c r="AH89" s="357">
        <f>PMT(AH87/12,AH88,-AH86)</f>
        <v/>
      </c>
      <c r="AI89" s="357">
        <f>PMT(AI87/12,AI88,-AI86)</f>
        <v/>
      </c>
      <c r="AJ89" s="357">
        <f>PMT(AJ87/12,AJ88,-AJ86)</f>
        <v/>
      </c>
      <c r="AK89" s="357">
        <f>PMT(AK87/12,AK88,-AK86)</f>
        <v/>
      </c>
      <c r="AL89" s="357">
        <f>PMT(AL87/12,AL88,-AL86)</f>
        <v/>
      </c>
      <c r="AM89" s="357">
        <f>PMT(AM87/12,AM88,-AM86)</f>
        <v/>
      </c>
      <c r="AN89" s="357">
        <f>PMT(AN87/12,AN88,-AN86)</f>
        <v/>
      </c>
      <c r="AO89" s="357">
        <f>PMT(AO87/12,AO88,-AO86)</f>
        <v/>
      </c>
      <c r="AP89" s="357">
        <f>PMT(AP87/12,AP88,-AP86)</f>
        <v/>
      </c>
      <c r="AQ89" s="357">
        <f>PMT(AQ87/12,AQ88,-AQ86)</f>
        <v/>
      </c>
      <c r="AR89" s="357">
        <f>PMT(AR87/12,AR88,-AR86)</f>
        <v/>
      </c>
      <c r="AS89" s="357">
        <f>PMT(AS87/12,AS88,-AS86)</f>
        <v/>
      </c>
      <c r="AT89" s="357">
        <f>PMT(AT87/12,AT88,-AT86)</f>
        <v/>
      </c>
      <c r="AU89" s="357">
        <f>PMT(AU87/12,AU88,-AU86)</f>
        <v/>
      </c>
      <c r="AV89" s="357">
        <f>PMT(AV87/12,AV88,-AV86)</f>
        <v/>
      </c>
      <c r="AW89" s="357">
        <f>PMT(AW87/12,AW88,-AW86)</f>
        <v/>
      </c>
    </row>
    <row r="90" outlineLevel="1">
      <c r="A90" s="207" t="n"/>
      <c r="C90" s="210" t="n"/>
      <c r="D90" s="210" t="n"/>
      <c r="E90" s="210" t="n"/>
      <c r="F90" s="210" t="n"/>
    </row>
    <row r="91" outlineLevel="1">
      <c r="A91" s="207" t="n"/>
      <c r="B91" s="11" t="inlineStr">
        <is>
          <t>Monthly transaction total</t>
        </is>
      </c>
      <c r="C91" s="327">
        <f>SUMIF($H$5:$AW$5,C$5,$H91:$AW91)</f>
        <v/>
      </c>
      <c r="D91" s="327">
        <f>SUMIF($H$5:$AW$5,D$5,$H91:$AW91)</f>
        <v/>
      </c>
      <c r="E91" s="327">
        <f>SUMIF($H$5:$AW$5,E$5,$H91:$AW91)</f>
        <v/>
      </c>
      <c r="F91" s="327">
        <f>SUMIF($H$5:$AW$5,F$5,$H91:$AW91)</f>
        <v/>
      </c>
      <c r="G91" s="358" t="n"/>
      <c r="H91" s="357">
        <f>H89*H78</f>
        <v/>
      </c>
      <c r="I91" s="357">
        <f>I89*I78</f>
        <v/>
      </c>
      <c r="J91" s="357">
        <f>J89*J78</f>
        <v/>
      </c>
      <c r="K91" s="357">
        <f>K89*K78</f>
        <v/>
      </c>
      <c r="L91" s="357">
        <f>L89*L78</f>
        <v/>
      </c>
      <c r="M91" s="357">
        <f>M89*M78</f>
        <v/>
      </c>
      <c r="N91" s="357">
        <f>N89*N78</f>
        <v/>
      </c>
      <c r="O91" s="357">
        <f>O89*O78</f>
        <v/>
      </c>
      <c r="P91" s="357">
        <f>P89*P78</f>
        <v/>
      </c>
      <c r="Q91" s="357">
        <f>Q89*Q78</f>
        <v/>
      </c>
      <c r="R91" s="357">
        <f>R89*R78</f>
        <v/>
      </c>
      <c r="S91" s="357">
        <f>S89*S78</f>
        <v/>
      </c>
      <c r="T91" s="357">
        <f>T89*T78</f>
        <v/>
      </c>
      <c r="U91" s="357">
        <f>U89*U78</f>
        <v/>
      </c>
      <c r="V91" s="357">
        <f>V89*V78</f>
        <v/>
      </c>
      <c r="W91" s="357">
        <f>W89*W78</f>
        <v/>
      </c>
      <c r="X91" s="357">
        <f>X89*X78</f>
        <v/>
      </c>
      <c r="Y91" s="357">
        <f>Y89*Y78</f>
        <v/>
      </c>
      <c r="Z91" s="357">
        <f>Z89*Z78</f>
        <v/>
      </c>
      <c r="AA91" s="357">
        <f>AA89*AA78</f>
        <v/>
      </c>
      <c r="AB91" s="357">
        <f>AB89*AB78</f>
        <v/>
      </c>
      <c r="AC91" s="357">
        <f>AC89*AC78</f>
        <v/>
      </c>
      <c r="AD91" s="357">
        <f>AD89*AD78</f>
        <v/>
      </c>
      <c r="AE91" s="357">
        <f>AE89*AE78</f>
        <v/>
      </c>
      <c r="AF91" s="357">
        <f>AF89*AF78</f>
        <v/>
      </c>
      <c r="AG91" s="357">
        <f>AG89*AG78</f>
        <v/>
      </c>
      <c r="AH91" s="357">
        <f>AH89*AH78</f>
        <v/>
      </c>
      <c r="AI91" s="357">
        <f>AI89*AI78</f>
        <v/>
      </c>
      <c r="AJ91" s="357">
        <f>AJ89*AJ78</f>
        <v/>
      </c>
      <c r="AK91" s="357">
        <f>AK89*AK78</f>
        <v/>
      </c>
      <c r="AL91" s="357">
        <f>AL89*AL78</f>
        <v/>
      </c>
      <c r="AM91" s="357">
        <f>AM89*AM78</f>
        <v/>
      </c>
      <c r="AN91" s="357">
        <f>AN89*AN78</f>
        <v/>
      </c>
      <c r="AO91" s="357">
        <f>AO89*AO78</f>
        <v/>
      </c>
      <c r="AP91" s="357">
        <f>AP89*AP78</f>
        <v/>
      </c>
      <c r="AQ91" s="357">
        <f>AQ89*AQ78</f>
        <v/>
      </c>
      <c r="AR91" s="357">
        <f>AR89*AR78</f>
        <v/>
      </c>
      <c r="AS91" s="357">
        <f>AS89*AS78</f>
        <v/>
      </c>
      <c r="AT91" s="357">
        <f>AT89*AT78</f>
        <v/>
      </c>
      <c r="AU91" s="357">
        <f>AU89*AU78</f>
        <v/>
      </c>
      <c r="AV91" s="357">
        <f>AV89*AV78</f>
        <v/>
      </c>
      <c r="AW91" s="357">
        <f>AW89*AW78</f>
        <v/>
      </c>
    </row>
    <row r="92" outlineLevel="1">
      <c r="A92" s="207" t="n"/>
      <c r="B92" s="11" t="inlineStr">
        <is>
          <t>Rev. % of monthly transaction</t>
        </is>
      </c>
      <c r="C92" s="401">
        <f>IFERROR(C97/C91,"NA")</f>
        <v/>
      </c>
      <c r="D92" s="401">
        <f>IFERROR(D97/D91,"NA")</f>
        <v/>
      </c>
      <c r="E92" s="401">
        <f>IFERROR(E97/E91,"NA")</f>
        <v/>
      </c>
      <c r="F92" s="401">
        <f>IFERROR(F97/F91,"NA")</f>
        <v/>
      </c>
      <c r="G92" s="402" t="n"/>
      <c r="H92" s="403" t="n">
        <v>0.005</v>
      </c>
      <c r="I92" s="403" t="n">
        <v>0.005</v>
      </c>
      <c r="J92" s="403" t="n">
        <v>0.005</v>
      </c>
      <c r="K92" s="403" t="n">
        <v>0.005</v>
      </c>
      <c r="L92" s="403" t="n">
        <v>0.005</v>
      </c>
      <c r="M92" s="403" t="n">
        <v>0.005</v>
      </c>
      <c r="N92" s="403" t="n">
        <v>0.005</v>
      </c>
      <c r="O92" s="403" t="n">
        <v>0.005</v>
      </c>
      <c r="P92" s="403" t="n">
        <v>0.005</v>
      </c>
      <c r="Q92" s="403" t="n">
        <v>0.005</v>
      </c>
      <c r="R92" s="403" t="n">
        <v>0.005</v>
      </c>
      <c r="S92" s="403" t="n">
        <v>0.005</v>
      </c>
      <c r="T92" s="403" t="n">
        <v>0.005</v>
      </c>
      <c r="U92" s="403" t="n">
        <v>0.005</v>
      </c>
      <c r="V92" s="403" t="n">
        <v>0.005</v>
      </c>
      <c r="W92" s="403" t="n">
        <v>0.005</v>
      </c>
      <c r="X92" s="403" t="n">
        <v>0.005</v>
      </c>
      <c r="Y92" s="403" t="n">
        <v>0.005</v>
      </c>
      <c r="Z92" s="403" t="n">
        <v>0.005</v>
      </c>
      <c r="AA92" s="403" t="n">
        <v>0.005</v>
      </c>
      <c r="AB92" s="403" t="n">
        <v>0.005</v>
      </c>
      <c r="AC92" s="403" t="n">
        <v>0.005</v>
      </c>
      <c r="AD92" s="403" t="n">
        <v>0.005</v>
      </c>
      <c r="AE92" s="403" t="n">
        <v>0.005</v>
      </c>
      <c r="AF92" s="403" t="n">
        <v>0.005</v>
      </c>
      <c r="AG92" s="403" t="n">
        <v>0.005</v>
      </c>
      <c r="AH92" s="403" t="n">
        <v>0.005</v>
      </c>
      <c r="AI92" s="403" t="n">
        <v>0.005</v>
      </c>
      <c r="AJ92" s="403" t="n">
        <v>0.005</v>
      </c>
      <c r="AK92" s="403" t="n">
        <v>0.005</v>
      </c>
      <c r="AL92" s="403" t="n">
        <v>0.005</v>
      </c>
      <c r="AM92" s="403" t="n">
        <v>0.005</v>
      </c>
      <c r="AN92" s="403" t="n">
        <v>0.005</v>
      </c>
      <c r="AO92" s="403" t="n">
        <v>0.005</v>
      </c>
      <c r="AP92" s="403" t="n">
        <v>0.005</v>
      </c>
      <c r="AQ92" s="403" t="n">
        <v>0.005</v>
      </c>
      <c r="AR92" s="403" t="n">
        <v>0.005</v>
      </c>
      <c r="AS92" s="403" t="n">
        <v>0.005</v>
      </c>
      <c r="AT92" s="403" t="n">
        <v>0.005</v>
      </c>
      <c r="AU92" s="403" t="n">
        <v>0.005</v>
      </c>
      <c r="AV92" s="403" t="n">
        <v>0.005</v>
      </c>
      <c r="AW92" s="403" t="n">
        <v>0.005</v>
      </c>
    </row>
    <row r="93" outlineLevel="1">
      <c r="A93" s="207" t="n"/>
      <c r="C93" s="210" t="n"/>
      <c r="D93" s="210" t="n"/>
      <c r="E93" s="210" t="n"/>
      <c r="F93" s="210" t="n"/>
    </row>
    <row r="94" outlineLevel="1" customFormat="1" s="2">
      <c r="A94" s="299" t="n"/>
      <c r="B94" s="128" t="inlineStr">
        <is>
          <t>Application fee revs</t>
        </is>
      </c>
      <c r="C94" s="415">
        <f>SUMIF($H$5:$AW$5,C$5,$H94:$AW94)</f>
        <v/>
      </c>
      <c r="D94" s="415">
        <f>SUMIF($H$5:$AW$5,D$5,$H94:$AW94)</f>
        <v/>
      </c>
      <c r="E94" s="415">
        <f>SUMIF($H$5:$AW$5,E$5,$H94:$AW94)</f>
        <v/>
      </c>
      <c r="F94" s="415">
        <f>SUMIF($H$5:$AW$5,F$5,$H94:$AW94)</f>
        <v/>
      </c>
      <c r="G94" s="360" t="n"/>
      <c r="H94" s="365">
        <f>H81*H76</f>
        <v/>
      </c>
      <c r="I94" s="365">
        <f>I81*I76</f>
        <v/>
      </c>
      <c r="J94" s="365">
        <f>J81*J76</f>
        <v/>
      </c>
      <c r="K94" s="365">
        <f>K81*K76</f>
        <v/>
      </c>
      <c r="L94" s="365">
        <f>L81*L76</f>
        <v/>
      </c>
      <c r="M94" s="365">
        <f>M81*M76</f>
        <v/>
      </c>
      <c r="N94" s="365">
        <f>N81*N76</f>
        <v/>
      </c>
      <c r="O94" s="365">
        <f>O81*O76</f>
        <v/>
      </c>
      <c r="P94" s="365">
        <f>P81*P76</f>
        <v/>
      </c>
      <c r="Q94" s="365">
        <f>Q81*Q76</f>
        <v/>
      </c>
      <c r="R94" s="365">
        <f>R81*R76</f>
        <v/>
      </c>
      <c r="S94" s="365">
        <f>S81*S76</f>
        <v/>
      </c>
      <c r="T94" s="365">
        <f>T81*T76</f>
        <v/>
      </c>
      <c r="U94" s="365">
        <f>U81*U76</f>
        <v/>
      </c>
      <c r="V94" s="365">
        <f>V81*V76</f>
        <v/>
      </c>
      <c r="W94" s="365">
        <f>W81*W76</f>
        <v/>
      </c>
      <c r="X94" s="365">
        <f>X81*X76</f>
        <v/>
      </c>
      <c r="Y94" s="365">
        <f>Y81*Y76</f>
        <v/>
      </c>
      <c r="Z94" s="365">
        <f>Z81*Z76</f>
        <v/>
      </c>
      <c r="AA94" s="365">
        <f>AA81*AA76</f>
        <v/>
      </c>
      <c r="AB94" s="365">
        <f>AB81*AB76</f>
        <v/>
      </c>
      <c r="AC94" s="365">
        <f>AC81*AC76</f>
        <v/>
      </c>
      <c r="AD94" s="365">
        <f>AD81*AD76</f>
        <v/>
      </c>
      <c r="AE94" s="365">
        <f>AE81*AE76</f>
        <v/>
      </c>
      <c r="AF94" s="365">
        <f>AF81*AF76</f>
        <v/>
      </c>
      <c r="AG94" s="365">
        <f>AG81*AG76</f>
        <v/>
      </c>
      <c r="AH94" s="365">
        <f>AH81*AH76</f>
        <v/>
      </c>
      <c r="AI94" s="365">
        <f>AI81*AI76</f>
        <v/>
      </c>
      <c r="AJ94" s="365">
        <f>AJ81*AJ76</f>
        <v/>
      </c>
      <c r="AK94" s="365">
        <f>AK81*AK76</f>
        <v/>
      </c>
      <c r="AL94" s="365">
        <f>AL81*AL76</f>
        <v/>
      </c>
      <c r="AM94" s="365">
        <f>AM81*AM76</f>
        <v/>
      </c>
      <c r="AN94" s="365">
        <f>AN81*AN76</f>
        <v/>
      </c>
      <c r="AO94" s="365">
        <f>AO81*AO76</f>
        <v/>
      </c>
      <c r="AP94" s="365">
        <f>AP81*AP76</f>
        <v/>
      </c>
      <c r="AQ94" s="365">
        <f>AQ81*AQ76</f>
        <v/>
      </c>
      <c r="AR94" s="365">
        <f>AR81*AR76</f>
        <v/>
      </c>
      <c r="AS94" s="365">
        <f>AS81*AS76</f>
        <v/>
      </c>
      <c r="AT94" s="365">
        <f>AT81*AT76</f>
        <v/>
      </c>
      <c r="AU94" s="365">
        <f>AU81*AU76</f>
        <v/>
      </c>
      <c r="AV94" s="365">
        <f>AV81*AV76</f>
        <v/>
      </c>
      <c r="AW94" s="365">
        <f>AW81*AW76</f>
        <v/>
      </c>
    </row>
    <row r="95" outlineLevel="1" customFormat="1" s="2">
      <c r="A95" s="299" t="n"/>
      <c r="B95" s="184" t="inlineStr">
        <is>
          <t>Monthly management fee revs</t>
        </is>
      </c>
      <c r="C95" s="416">
        <f>SUMIF($H$5:$AW$5,C$5,$H95:$AW95)</f>
        <v/>
      </c>
      <c r="D95" s="416">
        <f>SUMIF($H$5:$AW$5,D$5,$H95:$AW95)</f>
        <v/>
      </c>
      <c r="E95" s="416">
        <f>SUMIF($H$5:$AW$5,E$5,$H95:$AW95)</f>
        <v/>
      </c>
      <c r="F95" s="416">
        <f>SUMIF($H$5:$AW$5,F$5,$H95:$AW95)</f>
        <v/>
      </c>
      <c r="G95" s="360" t="n"/>
      <c r="H95" s="417">
        <f>H82*AVERAGE(G78:H78)</f>
        <v/>
      </c>
      <c r="I95" s="417">
        <f>I82*AVERAGE(H78:I78)</f>
        <v/>
      </c>
      <c r="J95" s="417">
        <f>J82*AVERAGE(I78:J78)</f>
        <v/>
      </c>
      <c r="K95" s="417">
        <f>K82*AVERAGE(J78:K78)</f>
        <v/>
      </c>
      <c r="L95" s="417">
        <f>L82*AVERAGE(K78:L78)</f>
        <v/>
      </c>
      <c r="M95" s="417">
        <f>M82*AVERAGE(L78:M78)</f>
        <v/>
      </c>
      <c r="N95" s="417">
        <f>N82*AVERAGE(M78:N78)</f>
        <v/>
      </c>
      <c r="O95" s="417">
        <f>O82*AVERAGE(N78:O78)</f>
        <v/>
      </c>
      <c r="P95" s="417">
        <f>P82*AVERAGE(O78:P78)</f>
        <v/>
      </c>
      <c r="Q95" s="417">
        <f>Q82*AVERAGE(P78:Q78)</f>
        <v/>
      </c>
      <c r="R95" s="417">
        <f>R82*AVERAGE(Q78:R78)</f>
        <v/>
      </c>
      <c r="S95" s="417">
        <f>S82*AVERAGE(R78:S78)</f>
        <v/>
      </c>
      <c r="T95" s="417">
        <f>T82*AVERAGE(S78:T78)</f>
        <v/>
      </c>
      <c r="U95" s="417">
        <f>U82*AVERAGE(T78:U78)</f>
        <v/>
      </c>
      <c r="V95" s="417">
        <f>V82*AVERAGE(U78:V78)</f>
        <v/>
      </c>
      <c r="W95" s="417">
        <f>W82*AVERAGE(V78:W78)</f>
        <v/>
      </c>
      <c r="X95" s="417">
        <f>X82*AVERAGE(W78:X78)</f>
        <v/>
      </c>
      <c r="Y95" s="417">
        <f>Y82*AVERAGE(X78:Y78)</f>
        <v/>
      </c>
      <c r="Z95" s="417">
        <f>Z82*AVERAGE(Y78:Z78)</f>
        <v/>
      </c>
      <c r="AA95" s="417">
        <f>AA82*AVERAGE(Z78:AA78)</f>
        <v/>
      </c>
      <c r="AB95" s="417">
        <f>AB82*AVERAGE(AA78:AB78)</f>
        <v/>
      </c>
      <c r="AC95" s="417">
        <f>AC82*AVERAGE(AB78:AC78)</f>
        <v/>
      </c>
      <c r="AD95" s="417">
        <f>AD82*AVERAGE(AC78:AD78)</f>
        <v/>
      </c>
      <c r="AE95" s="417">
        <f>AE82*AVERAGE(AD78:AE78)</f>
        <v/>
      </c>
      <c r="AF95" s="417">
        <f>AF82*AVERAGE(AE78:AF78)</f>
        <v/>
      </c>
      <c r="AG95" s="417">
        <f>AG82*AVERAGE(AF78:AG78)</f>
        <v/>
      </c>
      <c r="AH95" s="417">
        <f>AH82*AVERAGE(AG78:AH78)</f>
        <v/>
      </c>
      <c r="AI95" s="417">
        <f>AI82*AVERAGE(AH78:AI78)</f>
        <v/>
      </c>
      <c r="AJ95" s="417">
        <f>AJ82*AVERAGE(AI78:AJ78)</f>
        <v/>
      </c>
      <c r="AK95" s="417">
        <f>AK82*AVERAGE(AJ78:AK78)</f>
        <v/>
      </c>
      <c r="AL95" s="417">
        <f>AL82*AVERAGE(AK78:AL78)</f>
        <v/>
      </c>
      <c r="AM95" s="417">
        <f>AM82*AVERAGE(AL78:AM78)</f>
        <v/>
      </c>
      <c r="AN95" s="417">
        <f>AN82*AVERAGE(AM78:AN78)</f>
        <v/>
      </c>
      <c r="AO95" s="417">
        <f>AO82*AVERAGE(AN78:AO78)</f>
        <v/>
      </c>
      <c r="AP95" s="417">
        <f>AP82*AVERAGE(AO78:AP78)</f>
        <v/>
      </c>
      <c r="AQ95" s="417">
        <f>AQ82*AVERAGE(AP78:AQ78)</f>
        <v/>
      </c>
      <c r="AR95" s="417">
        <f>AR82*AVERAGE(AQ78:AR78)</f>
        <v/>
      </c>
      <c r="AS95" s="417">
        <f>AS82*AVERAGE(AR78:AS78)</f>
        <v/>
      </c>
      <c r="AT95" s="417">
        <f>AT82*AVERAGE(AS78:AT78)</f>
        <v/>
      </c>
      <c r="AU95" s="417">
        <f>AU82*AVERAGE(AT78:AU78)</f>
        <v/>
      </c>
      <c r="AV95" s="417">
        <f>AV82*AVERAGE(AU78:AV78)</f>
        <v/>
      </c>
      <c r="AW95" s="417">
        <f>AW82*AVERAGE(AV78:AW78)</f>
        <v/>
      </c>
    </row>
    <row r="96" outlineLevel="1" customFormat="1" s="2">
      <c r="A96" s="299" t="n"/>
      <c r="B96" s="128" t="inlineStr">
        <is>
          <t>Late repayment fee</t>
        </is>
      </c>
      <c r="C96" s="415">
        <f>SUMIF($H$5:$AW$5,C$5,$H96:$AW96)</f>
        <v/>
      </c>
      <c r="D96" s="415">
        <f>SUMIF($H$5:$AW$5,D$5,$H96:$AW96)</f>
        <v/>
      </c>
      <c r="E96" s="415">
        <f>SUMIF($H$5:$AW$5,E$5,$H96:$AW96)</f>
        <v/>
      </c>
      <c r="F96" s="415">
        <f>SUMIF($H$5:$AW$5,F$5,$H96:$AW96)</f>
        <v/>
      </c>
      <c r="G96" s="360" t="n"/>
      <c r="H96" s="365">
        <f>H83*H79*H78</f>
        <v/>
      </c>
      <c r="I96" s="365">
        <f>I83*I79*AVERAGE(I78,H78)</f>
        <v/>
      </c>
      <c r="J96" s="365">
        <f>J83*J79*AVERAGE(J78,I78)</f>
        <v/>
      </c>
      <c r="K96" s="365">
        <f>K83*K79*AVERAGE(K78,J78)</f>
        <v/>
      </c>
      <c r="L96" s="365">
        <f>L83*L79*AVERAGE(L78,K78)</f>
        <v/>
      </c>
      <c r="M96" s="365">
        <f>M83*M79*AVERAGE(M78,L78)</f>
        <v/>
      </c>
      <c r="N96" s="365">
        <f>N83*N79*AVERAGE(N78,M78)</f>
        <v/>
      </c>
      <c r="O96" s="365">
        <f>O83*O79*AVERAGE(O78,N78)</f>
        <v/>
      </c>
      <c r="P96" s="365">
        <f>P83*P79*AVERAGE(P78,O78)</f>
        <v/>
      </c>
      <c r="Q96" s="365">
        <f>Q83*Q79*AVERAGE(Q78,P78)</f>
        <v/>
      </c>
      <c r="R96" s="365">
        <f>R83*R79*AVERAGE(R78,Q78)</f>
        <v/>
      </c>
      <c r="S96" s="365">
        <f>S83*S79*AVERAGE(S78,R78)</f>
        <v/>
      </c>
      <c r="T96" s="365">
        <f>T83*T79*AVERAGE(T78,S78)</f>
        <v/>
      </c>
      <c r="U96" s="365">
        <f>U83*U79*AVERAGE(U78,T78)</f>
        <v/>
      </c>
      <c r="V96" s="365">
        <f>V83*V79*AVERAGE(V78,U78)</f>
        <v/>
      </c>
      <c r="W96" s="365">
        <f>W83*W79*AVERAGE(W78,V78)</f>
        <v/>
      </c>
      <c r="X96" s="365">
        <f>X83*X79*AVERAGE(X78,W78)</f>
        <v/>
      </c>
      <c r="Y96" s="365">
        <f>Y83*Y79*AVERAGE(Y78,X78)</f>
        <v/>
      </c>
      <c r="Z96" s="365">
        <f>Z83*Z79*AVERAGE(Z78,Y78)</f>
        <v/>
      </c>
      <c r="AA96" s="365">
        <f>AA83*AA79*AVERAGE(AA78,Z78)</f>
        <v/>
      </c>
      <c r="AB96" s="365">
        <f>AB83*AB79*AVERAGE(AB78,AA78)</f>
        <v/>
      </c>
      <c r="AC96" s="365">
        <f>AC83*AC79*AVERAGE(AC78,AB78)</f>
        <v/>
      </c>
      <c r="AD96" s="365">
        <f>AD83*AD79*AVERAGE(AD78,AC78)</f>
        <v/>
      </c>
      <c r="AE96" s="365">
        <f>AE83*AE79*AVERAGE(AE78,AD78)</f>
        <v/>
      </c>
      <c r="AF96" s="365">
        <f>AF83*AF79*AVERAGE(AF78,AE78)</f>
        <v/>
      </c>
      <c r="AG96" s="365">
        <f>AG83*AG79*AVERAGE(AG78,AF78)</f>
        <v/>
      </c>
      <c r="AH96" s="365">
        <f>AH83*AH79*AVERAGE(AH78,AG78)</f>
        <v/>
      </c>
      <c r="AI96" s="365">
        <f>AI83*AI79*AVERAGE(AI78,AH78)</f>
        <v/>
      </c>
      <c r="AJ96" s="365">
        <f>AJ83*AJ79*AVERAGE(AJ78,AI78)</f>
        <v/>
      </c>
      <c r="AK96" s="365">
        <f>AK83*AK79*AVERAGE(AK78,AJ78)</f>
        <v/>
      </c>
      <c r="AL96" s="365">
        <f>AL83*AL79*AVERAGE(AL78,AK78)</f>
        <v/>
      </c>
      <c r="AM96" s="365">
        <f>AM83*AM79*AVERAGE(AM78,AL78)</f>
        <v/>
      </c>
      <c r="AN96" s="365">
        <f>AN83*AN79*AVERAGE(AN78,AM78)</f>
        <v/>
      </c>
      <c r="AO96" s="365">
        <f>AO83*AO79*AVERAGE(AO78,AN78)</f>
        <v/>
      </c>
      <c r="AP96" s="365">
        <f>AP83*AP79*AVERAGE(AP78,AO78)</f>
        <v/>
      </c>
      <c r="AQ96" s="365">
        <f>AQ83*AQ79*AVERAGE(AQ78,AP78)</f>
        <v/>
      </c>
      <c r="AR96" s="365">
        <f>AR83*AR79*AVERAGE(AR78,AQ78)</f>
        <v/>
      </c>
      <c r="AS96" s="365">
        <f>AS83*AS79*AVERAGE(AS78,AR78)</f>
        <v/>
      </c>
      <c r="AT96" s="365">
        <f>AT83*AT79*AVERAGE(AT78,AS78)</f>
        <v/>
      </c>
      <c r="AU96" s="365">
        <f>AU83*AU79*AVERAGE(AU78,AT78)</f>
        <v/>
      </c>
      <c r="AV96" s="365">
        <f>AV83*AV79*AVERAGE(AV78,AU78)</f>
        <v/>
      </c>
      <c r="AW96" s="365">
        <f>AW83*AW79*AVERAGE(AW78,AV78)</f>
        <v/>
      </c>
    </row>
    <row r="97" outlineLevel="1" customFormat="1" s="2">
      <c r="A97" s="299" t="n"/>
      <c r="B97" s="128" t="inlineStr">
        <is>
          <t>Payment revs</t>
        </is>
      </c>
      <c r="C97" s="415">
        <f>SUMIF($H$5:$AW$5,C$5,$H97:$AW97)</f>
        <v/>
      </c>
      <c r="D97" s="415">
        <f>SUMIF($H$5:$AW$5,D$5,$H97:$AW97)</f>
        <v/>
      </c>
      <c r="E97" s="415">
        <f>SUMIF($H$5:$AW$5,E$5,$H97:$AW97)</f>
        <v/>
      </c>
      <c r="F97" s="415">
        <f>SUMIF($H$5:$AW$5,F$5,$H97:$AW97)</f>
        <v/>
      </c>
      <c r="G97" s="360" t="n"/>
      <c r="H97" s="365">
        <f>H91*H92</f>
        <v/>
      </c>
      <c r="I97" s="365">
        <f>I91*I92</f>
        <v/>
      </c>
      <c r="J97" s="365">
        <f>J91*J92</f>
        <v/>
      </c>
      <c r="K97" s="365">
        <f>K91*K92</f>
        <v/>
      </c>
      <c r="L97" s="365">
        <f>L91*L92</f>
        <v/>
      </c>
      <c r="M97" s="365">
        <f>M91*M92</f>
        <v/>
      </c>
      <c r="N97" s="365">
        <f>N91*N92</f>
        <v/>
      </c>
      <c r="O97" s="365">
        <f>O91*O92</f>
        <v/>
      </c>
      <c r="P97" s="365">
        <f>P91*P92</f>
        <v/>
      </c>
      <c r="Q97" s="365">
        <f>Q91*Q92</f>
        <v/>
      </c>
      <c r="R97" s="365">
        <f>R91*R92</f>
        <v/>
      </c>
      <c r="S97" s="365">
        <f>S91*S92</f>
        <v/>
      </c>
      <c r="T97" s="365">
        <f>T91*T92</f>
        <v/>
      </c>
      <c r="U97" s="365">
        <f>U91*U92</f>
        <v/>
      </c>
      <c r="V97" s="365">
        <f>V91*V92</f>
        <v/>
      </c>
      <c r="W97" s="365">
        <f>W91*W92</f>
        <v/>
      </c>
      <c r="X97" s="365">
        <f>X91*X92</f>
        <v/>
      </c>
      <c r="Y97" s="365">
        <f>Y91*Y92</f>
        <v/>
      </c>
      <c r="Z97" s="365">
        <f>Z91*Z92</f>
        <v/>
      </c>
      <c r="AA97" s="365">
        <f>AA91*AA92</f>
        <v/>
      </c>
      <c r="AB97" s="365">
        <f>AB91*AB92</f>
        <v/>
      </c>
      <c r="AC97" s="365">
        <f>AC91*AC92</f>
        <v/>
      </c>
      <c r="AD97" s="365">
        <f>AD91*AD92</f>
        <v/>
      </c>
      <c r="AE97" s="365">
        <f>AE91*AE92</f>
        <v/>
      </c>
      <c r="AF97" s="365">
        <f>AF91*AF92</f>
        <v/>
      </c>
      <c r="AG97" s="365">
        <f>AG91*AG92</f>
        <v/>
      </c>
      <c r="AH97" s="365">
        <f>AH91*AH92</f>
        <v/>
      </c>
      <c r="AI97" s="365">
        <f>AI91*AI92</f>
        <v/>
      </c>
      <c r="AJ97" s="365">
        <f>AJ91*AJ92</f>
        <v/>
      </c>
      <c r="AK97" s="365">
        <f>AK91*AK92</f>
        <v/>
      </c>
      <c r="AL97" s="365">
        <f>AL91*AL92</f>
        <v/>
      </c>
      <c r="AM97" s="365">
        <f>AM91*AM92</f>
        <v/>
      </c>
      <c r="AN97" s="365">
        <f>AN91*AN92</f>
        <v/>
      </c>
      <c r="AO97" s="365">
        <f>AO91*AO92</f>
        <v/>
      </c>
      <c r="AP97" s="365">
        <f>AP91*AP92</f>
        <v/>
      </c>
      <c r="AQ97" s="365">
        <f>AQ91*AQ92</f>
        <v/>
      </c>
      <c r="AR97" s="365">
        <f>AR91*AR92</f>
        <v/>
      </c>
      <c r="AS97" s="365">
        <f>AS91*AS92</f>
        <v/>
      </c>
      <c r="AT97" s="365">
        <f>AT91*AT92</f>
        <v/>
      </c>
      <c r="AU97" s="365">
        <f>AU91*AU92</f>
        <v/>
      </c>
      <c r="AV97" s="365">
        <f>AV91*AV92</f>
        <v/>
      </c>
      <c r="AW97" s="365">
        <f>AW91*AW92</f>
        <v/>
      </c>
    </row>
    <row r="98" outlineLevel="1">
      <c r="A98" s="207" t="n"/>
      <c r="C98" s="210" t="n"/>
      <c r="D98" s="210" t="n"/>
      <c r="E98" s="210" t="n"/>
      <c r="F98" s="210" t="n"/>
    </row>
    <row r="99" outlineLevel="1" collapsed="1">
      <c r="A99" s="207" t="n"/>
      <c r="B99" s="149" t="inlineStr">
        <is>
          <t>Transaction based (payments) - B2B</t>
        </is>
      </c>
      <c r="C99" s="208" t="n"/>
      <c r="D99" s="208" t="n"/>
      <c r="E99" s="208" t="n"/>
      <c r="F99" s="208" t="n"/>
      <c r="G99" s="202" t="n"/>
      <c r="H99" s="209" t="n"/>
      <c r="I99" s="209" t="n"/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09" t="n"/>
      <c r="T99" s="209" t="n"/>
      <c r="U99" s="209" t="n"/>
      <c r="V99" s="209" t="n"/>
      <c r="W99" s="209" t="n"/>
      <c r="X99" s="209" t="n"/>
      <c r="Y99" s="209" t="n"/>
      <c r="Z99" s="209" t="n"/>
      <c r="AA99" s="209" t="n"/>
      <c r="AB99" s="209" t="n"/>
      <c r="AC99" s="209" t="n"/>
      <c r="AD99" s="209" t="n"/>
      <c r="AE99" s="209" t="n"/>
      <c r="AF99" s="209" t="n"/>
      <c r="AG99" s="209" t="n"/>
      <c r="AH99" s="209" t="n"/>
      <c r="AI99" s="209" t="n"/>
      <c r="AJ99" s="209" t="n"/>
      <c r="AK99" s="209" t="n"/>
      <c r="AL99" s="209" t="n"/>
      <c r="AM99" s="209" t="n"/>
      <c r="AN99" s="209" t="n"/>
      <c r="AO99" s="209" t="n"/>
      <c r="AP99" s="209" t="n"/>
      <c r="AQ99" s="209" t="n"/>
      <c r="AR99" s="209" t="n"/>
      <c r="AS99" s="209" t="n"/>
      <c r="AT99" s="209" t="n"/>
      <c r="AU99" s="209" t="n"/>
      <c r="AV99" s="209" t="n"/>
      <c r="AW99" s="209" t="n"/>
    </row>
    <row r="100" outlineLevel="1">
      <c r="A100" s="207" t="n"/>
      <c r="C100" s="210" t="n"/>
      <c r="D100" s="210" t="n"/>
      <c r="E100" s="210" t="n"/>
      <c r="F100" s="210" t="n"/>
    </row>
    <row r="101" outlineLevel="1">
      <c r="A101" s="207" t="n"/>
      <c r="B101" s="11" t="inlineStr">
        <is>
          <t>Number of accounts</t>
        </is>
      </c>
      <c r="C101" s="327">
        <f>SUMIF($H$5:$AW$5,C$5,$H101:$AW101)</f>
        <v/>
      </c>
      <c r="D101" s="327">
        <f>SUMIF($H$5:$AW$5,D$5,$H101:$AW101)</f>
        <v/>
      </c>
      <c r="E101" s="327">
        <f>SUMIF($H$5:$AW$5,E$5,$H101:$AW101)</f>
        <v/>
      </c>
      <c r="F101" s="327">
        <f>SUMIF($H$5:$AW$5,F$5,$H101:$AW101)</f>
        <v/>
      </c>
      <c r="G101" s="358" t="n"/>
      <c r="H101" s="368" t="n">
        <v>0</v>
      </c>
      <c r="I101" s="368">
        <f>H101*1.01</f>
        <v/>
      </c>
      <c r="J101" s="368">
        <f>I101*1.01</f>
        <v/>
      </c>
      <c r="K101" s="368">
        <f>J101*1.01</f>
        <v/>
      </c>
      <c r="L101" s="368">
        <f>K101*1.01</f>
        <v/>
      </c>
      <c r="M101" s="368">
        <f>L101*1.01</f>
        <v/>
      </c>
      <c r="N101" s="368">
        <f>M101*1.01</f>
        <v/>
      </c>
      <c r="O101" s="368">
        <f>N101*1.01</f>
        <v/>
      </c>
      <c r="P101" s="368">
        <f>O101*1.01</f>
        <v/>
      </c>
      <c r="Q101" s="368">
        <f>P101*1.01</f>
        <v/>
      </c>
      <c r="R101" s="368">
        <f>Q101*1.01</f>
        <v/>
      </c>
      <c r="S101" s="368">
        <f>R101*1.01</f>
        <v/>
      </c>
      <c r="T101" s="368">
        <f>S101*1.01</f>
        <v/>
      </c>
      <c r="U101" s="368">
        <f>T101*1.01</f>
        <v/>
      </c>
      <c r="V101" s="368">
        <f>U101*1.01</f>
        <v/>
      </c>
      <c r="W101" s="368">
        <f>V101*1.01</f>
        <v/>
      </c>
      <c r="X101" s="368">
        <f>W101*1.01</f>
        <v/>
      </c>
      <c r="Y101" s="368">
        <f>X101*1.01</f>
        <v/>
      </c>
      <c r="Z101" s="368">
        <f>Y101*1.01</f>
        <v/>
      </c>
      <c r="AA101" s="368">
        <f>Z101*1.01</f>
        <v/>
      </c>
      <c r="AB101" s="368">
        <f>AA101*1.01</f>
        <v/>
      </c>
      <c r="AC101" s="368">
        <f>AB101*1.01</f>
        <v/>
      </c>
      <c r="AD101" s="368">
        <f>AC101*1.01</f>
        <v/>
      </c>
      <c r="AE101" s="368">
        <f>AD101*1.01</f>
        <v/>
      </c>
      <c r="AF101" s="368">
        <f>AE101*1.01</f>
        <v/>
      </c>
      <c r="AG101" s="368">
        <f>AF101*1.01</f>
        <v/>
      </c>
      <c r="AH101" s="368">
        <f>AG101*1.01</f>
        <v/>
      </c>
      <c r="AI101" s="368">
        <f>AH101*1.01</f>
        <v/>
      </c>
      <c r="AJ101" s="368">
        <f>AI101*1.01</f>
        <v/>
      </c>
      <c r="AK101" s="368">
        <f>AJ101*1.01</f>
        <v/>
      </c>
      <c r="AL101" s="368">
        <f>AK101*1.01</f>
        <v/>
      </c>
      <c r="AM101" s="368">
        <f>AL101*1.01</f>
        <v/>
      </c>
      <c r="AN101" s="368">
        <f>AM101*1.01</f>
        <v/>
      </c>
      <c r="AO101" s="368">
        <f>AN101*1.01</f>
        <v/>
      </c>
      <c r="AP101" s="368">
        <f>AO101*1.01</f>
        <v/>
      </c>
      <c r="AQ101" s="368">
        <f>AP101*1.01</f>
        <v/>
      </c>
      <c r="AR101" s="368">
        <f>AQ101*1.01</f>
        <v/>
      </c>
      <c r="AS101" s="368">
        <f>AR101*1.01</f>
        <v/>
      </c>
      <c r="AT101" s="368">
        <f>AS101*1.01</f>
        <v/>
      </c>
      <c r="AU101" s="368">
        <f>AT101*1.01</f>
        <v/>
      </c>
      <c r="AV101" s="368">
        <f>AU101*1.01</f>
        <v/>
      </c>
      <c r="AW101" s="368">
        <f>AV101*1.01</f>
        <v/>
      </c>
    </row>
    <row r="102" outlineLevel="1">
      <c r="A102" s="207" t="n"/>
      <c r="B102" s="11" t="inlineStr">
        <is>
          <t>Monthly transactions per account</t>
        </is>
      </c>
      <c r="C102" s="327">
        <f>SUMIF($H$5:$AW$5,C$5,$H102:$AW102)</f>
        <v/>
      </c>
      <c r="D102" s="327">
        <f>SUMIF($H$5:$AW$5,D$5,$H102:$AW102)</f>
        <v/>
      </c>
      <c r="E102" s="327">
        <f>SUMIF($H$5:$AW$5,E$5,$H102:$AW102)</f>
        <v/>
      </c>
      <c r="F102" s="327">
        <f>SUMIF($H$5:$AW$5,F$5,$H102:$AW102)</f>
        <v/>
      </c>
      <c r="G102" s="358" t="n"/>
      <c r="H102" s="368" t="n">
        <v>0</v>
      </c>
      <c r="I102" s="368">
        <f>H102</f>
        <v/>
      </c>
      <c r="J102" s="368">
        <f>I102</f>
        <v/>
      </c>
      <c r="K102" s="368">
        <f>J102</f>
        <v/>
      </c>
      <c r="L102" s="368">
        <f>K102</f>
        <v/>
      </c>
      <c r="M102" s="368">
        <f>L102</f>
        <v/>
      </c>
      <c r="N102" s="368">
        <f>M102</f>
        <v/>
      </c>
      <c r="O102" s="368">
        <f>N102</f>
        <v/>
      </c>
      <c r="P102" s="368">
        <f>O102</f>
        <v/>
      </c>
      <c r="Q102" s="368">
        <f>P102</f>
        <v/>
      </c>
      <c r="R102" s="368">
        <f>Q102</f>
        <v/>
      </c>
      <c r="S102" s="368">
        <f>R102</f>
        <v/>
      </c>
      <c r="T102" s="368">
        <f>S102</f>
        <v/>
      </c>
      <c r="U102" s="368">
        <f>T102</f>
        <v/>
      </c>
      <c r="V102" s="368">
        <f>U102</f>
        <v/>
      </c>
      <c r="W102" s="368">
        <f>V102</f>
        <v/>
      </c>
      <c r="X102" s="368">
        <f>W102</f>
        <v/>
      </c>
      <c r="Y102" s="368">
        <f>X102</f>
        <v/>
      </c>
      <c r="Z102" s="368">
        <f>Y102</f>
        <v/>
      </c>
      <c r="AA102" s="368">
        <f>Z102</f>
        <v/>
      </c>
      <c r="AB102" s="368">
        <f>AA102</f>
        <v/>
      </c>
      <c r="AC102" s="368">
        <f>AB102</f>
        <v/>
      </c>
      <c r="AD102" s="368">
        <f>AC102</f>
        <v/>
      </c>
      <c r="AE102" s="368">
        <f>AD102</f>
        <v/>
      </c>
      <c r="AF102" s="368">
        <f>AE102</f>
        <v/>
      </c>
      <c r="AG102" s="368">
        <f>AF102</f>
        <v/>
      </c>
      <c r="AH102" s="368">
        <f>AG102</f>
        <v/>
      </c>
      <c r="AI102" s="368">
        <f>AH102</f>
        <v/>
      </c>
      <c r="AJ102" s="368">
        <f>AI102</f>
        <v/>
      </c>
      <c r="AK102" s="368">
        <f>AJ102</f>
        <v/>
      </c>
      <c r="AL102" s="368">
        <f>AK102</f>
        <v/>
      </c>
      <c r="AM102" s="368">
        <f>AL102</f>
        <v/>
      </c>
      <c r="AN102" s="368">
        <f>AM102</f>
        <v/>
      </c>
      <c r="AO102" s="368">
        <f>AN102</f>
        <v/>
      </c>
      <c r="AP102" s="368">
        <f>AO102</f>
        <v/>
      </c>
      <c r="AQ102" s="368">
        <f>AP102</f>
        <v/>
      </c>
      <c r="AR102" s="368">
        <f>AQ102</f>
        <v/>
      </c>
      <c r="AS102" s="368">
        <f>AR102</f>
        <v/>
      </c>
      <c r="AT102" s="368">
        <f>AS102</f>
        <v/>
      </c>
      <c r="AU102" s="368">
        <f>AT102</f>
        <v/>
      </c>
      <c r="AV102" s="368">
        <f>AU102</f>
        <v/>
      </c>
      <c r="AW102" s="368">
        <f>AV102</f>
        <v/>
      </c>
    </row>
    <row r="103" outlineLevel="1">
      <c r="A103" s="207" t="n"/>
      <c r="B103" s="11" t="inlineStr">
        <is>
          <t>Total number of transactions</t>
        </is>
      </c>
      <c r="C103" s="418" t="n"/>
      <c r="D103" s="418" t="n"/>
      <c r="E103" s="418" t="n"/>
      <c r="F103" s="418" t="n"/>
      <c r="G103" s="358" t="n"/>
      <c r="H103" s="357">
        <f>H101*H102</f>
        <v/>
      </c>
      <c r="I103" s="357">
        <f>I101*I102</f>
        <v/>
      </c>
      <c r="J103" s="357">
        <f>J101*J102</f>
        <v/>
      </c>
      <c r="K103" s="357">
        <f>K101*K102</f>
        <v/>
      </c>
      <c r="L103" s="357">
        <f>L101*L102</f>
        <v/>
      </c>
      <c r="M103" s="357">
        <f>M101*M102</f>
        <v/>
      </c>
      <c r="N103" s="357">
        <f>N101*N102</f>
        <v/>
      </c>
      <c r="O103" s="357">
        <f>O101*O102</f>
        <v/>
      </c>
      <c r="P103" s="357">
        <f>P101*P102</f>
        <v/>
      </c>
      <c r="Q103" s="357">
        <f>Q101*Q102</f>
        <v/>
      </c>
      <c r="R103" s="357">
        <f>R101*R102</f>
        <v/>
      </c>
      <c r="S103" s="357">
        <f>S101*S102</f>
        <v/>
      </c>
      <c r="T103" s="357">
        <f>T101*T102</f>
        <v/>
      </c>
      <c r="U103" s="357">
        <f>U101*U102</f>
        <v/>
      </c>
      <c r="V103" s="357">
        <f>V101*V102</f>
        <v/>
      </c>
      <c r="W103" s="357">
        <f>W101*W102</f>
        <v/>
      </c>
      <c r="X103" s="357">
        <f>X101*X102</f>
        <v/>
      </c>
      <c r="Y103" s="357">
        <f>Y101*Y102</f>
        <v/>
      </c>
      <c r="Z103" s="357">
        <f>Z101*Z102</f>
        <v/>
      </c>
      <c r="AA103" s="357">
        <f>AA101*AA102</f>
        <v/>
      </c>
      <c r="AB103" s="357">
        <f>AB101*AB102</f>
        <v/>
      </c>
      <c r="AC103" s="357">
        <f>AC101*AC102</f>
        <v/>
      </c>
      <c r="AD103" s="357">
        <f>AD101*AD102</f>
        <v/>
      </c>
      <c r="AE103" s="357">
        <f>AE101*AE102</f>
        <v/>
      </c>
      <c r="AF103" s="357">
        <f>AF101*AF102</f>
        <v/>
      </c>
      <c r="AG103" s="357">
        <f>AG101*AG102</f>
        <v/>
      </c>
      <c r="AH103" s="357">
        <f>AH101*AH102</f>
        <v/>
      </c>
      <c r="AI103" s="357">
        <f>AI101*AI102</f>
        <v/>
      </c>
      <c r="AJ103" s="357">
        <f>AJ101*AJ102</f>
        <v/>
      </c>
      <c r="AK103" s="357">
        <f>AK101*AK102</f>
        <v/>
      </c>
      <c r="AL103" s="357">
        <f>AL101*AL102</f>
        <v/>
      </c>
      <c r="AM103" s="357">
        <f>AM101*AM102</f>
        <v/>
      </c>
      <c r="AN103" s="357">
        <f>AN101*AN102</f>
        <v/>
      </c>
      <c r="AO103" s="357">
        <f>AO101*AO102</f>
        <v/>
      </c>
      <c r="AP103" s="357">
        <f>AP101*AP102</f>
        <v/>
      </c>
      <c r="AQ103" s="357">
        <f>AQ101*AQ102</f>
        <v/>
      </c>
      <c r="AR103" s="357">
        <f>AR101*AR102</f>
        <v/>
      </c>
      <c r="AS103" s="357">
        <f>AS101*AS102</f>
        <v/>
      </c>
      <c r="AT103" s="357">
        <f>AT101*AT102</f>
        <v/>
      </c>
      <c r="AU103" s="357">
        <f>AU101*AU102</f>
        <v/>
      </c>
      <c r="AV103" s="357">
        <f>AV101*AV102</f>
        <v/>
      </c>
      <c r="AW103" s="357">
        <f>AW101*AW102</f>
        <v/>
      </c>
    </row>
    <row r="104" outlineLevel="1">
      <c r="A104" s="207" t="n"/>
      <c r="C104" s="210" t="n"/>
      <c r="D104" s="210" t="n"/>
      <c r="E104" s="210" t="n"/>
      <c r="F104" s="210" t="n"/>
    </row>
    <row r="105" outlineLevel="1">
      <c r="A105" s="207" t="n"/>
      <c r="B105" s="11" t="inlineStr">
        <is>
          <t>Application fee per transaction</t>
        </is>
      </c>
      <c r="C105" s="210" t="n"/>
      <c r="D105" s="210" t="n"/>
      <c r="E105" s="210" t="n"/>
      <c r="F105" s="210" t="n"/>
      <c r="H105" s="368" t="n">
        <v>3</v>
      </c>
      <c r="I105" s="368" t="n">
        <v>3</v>
      </c>
      <c r="J105" s="368" t="n">
        <v>3</v>
      </c>
      <c r="K105" s="368" t="n">
        <v>3</v>
      </c>
      <c r="L105" s="368" t="n">
        <v>3</v>
      </c>
      <c r="M105" s="368" t="n">
        <v>3</v>
      </c>
      <c r="N105" s="368" t="n">
        <v>3</v>
      </c>
      <c r="O105" s="368" t="n">
        <v>3</v>
      </c>
      <c r="P105" s="368" t="n">
        <v>3</v>
      </c>
      <c r="Q105" s="368" t="n">
        <v>3</v>
      </c>
      <c r="R105" s="368" t="n">
        <v>3</v>
      </c>
      <c r="S105" s="368" t="n">
        <v>3</v>
      </c>
      <c r="T105" s="368" t="n">
        <v>3</v>
      </c>
      <c r="U105" s="368" t="n">
        <v>3</v>
      </c>
      <c r="V105" s="368" t="n">
        <v>3</v>
      </c>
      <c r="W105" s="368" t="n">
        <v>3</v>
      </c>
      <c r="X105" s="368" t="n">
        <v>3</v>
      </c>
      <c r="Y105" s="368" t="n">
        <v>3</v>
      </c>
      <c r="Z105" s="368" t="n">
        <v>3</v>
      </c>
      <c r="AA105" s="368" t="n">
        <v>3</v>
      </c>
      <c r="AB105" s="368" t="n">
        <v>3</v>
      </c>
      <c r="AC105" s="368" t="n">
        <v>3</v>
      </c>
      <c r="AD105" s="368" t="n">
        <v>3</v>
      </c>
      <c r="AE105" s="368" t="n">
        <v>3</v>
      </c>
      <c r="AF105" s="368" t="n">
        <v>3</v>
      </c>
      <c r="AG105" s="368" t="n">
        <v>3</v>
      </c>
      <c r="AH105" s="368" t="n">
        <v>3</v>
      </c>
      <c r="AI105" s="368" t="n">
        <v>3</v>
      </c>
      <c r="AJ105" s="368" t="n">
        <v>3</v>
      </c>
      <c r="AK105" s="368" t="n">
        <v>3</v>
      </c>
      <c r="AL105" s="368" t="n">
        <v>3</v>
      </c>
      <c r="AM105" s="368" t="n">
        <v>3</v>
      </c>
      <c r="AN105" s="368" t="n">
        <v>3</v>
      </c>
      <c r="AO105" s="368" t="n">
        <v>3</v>
      </c>
      <c r="AP105" s="368" t="n">
        <v>3</v>
      </c>
      <c r="AQ105" s="368" t="n">
        <v>3</v>
      </c>
      <c r="AR105" s="368" t="n">
        <v>3</v>
      </c>
      <c r="AS105" s="368" t="n">
        <v>3</v>
      </c>
      <c r="AT105" s="368" t="n">
        <v>3</v>
      </c>
      <c r="AU105" s="368" t="n">
        <v>3</v>
      </c>
      <c r="AV105" s="368" t="n">
        <v>3</v>
      </c>
      <c r="AW105" s="368" t="n">
        <v>3</v>
      </c>
    </row>
    <row r="106" outlineLevel="1">
      <c r="A106" s="207" t="n"/>
      <c r="B106" s="11" t="inlineStr">
        <is>
          <t>Monthly fee per transaction</t>
        </is>
      </c>
      <c r="C106" s="210" t="n"/>
      <c r="D106" s="210" t="n"/>
      <c r="E106" s="210" t="n"/>
      <c r="F106" s="210" t="n"/>
      <c r="H106" s="368" t="n">
        <v>2</v>
      </c>
      <c r="I106" s="368" t="n">
        <v>2</v>
      </c>
      <c r="J106" s="368" t="n">
        <v>2</v>
      </c>
      <c r="K106" s="368" t="n">
        <v>2</v>
      </c>
      <c r="L106" s="368" t="n">
        <v>2</v>
      </c>
      <c r="M106" s="368" t="n">
        <v>2</v>
      </c>
      <c r="N106" s="368" t="n">
        <v>2</v>
      </c>
      <c r="O106" s="368" t="n">
        <v>2</v>
      </c>
      <c r="P106" s="368" t="n">
        <v>2</v>
      </c>
      <c r="Q106" s="368" t="n">
        <v>2</v>
      </c>
      <c r="R106" s="368" t="n">
        <v>2</v>
      </c>
      <c r="S106" s="368" t="n">
        <v>2</v>
      </c>
      <c r="T106" s="368" t="n">
        <v>2</v>
      </c>
      <c r="U106" s="368" t="n">
        <v>2</v>
      </c>
      <c r="V106" s="368" t="n">
        <v>2</v>
      </c>
      <c r="W106" s="368" t="n">
        <v>2</v>
      </c>
      <c r="X106" s="368" t="n">
        <v>2</v>
      </c>
      <c r="Y106" s="368" t="n">
        <v>2</v>
      </c>
      <c r="Z106" s="368" t="n">
        <v>2</v>
      </c>
      <c r="AA106" s="368" t="n">
        <v>2</v>
      </c>
      <c r="AB106" s="368" t="n">
        <v>2</v>
      </c>
      <c r="AC106" s="368" t="n">
        <v>2</v>
      </c>
      <c r="AD106" s="368" t="n">
        <v>2</v>
      </c>
      <c r="AE106" s="368" t="n">
        <v>2</v>
      </c>
      <c r="AF106" s="368" t="n">
        <v>2</v>
      </c>
      <c r="AG106" s="368" t="n">
        <v>2</v>
      </c>
      <c r="AH106" s="368" t="n">
        <v>2</v>
      </c>
      <c r="AI106" s="368" t="n">
        <v>2</v>
      </c>
      <c r="AJ106" s="368" t="n">
        <v>2</v>
      </c>
      <c r="AK106" s="368" t="n">
        <v>2</v>
      </c>
      <c r="AL106" s="368" t="n">
        <v>2</v>
      </c>
      <c r="AM106" s="368" t="n">
        <v>2</v>
      </c>
      <c r="AN106" s="368" t="n">
        <v>2</v>
      </c>
      <c r="AO106" s="368" t="n">
        <v>2</v>
      </c>
      <c r="AP106" s="368" t="n">
        <v>2</v>
      </c>
      <c r="AQ106" s="368" t="n">
        <v>2</v>
      </c>
      <c r="AR106" s="368" t="n">
        <v>2</v>
      </c>
      <c r="AS106" s="368" t="n">
        <v>2</v>
      </c>
      <c r="AT106" s="368" t="n">
        <v>2</v>
      </c>
      <c r="AU106" s="368" t="n">
        <v>2</v>
      </c>
      <c r="AV106" s="368" t="n">
        <v>2</v>
      </c>
      <c r="AW106" s="368" t="n">
        <v>2</v>
      </c>
    </row>
    <row r="107" outlineLevel="1">
      <c r="A107" s="207" t="n"/>
      <c r="B107" s="11" t="inlineStr">
        <is>
          <t>Transaction volume % fee</t>
        </is>
      </c>
      <c r="C107" s="210" t="n"/>
      <c r="D107" s="210" t="n"/>
      <c r="E107" s="210" t="n"/>
      <c r="F107" s="210" t="n"/>
      <c r="H107" s="403" t="n">
        <v>0.004</v>
      </c>
      <c r="I107" s="403" t="n">
        <v>0.004</v>
      </c>
      <c r="J107" s="403" t="n">
        <v>0.004</v>
      </c>
      <c r="K107" s="403" t="n">
        <v>0.004</v>
      </c>
      <c r="L107" s="403" t="n">
        <v>0.004</v>
      </c>
      <c r="M107" s="403" t="n">
        <v>0.004</v>
      </c>
      <c r="N107" s="403" t="n">
        <v>0.004</v>
      </c>
      <c r="O107" s="403" t="n">
        <v>0.004</v>
      </c>
      <c r="P107" s="403" t="n">
        <v>0.004</v>
      </c>
      <c r="Q107" s="403" t="n">
        <v>0.004</v>
      </c>
      <c r="R107" s="403" t="n">
        <v>0.004</v>
      </c>
      <c r="S107" s="403" t="n">
        <v>0.004</v>
      </c>
      <c r="T107" s="403" t="n">
        <v>0.004</v>
      </c>
      <c r="U107" s="403" t="n">
        <v>0.004</v>
      </c>
      <c r="V107" s="403" t="n">
        <v>0.004</v>
      </c>
      <c r="W107" s="403" t="n">
        <v>0.004</v>
      </c>
      <c r="X107" s="403" t="n">
        <v>0.004</v>
      </c>
      <c r="Y107" s="403" t="n">
        <v>0.004</v>
      </c>
      <c r="Z107" s="403" t="n">
        <v>0.004</v>
      </c>
      <c r="AA107" s="403" t="n">
        <v>0.004</v>
      </c>
      <c r="AB107" s="403" t="n">
        <v>0.004</v>
      </c>
      <c r="AC107" s="403" t="n">
        <v>0.004</v>
      </c>
      <c r="AD107" s="403" t="n">
        <v>0.004</v>
      </c>
      <c r="AE107" s="403" t="n">
        <v>0.004</v>
      </c>
      <c r="AF107" s="403" t="n">
        <v>0.004</v>
      </c>
      <c r="AG107" s="403" t="n">
        <v>0.004</v>
      </c>
      <c r="AH107" s="403" t="n">
        <v>0.004</v>
      </c>
      <c r="AI107" s="403" t="n">
        <v>0.004</v>
      </c>
      <c r="AJ107" s="403" t="n">
        <v>0.004</v>
      </c>
      <c r="AK107" s="403" t="n">
        <v>0.004</v>
      </c>
      <c r="AL107" s="403" t="n">
        <v>0.004</v>
      </c>
      <c r="AM107" s="403" t="n">
        <v>0.004</v>
      </c>
      <c r="AN107" s="403" t="n">
        <v>0.004</v>
      </c>
      <c r="AO107" s="403" t="n">
        <v>0.004</v>
      </c>
      <c r="AP107" s="403" t="n">
        <v>0.004</v>
      </c>
      <c r="AQ107" s="403" t="n">
        <v>0.004</v>
      </c>
      <c r="AR107" s="403" t="n">
        <v>0.004</v>
      </c>
      <c r="AS107" s="403" t="n">
        <v>0.004</v>
      </c>
      <c r="AT107" s="403" t="n">
        <v>0.004</v>
      </c>
      <c r="AU107" s="403" t="n">
        <v>0.004</v>
      </c>
      <c r="AV107" s="403" t="n">
        <v>0.004</v>
      </c>
      <c r="AW107" s="403" t="n">
        <v>0.004</v>
      </c>
    </row>
    <row r="108" outlineLevel="1">
      <c r="A108" s="207" t="n"/>
      <c r="B108" s="11" t="inlineStr">
        <is>
          <t>Average transaction value</t>
        </is>
      </c>
      <c r="C108" s="210" t="n"/>
      <c r="D108" s="210" t="n"/>
      <c r="E108" s="210" t="n"/>
      <c r="F108" s="210" t="n"/>
      <c r="H108" s="368" t="n">
        <v>200</v>
      </c>
      <c r="I108" s="368" t="n">
        <v>200</v>
      </c>
      <c r="J108" s="368" t="n">
        <v>200</v>
      </c>
      <c r="K108" s="368" t="n">
        <v>200</v>
      </c>
      <c r="L108" s="368" t="n">
        <v>200</v>
      </c>
      <c r="M108" s="368" t="n">
        <v>200</v>
      </c>
      <c r="N108" s="368" t="n">
        <v>200</v>
      </c>
      <c r="O108" s="368" t="n">
        <v>200</v>
      </c>
      <c r="P108" s="368" t="n">
        <v>200</v>
      </c>
      <c r="Q108" s="368" t="n">
        <v>200</v>
      </c>
      <c r="R108" s="368" t="n">
        <v>200</v>
      </c>
      <c r="S108" s="368" t="n">
        <v>200</v>
      </c>
      <c r="T108" s="368" t="n">
        <v>200</v>
      </c>
      <c r="U108" s="368" t="n">
        <v>200</v>
      </c>
      <c r="V108" s="368" t="n">
        <v>200</v>
      </c>
      <c r="W108" s="368" t="n">
        <v>200</v>
      </c>
      <c r="X108" s="368" t="n">
        <v>200</v>
      </c>
      <c r="Y108" s="368" t="n">
        <v>200</v>
      </c>
      <c r="Z108" s="368" t="n">
        <v>200</v>
      </c>
      <c r="AA108" s="368" t="n">
        <v>200</v>
      </c>
      <c r="AB108" s="368" t="n">
        <v>200</v>
      </c>
      <c r="AC108" s="368" t="n">
        <v>200</v>
      </c>
      <c r="AD108" s="368" t="n">
        <v>200</v>
      </c>
      <c r="AE108" s="368" t="n">
        <v>200</v>
      </c>
      <c r="AF108" s="368" t="n">
        <v>200</v>
      </c>
      <c r="AG108" s="368" t="n">
        <v>200</v>
      </c>
      <c r="AH108" s="368" t="n">
        <v>200</v>
      </c>
      <c r="AI108" s="368" t="n">
        <v>200</v>
      </c>
      <c r="AJ108" s="368" t="n">
        <v>200</v>
      </c>
      <c r="AK108" s="368" t="n">
        <v>200</v>
      </c>
      <c r="AL108" s="368" t="n">
        <v>200</v>
      </c>
      <c r="AM108" s="368" t="n">
        <v>200</v>
      </c>
      <c r="AN108" s="368" t="n">
        <v>200</v>
      </c>
      <c r="AO108" s="368" t="n">
        <v>200</v>
      </c>
      <c r="AP108" s="368" t="n">
        <v>200</v>
      </c>
      <c r="AQ108" s="368" t="n">
        <v>200</v>
      </c>
      <c r="AR108" s="368" t="n">
        <v>200</v>
      </c>
      <c r="AS108" s="368" t="n">
        <v>200</v>
      </c>
      <c r="AT108" s="368" t="n">
        <v>200</v>
      </c>
      <c r="AU108" s="368" t="n">
        <v>200</v>
      </c>
      <c r="AV108" s="368" t="n">
        <v>200</v>
      </c>
      <c r="AW108" s="368" t="n">
        <v>200</v>
      </c>
    </row>
    <row r="109" outlineLevel="1">
      <c r="A109" s="207" t="n"/>
      <c r="B109" s="11" t="inlineStr">
        <is>
          <t>Account maintenance fee per month</t>
        </is>
      </c>
      <c r="C109" s="210" t="n"/>
      <c r="D109" s="210" t="n"/>
      <c r="E109" s="210" t="n"/>
      <c r="F109" s="210" t="n"/>
      <c r="H109" s="368" t="n">
        <v>5</v>
      </c>
      <c r="I109" s="368" t="n">
        <v>5</v>
      </c>
      <c r="J109" s="368" t="n">
        <v>5</v>
      </c>
      <c r="K109" s="368" t="n">
        <v>5</v>
      </c>
      <c r="L109" s="368" t="n">
        <v>5</v>
      </c>
      <c r="M109" s="368" t="n">
        <v>5</v>
      </c>
      <c r="N109" s="368" t="n">
        <v>5</v>
      </c>
      <c r="O109" s="368" t="n">
        <v>5</v>
      </c>
      <c r="P109" s="368" t="n">
        <v>5</v>
      </c>
      <c r="Q109" s="368" t="n">
        <v>5</v>
      </c>
      <c r="R109" s="368" t="n">
        <v>5</v>
      </c>
      <c r="S109" s="368" t="n">
        <v>5</v>
      </c>
      <c r="T109" s="368" t="n">
        <v>5</v>
      </c>
      <c r="U109" s="368" t="n">
        <v>5</v>
      </c>
      <c r="V109" s="368" t="n">
        <v>5</v>
      </c>
      <c r="W109" s="368" t="n">
        <v>5</v>
      </c>
      <c r="X109" s="368" t="n">
        <v>5</v>
      </c>
      <c r="Y109" s="368" t="n">
        <v>5</v>
      </c>
      <c r="Z109" s="368" t="n">
        <v>5</v>
      </c>
      <c r="AA109" s="368" t="n">
        <v>5</v>
      </c>
      <c r="AB109" s="368" t="n">
        <v>5</v>
      </c>
      <c r="AC109" s="368" t="n">
        <v>5</v>
      </c>
      <c r="AD109" s="368" t="n">
        <v>5</v>
      </c>
      <c r="AE109" s="368" t="n">
        <v>5</v>
      </c>
      <c r="AF109" s="368" t="n">
        <v>5</v>
      </c>
      <c r="AG109" s="368" t="n">
        <v>5</v>
      </c>
      <c r="AH109" s="368" t="n">
        <v>5</v>
      </c>
      <c r="AI109" s="368" t="n">
        <v>5</v>
      </c>
      <c r="AJ109" s="368" t="n">
        <v>5</v>
      </c>
      <c r="AK109" s="368" t="n">
        <v>5</v>
      </c>
      <c r="AL109" s="368" t="n">
        <v>5</v>
      </c>
      <c r="AM109" s="368" t="n">
        <v>5</v>
      </c>
      <c r="AN109" s="368" t="n">
        <v>5</v>
      </c>
      <c r="AO109" s="368" t="n">
        <v>5</v>
      </c>
      <c r="AP109" s="368" t="n">
        <v>5</v>
      </c>
      <c r="AQ109" s="368" t="n">
        <v>5</v>
      </c>
      <c r="AR109" s="368" t="n">
        <v>5</v>
      </c>
      <c r="AS109" s="368" t="n">
        <v>5</v>
      </c>
      <c r="AT109" s="368" t="n">
        <v>5</v>
      </c>
      <c r="AU109" s="368" t="n">
        <v>5</v>
      </c>
      <c r="AV109" s="368" t="n">
        <v>5</v>
      </c>
      <c r="AW109" s="368" t="n">
        <v>5</v>
      </c>
    </row>
    <row r="110" outlineLevel="1">
      <c r="A110" s="207" t="n"/>
      <c r="B110" s="11" t="inlineStr">
        <is>
          <t>Total transaction value</t>
        </is>
      </c>
      <c r="C110" s="210" t="n"/>
      <c r="D110" s="210" t="n"/>
      <c r="E110" s="210" t="n"/>
      <c r="F110" s="210" t="n"/>
      <c r="H110" s="357">
        <f>H108*H103</f>
        <v/>
      </c>
      <c r="I110" s="357">
        <f>I108*I103</f>
        <v/>
      </c>
      <c r="J110" s="357">
        <f>J108*J103</f>
        <v/>
      </c>
      <c r="K110" s="357">
        <f>K108*K103</f>
        <v/>
      </c>
      <c r="L110" s="357">
        <f>L108*L103</f>
        <v/>
      </c>
      <c r="M110" s="357">
        <f>M108*M103</f>
        <v/>
      </c>
      <c r="N110" s="357">
        <f>N108*N103</f>
        <v/>
      </c>
      <c r="O110" s="357">
        <f>O108*O103</f>
        <v/>
      </c>
      <c r="P110" s="357">
        <f>P108*P103</f>
        <v/>
      </c>
      <c r="Q110" s="357">
        <f>Q108*Q103</f>
        <v/>
      </c>
      <c r="R110" s="357">
        <f>R108*R103</f>
        <v/>
      </c>
      <c r="S110" s="357">
        <f>S108*S103</f>
        <v/>
      </c>
      <c r="T110" s="357">
        <f>T108*T103</f>
        <v/>
      </c>
      <c r="U110" s="357">
        <f>U108*U103</f>
        <v/>
      </c>
      <c r="V110" s="357">
        <f>V108*V103</f>
        <v/>
      </c>
      <c r="W110" s="357">
        <f>W108*W103</f>
        <v/>
      </c>
      <c r="X110" s="357">
        <f>X108*X103</f>
        <v/>
      </c>
      <c r="Y110" s="357">
        <f>Y108*Y103</f>
        <v/>
      </c>
      <c r="Z110" s="357">
        <f>Z108*Z103</f>
        <v/>
      </c>
      <c r="AA110" s="357">
        <f>AA108*AA103</f>
        <v/>
      </c>
      <c r="AB110" s="357">
        <f>AB108*AB103</f>
        <v/>
      </c>
      <c r="AC110" s="357">
        <f>AC108*AC103</f>
        <v/>
      </c>
      <c r="AD110" s="357">
        <f>AD108*AD103</f>
        <v/>
      </c>
      <c r="AE110" s="357">
        <f>AE108*AE103</f>
        <v/>
      </c>
      <c r="AF110" s="357">
        <f>AF108*AF103</f>
        <v/>
      </c>
      <c r="AG110" s="357">
        <f>AG108*AG103</f>
        <v/>
      </c>
      <c r="AH110" s="357">
        <f>AH108*AH103</f>
        <v/>
      </c>
      <c r="AI110" s="357">
        <f>AI108*AI103</f>
        <v/>
      </c>
      <c r="AJ110" s="357">
        <f>AJ108*AJ103</f>
        <v/>
      </c>
      <c r="AK110" s="357">
        <f>AK108*AK103</f>
        <v/>
      </c>
      <c r="AL110" s="357">
        <f>AL108*AL103</f>
        <v/>
      </c>
      <c r="AM110" s="357">
        <f>AM108*AM103</f>
        <v/>
      </c>
      <c r="AN110" s="357">
        <f>AN108*AN103</f>
        <v/>
      </c>
      <c r="AO110" s="357">
        <f>AO108*AO103</f>
        <v/>
      </c>
      <c r="AP110" s="357">
        <f>AP108*AP103</f>
        <v/>
      </c>
      <c r="AQ110" s="357">
        <f>AQ108*AQ103</f>
        <v/>
      </c>
      <c r="AR110" s="357">
        <f>AR108*AR103</f>
        <v/>
      </c>
      <c r="AS110" s="357">
        <f>AS108*AS103</f>
        <v/>
      </c>
      <c r="AT110" s="357">
        <f>AT108*AT103</f>
        <v/>
      </c>
      <c r="AU110" s="357">
        <f>AU108*AU103</f>
        <v/>
      </c>
      <c r="AV110" s="357">
        <f>AV108*AV103</f>
        <v/>
      </c>
      <c r="AW110" s="357">
        <f>AW108*AW103</f>
        <v/>
      </c>
    </row>
    <row r="111" outlineLevel="1">
      <c r="A111" s="207" t="n"/>
      <c r="C111" s="210" t="n"/>
      <c r="D111" s="210" t="n"/>
      <c r="E111" s="210" t="n"/>
      <c r="F111" s="210" t="n"/>
    </row>
    <row r="112" outlineLevel="1" customFormat="1" s="2">
      <c r="A112" s="299" t="n"/>
      <c r="B112" s="128" t="inlineStr">
        <is>
          <t>Application fee revs</t>
        </is>
      </c>
      <c r="C112" s="415">
        <f>SUMIF($H$5:$AW$5,C$5,$H112:$AW112)</f>
        <v/>
      </c>
      <c r="D112" s="415">
        <f>SUMIF($H$5:$AW$5,D$5,$H112:$AW112)</f>
        <v/>
      </c>
      <c r="E112" s="415">
        <f>SUMIF($H$5:$AW$5,E$5,$H112:$AW112)</f>
        <v/>
      </c>
      <c r="F112" s="415">
        <f>SUMIF($H$5:$AW$5,F$5,$H112:$AW112)</f>
        <v/>
      </c>
      <c r="G112" s="360" t="n"/>
      <c r="H112" s="365">
        <f>H105*H103</f>
        <v/>
      </c>
      <c r="I112" s="365">
        <f>I105*I103</f>
        <v/>
      </c>
      <c r="J112" s="365">
        <f>J105*J103</f>
        <v/>
      </c>
      <c r="K112" s="365">
        <f>K105*K103</f>
        <v/>
      </c>
      <c r="L112" s="365">
        <f>L105*L103</f>
        <v/>
      </c>
      <c r="M112" s="365">
        <f>M105*M103</f>
        <v/>
      </c>
      <c r="N112" s="365">
        <f>N105*N103</f>
        <v/>
      </c>
      <c r="O112" s="365">
        <f>O105*O103</f>
        <v/>
      </c>
      <c r="P112" s="365">
        <f>P105*P103</f>
        <v/>
      </c>
      <c r="Q112" s="365">
        <f>Q105*Q103</f>
        <v/>
      </c>
      <c r="R112" s="365">
        <f>R105*R103</f>
        <v/>
      </c>
      <c r="S112" s="365">
        <f>S105*S103</f>
        <v/>
      </c>
      <c r="T112" s="365">
        <f>T105*T103</f>
        <v/>
      </c>
      <c r="U112" s="365">
        <f>U105*U103</f>
        <v/>
      </c>
      <c r="V112" s="365">
        <f>V105*V103</f>
        <v/>
      </c>
      <c r="W112" s="365">
        <f>W105*W103</f>
        <v/>
      </c>
      <c r="X112" s="365">
        <f>X105*X103</f>
        <v/>
      </c>
      <c r="Y112" s="365">
        <f>Y105*Y103</f>
        <v/>
      </c>
      <c r="Z112" s="365">
        <f>Z105*Z103</f>
        <v/>
      </c>
      <c r="AA112" s="365">
        <f>AA105*AA103</f>
        <v/>
      </c>
      <c r="AB112" s="365">
        <f>AB105*AB103</f>
        <v/>
      </c>
      <c r="AC112" s="365">
        <f>AC105*AC103</f>
        <v/>
      </c>
      <c r="AD112" s="365">
        <f>AD105*AD103</f>
        <v/>
      </c>
      <c r="AE112" s="365">
        <f>AE105*AE103</f>
        <v/>
      </c>
      <c r="AF112" s="365">
        <f>AF105*AF103</f>
        <v/>
      </c>
      <c r="AG112" s="365">
        <f>AG105*AG103</f>
        <v/>
      </c>
      <c r="AH112" s="365">
        <f>AH105*AH103</f>
        <v/>
      </c>
      <c r="AI112" s="365">
        <f>AI105*AI103</f>
        <v/>
      </c>
      <c r="AJ112" s="365">
        <f>AJ105*AJ103</f>
        <v/>
      </c>
      <c r="AK112" s="365">
        <f>AK105*AK103</f>
        <v/>
      </c>
      <c r="AL112" s="365">
        <f>AL105*AL103</f>
        <v/>
      </c>
      <c r="AM112" s="365">
        <f>AM105*AM103</f>
        <v/>
      </c>
      <c r="AN112" s="365">
        <f>AN105*AN103</f>
        <v/>
      </c>
      <c r="AO112" s="365">
        <f>AO105*AO103</f>
        <v/>
      </c>
      <c r="AP112" s="365">
        <f>AP105*AP103</f>
        <v/>
      </c>
      <c r="AQ112" s="365">
        <f>AQ105*AQ103</f>
        <v/>
      </c>
      <c r="AR112" s="365">
        <f>AR105*AR103</f>
        <v/>
      </c>
      <c r="AS112" s="365">
        <f>AS105*AS103</f>
        <v/>
      </c>
      <c r="AT112" s="365">
        <f>AT105*AT103</f>
        <v/>
      </c>
      <c r="AU112" s="365">
        <f>AU105*AU103</f>
        <v/>
      </c>
      <c r="AV112" s="365">
        <f>AV105*AV103</f>
        <v/>
      </c>
      <c r="AW112" s="365">
        <f>AW105*AW103</f>
        <v/>
      </c>
    </row>
    <row r="113" outlineLevel="1" customFormat="1" s="2">
      <c r="A113" s="299" t="n"/>
      <c r="B113" s="184" t="inlineStr">
        <is>
          <t>Monthly fee revs</t>
        </is>
      </c>
      <c r="C113" s="416">
        <f>SUMIF($H$5:$AW$5,C$5,$H113:$AW113)</f>
        <v/>
      </c>
      <c r="D113" s="416">
        <f>SUMIF($H$5:$AW$5,D$5,$H113:$AW113)</f>
        <v/>
      </c>
      <c r="E113" s="416">
        <f>SUMIF($H$5:$AW$5,E$5,$H113:$AW113)</f>
        <v/>
      </c>
      <c r="F113" s="416">
        <f>SUMIF($H$5:$AW$5,F$5,$H113:$AW113)</f>
        <v/>
      </c>
      <c r="G113" s="360" t="n"/>
      <c r="H113" s="417">
        <f>H106*H103</f>
        <v/>
      </c>
      <c r="I113" s="417">
        <f>I106*I103</f>
        <v/>
      </c>
      <c r="J113" s="417">
        <f>J106*J103</f>
        <v/>
      </c>
      <c r="K113" s="417">
        <f>K106*K103</f>
        <v/>
      </c>
      <c r="L113" s="417">
        <f>L106*L103</f>
        <v/>
      </c>
      <c r="M113" s="417">
        <f>M106*M103</f>
        <v/>
      </c>
      <c r="N113" s="417">
        <f>N106*N103</f>
        <v/>
      </c>
      <c r="O113" s="417">
        <f>O106*O103</f>
        <v/>
      </c>
      <c r="P113" s="417">
        <f>P106*P103</f>
        <v/>
      </c>
      <c r="Q113" s="417">
        <f>Q106*Q103</f>
        <v/>
      </c>
      <c r="R113" s="417">
        <f>R106*R103</f>
        <v/>
      </c>
      <c r="S113" s="417">
        <f>S106*S103</f>
        <v/>
      </c>
      <c r="T113" s="417">
        <f>T106*T103</f>
        <v/>
      </c>
      <c r="U113" s="417">
        <f>U106*U103</f>
        <v/>
      </c>
      <c r="V113" s="417">
        <f>V106*V103</f>
        <v/>
      </c>
      <c r="W113" s="417">
        <f>W106*W103</f>
        <v/>
      </c>
      <c r="X113" s="417">
        <f>X106*X103</f>
        <v/>
      </c>
      <c r="Y113" s="417">
        <f>Y106*Y103</f>
        <v/>
      </c>
      <c r="Z113" s="417">
        <f>Z106*Z103</f>
        <v/>
      </c>
      <c r="AA113" s="417">
        <f>AA106*AA103</f>
        <v/>
      </c>
      <c r="AB113" s="417">
        <f>AB106*AB103</f>
        <v/>
      </c>
      <c r="AC113" s="417">
        <f>AC106*AC103</f>
        <v/>
      </c>
      <c r="AD113" s="417">
        <f>AD106*AD103</f>
        <v/>
      </c>
      <c r="AE113" s="417">
        <f>AE106*AE103</f>
        <v/>
      </c>
      <c r="AF113" s="417">
        <f>AF106*AF103</f>
        <v/>
      </c>
      <c r="AG113" s="417">
        <f>AG106*AG103</f>
        <v/>
      </c>
      <c r="AH113" s="417">
        <f>AH106*AH103</f>
        <v/>
      </c>
      <c r="AI113" s="417">
        <f>AI106*AI103</f>
        <v/>
      </c>
      <c r="AJ113" s="417">
        <f>AJ106*AJ103</f>
        <v/>
      </c>
      <c r="AK113" s="417">
        <f>AK106*AK103</f>
        <v/>
      </c>
      <c r="AL113" s="417">
        <f>AL106*AL103</f>
        <v/>
      </c>
      <c r="AM113" s="417">
        <f>AM106*AM103</f>
        <v/>
      </c>
      <c r="AN113" s="417">
        <f>AN106*AN103</f>
        <v/>
      </c>
      <c r="AO113" s="417">
        <f>AO106*AO103</f>
        <v/>
      </c>
      <c r="AP113" s="417">
        <f>AP106*AP103</f>
        <v/>
      </c>
      <c r="AQ113" s="417">
        <f>AQ106*AQ103</f>
        <v/>
      </c>
      <c r="AR113" s="417">
        <f>AR106*AR103</f>
        <v/>
      </c>
      <c r="AS113" s="417">
        <f>AS106*AS103</f>
        <v/>
      </c>
      <c r="AT113" s="417">
        <f>AT106*AT103</f>
        <v/>
      </c>
      <c r="AU113" s="417">
        <f>AU106*AU103</f>
        <v/>
      </c>
      <c r="AV113" s="417">
        <f>AV106*AV103</f>
        <v/>
      </c>
      <c r="AW113" s="417">
        <f>AW106*AW103</f>
        <v/>
      </c>
    </row>
    <row r="114" outlineLevel="1" customFormat="1" s="2">
      <c r="A114" s="299" t="n"/>
      <c r="B114" s="128" t="inlineStr">
        <is>
          <t>Transaction volume fee</t>
        </is>
      </c>
      <c r="C114" s="415">
        <f>SUMIF($H$5:$AW$5,C$5,$H114:$AW114)</f>
        <v/>
      </c>
      <c r="D114" s="415">
        <f>SUMIF($H$5:$AW$5,D$5,$H114:$AW114)</f>
        <v/>
      </c>
      <c r="E114" s="415">
        <f>SUMIF($H$5:$AW$5,E$5,$H114:$AW114)</f>
        <v/>
      </c>
      <c r="F114" s="415">
        <f>SUMIF($H$5:$AW$5,F$5,$H114:$AW114)</f>
        <v/>
      </c>
      <c r="G114" s="360" t="n"/>
      <c r="H114" s="365">
        <f>H107*H110</f>
        <v/>
      </c>
      <c r="I114" s="365">
        <f>I107*I110</f>
        <v/>
      </c>
      <c r="J114" s="365">
        <f>J107*J110</f>
        <v/>
      </c>
      <c r="K114" s="365">
        <f>K107*K110</f>
        <v/>
      </c>
      <c r="L114" s="365">
        <f>L107*L110</f>
        <v/>
      </c>
      <c r="M114" s="365">
        <f>M107*M110</f>
        <v/>
      </c>
      <c r="N114" s="365">
        <f>N107*N110</f>
        <v/>
      </c>
      <c r="O114" s="365">
        <f>O107*O110</f>
        <v/>
      </c>
      <c r="P114" s="365">
        <f>P107*P110</f>
        <v/>
      </c>
      <c r="Q114" s="365">
        <f>Q107*Q110</f>
        <v/>
      </c>
      <c r="R114" s="365">
        <f>R107*R110</f>
        <v/>
      </c>
      <c r="S114" s="365">
        <f>S107*S110</f>
        <v/>
      </c>
      <c r="T114" s="365">
        <f>T107*T110</f>
        <v/>
      </c>
      <c r="U114" s="365">
        <f>U107*U110</f>
        <v/>
      </c>
      <c r="V114" s="365">
        <f>V107*V110</f>
        <v/>
      </c>
      <c r="W114" s="365">
        <f>W107*W110</f>
        <v/>
      </c>
      <c r="X114" s="365">
        <f>X107*X110</f>
        <v/>
      </c>
      <c r="Y114" s="365">
        <f>Y107*Y110</f>
        <v/>
      </c>
      <c r="Z114" s="365">
        <f>Z107*Z110</f>
        <v/>
      </c>
      <c r="AA114" s="365">
        <f>AA107*AA110</f>
        <v/>
      </c>
      <c r="AB114" s="365">
        <f>AB107*AB110</f>
        <v/>
      </c>
      <c r="AC114" s="365">
        <f>AC107*AC110</f>
        <v/>
      </c>
      <c r="AD114" s="365">
        <f>AD107*AD110</f>
        <v/>
      </c>
      <c r="AE114" s="365">
        <f>AE107*AE110</f>
        <v/>
      </c>
      <c r="AF114" s="365">
        <f>AF107*AF110</f>
        <v/>
      </c>
      <c r="AG114" s="365">
        <f>AG107*AG110</f>
        <v/>
      </c>
      <c r="AH114" s="365">
        <f>AH107*AH110</f>
        <v/>
      </c>
      <c r="AI114" s="365">
        <f>AI107*AI110</f>
        <v/>
      </c>
      <c r="AJ114" s="365">
        <f>AJ107*AJ110</f>
        <v/>
      </c>
      <c r="AK114" s="365">
        <f>AK107*AK110</f>
        <v/>
      </c>
      <c r="AL114" s="365">
        <f>AL107*AL110</f>
        <v/>
      </c>
      <c r="AM114" s="365">
        <f>AM107*AM110</f>
        <v/>
      </c>
      <c r="AN114" s="365">
        <f>AN107*AN110</f>
        <v/>
      </c>
      <c r="AO114" s="365">
        <f>AO107*AO110</f>
        <v/>
      </c>
      <c r="AP114" s="365">
        <f>AP107*AP110</f>
        <v/>
      </c>
      <c r="AQ114" s="365">
        <f>AQ107*AQ110</f>
        <v/>
      </c>
      <c r="AR114" s="365">
        <f>AR107*AR110</f>
        <v/>
      </c>
      <c r="AS114" s="365">
        <f>AS107*AS110</f>
        <v/>
      </c>
      <c r="AT114" s="365">
        <f>AT107*AT110</f>
        <v/>
      </c>
      <c r="AU114" s="365">
        <f>AU107*AU110</f>
        <v/>
      </c>
      <c r="AV114" s="365">
        <f>AV107*AV110</f>
        <v/>
      </c>
      <c r="AW114" s="365">
        <f>AW107*AW110</f>
        <v/>
      </c>
    </row>
    <row r="115" outlineLevel="1" customFormat="1" s="2">
      <c r="A115" s="299" t="n"/>
      <c r="B115" s="128" t="inlineStr">
        <is>
          <t>Account maintenance fee</t>
        </is>
      </c>
      <c r="C115" s="415">
        <f>SUMIF($H$5:$AW$5,C$5,$H115:$AW115)</f>
        <v/>
      </c>
      <c r="D115" s="415">
        <f>SUMIF($H$5:$AW$5,D$5,$H115:$AW115)</f>
        <v/>
      </c>
      <c r="E115" s="415">
        <f>SUMIF($H$5:$AW$5,E$5,$H115:$AW115)</f>
        <v/>
      </c>
      <c r="F115" s="415">
        <f>SUMIF($H$5:$AW$5,F$5,$H115:$AW115)</f>
        <v/>
      </c>
      <c r="G115" s="360" t="n"/>
      <c r="H115" s="365">
        <f>H101*H109</f>
        <v/>
      </c>
      <c r="I115" s="365">
        <f>I101*I109</f>
        <v/>
      </c>
      <c r="J115" s="365">
        <f>J101*J109</f>
        <v/>
      </c>
      <c r="K115" s="365">
        <f>K101*K109</f>
        <v/>
      </c>
      <c r="L115" s="365">
        <f>L101*L109</f>
        <v/>
      </c>
      <c r="M115" s="365">
        <f>M101*M109</f>
        <v/>
      </c>
      <c r="N115" s="365">
        <f>N101*N109</f>
        <v/>
      </c>
      <c r="O115" s="365">
        <f>O101*O109</f>
        <v/>
      </c>
      <c r="P115" s="365">
        <f>P101*P109</f>
        <v/>
      </c>
      <c r="Q115" s="365">
        <f>Q101*Q109</f>
        <v/>
      </c>
      <c r="R115" s="365">
        <f>R101*R109</f>
        <v/>
      </c>
      <c r="S115" s="365">
        <f>S101*S109</f>
        <v/>
      </c>
      <c r="T115" s="365">
        <f>T101*T109</f>
        <v/>
      </c>
      <c r="U115" s="365">
        <f>U101*U109</f>
        <v/>
      </c>
      <c r="V115" s="365">
        <f>V101*V109</f>
        <v/>
      </c>
      <c r="W115" s="365">
        <f>W101*W109</f>
        <v/>
      </c>
      <c r="X115" s="365">
        <f>X101*X109</f>
        <v/>
      </c>
      <c r="Y115" s="365">
        <f>Y101*Y109</f>
        <v/>
      </c>
      <c r="Z115" s="365">
        <f>Z101*Z109</f>
        <v/>
      </c>
      <c r="AA115" s="365">
        <f>AA101*AA109</f>
        <v/>
      </c>
      <c r="AB115" s="365">
        <f>AB101*AB109</f>
        <v/>
      </c>
      <c r="AC115" s="365">
        <f>AC101*AC109</f>
        <v/>
      </c>
      <c r="AD115" s="365">
        <f>AD101*AD109</f>
        <v/>
      </c>
      <c r="AE115" s="365">
        <f>AE101*AE109</f>
        <v/>
      </c>
      <c r="AF115" s="365">
        <f>AF101*AF109</f>
        <v/>
      </c>
      <c r="AG115" s="365">
        <f>AG101*AG109</f>
        <v/>
      </c>
      <c r="AH115" s="365">
        <f>AH101*AH109</f>
        <v/>
      </c>
      <c r="AI115" s="365">
        <f>AI101*AI109</f>
        <v/>
      </c>
      <c r="AJ115" s="365">
        <f>AJ101*AJ109</f>
        <v/>
      </c>
      <c r="AK115" s="365">
        <f>AK101*AK109</f>
        <v/>
      </c>
      <c r="AL115" s="365">
        <f>AL101*AL109</f>
        <v/>
      </c>
      <c r="AM115" s="365">
        <f>AM101*AM109</f>
        <v/>
      </c>
      <c r="AN115" s="365">
        <f>AN101*AN109</f>
        <v/>
      </c>
      <c r="AO115" s="365">
        <f>AO101*AO109</f>
        <v/>
      </c>
      <c r="AP115" s="365">
        <f>AP101*AP109</f>
        <v/>
      </c>
      <c r="AQ115" s="365">
        <f>AQ101*AQ109</f>
        <v/>
      </c>
      <c r="AR115" s="365">
        <f>AR101*AR109</f>
        <v/>
      </c>
      <c r="AS115" s="365">
        <f>AS101*AS109</f>
        <v/>
      </c>
      <c r="AT115" s="365">
        <f>AT101*AT109</f>
        <v/>
      </c>
      <c r="AU115" s="365">
        <f>AU101*AU109</f>
        <v/>
      </c>
      <c r="AV115" s="365">
        <f>AV101*AV109</f>
        <v/>
      </c>
      <c r="AW115" s="365">
        <f>AW101*AW109</f>
        <v/>
      </c>
    </row>
    <row r="116" outlineLevel="1">
      <c r="A116" s="207" t="n"/>
      <c r="C116" s="210" t="n"/>
      <c r="D116" s="210" t="n"/>
      <c r="E116" s="210" t="n"/>
      <c r="F116" s="210" t="n"/>
    </row>
    <row r="117" outlineLevel="1" collapsed="1">
      <c r="A117" s="207" t="n"/>
      <c r="B117" s="149" t="inlineStr">
        <is>
          <t>Transaction based (payments) - B2B2C</t>
        </is>
      </c>
      <c r="C117" s="208" t="n"/>
      <c r="D117" s="208" t="n"/>
      <c r="E117" s="208" t="n"/>
      <c r="F117" s="208" t="n"/>
      <c r="G117" s="202" t="n"/>
      <c r="H117" s="209" t="n"/>
      <c r="I117" s="209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09" t="n"/>
      <c r="T117" s="209" t="n"/>
      <c r="U117" s="209" t="n"/>
      <c r="V117" s="209" t="n"/>
      <c r="W117" s="209" t="n"/>
      <c r="X117" s="209" t="n"/>
      <c r="Y117" s="209" t="n"/>
      <c r="Z117" s="209" t="n"/>
      <c r="AA117" s="209" t="n"/>
      <c r="AB117" s="209" t="n"/>
      <c r="AC117" s="209" t="n"/>
      <c r="AD117" s="209" t="n"/>
      <c r="AE117" s="209" t="n"/>
      <c r="AF117" s="209" t="n"/>
      <c r="AG117" s="209" t="n"/>
      <c r="AH117" s="209" t="n"/>
      <c r="AI117" s="209" t="n"/>
      <c r="AJ117" s="209" t="n"/>
      <c r="AK117" s="209" t="n"/>
      <c r="AL117" s="209" t="n"/>
      <c r="AM117" s="209" t="n"/>
      <c r="AN117" s="209" t="n"/>
      <c r="AO117" s="209" t="n"/>
      <c r="AP117" s="209" t="n"/>
      <c r="AQ117" s="209" t="n"/>
      <c r="AR117" s="209" t="n"/>
      <c r="AS117" s="209" t="n"/>
      <c r="AT117" s="209" t="n"/>
      <c r="AU117" s="209" t="n"/>
      <c r="AV117" s="209" t="n"/>
      <c r="AW117" s="209" t="n"/>
    </row>
    <row r="118" outlineLevel="1">
      <c r="A118" s="207" t="n"/>
      <c r="C118" s="210" t="n"/>
      <c r="D118" s="210" t="n"/>
      <c r="E118" s="210" t="n"/>
      <c r="F118" s="210" t="n"/>
    </row>
    <row r="119" outlineLevel="1">
      <c r="A119" s="207" t="n"/>
      <c r="B119" s="11" t="inlineStr">
        <is>
          <t>Number of users</t>
        </is>
      </c>
      <c r="C119" s="327">
        <f>SUMIF($H$5:$AW$5,C$5,$H119:$AW119)</f>
        <v/>
      </c>
      <c r="D119" s="327">
        <f>SUMIF($H$5:$AW$5,D$5,$H119:$AW119)</f>
        <v/>
      </c>
      <c r="E119" s="327">
        <f>SUMIF($H$5:$AW$5,E$5,$H119:$AW119)</f>
        <v/>
      </c>
      <c r="F119" s="327">
        <f>SUMIF($H$5:$AW$5,F$5,$H119:$AW119)</f>
        <v/>
      </c>
      <c r="G119" s="358" t="n"/>
      <c r="H119" s="368" t="n">
        <v>0</v>
      </c>
      <c r="I119" s="368">
        <f>H119*1.01</f>
        <v/>
      </c>
      <c r="J119" s="368">
        <f>I119*1.01</f>
        <v/>
      </c>
      <c r="K119" s="368">
        <f>J119*1.01</f>
        <v/>
      </c>
      <c r="L119" s="368">
        <f>K119*1.01</f>
        <v/>
      </c>
      <c r="M119" s="368">
        <f>L119*1.01</f>
        <v/>
      </c>
      <c r="N119" s="368">
        <f>M119*1.01</f>
        <v/>
      </c>
      <c r="O119" s="368">
        <f>N119*1.01</f>
        <v/>
      </c>
      <c r="P119" s="368">
        <f>O119*1.01</f>
        <v/>
      </c>
      <c r="Q119" s="368">
        <f>P119*1.01</f>
        <v/>
      </c>
      <c r="R119" s="368">
        <f>Q119*1.01</f>
        <v/>
      </c>
      <c r="S119" s="368">
        <f>R119*1.01</f>
        <v/>
      </c>
      <c r="T119" s="368">
        <f>S119*1.01</f>
        <v/>
      </c>
      <c r="U119" s="368">
        <f>T119*1.01</f>
        <v/>
      </c>
      <c r="V119" s="368">
        <f>U119*1.01</f>
        <v/>
      </c>
      <c r="W119" s="368">
        <f>V119*1.01</f>
        <v/>
      </c>
      <c r="X119" s="368">
        <f>W119*1.01</f>
        <v/>
      </c>
      <c r="Y119" s="368">
        <f>X119*1.01</f>
        <v/>
      </c>
      <c r="Z119" s="368">
        <f>Y119*1.01</f>
        <v/>
      </c>
      <c r="AA119" s="368">
        <f>Z119*1.01</f>
        <v/>
      </c>
      <c r="AB119" s="368">
        <f>AA119*1.01</f>
        <v/>
      </c>
      <c r="AC119" s="368">
        <f>AB119*1.01</f>
        <v/>
      </c>
      <c r="AD119" s="368">
        <f>AC119*1.01</f>
        <v/>
      </c>
      <c r="AE119" s="368">
        <f>AD119*1.01</f>
        <v/>
      </c>
      <c r="AF119" s="368">
        <f>AE119*1.01</f>
        <v/>
      </c>
      <c r="AG119" s="368">
        <f>AF119*1.01</f>
        <v/>
      </c>
      <c r="AH119" s="368">
        <f>AG119*1.01</f>
        <v/>
      </c>
      <c r="AI119" s="368">
        <f>AH119*1.01</f>
        <v/>
      </c>
      <c r="AJ119" s="368">
        <f>AI119*1.01</f>
        <v/>
      </c>
      <c r="AK119" s="368">
        <f>AJ119*1.01</f>
        <v/>
      </c>
      <c r="AL119" s="368">
        <f>AK119*1.01</f>
        <v/>
      </c>
      <c r="AM119" s="368">
        <f>AL119*1.01</f>
        <v/>
      </c>
      <c r="AN119" s="368">
        <f>AM119*1.01</f>
        <v/>
      </c>
      <c r="AO119" s="368">
        <f>AN119*1.01</f>
        <v/>
      </c>
      <c r="AP119" s="368">
        <f>AO119*1.01</f>
        <v/>
      </c>
      <c r="AQ119" s="368">
        <f>AP119*1.01</f>
        <v/>
      </c>
      <c r="AR119" s="368">
        <f>AQ119*1.01</f>
        <v/>
      </c>
      <c r="AS119" s="368">
        <f>AR119*1.01</f>
        <v/>
      </c>
      <c r="AT119" s="368">
        <f>AS119*1.01</f>
        <v/>
      </c>
      <c r="AU119" s="368">
        <f>AT119*1.01</f>
        <v/>
      </c>
      <c r="AV119" s="368">
        <f>AU119*1.01</f>
        <v/>
      </c>
      <c r="AW119" s="368">
        <f>AV119*1.01</f>
        <v/>
      </c>
    </row>
    <row r="120" outlineLevel="1">
      <c r="A120" s="207" t="n"/>
      <c r="B120" s="11" t="inlineStr">
        <is>
          <t>Monthly transactions per user</t>
        </is>
      </c>
      <c r="C120" s="327">
        <f>SUMIF($H$5:$AW$5,C$5,$H120:$AW120)</f>
        <v/>
      </c>
      <c r="D120" s="327">
        <f>SUMIF($H$5:$AW$5,D$5,$H120:$AW120)</f>
        <v/>
      </c>
      <c r="E120" s="327">
        <f>SUMIF($H$5:$AW$5,E$5,$H120:$AW120)</f>
        <v/>
      </c>
      <c r="F120" s="327">
        <f>SUMIF($H$5:$AW$5,F$5,$H120:$AW120)</f>
        <v/>
      </c>
      <c r="G120" s="358" t="n"/>
      <c r="H120" s="368" t="n">
        <v>0</v>
      </c>
      <c r="I120" s="368">
        <f>H120</f>
        <v/>
      </c>
      <c r="J120" s="368">
        <f>I120</f>
        <v/>
      </c>
      <c r="K120" s="368">
        <f>J120</f>
        <v/>
      </c>
      <c r="L120" s="368">
        <f>K120</f>
        <v/>
      </c>
      <c r="M120" s="368">
        <f>L120</f>
        <v/>
      </c>
      <c r="N120" s="368">
        <f>M120</f>
        <v/>
      </c>
      <c r="O120" s="368">
        <f>N120</f>
        <v/>
      </c>
      <c r="P120" s="368">
        <f>O120</f>
        <v/>
      </c>
      <c r="Q120" s="368">
        <f>P120</f>
        <v/>
      </c>
      <c r="R120" s="368">
        <f>Q120</f>
        <v/>
      </c>
      <c r="S120" s="368">
        <f>R120</f>
        <v/>
      </c>
      <c r="T120" s="368">
        <f>S120</f>
        <v/>
      </c>
      <c r="U120" s="368">
        <f>T120</f>
        <v/>
      </c>
      <c r="V120" s="368">
        <f>U120</f>
        <v/>
      </c>
      <c r="W120" s="368">
        <f>V120</f>
        <v/>
      </c>
      <c r="X120" s="368">
        <f>W120</f>
        <v/>
      </c>
      <c r="Y120" s="368">
        <f>X120</f>
        <v/>
      </c>
      <c r="Z120" s="368">
        <f>Y120</f>
        <v/>
      </c>
      <c r="AA120" s="368">
        <f>Z120</f>
        <v/>
      </c>
      <c r="AB120" s="368">
        <f>AA120</f>
        <v/>
      </c>
      <c r="AC120" s="368">
        <f>AB120</f>
        <v/>
      </c>
      <c r="AD120" s="368">
        <f>AC120</f>
        <v/>
      </c>
      <c r="AE120" s="368">
        <f>AD120</f>
        <v/>
      </c>
      <c r="AF120" s="368">
        <f>AE120</f>
        <v/>
      </c>
      <c r="AG120" s="368">
        <f>AF120</f>
        <v/>
      </c>
      <c r="AH120" s="368">
        <f>AG120</f>
        <v/>
      </c>
      <c r="AI120" s="368">
        <f>AH120</f>
        <v/>
      </c>
      <c r="AJ120" s="368">
        <f>AI120</f>
        <v/>
      </c>
      <c r="AK120" s="368">
        <f>AJ120</f>
        <v/>
      </c>
      <c r="AL120" s="368">
        <f>AK120</f>
        <v/>
      </c>
      <c r="AM120" s="368">
        <f>AL120</f>
        <v/>
      </c>
      <c r="AN120" s="368">
        <f>AM120</f>
        <v/>
      </c>
      <c r="AO120" s="368">
        <f>AN120</f>
        <v/>
      </c>
      <c r="AP120" s="368">
        <f>AO120</f>
        <v/>
      </c>
      <c r="AQ120" s="368">
        <f>AP120</f>
        <v/>
      </c>
      <c r="AR120" s="368">
        <f>AQ120</f>
        <v/>
      </c>
      <c r="AS120" s="368">
        <f>AR120</f>
        <v/>
      </c>
      <c r="AT120" s="368">
        <f>AS120</f>
        <v/>
      </c>
      <c r="AU120" s="368">
        <f>AT120</f>
        <v/>
      </c>
      <c r="AV120" s="368">
        <f>AU120</f>
        <v/>
      </c>
      <c r="AW120" s="368">
        <f>AV120</f>
        <v/>
      </c>
    </row>
    <row r="121" outlineLevel="1">
      <c r="A121" s="207" t="n"/>
      <c r="B121" s="11" t="inlineStr">
        <is>
          <t>Total number of transactions</t>
        </is>
      </c>
      <c r="C121" s="418" t="n"/>
      <c r="D121" s="418" t="n"/>
      <c r="E121" s="418" t="n"/>
      <c r="F121" s="418" t="n"/>
      <c r="G121" s="358" t="n"/>
      <c r="H121" s="357">
        <f>H119*H120</f>
        <v/>
      </c>
      <c r="I121" s="357">
        <f>I119*I120</f>
        <v/>
      </c>
      <c r="J121" s="357">
        <f>J119*J120</f>
        <v/>
      </c>
      <c r="K121" s="357">
        <f>K119*K120</f>
        <v/>
      </c>
      <c r="L121" s="357">
        <f>L119*L120</f>
        <v/>
      </c>
      <c r="M121" s="357">
        <f>M119*M120</f>
        <v/>
      </c>
      <c r="N121" s="357">
        <f>N119*N120</f>
        <v/>
      </c>
      <c r="O121" s="357">
        <f>O119*O120</f>
        <v/>
      </c>
      <c r="P121" s="357">
        <f>P119*P120</f>
        <v/>
      </c>
      <c r="Q121" s="357">
        <f>Q119*Q120</f>
        <v/>
      </c>
      <c r="R121" s="357">
        <f>R119*R120</f>
        <v/>
      </c>
      <c r="S121" s="357">
        <f>S119*S120</f>
        <v/>
      </c>
      <c r="T121" s="357">
        <f>T119*T120</f>
        <v/>
      </c>
      <c r="U121" s="357">
        <f>U119*U120</f>
        <v/>
      </c>
      <c r="V121" s="357">
        <f>V119*V120</f>
        <v/>
      </c>
      <c r="W121" s="357">
        <f>W119*W120</f>
        <v/>
      </c>
      <c r="X121" s="357">
        <f>X119*X120</f>
        <v/>
      </c>
      <c r="Y121" s="357">
        <f>Y119*Y120</f>
        <v/>
      </c>
      <c r="Z121" s="357">
        <f>Z119*Z120</f>
        <v/>
      </c>
      <c r="AA121" s="357">
        <f>AA119*AA120</f>
        <v/>
      </c>
      <c r="AB121" s="357">
        <f>AB119*AB120</f>
        <v/>
      </c>
      <c r="AC121" s="357">
        <f>AC119*AC120</f>
        <v/>
      </c>
      <c r="AD121" s="357">
        <f>AD119*AD120</f>
        <v/>
      </c>
      <c r="AE121" s="357">
        <f>AE119*AE120</f>
        <v/>
      </c>
      <c r="AF121" s="357">
        <f>AF119*AF120</f>
        <v/>
      </c>
      <c r="AG121" s="357">
        <f>AG119*AG120</f>
        <v/>
      </c>
      <c r="AH121" s="357">
        <f>AH119*AH120</f>
        <v/>
      </c>
      <c r="AI121" s="357">
        <f>AI119*AI120</f>
        <v/>
      </c>
      <c r="AJ121" s="357">
        <f>AJ119*AJ120</f>
        <v/>
      </c>
      <c r="AK121" s="357">
        <f>AK119*AK120</f>
        <v/>
      </c>
      <c r="AL121" s="357">
        <f>AL119*AL120</f>
        <v/>
      </c>
      <c r="AM121" s="357">
        <f>AM119*AM120</f>
        <v/>
      </c>
      <c r="AN121" s="357">
        <f>AN119*AN120</f>
        <v/>
      </c>
      <c r="AO121" s="357">
        <f>AO119*AO120</f>
        <v/>
      </c>
      <c r="AP121" s="357">
        <f>AP119*AP120</f>
        <v/>
      </c>
      <c r="AQ121" s="357">
        <f>AQ119*AQ120</f>
        <v/>
      </c>
      <c r="AR121" s="357">
        <f>AR119*AR120</f>
        <v/>
      </c>
      <c r="AS121" s="357">
        <f>AS119*AS120</f>
        <v/>
      </c>
      <c r="AT121" s="357">
        <f>AT119*AT120</f>
        <v/>
      </c>
      <c r="AU121" s="357">
        <f>AU119*AU120</f>
        <v/>
      </c>
      <c r="AV121" s="357">
        <f>AV119*AV120</f>
        <v/>
      </c>
      <c r="AW121" s="357">
        <f>AW119*AW120</f>
        <v/>
      </c>
    </row>
    <row r="122" outlineLevel="1">
      <c r="A122" s="207" t="n"/>
      <c r="C122" s="210" t="n"/>
      <c r="D122" s="210" t="n"/>
      <c r="E122" s="210" t="n"/>
      <c r="F122" s="210" t="n"/>
    </row>
    <row r="123" outlineLevel="1">
      <c r="A123" s="207" t="n"/>
      <c r="B123" s="11" t="inlineStr">
        <is>
          <t>Application fee per transaction</t>
        </is>
      </c>
      <c r="C123" s="210" t="n"/>
      <c r="D123" s="210" t="n"/>
      <c r="E123" s="210" t="n"/>
      <c r="F123" s="210" t="n"/>
      <c r="H123" s="368" t="n">
        <v>3</v>
      </c>
      <c r="I123" s="368" t="n">
        <v>3</v>
      </c>
      <c r="J123" s="368" t="n">
        <v>3</v>
      </c>
      <c r="K123" s="368" t="n">
        <v>3</v>
      </c>
      <c r="L123" s="368" t="n">
        <v>3</v>
      </c>
      <c r="M123" s="368" t="n">
        <v>3</v>
      </c>
      <c r="N123" s="368" t="n">
        <v>3</v>
      </c>
      <c r="O123" s="368" t="n">
        <v>3</v>
      </c>
      <c r="P123" s="368" t="n">
        <v>3</v>
      </c>
      <c r="Q123" s="368" t="n">
        <v>3</v>
      </c>
      <c r="R123" s="368" t="n">
        <v>3</v>
      </c>
      <c r="S123" s="368" t="n">
        <v>3</v>
      </c>
      <c r="T123" s="368" t="n">
        <v>3</v>
      </c>
      <c r="U123" s="368" t="n">
        <v>3</v>
      </c>
      <c r="V123" s="368" t="n">
        <v>3</v>
      </c>
      <c r="W123" s="368" t="n">
        <v>3</v>
      </c>
      <c r="X123" s="368" t="n">
        <v>3</v>
      </c>
      <c r="Y123" s="368" t="n">
        <v>3</v>
      </c>
      <c r="Z123" s="368" t="n">
        <v>3</v>
      </c>
      <c r="AA123" s="368" t="n">
        <v>3</v>
      </c>
      <c r="AB123" s="368" t="n">
        <v>3</v>
      </c>
      <c r="AC123" s="368" t="n">
        <v>3</v>
      </c>
      <c r="AD123" s="368" t="n">
        <v>3</v>
      </c>
      <c r="AE123" s="368" t="n">
        <v>3</v>
      </c>
      <c r="AF123" s="368" t="n">
        <v>3</v>
      </c>
      <c r="AG123" s="368" t="n">
        <v>3</v>
      </c>
      <c r="AH123" s="368" t="n">
        <v>3</v>
      </c>
      <c r="AI123" s="368" t="n">
        <v>3</v>
      </c>
      <c r="AJ123" s="368" t="n">
        <v>3</v>
      </c>
      <c r="AK123" s="368" t="n">
        <v>3</v>
      </c>
      <c r="AL123" s="368" t="n">
        <v>3</v>
      </c>
      <c r="AM123" s="368" t="n">
        <v>3</v>
      </c>
      <c r="AN123" s="368" t="n">
        <v>3</v>
      </c>
      <c r="AO123" s="368" t="n">
        <v>3</v>
      </c>
      <c r="AP123" s="368" t="n">
        <v>3</v>
      </c>
      <c r="AQ123" s="368" t="n">
        <v>3</v>
      </c>
      <c r="AR123" s="368" t="n">
        <v>3</v>
      </c>
      <c r="AS123" s="368" t="n">
        <v>3</v>
      </c>
      <c r="AT123" s="368" t="n">
        <v>3</v>
      </c>
      <c r="AU123" s="368" t="n">
        <v>3</v>
      </c>
      <c r="AV123" s="368" t="n">
        <v>3</v>
      </c>
      <c r="AW123" s="368" t="n">
        <v>3</v>
      </c>
    </row>
    <row r="124" outlineLevel="1">
      <c r="A124" s="207" t="n"/>
      <c r="B124" s="11" t="inlineStr">
        <is>
          <t>Monthly fee per transaction</t>
        </is>
      </c>
      <c r="C124" s="210" t="n"/>
      <c r="D124" s="210" t="n"/>
      <c r="E124" s="210" t="n"/>
      <c r="F124" s="210" t="n"/>
      <c r="H124" s="368" t="n">
        <v>2</v>
      </c>
      <c r="I124" s="368" t="n">
        <v>2</v>
      </c>
      <c r="J124" s="368" t="n">
        <v>2</v>
      </c>
      <c r="K124" s="368" t="n">
        <v>2</v>
      </c>
      <c r="L124" s="368" t="n">
        <v>2</v>
      </c>
      <c r="M124" s="368" t="n">
        <v>2</v>
      </c>
      <c r="N124" s="368" t="n">
        <v>2</v>
      </c>
      <c r="O124" s="368" t="n">
        <v>2</v>
      </c>
      <c r="P124" s="368" t="n">
        <v>2</v>
      </c>
      <c r="Q124" s="368" t="n">
        <v>2</v>
      </c>
      <c r="R124" s="368" t="n">
        <v>2</v>
      </c>
      <c r="S124" s="368" t="n">
        <v>2</v>
      </c>
      <c r="T124" s="368" t="n">
        <v>2</v>
      </c>
      <c r="U124" s="368" t="n">
        <v>2</v>
      </c>
      <c r="V124" s="368" t="n">
        <v>2</v>
      </c>
      <c r="W124" s="368" t="n">
        <v>2</v>
      </c>
      <c r="X124" s="368" t="n">
        <v>2</v>
      </c>
      <c r="Y124" s="368" t="n">
        <v>2</v>
      </c>
      <c r="Z124" s="368" t="n">
        <v>2</v>
      </c>
      <c r="AA124" s="368" t="n">
        <v>2</v>
      </c>
      <c r="AB124" s="368" t="n">
        <v>2</v>
      </c>
      <c r="AC124" s="368" t="n">
        <v>2</v>
      </c>
      <c r="AD124" s="368" t="n">
        <v>2</v>
      </c>
      <c r="AE124" s="368" t="n">
        <v>2</v>
      </c>
      <c r="AF124" s="368" t="n">
        <v>2</v>
      </c>
      <c r="AG124" s="368" t="n">
        <v>2</v>
      </c>
      <c r="AH124" s="368" t="n">
        <v>2</v>
      </c>
      <c r="AI124" s="368" t="n">
        <v>2</v>
      </c>
      <c r="AJ124" s="368" t="n">
        <v>2</v>
      </c>
      <c r="AK124" s="368" t="n">
        <v>2</v>
      </c>
      <c r="AL124" s="368" t="n">
        <v>2</v>
      </c>
      <c r="AM124" s="368" t="n">
        <v>2</v>
      </c>
      <c r="AN124" s="368" t="n">
        <v>2</v>
      </c>
      <c r="AO124" s="368" t="n">
        <v>2</v>
      </c>
      <c r="AP124" s="368" t="n">
        <v>2</v>
      </c>
      <c r="AQ124" s="368" t="n">
        <v>2</v>
      </c>
      <c r="AR124" s="368" t="n">
        <v>2</v>
      </c>
      <c r="AS124" s="368" t="n">
        <v>2</v>
      </c>
      <c r="AT124" s="368" t="n">
        <v>2</v>
      </c>
      <c r="AU124" s="368" t="n">
        <v>2</v>
      </c>
      <c r="AV124" s="368" t="n">
        <v>2</v>
      </c>
      <c r="AW124" s="368" t="n">
        <v>2</v>
      </c>
    </row>
    <row r="125" outlineLevel="1">
      <c r="A125" s="207" t="n"/>
      <c r="B125" s="11" t="inlineStr">
        <is>
          <t>Transaction volume % fee</t>
        </is>
      </c>
      <c r="C125" s="210" t="n"/>
      <c r="D125" s="210" t="n"/>
      <c r="E125" s="210" t="n"/>
      <c r="F125" s="210" t="n"/>
      <c r="H125" s="419" t="n">
        <v>0.004</v>
      </c>
      <c r="I125" s="419" t="n">
        <v>0.004</v>
      </c>
      <c r="J125" s="419" t="n">
        <v>0.004</v>
      </c>
      <c r="K125" s="419" t="n">
        <v>0.004</v>
      </c>
      <c r="L125" s="419" t="n">
        <v>0.004</v>
      </c>
      <c r="M125" s="419" t="n">
        <v>0.004</v>
      </c>
      <c r="N125" s="419" t="n">
        <v>0.004</v>
      </c>
      <c r="O125" s="419" t="n">
        <v>0.004</v>
      </c>
      <c r="P125" s="419" t="n">
        <v>0.004</v>
      </c>
      <c r="Q125" s="419" t="n">
        <v>0.004</v>
      </c>
      <c r="R125" s="419" t="n">
        <v>0.004</v>
      </c>
      <c r="S125" s="419" t="n">
        <v>0.004</v>
      </c>
      <c r="T125" s="419" t="n">
        <v>0.004</v>
      </c>
      <c r="U125" s="419" t="n">
        <v>0.004</v>
      </c>
      <c r="V125" s="419" t="n">
        <v>0.004</v>
      </c>
      <c r="W125" s="419" t="n">
        <v>0.004</v>
      </c>
      <c r="X125" s="419" t="n">
        <v>0.004</v>
      </c>
      <c r="Y125" s="419" t="n">
        <v>0.004</v>
      </c>
      <c r="Z125" s="419" t="n">
        <v>0.004</v>
      </c>
      <c r="AA125" s="419" t="n">
        <v>0.004</v>
      </c>
      <c r="AB125" s="419" t="n">
        <v>0.004</v>
      </c>
      <c r="AC125" s="419" t="n">
        <v>0.004</v>
      </c>
      <c r="AD125" s="419" t="n">
        <v>0.004</v>
      </c>
      <c r="AE125" s="419" t="n">
        <v>0.004</v>
      </c>
      <c r="AF125" s="419" t="n">
        <v>0.004</v>
      </c>
      <c r="AG125" s="419" t="n">
        <v>0.004</v>
      </c>
      <c r="AH125" s="419" t="n">
        <v>0.004</v>
      </c>
      <c r="AI125" s="419" t="n">
        <v>0.004</v>
      </c>
      <c r="AJ125" s="419" t="n">
        <v>0.004</v>
      </c>
      <c r="AK125" s="419" t="n">
        <v>0.004</v>
      </c>
      <c r="AL125" s="419" t="n">
        <v>0.004</v>
      </c>
      <c r="AM125" s="419" t="n">
        <v>0.004</v>
      </c>
      <c r="AN125" s="419" t="n">
        <v>0.004</v>
      </c>
      <c r="AO125" s="419" t="n">
        <v>0.004</v>
      </c>
      <c r="AP125" s="419" t="n">
        <v>0.004</v>
      </c>
      <c r="AQ125" s="419" t="n">
        <v>0.004</v>
      </c>
      <c r="AR125" s="419" t="n">
        <v>0.004</v>
      </c>
      <c r="AS125" s="419" t="n">
        <v>0.004</v>
      </c>
      <c r="AT125" s="419" t="n">
        <v>0.004</v>
      </c>
      <c r="AU125" s="419" t="n">
        <v>0.004</v>
      </c>
      <c r="AV125" s="419" t="n">
        <v>0.004</v>
      </c>
      <c r="AW125" s="419" t="n">
        <v>0.004</v>
      </c>
    </row>
    <row r="126" outlineLevel="1">
      <c r="A126" s="207" t="n"/>
      <c r="B126" s="11" t="inlineStr">
        <is>
          <t>Average transaction value</t>
        </is>
      </c>
      <c r="C126" s="210" t="n"/>
      <c r="D126" s="210" t="n"/>
      <c r="E126" s="210" t="n"/>
      <c r="F126" s="210" t="n"/>
      <c r="H126" s="368" t="n">
        <v>200</v>
      </c>
      <c r="I126" s="368" t="n">
        <v>200</v>
      </c>
      <c r="J126" s="368" t="n">
        <v>200</v>
      </c>
      <c r="K126" s="368" t="n">
        <v>200</v>
      </c>
      <c r="L126" s="368" t="n">
        <v>200</v>
      </c>
      <c r="M126" s="368" t="n">
        <v>200</v>
      </c>
      <c r="N126" s="368" t="n">
        <v>200</v>
      </c>
      <c r="O126" s="368" t="n">
        <v>200</v>
      </c>
      <c r="P126" s="368" t="n">
        <v>200</v>
      </c>
      <c r="Q126" s="368" t="n">
        <v>200</v>
      </c>
      <c r="R126" s="368" t="n">
        <v>200</v>
      </c>
      <c r="S126" s="368" t="n">
        <v>200</v>
      </c>
      <c r="T126" s="368" t="n">
        <v>200</v>
      </c>
      <c r="U126" s="368" t="n">
        <v>200</v>
      </c>
      <c r="V126" s="368" t="n">
        <v>200</v>
      </c>
      <c r="W126" s="368" t="n">
        <v>200</v>
      </c>
      <c r="X126" s="368" t="n">
        <v>200</v>
      </c>
      <c r="Y126" s="368" t="n">
        <v>200</v>
      </c>
      <c r="Z126" s="368" t="n">
        <v>200</v>
      </c>
      <c r="AA126" s="368" t="n">
        <v>200</v>
      </c>
      <c r="AB126" s="368" t="n">
        <v>200</v>
      </c>
      <c r="AC126" s="368" t="n">
        <v>200</v>
      </c>
      <c r="AD126" s="368" t="n">
        <v>200</v>
      </c>
      <c r="AE126" s="368" t="n">
        <v>200</v>
      </c>
      <c r="AF126" s="368" t="n">
        <v>200</v>
      </c>
      <c r="AG126" s="368" t="n">
        <v>200</v>
      </c>
      <c r="AH126" s="368" t="n">
        <v>200</v>
      </c>
      <c r="AI126" s="368" t="n">
        <v>200</v>
      </c>
      <c r="AJ126" s="368" t="n">
        <v>200</v>
      </c>
      <c r="AK126" s="368" t="n">
        <v>200</v>
      </c>
      <c r="AL126" s="368" t="n">
        <v>200</v>
      </c>
      <c r="AM126" s="368" t="n">
        <v>200</v>
      </c>
      <c r="AN126" s="368" t="n">
        <v>200</v>
      </c>
      <c r="AO126" s="368" t="n">
        <v>200</v>
      </c>
      <c r="AP126" s="368" t="n">
        <v>200</v>
      </c>
      <c r="AQ126" s="368" t="n">
        <v>200</v>
      </c>
      <c r="AR126" s="368" t="n">
        <v>200</v>
      </c>
      <c r="AS126" s="368" t="n">
        <v>200</v>
      </c>
      <c r="AT126" s="368" t="n">
        <v>200</v>
      </c>
      <c r="AU126" s="368" t="n">
        <v>200</v>
      </c>
      <c r="AV126" s="368" t="n">
        <v>200</v>
      </c>
      <c r="AW126" s="368" t="n">
        <v>200</v>
      </c>
    </row>
    <row r="127" outlineLevel="1">
      <c r="A127" s="207" t="n"/>
      <c r="B127" s="11" t="inlineStr">
        <is>
          <t>Account maintenance fee per month</t>
        </is>
      </c>
      <c r="C127" s="210" t="n"/>
      <c r="D127" s="210" t="n"/>
      <c r="E127" s="210" t="n"/>
      <c r="F127" s="210" t="n"/>
      <c r="H127" s="368" t="n">
        <v>5</v>
      </c>
      <c r="I127" s="368" t="n">
        <v>5</v>
      </c>
      <c r="J127" s="368" t="n">
        <v>5</v>
      </c>
      <c r="K127" s="368" t="n">
        <v>5</v>
      </c>
      <c r="L127" s="368" t="n">
        <v>5</v>
      </c>
      <c r="M127" s="368" t="n">
        <v>5</v>
      </c>
      <c r="N127" s="368" t="n">
        <v>5</v>
      </c>
      <c r="O127" s="368" t="n">
        <v>5</v>
      </c>
      <c r="P127" s="368" t="n">
        <v>5</v>
      </c>
      <c r="Q127" s="368" t="n">
        <v>5</v>
      </c>
      <c r="R127" s="368" t="n">
        <v>5</v>
      </c>
      <c r="S127" s="368" t="n">
        <v>5</v>
      </c>
      <c r="T127" s="368" t="n">
        <v>5</v>
      </c>
      <c r="U127" s="368" t="n">
        <v>5</v>
      </c>
      <c r="V127" s="368" t="n">
        <v>5</v>
      </c>
      <c r="W127" s="368" t="n">
        <v>5</v>
      </c>
      <c r="X127" s="368" t="n">
        <v>5</v>
      </c>
      <c r="Y127" s="368" t="n">
        <v>5</v>
      </c>
      <c r="Z127" s="368" t="n">
        <v>5</v>
      </c>
      <c r="AA127" s="368" t="n">
        <v>5</v>
      </c>
      <c r="AB127" s="368" t="n">
        <v>5</v>
      </c>
      <c r="AC127" s="368" t="n">
        <v>5</v>
      </c>
      <c r="AD127" s="368" t="n">
        <v>5</v>
      </c>
      <c r="AE127" s="368" t="n">
        <v>5</v>
      </c>
      <c r="AF127" s="368" t="n">
        <v>5</v>
      </c>
      <c r="AG127" s="368" t="n">
        <v>5</v>
      </c>
      <c r="AH127" s="368" t="n">
        <v>5</v>
      </c>
      <c r="AI127" s="368" t="n">
        <v>5</v>
      </c>
      <c r="AJ127" s="368" t="n">
        <v>5</v>
      </c>
      <c r="AK127" s="368" t="n">
        <v>5</v>
      </c>
      <c r="AL127" s="368" t="n">
        <v>5</v>
      </c>
      <c r="AM127" s="368" t="n">
        <v>5</v>
      </c>
      <c r="AN127" s="368" t="n">
        <v>5</v>
      </c>
      <c r="AO127" s="368" t="n">
        <v>5</v>
      </c>
      <c r="AP127" s="368" t="n">
        <v>5</v>
      </c>
      <c r="AQ127" s="368" t="n">
        <v>5</v>
      </c>
      <c r="AR127" s="368" t="n">
        <v>5</v>
      </c>
      <c r="AS127" s="368" t="n">
        <v>5</v>
      </c>
      <c r="AT127" s="368" t="n">
        <v>5</v>
      </c>
      <c r="AU127" s="368" t="n">
        <v>5</v>
      </c>
      <c r="AV127" s="368" t="n">
        <v>5</v>
      </c>
      <c r="AW127" s="368" t="n">
        <v>5</v>
      </c>
    </row>
    <row r="128" outlineLevel="1">
      <c r="A128" s="207" t="n"/>
      <c r="B128" s="11" t="inlineStr">
        <is>
          <t>Total transaction value</t>
        </is>
      </c>
      <c r="C128" s="210" t="n"/>
      <c r="D128" s="210" t="n"/>
      <c r="E128" s="210" t="n"/>
      <c r="F128" s="210" t="n"/>
      <c r="H128" s="357">
        <f>H126*H121</f>
        <v/>
      </c>
      <c r="I128" s="357">
        <f>I126*I121</f>
        <v/>
      </c>
      <c r="J128" s="357">
        <f>J126*J121</f>
        <v/>
      </c>
      <c r="K128" s="357">
        <f>K126*K121</f>
        <v/>
      </c>
      <c r="L128" s="357">
        <f>L126*L121</f>
        <v/>
      </c>
      <c r="M128" s="357">
        <f>M126*M121</f>
        <v/>
      </c>
      <c r="N128" s="357">
        <f>N126*N121</f>
        <v/>
      </c>
      <c r="O128" s="357">
        <f>O126*O121</f>
        <v/>
      </c>
      <c r="P128" s="357">
        <f>P126*P121</f>
        <v/>
      </c>
      <c r="Q128" s="357">
        <f>Q126*Q121</f>
        <v/>
      </c>
      <c r="R128" s="357">
        <f>R126*R121</f>
        <v/>
      </c>
      <c r="S128" s="357">
        <f>S126*S121</f>
        <v/>
      </c>
      <c r="T128" s="357">
        <f>T126*T121</f>
        <v/>
      </c>
      <c r="U128" s="357">
        <f>U126*U121</f>
        <v/>
      </c>
      <c r="V128" s="357">
        <f>V126*V121</f>
        <v/>
      </c>
      <c r="W128" s="357">
        <f>W126*W121</f>
        <v/>
      </c>
      <c r="X128" s="357">
        <f>X126*X121</f>
        <v/>
      </c>
      <c r="Y128" s="357">
        <f>Y126*Y121</f>
        <v/>
      </c>
      <c r="Z128" s="357">
        <f>Z126*Z121</f>
        <v/>
      </c>
      <c r="AA128" s="357">
        <f>AA126*AA121</f>
        <v/>
      </c>
      <c r="AB128" s="357">
        <f>AB126*AB121</f>
        <v/>
      </c>
      <c r="AC128" s="357">
        <f>AC126*AC121</f>
        <v/>
      </c>
      <c r="AD128" s="357">
        <f>AD126*AD121</f>
        <v/>
      </c>
      <c r="AE128" s="357">
        <f>AE126*AE121</f>
        <v/>
      </c>
      <c r="AF128" s="357">
        <f>AF126*AF121</f>
        <v/>
      </c>
      <c r="AG128" s="357">
        <f>AG126*AG121</f>
        <v/>
      </c>
      <c r="AH128" s="357">
        <f>AH126*AH121</f>
        <v/>
      </c>
      <c r="AI128" s="357">
        <f>AI126*AI121</f>
        <v/>
      </c>
      <c r="AJ128" s="357">
        <f>AJ126*AJ121</f>
        <v/>
      </c>
      <c r="AK128" s="357">
        <f>AK126*AK121</f>
        <v/>
      </c>
      <c r="AL128" s="357">
        <f>AL126*AL121</f>
        <v/>
      </c>
      <c r="AM128" s="357">
        <f>AM126*AM121</f>
        <v/>
      </c>
      <c r="AN128" s="357">
        <f>AN126*AN121</f>
        <v/>
      </c>
      <c r="AO128" s="357">
        <f>AO126*AO121</f>
        <v/>
      </c>
      <c r="AP128" s="357">
        <f>AP126*AP121</f>
        <v/>
      </c>
      <c r="AQ128" s="357">
        <f>AQ126*AQ121</f>
        <v/>
      </c>
      <c r="AR128" s="357">
        <f>AR126*AR121</f>
        <v/>
      </c>
      <c r="AS128" s="357">
        <f>AS126*AS121</f>
        <v/>
      </c>
      <c r="AT128" s="357">
        <f>AT126*AT121</f>
        <v/>
      </c>
      <c r="AU128" s="357">
        <f>AU126*AU121</f>
        <v/>
      </c>
      <c r="AV128" s="357">
        <f>AV126*AV121</f>
        <v/>
      </c>
      <c r="AW128" s="357">
        <f>AW126*AW121</f>
        <v/>
      </c>
    </row>
    <row r="129" outlineLevel="1">
      <c r="A129" s="207" t="n"/>
      <c r="C129" s="210" t="n"/>
      <c r="D129" s="210" t="n"/>
      <c r="E129" s="210" t="n"/>
      <c r="F129" s="210" t="n"/>
    </row>
    <row r="130" outlineLevel="1" customFormat="1" s="2">
      <c r="A130" s="299" t="n"/>
      <c r="B130" s="128" t="inlineStr">
        <is>
          <t>Application fee revs</t>
        </is>
      </c>
      <c r="C130" s="415">
        <f>SUMIF($H$5:$AW$5,C$5,$H130:$AW130)</f>
        <v/>
      </c>
      <c r="D130" s="415">
        <f>SUMIF($H$5:$AW$5,D$5,$H130:$AW130)</f>
        <v/>
      </c>
      <c r="E130" s="415">
        <f>SUMIF($H$5:$AW$5,E$5,$H130:$AW130)</f>
        <v/>
      </c>
      <c r="F130" s="415">
        <f>SUMIF($H$5:$AW$5,F$5,$H130:$AW130)</f>
        <v/>
      </c>
      <c r="G130" s="360" t="n"/>
      <c r="H130" s="365">
        <f>H123*H121</f>
        <v/>
      </c>
      <c r="I130" s="365">
        <f>I123*I121</f>
        <v/>
      </c>
      <c r="J130" s="365">
        <f>J123*J121</f>
        <v/>
      </c>
      <c r="K130" s="365">
        <f>K123*K121</f>
        <v/>
      </c>
      <c r="L130" s="365">
        <f>L123*L121</f>
        <v/>
      </c>
      <c r="M130" s="365">
        <f>M123*M121</f>
        <v/>
      </c>
      <c r="N130" s="365">
        <f>N123*N121</f>
        <v/>
      </c>
      <c r="O130" s="365">
        <f>O123*O121</f>
        <v/>
      </c>
      <c r="P130" s="365">
        <f>P123*P121</f>
        <v/>
      </c>
      <c r="Q130" s="365">
        <f>Q123*Q121</f>
        <v/>
      </c>
      <c r="R130" s="365">
        <f>R123*R121</f>
        <v/>
      </c>
      <c r="S130" s="365">
        <f>S123*S121</f>
        <v/>
      </c>
      <c r="T130" s="365">
        <f>T123*T121</f>
        <v/>
      </c>
      <c r="U130" s="365">
        <f>U123*U121</f>
        <v/>
      </c>
      <c r="V130" s="365">
        <f>V123*V121</f>
        <v/>
      </c>
      <c r="W130" s="365">
        <f>W123*W121</f>
        <v/>
      </c>
      <c r="X130" s="365">
        <f>X123*X121</f>
        <v/>
      </c>
      <c r="Y130" s="365">
        <f>Y123*Y121</f>
        <v/>
      </c>
      <c r="Z130" s="365">
        <f>Z123*Z121</f>
        <v/>
      </c>
      <c r="AA130" s="365">
        <f>AA123*AA121</f>
        <v/>
      </c>
      <c r="AB130" s="365">
        <f>AB123*AB121</f>
        <v/>
      </c>
      <c r="AC130" s="365">
        <f>AC123*AC121</f>
        <v/>
      </c>
      <c r="AD130" s="365">
        <f>AD123*AD121</f>
        <v/>
      </c>
      <c r="AE130" s="365">
        <f>AE123*AE121</f>
        <v/>
      </c>
      <c r="AF130" s="365">
        <f>AF123*AF121</f>
        <v/>
      </c>
      <c r="AG130" s="365">
        <f>AG123*AG121</f>
        <v/>
      </c>
      <c r="AH130" s="365">
        <f>AH123*AH121</f>
        <v/>
      </c>
      <c r="AI130" s="365">
        <f>AI123*AI121</f>
        <v/>
      </c>
      <c r="AJ130" s="365">
        <f>AJ123*AJ121</f>
        <v/>
      </c>
      <c r="AK130" s="365">
        <f>AK123*AK121</f>
        <v/>
      </c>
      <c r="AL130" s="365">
        <f>AL123*AL121</f>
        <v/>
      </c>
      <c r="AM130" s="365">
        <f>AM123*AM121</f>
        <v/>
      </c>
      <c r="AN130" s="365">
        <f>AN123*AN121</f>
        <v/>
      </c>
      <c r="AO130" s="365">
        <f>AO123*AO121</f>
        <v/>
      </c>
      <c r="AP130" s="365">
        <f>AP123*AP121</f>
        <v/>
      </c>
      <c r="AQ130" s="365">
        <f>AQ123*AQ121</f>
        <v/>
      </c>
      <c r="AR130" s="365">
        <f>AR123*AR121</f>
        <v/>
      </c>
      <c r="AS130" s="365">
        <f>AS123*AS121</f>
        <v/>
      </c>
      <c r="AT130" s="365">
        <f>AT123*AT121</f>
        <v/>
      </c>
      <c r="AU130" s="365">
        <f>AU123*AU121</f>
        <v/>
      </c>
      <c r="AV130" s="365">
        <f>AV123*AV121</f>
        <v/>
      </c>
      <c r="AW130" s="365">
        <f>AW123*AW121</f>
        <v/>
      </c>
    </row>
    <row r="131" outlineLevel="1" customFormat="1" s="2">
      <c r="A131" s="299" t="n"/>
      <c r="B131" s="184" t="inlineStr">
        <is>
          <t>Monthly fee revs</t>
        </is>
      </c>
      <c r="C131" s="416">
        <f>SUMIF($H$5:$AW$5,C$5,$H131:$AW131)</f>
        <v/>
      </c>
      <c r="D131" s="416">
        <f>SUMIF($H$5:$AW$5,D$5,$H131:$AW131)</f>
        <v/>
      </c>
      <c r="E131" s="416">
        <f>SUMIF($H$5:$AW$5,E$5,$H131:$AW131)</f>
        <v/>
      </c>
      <c r="F131" s="416">
        <f>SUMIF($H$5:$AW$5,F$5,$H131:$AW131)</f>
        <v/>
      </c>
      <c r="G131" s="360" t="n"/>
      <c r="H131" s="417">
        <f>H124*H121</f>
        <v/>
      </c>
      <c r="I131" s="417">
        <f>I124*I121</f>
        <v/>
      </c>
      <c r="J131" s="417">
        <f>J124*J121</f>
        <v/>
      </c>
      <c r="K131" s="417">
        <f>K124*K121</f>
        <v/>
      </c>
      <c r="L131" s="417">
        <f>L124*L121</f>
        <v/>
      </c>
      <c r="M131" s="417">
        <f>M124*M121</f>
        <v/>
      </c>
      <c r="N131" s="417">
        <f>N124*N121</f>
        <v/>
      </c>
      <c r="O131" s="417">
        <f>O124*O121</f>
        <v/>
      </c>
      <c r="P131" s="417">
        <f>P124*P121</f>
        <v/>
      </c>
      <c r="Q131" s="417">
        <f>Q124*Q121</f>
        <v/>
      </c>
      <c r="R131" s="417">
        <f>R124*R121</f>
        <v/>
      </c>
      <c r="S131" s="417">
        <f>S124*S121</f>
        <v/>
      </c>
      <c r="T131" s="417">
        <f>T124*T121</f>
        <v/>
      </c>
      <c r="U131" s="417">
        <f>U124*U121</f>
        <v/>
      </c>
      <c r="V131" s="417">
        <f>V124*V121</f>
        <v/>
      </c>
      <c r="W131" s="417">
        <f>W124*W121</f>
        <v/>
      </c>
      <c r="X131" s="417">
        <f>X124*X121</f>
        <v/>
      </c>
      <c r="Y131" s="417">
        <f>Y124*Y121</f>
        <v/>
      </c>
      <c r="Z131" s="417">
        <f>Z124*Z121</f>
        <v/>
      </c>
      <c r="AA131" s="417">
        <f>AA124*AA121</f>
        <v/>
      </c>
      <c r="AB131" s="417">
        <f>AB124*AB121</f>
        <v/>
      </c>
      <c r="AC131" s="417">
        <f>AC124*AC121</f>
        <v/>
      </c>
      <c r="AD131" s="417">
        <f>AD124*AD121</f>
        <v/>
      </c>
      <c r="AE131" s="417">
        <f>AE124*AE121</f>
        <v/>
      </c>
      <c r="AF131" s="417">
        <f>AF124*AF121</f>
        <v/>
      </c>
      <c r="AG131" s="417">
        <f>AG124*AG121</f>
        <v/>
      </c>
      <c r="AH131" s="417">
        <f>AH124*AH121</f>
        <v/>
      </c>
      <c r="AI131" s="417">
        <f>AI124*AI121</f>
        <v/>
      </c>
      <c r="AJ131" s="417">
        <f>AJ124*AJ121</f>
        <v/>
      </c>
      <c r="AK131" s="417">
        <f>AK124*AK121</f>
        <v/>
      </c>
      <c r="AL131" s="417">
        <f>AL124*AL121</f>
        <v/>
      </c>
      <c r="AM131" s="417">
        <f>AM124*AM121</f>
        <v/>
      </c>
      <c r="AN131" s="417">
        <f>AN124*AN121</f>
        <v/>
      </c>
      <c r="AO131" s="417">
        <f>AO124*AO121</f>
        <v/>
      </c>
      <c r="AP131" s="417">
        <f>AP124*AP121</f>
        <v/>
      </c>
      <c r="AQ131" s="417">
        <f>AQ124*AQ121</f>
        <v/>
      </c>
      <c r="AR131" s="417">
        <f>AR124*AR121</f>
        <v/>
      </c>
      <c r="AS131" s="417">
        <f>AS124*AS121</f>
        <v/>
      </c>
      <c r="AT131" s="417">
        <f>AT124*AT121</f>
        <v/>
      </c>
      <c r="AU131" s="417">
        <f>AU124*AU121</f>
        <v/>
      </c>
      <c r="AV131" s="417">
        <f>AV124*AV121</f>
        <v/>
      </c>
      <c r="AW131" s="417">
        <f>AW124*AW121</f>
        <v/>
      </c>
    </row>
    <row r="132" outlineLevel="1" customFormat="1" s="2">
      <c r="A132" s="299" t="n"/>
      <c r="B132" s="128" t="inlineStr">
        <is>
          <t>Transaction volume fee</t>
        </is>
      </c>
      <c r="C132" s="415">
        <f>SUMIF($H$5:$AW$5,C$5,$H132:$AW132)</f>
        <v/>
      </c>
      <c r="D132" s="415">
        <f>SUMIF($H$5:$AW$5,D$5,$H132:$AW132)</f>
        <v/>
      </c>
      <c r="E132" s="415">
        <f>SUMIF($H$5:$AW$5,E$5,$H132:$AW132)</f>
        <v/>
      </c>
      <c r="F132" s="415">
        <f>SUMIF($H$5:$AW$5,F$5,$H132:$AW132)</f>
        <v/>
      </c>
      <c r="G132" s="360" t="n"/>
      <c r="H132" s="365">
        <f>H125*H128</f>
        <v/>
      </c>
      <c r="I132" s="365">
        <f>I125*I128</f>
        <v/>
      </c>
      <c r="J132" s="365">
        <f>J125*J128</f>
        <v/>
      </c>
      <c r="K132" s="365">
        <f>K125*K128</f>
        <v/>
      </c>
      <c r="L132" s="365">
        <f>L125*L128</f>
        <v/>
      </c>
      <c r="M132" s="365">
        <f>M125*M128</f>
        <v/>
      </c>
      <c r="N132" s="365">
        <f>N125*N128</f>
        <v/>
      </c>
      <c r="O132" s="365">
        <f>O125*O128</f>
        <v/>
      </c>
      <c r="P132" s="365">
        <f>P125*P128</f>
        <v/>
      </c>
      <c r="Q132" s="365">
        <f>Q125*Q128</f>
        <v/>
      </c>
      <c r="R132" s="365">
        <f>R125*R128</f>
        <v/>
      </c>
      <c r="S132" s="365">
        <f>S125*S128</f>
        <v/>
      </c>
      <c r="T132" s="365">
        <f>T125*T128</f>
        <v/>
      </c>
      <c r="U132" s="365">
        <f>U125*U128</f>
        <v/>
      </c>
      <c r="V132" s="365">
        <f>V125*V128</f>
        <v/>
      </c>
      <c r="W132" s="365">
        <f>W125*W128</f>
        <v/>
      </c>
      <c r="X132" s="365">
        <f>X125*X128</f>
        <v/>
      </c>
      <c r="Y132" s="365">
        <f>Y125*Y128</f>
        <v/>
      </c>
      <c r="Z132" s="365">
        <f>Z125*Z128</f>
        <v/>
      </c>
      <c r="AA132" s="365">
        <f>AA125*AA128</f>
        <v/>
      </c>
      <c r="AB132" s="365">
        <f>AB125*AB128</f>
        <v/>
      </c>
      <c r="AC132" s="365">
        <f>AC125*AC128</f>
        <v/>
      </c>
      <c r="AD132" s="365">
        <f>AD125*AD128</f>
        <v/>
      </c>
      <c r="AE132" s="365">
        <f>AE125*AE128</f>
        <v/>
      </c>
      <c r="AF132" s="365">
        <f>AF125*AF128</f>
        <v/>
      </c>
      <c r="AG132" s="365">
        <f>AG125*AG128</f>
        <v/>
      </c>
      <c r="AH132" s="365">
        <f>AH125*AH128</f>
        <v/>
      </c>
      <c r="AI132" s="365">
        <f>AI125*AI128</f>
        <v/>
      </c>
      <c r="AJ132" s="365">
        <f>AJ125*AJ128</f>
        <v/>
      </c>
      <c r="AK132" s="365">
        <f>AK125*AK128</f>
        <v/>
      </c>
      <c r="AL132" s="365">
        <f>AL125*AL128</f>
        <v/>
      </c>
      <c r="AM132" s="365">
        <f>AM125*AM128</f>
        <v/>
      </c>
      <c r="AN132" s="365">
        <f>AN125*AN128</f>
        <v/>
      </c>
      <c r="AO132" s="365">
        <f>AO125*AO128</f>
        <v/>
      </c>
      <c r="AP132" s="365">
        <f>AP125*AP128</f>
        <v/>
      </c>
      <c r="AQ132" s="365">
        <f>AQ125*AQ128</f>
        <v/>
      </c>
      <c r="AR132" s="365">
        <f>AR125*AR128</f>
        <v/>
      </c>
      <c r="AS132" s="365">
        <f>AS125*AS128</f>
        <v/>
      </c>
      <c r="AT132" s="365">
        <f>AT125*AT128</f>
        <v/>
      </c>
      <c r="AU132" s="365">
        <f>AU125*AU128</f>
        <v/>
      </c>
      <c r="AV132" s="365">
        <f>AV125*AV128</f>
        <v/>
      </c>
      <c r="AW132" s="365">
        <f>AW125*AW128</f>
        <v/>
      </c>
    </row>
    <row r="133" outlineLevel="1" customFormat="1" s="2">
      <c r="A133" s="299" t="n"/>
      <c r="B133" s="128" t="inlineStr">
        <is>
          <t>Account maintenance fee</t>
        </is>
      </c>
      <c r="C133" s="415">
        <f>SUMIF($H$5:$AW$5,C$5,$H133:$AW133)</f>
        <v/>
      </c>
      <c r="D133" s="415">
        <f>SUMIF($H$5:$AW$5,D$5,$H133:$AW133)</f>
        <v/>
      </c>
      <c r="E133" s="415">
        <f>SUMIF($H$5:$AW$5,E$5,$H133:$AW133)</f>
        <v/>
      </c>
      <c r="F133" s="415">
        <f>SUMIF($H$5:$AW$5,F$5,$H133:$AW133)</f>
        <v/>
      </c>
      <c r="G133" s="360" t="n"/>
      <c r="H133" s="365">
        <f>H119*H127</f>
        <v/>
      </c>
      <c r="I133" s="365">
        <f>I119*I127</f>
        <v/>
      </c>
      <c r="J133" s="365">
        <f>J119*J127</f>
        <v/>
      </c>
      <c r="K133" s="365">
        <f>K119*K127</f>
        <v/>
      </c>
      <c r="L133" s="365">
        <f>L119*L127</f>
        <v/>
      </c>
      <c r="M133" s="365">
        <f>M119*M127</f>
        <v/>
      </c>
      <c r="N133" s="365">
        <f>N119*N127</f>
        <v/>
      </c>
      <c r="O133" s="365">
        <f>O119*O127</f>
        <v/>
      </c>
      <c r="P133" s="365">
        <f>P119*P127</f>
        <v/>
      </c>
      <c r="Q133" s="365">
        <f>Q119*Q127</f>
        <v/>
      </c>
      <c r="R133" s="365">
        <f>R119*R127</f>
        <v/>
      </c>
      <c r="S133" s="365">
        <f>S119*S127</f>
        <v/>
      </c>
      <c r="T133" s="365">
        <f>T119*T127</f>
        <v/>
      </c>
      <c r="U133" s="365">
        <f>U119*U127</f>
        <v/>
      </c>
      <c r="V133" s="365">
        <f>V119*V127</f>
        <v/>
      </c>
      <c r="W133" s="365">
        <f>W119*W127</f>
        <v/>
      </c>
      <c r="X133" s="365">
        <f>X119*X127</f>
        <v/>
      </c>
      <c r="Y133" s="365">
        <f>Y119*Y127</f>
        <v/>
      </c>
      <c r="Z133" s="365">
        <f>Z119*Z127</f>
        <v/>
      </c>
      <c r="AA133" s="365">
        <f>AA119*AA127</f>
        <v/>
      </c>
      <c r="AB133" s="365">
        <f>AB119*AB127</f>
        <v/>
      </c>
      <c r="AC133" s="365">
        <f>AC119*AC127</f>
        <v/>
      </c>
      <c r="AD133" s="365">
        <f>AD119*AD127</f>
        <v/>
      </c>
      <c r="AE133" s="365">
        <f>AE119*AE127</f>
        <v/>
      </c>
      <c r="AF133" s="365">
        <f>AF119*AF127</f>
        <v/>
      </c>
      <c r="AG133" s="365">
        <f>AG119*AG127</f>
        <v/>
      </c>
      <c r="AH133" s="365">
        <f>AH119*AH127</f>
        <v/>
      </c>
      <c r="AI133" s="365">
        <f>AI119*AI127</f>
        <v/>
      </c>
      <c r="AJ133" s="365">
        <f>AJ119*AJ127</f>
        <v/>
      </c>
      <c r="AK133" s="365">
        <f>AK119*AK127</f>
        <v/>
      </c>
      <c r="AL133" s="365">
        <f>AL119*AL127</f>
        <v/>
      </c>
      <c r="AM133" s="365">
        <f>AM119*AM127</f>
        <v/>
      </c>
      <c r="AN133" s="365">
        <f>AN119*AN127</f>
        <v/>
      </c>
      <c r="AO133" s="365">
        <f>AO119*AO127</f>
        <v/>
      </c>
      <c r="AP133" s="365">
        <f>AP119*AP127</f>
        <v/>
      </c>
      <c r="AQ133" s="365">
        <f>AQ119*AQ127</f>
        <v/>
      </c>
      <c r="AR133" s="365">
        <f>AR119*AR127</f>
        <v/>
      </c>
      <c r="AS133" s="365">
        <f>AS119*AS127</f>
        <v/>
      </c>
      <c r="AT133" s="365">
        <f>AT119*AT127</f>
        <v/>
      </c>
      <c r="AU133" s="365">
        <f>AU119*AU127</f>
        <v/>
      </c>
      <c r="AV133" s="365">
        <f>AV119*AV127</f>
        <v/>
      </c>
      <c r="AW133" s="365">
        <f>AW119*AW127</f>
        <v/>
      </c>
    </row>
    <row r="134" outlineLevel="1">
      <c r="A134" s="207" t="n"/>
      <c r="C134" s="210" t="n"/>
      <c r="D134" s="210" t="n"/>
      <c r="E134" s="210" t="n"/>
      <c r="F134" s="210" t="n"/>
    </row>
    <row r="135" outlineLevel="1" collapsed="1">
      <c r="A135" s="207" t="n"/>
      <c r="B135" s="149" t="inlineStr">
        <is>
          <t>On platform features fees - B2B</t>
        </is>
      </c>
      <c r="C135" s="208" t="n"/>
      <c r="D135" s="208" t="n"/>
      <c r="E135" s="208" t="n"/>
      <c r="F135" s="208" t="n"/>
      <c r="G135" s="202" t="n"/>
      <c r="H135" s="209" t="n"/>
      <c r="I135" s="209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09" t="n"/>
      <c r="T135" s="209" t="n"/>
      <c r="U135" s="209" t="n"/>
      <c r="V135" s="209" t="n"/>
      <c r="W135" s="209" t="n"/>
      <c r="X135" s="209" t="n"/>
      <c r="Y135" s="209" t="n"/>
      <c r="Z135" s="209" t="n"/>
      <c r="AA135" s="209" t="n"/>
      <c r="AB135" s="209" t="n"/>
      <c r="AC135" s="209" t="n"/>
      <c r="AD135" s="209" t="n"/>
      <c r="AE135" s="209" t="n"/>
      <c r="AF135" s="209" t="n"/>
      <c r="AG135" s="209" t="n"/>
      <c r="AH135" s="209" t="n"/>
      <c r="AI135" s="209" t="n"/>
      <c r="AJ135" s="209" t="n"/>
      <c r="AK135" s="209" t="n"/>
      <c r="AL135" s="209" t="n"/>
      <c r="AM135" s="209" t="n"/>
      <c r="AN135" s="209" t="n"/>
      <c r="AO135" s="209" t="n"/>
      <c r="AP135" s="209" t="n"/>
      <c r="AQ135" s="209" t="n"/>
      <c r="AR135" s="209" t="n"/>
      <c r="AS135" s="209" t="n"/>
      <c r="AT135" s="209" t="n"/>
      <c r="AU135" s="209" t="n"/>
      <c r="AV135" s="209" t="n"/>
      <c r="AW135" s="209" t="n"/>
    </row>
    <row r="136" outlineLevel="1">
      <c r="A136" s="207" t="n"/>
    </row>
    <row r="137" outlineLevel="1">
      <c r="A137" s="207" t="n"/>
      <c r="B137" s="1" t="inlineStr">
        <is>
          <t>Feature 1</t>
        </is>
      </c>
      <c r="C137" s="210" t="n"/>
      <c r="D137" s="210" t="n"/>
      <c r="E137" s="210" t="n"/>
      <c r="F137" s="210" t="n"/>
    </row>
    <row r="138" outlineLevel="1">
      <c r="A138" s="207" t="n"/>
      <c r="B138" s="11" t="inlineStr">
        <is>
          <t>Adoption %</t>
        </is>
      </c>
      <c r="C138" s="210" t="n"/>
      <c r="D138" s="210" t="n"/>
      <c r="E138" s="210" t="n"/>
      <c r="F138" s="210" t="n"/>
      <c r="H138" s="403" t="n">
        <v>0.05</v>
      </c>
      <c r="I138" s="403" t="n">
        <v>0.05</v>
      </c>
      <c r="J138" s="403" t="n">
        <v>0.05</v>
      </c>
      <c r="K138" s="403" t="n">
        <v>0.05</v>
      </c>
      <c r="L138" s="403" t="n">
        <v>0.05</v>
      </c>
      <c r="M138" s="403" t="n">
        <v>0.05</v>
      </c>
      <c r="N138" s="403" t="n">
        <v>0.05</v>
      </c>
      <c r="O138" s="403" t="n">
        <v>0.05</v>
      </c>
      <c r="P138" s="403" t="n">
        <v>0.05</v>
      </c>
      <c r="Q138" s="403" t="n">
        <v>0.05</v>
      </c>
      <c r="R138" s="403" t="n">
        <v>0.05</v>
      </c>
      <c r="S138" s="403" t="n">
        <v>0.05</v>
      </c>
      <c r="T138" s="403" t="n">
        <v>0.05</v>
      </c>
      <c r="U138" s="403" t="n">
        <v>0.05</v>
      </c>
      <c r="V138" s="403" t="n">
        <v>0.05</v>
      </c>
      <c r="W138" s="403" t="n">
        <v>0.05</v>
      </c>
      <c r="X138" s="403" t="n">
        <v>0.05</v>
      </c>
      <c r="Y138" s="403" t="n">
        <v>0.05</v>
      </c>
      <c r="Z138" s="403" t="n">
        <v>0.05</v>
      </c>
      <c r="AA138" s="403" t="n">
        <v>0.05</v>
      </c>
      <c r="AB138" s="403" t="n">
        <v>0.05</v>
      </c>
      <c r="AC138" s="403" t="n">
        <v>0.05</v>
      </c>
      <c r="AD138" s="403" t="n">
        <v>0.05</v>
      </c>
      <c r="AE138" s="403" t="n">
        <v>0.05</v>
      </c>
      <c r="AF138" s="403" t="n">
        <v>0.05</v>
      </c>
      <c r="AG138" s="403" t="n">
        <v>0.05</v>
      </c>
      <c r="AH138" s="403" t="n">
        <v>0.05</v>
      </c>
      <c r="AI138" s="403" t="n">
        <v>0.05</v>
      </c>
      <c r="AJ138" s="403" t="n">
        <v>0.05</v>
      </c>
      <c r="AK138" s="403" t="n">
        <v>0.05</v>
      </c>
      <c r="AL138" s="403" t="n">
        <v>0.05</v>
      </c>
      <c r="AM138" s="403" t="n">
        <v>0.05</v>
      </c>
      <c r="AN138" s="403" t="n">
        <v>0.05</v>
      </c>
      <c r="AO138" s="403" t="n">
        <v>0.05</v>
      </c>
      <c r="AP138" s="403" t="n">
        <v>0.05</v>
      </c>
      <c r="AQ138" s="403" t="n">
        <v>0.05</v>
      </c>
      <c r="AR138" s="403" t="n">
        <v>0.05</v>
      </c>
      <c r="AS138" s="403" t="n">
        <v>0.05</v>
      </c>
      <c r="AT138" s="403" t="n">
        <v>0.05</v>
      </c>
      <c r="AU138" s="403" t="n">
        <v>0.05</v>
      </c>
      <c r="AV138" s="403" t="n">
        <v>0.05</v>
      </c>
      <c r="AW138" s="403" t="n">
        <v>0.05</v>
      </c>
    </row>
    <row r="139" outlineLevel="1">
      <c r="A139" s="207" t="n"/>
      <c r="B139" s="11" t="inlineStr">
        <is>
          <t>Rev per account per month</t>
        </is>
      </c>
      <c r="C139" s="327" t="n"/>
      <c r="D139" s="327" t="n"/>
      <c r="E139" s="327" t="n"/>
      <c r="F139" s="327" t="n"/>
      <c r="G139" s="358" t="n"/>
      <c r="H139" s="368" t="n">
        <v>1</v>
      </c>
      <c r="I139" s="368" t="n">
        <v>1</v>
      </c>
      <c r="J139" s="368" t="n">
        <v>1</v>
      </c>
      <c r="K139" s="368" t="n">
        <v>1</v>
      </c>
      <c r="L139" s="368" t="n">
        <v>1</v>
      </c>
      <c r="M139" s="368" t="n">
        <v>1</v>
      </c>
      <c r="N139" s="368" t="n">
        <v>1</v>
      </c>
      <c r="O139" s="368" t="n">
        <v>1</v>
      </c>
      <c r="P139" s="368" t="n">
        <v>1</v>
      </c>
      <c r="Q139" s="368" t="n">
        <v>1</v>
      </c>
      <c r="R139" s="368" t="n">
        <v>1</v>
      </c>
      <c r="S139" s="368" t="n">
        <v>1</v>
      </c>
      <c r="T139" s="368" t="n">
        <v>1</v>
      </c>
      <c r="U139" s="368" t="n">
        <v>1</v>
      </c>
      <c r="V139" s="368" t="n">
        <v>1</v>
      </c>
      <c r="W139" s="368" t="n">
        <v>1</v>
      </c>
      <c r="X139" s="368" t="n">
        <v>1</v>
      </c>
      <c r="Y139" s="368" t="n">
        <v>1</v>
      </c>
      <c r="Z139" s="368" t="n">
        <v>1</v>
      </c>
      <c r="AA139" s="368" t="n">
        <v>1</v>
      </c>
      <c r="AB139" s="368" t="n">
        <v>1</v>
      </c>
      <c r="AC139" s="368" t="n">
        <v>1</v>
      </c>
      <c r="AD139" s="368" t="n">
        <v>1</v>
      </c>
      <c r="AE139" s="368" t="n">
        <v>1</v>
      </c>
      <c r="AF139" s="368" t="n">
        <v>1</v>
      </c>
      <c r="AG139" s="368" t="n">
        <v>1</v>
      </c>
      <c r="AH139" s="368" t="n">
        <v>1</v>
      </c>
      <c r="AI139" s="368" t="n">
        <v>1</v>
      </c>
      <c r="AJ139" s="368" t="n">
        <v>1</v>
      </c>
      <c r="AK139" s="368" t="n">
        <v>1</v>
      </c>
      <c r="AL139" s="368" t="n">
        <v>1</v>
      </c>
      <c r="AM139" s="368" t="n">
        <v>1</v>
      </c>
      <c r="AN139" s="368" t="n">
        <v>1</v>
      </c>
      <c r="AO139" s="368" t="n">
        <v>1</v>
      </c>
      <c r="AP139" s="368" t="n">
        <v>1</v>
      </c>
      <c r="AQ139" s="368" t="n">
        <v>1</v>
      </c>
      <c r="AR139" s="368" t="n">
        <v>1</v>
      </c>
      <c r="AS139" s="368" t="n">
        <v>1</v>
      </c>
      <c r="AT139" s="368" t="n">
        <v>1</v>
      </c>
      <c r="AU139" s="368" t="n">
        <v>1</v>
      </c>
      <c r="AV139" s="368" t="n">
        <v>1</v>
      </c>
      <c r="AW139" s="368" t="n">
        <v>1</v>
      </c>
    </row>
    <row r="140" outlineLevel="1">
      <c r="A140" s="207" t="n"/>
      <c r="B140" s="219" t="inlineStr">
        <is>
          <t>Feature 1 revs</t>
        </is>
      </c>
      <c r="C140" s="406">
        <f>SUMIF($H$5:$AW$5,C$5,$H140:$AW140)</f>
        <v/>
      </c>
      <c r="D140" s="406">
        <f>SUMIF($H$5:$AW$5,D$5,$H140:$AW140)</f>
        <v/>
      </c>
      <c r="E140" s="406">
        <f>SUMIF($H$5:$AW$5,E$5,$H140:$AW140)</f>
        <v/>
      </c>
      <c r="F140" s="406">
        <f>SUMIF($H$5:$AW$5,F$5,$H140:$AW140)</f>
        <v/>
      </c>
      <c r="G140" s="360" t="n"/>
      <c r="H140" s="407">
        <f>H139*H138*H$32</f>
        <v/>
      </c>
      <c r="I140" s="407">
        <f>I139*I138*I$32</f>
        <v/>
      </c>
      <c r="J140" s="407">
        <f>J139*J138*J$32</f>
        <v/>
      </c>
      <c r="K140" s="407">
        <f>K139*K138*K$32</f>
        <v/>
      </c>
      <c r="L140" s="407">
        <f>L139*L138*L$32</f>
        <v/>
      </c>
      <c r="M140" s="407">
        <f>M139*M138*M$32</f>
        <v/>
      </c>
      <c r="N140" s="407">
        <f>N139*N138*N$32</f>
        <v/>
      </c>
      <c r="O140" s="407">
        <f>O139*O138*O$32</f>
        <v/>
      </c>
      <c r="P140" s="407">
        <f>P139*P138*P$32</f>
        <v/>
      </c>
      <c r="Q140" s="407">
        <f>Q139*Q138*Q$32</f>
        <v/>
      </c>
      <c r="R140" s="407">
        <f>R139*R138*R$32</f>
        <v/>
      </c>
      <c r="S140" s="407">
        <f>S139*S138*S$32</f>
        <v/>
      </c>
      <c r="T140" s="407">
        <f>T139*T138*T$32</f>
        <v/>
      </c>
      <c r="U140" s="407">
        <f>U139*U138*U$32</f>
        <v/>
      </c>
      <c r="V140" s="407">
        <f>V139*V138*V$32</f>
        <v/>
      </c>
      <c r="W140" s="407">
        <f>W139*W138*W$32</f>
        <v/>
      </c>
      <c r="X140" s="407">
        <f>X139*X138*X$32</f>
        <v/>
      </c>
      <c r="Y140" s="407">
        <f>Y139*Y138*Y$32</f>
        <v/>
      </c>
      <c r="Z140" s="407">
        <f>Z139*Z138*Z$32</f>
        <v/>
      </c>
      <c r="AA140" s="407">
        <f>AA139*AA138*AA$32</f>
        <v/>
      </c>
      <c r="AB140" s="407">
        <f>AB139*AB138*AB$32</f>
        <v/>
      </c>
      <c r="AC140" s="407">
        <f>AC139*AC138*AC$32</f>
        <v/>
      </c>
      <c r="AD140" s="407">
        <f>AD139*AD138*AD$32</f>
        <v/>
      </c>
      <c r="AE140" s="407">
        <f>AE139*AE138*AE$32</f>
        <v/>
      </c>
      <c r="AF140" s="407">
        <f>AF139*AF138*AF$32</f>
        <v/>
      </c>
      <c r="AG140" s="407">
        <f>AG139*AG138*AG$32</f>
        <v/>
      </c>
      <c r="AH140" s="407">
        <f>AH139*AH138*AH$32</f>
        <v/>
      </c>
      <c r="AI140" s="407">
        <f>AI139*AI138*AI$32</f>
        <v/>
      </c>
      <c r="AJ140" s="407">
        <f>AJ139*AJ138*AJ$32</f>
        <v/>
      </c>
      <c r="AK140" s="407">
        <f>AK139*AK138*AK$32</f>
        <v/>
      </c>
      <c r="AL140" s="407">
        <f>AL139*AL138*AL$32</f>
        <v/>
      </c>
      <c r="AM140" s="407">
        <f>AM139*AM138*AM$32</f>
        <v/>
      </c>
      <c r="AN140" s="407">
        <f>AN139*AN138*AN$32</f>
        <v/>
      </c>
      <c r="AO140" s="407">
        <f>AO139*AO138*AO$32</f>
        <v/>
      </c>
      <c r="AP140" s="407">
        <f>AP139*AP138*AP$32</f>
        <v/>
      </c>
      <c r="AQ140" s="407">
        <f>AQ139*AQ138*AQ$32</f>
        <v/>
      </c>
      <c r="AR140" s="407">
        <f>AR139*AR138*AR$32</f>
        <v/>
      </c>
      <c r="AS140" s="407">
        <f>AS139*AS138*AS$32</f>
        <v/>
      </c>
      <c r="AT140" s="407">
        <f>AT139*AT138*AT$32</f>
        <v/>
      </c>
      <c r="AU140" s="407">
        <f>AU139*AU138*AU$32</f>
        <v/>
      </c>
      <c r="AV140" s="407">
        <f>AV139*AV138*AV$32</f>
        <v/>
      </c>
      <c r="AW140" s="407">
        <f>AW139*AW138*AW$32</f>
        <v/>
      </c>
    </row>
    <row r="141" outlineLevel="1">
      <c r="A141" s="207" t="n"/>
      <c r="C141" s="210" t="n"/>
      <c r="D141" s="210" t="n"/>
      <c r="E141" s="210" t="n"/>
      <c r="F141" s="210" t="n"/>
    </row>
    <row r="142" outlineLevel="1">
      <c r="A142" s="207" t="n"/>
      <c r="B142" s="1" t="inlineStr">
        <is>
          <t>Feature 2</t>
        </is>
      </c>
      <c r="C142" s="210" t="n"/>
      <c r="D142" s="210" t="n"/>
      <c r="E142" s="210" t="n"/>
      <c r="F142" s="210" t="n"/>
    </row>
    <row r="143" outlineLevel="1">
      <c r="A143" s="207" t="n"/>
      <c r="B143" s="11" t="inlineStr">
        <is>
          <t>Adoption %</t>
        </is>
      </c>
      <c r="C143" s="210" t="n"/>
      <c r="D143" s="210" t="n"/>
      <c r="E143" s="210" t="n"/>
      <c r="F143" s="210" t="n"/>
      <c r="H143" s="403" t="n">
        <v>0.05</v>
      </c>
      <c r="I143" s="403" t="n">
        <v>0.05</v>
      </c>
      <c r="J143" s="403" t="n">
        <v>0.05</v>
      </c>
      <c r="K143" s="403" t="n">
        <v>0.05</v>
      </c>
      <c r="L143" s="403" t="n">
        <v>0.05</v>
      </c>
      <c r="M143" s="403" t="n">
        <v>0.05</v>
      </c>
      <c r="N143" s="403" t="n">
        <v>0.05</v>
      </c>
      <c r="O143" s="403" t="n">
        <v>0.05</v>
      </c>
      <c r="P143" s="403" t="n">
        <v>0.05</v>
      </c>
      <c r="Q143" s="403" t="n">
        <v>0.05</v>
      </c>
      <c r="R143" s="403" t="n">
        <v>0.05</v>
      </c>
      <c r="S143" s="403" t="n">
        <v>0.05</v>
      </c>
      <c r="T143" s="403" t="n">
        <v>0.05</v>
      </c>
      <c r="U143" s="403" t="n">
        <v>0.05</v>
      </c>
      <c r="V143" s="403" t="n">
        <v>0.05</v>
      </c>
      <c r="W143" s="403" t="n">
        <v>0.05</v>
      </c>
      <c r="X143" s="403" t="n">
        <v>0.05</v>
      </c>
      <c r="Y143" s="403" t="n">
        <v>0.05</v>
      </c>
      <c r="Z143" s="403" t="n">
        <v>0.05</v>
      </c>
      <c r="AA143" s="403" t="n">
        <v>0.05</v>
      </c>
      <c r="AB143" s="403" t="n">
        <v>0.05</v>
      </c>
      <c r="AC143" s="403" t="n">
        <v>0.05</v>
      </c>
      <c r="AD143" s="403" t="n">
        <v>0.05</v>
      </c>
      <c r="AE143" s="403" t="n">
        <v>0.05</v>
      </c>
      <c r="AF143" s="403" t="n">
        <v>0.05</v>
      </c>
      <c r="AG143" s="403" t="n">
        <v>0.05</v>
      </c>
      <c r="AH143" s="403" t="n">
        <v>0.05</v>
      </c>
      <c r="AI143" s="403" t="n">
        <v>0.05</v>
      </c>
      <c r="AJ143" s="403" t="n">
        <v>0.05</v>
      </c>
      <c r="AK143" s="403" t="n">
        <v>0.05</v>
      </c>
      <c r="AL143" s="403" t="n">
        <v>0.05</v>
      </c>
      <c r="AM143" s="403" t="n">
        <v>0.05</v>
      </c>
      <c r="AN143" s="403" t="n">
        <v>0.05</v>
      </c>
      <c r="AO143" s="403" t="n">
        <v>0.05</v>
      </c>
      <c r="AP143" s="403" t="n">
        <v>0.05</v>
      </c>
      <c r="AQ143" s="403" t="n">
        <v>0.05</v>
      </c>
      <c r="AR143" s="403" t="n">
        <v>0.05</v>
      </c>
      <c r="AS143" s="403" t="n">
        <v>0.05</v>
      </c>
      <c r="AT143" s="403" t="n">
        <v>0.05</v>
      </c>
      <c r="AU143" s="403" t="n">
        <v>0.05</v>
      </c>
      <c r="AV143" s="403" t="n">
        <v>0.05</v>
      </c>
      <c r="AW143" s="403" t="n">
        <v>0.05</v>
      </c>
    </row>
    <row r="144" outlineLevel="1">
      <c r="A144" s="207" t="n"/>
      <c r="B144" s="11" t="inlineStr">
        <is>
          <t>Rev per account per month</t>
        </is>
      </c>
      <c r="C144" s="327" t="n"/>
      <c r="D144" s="327" t="n"/>
      <c r="E144" s="327" t="n"/>
      <c r="F144" s="327" t="n"/>
      <c r="G144" s="358" t="n"/>
      <c r="H144" s="368" t="n">
        <v>1</v>
      </c>
      <c r="I144" s="368" t="n">
        <v>1</v>
      </c>
      <c r="J144" s="368" t="n">
        <v>1</v>
      </c>
      <c r="K144" s="368" t="n">
        <v>1</v>
      </c>
      <c r="L144" s="368" t="n">
        <v>1</v>
      </c>
      <c r="M144" s="368" t="n">
        <v>1</v>
      </c>
      <c r="N144" s="368" t="n">
        <v>1</v>
      </c>
      <c r="O144" s="368" t="n">
        <v>1</v>
      </c>
      <c r="P144" s="368" t="n">
        <v>1</v>
      </c>
      <c r="Q144" s="368" t="n">
        <v>1</v>
      </c>
      <c r="R144" s="368" t="n">
        <v>1</v>
      </c>
      <c r="S144" s="368" t="n">
        <v>1</v>
      </c>
      <c r="T144" s="368" t="n">
        <v>1</v>
      </c>
      <c r="U144" s="368" t="n">
        <v>1</v>
      </c>
      <c r="V144" s="368" t="n">
        <v>1</v>
      </c>
      <c r="W144" s="368" t="n">
        <v>1</v>
      </c>
      <c r="X144" s="368" t="n">
        <v>1</v>
      </c>
      <c r="Y144" s="368" t="n">
        <v>1</v>
      </c>
      <c r="Z144" s="368" t="n">
        <v>1</v>
      </c>
      <c r="AA144" s="368" t="n">
        <v>1</v>
      </c>
      <c r="AB144" s="368" t="n">
        <v>1</v>
      </c>
      <c r="AC144" s="368" t="n">
        <v>1</v>
      </c>
      <c r="AD144" s="368" t="n">
        <v>1</v>
      </c>
      <c r="AE144" s="368" t="n">
        <v>1</v>
      </c>
      <c r="AF144" s="368" t="n">
        <v>1</v>
      </c>
      <c r="AG144" s="368" t="n">
        <v>1</v>
      </c>
      <c r="AH144" s="368" t="n">
        <v>1</v>
      </c>
      <c r="AI144" s="368" t="n">
        <v>1</v>
      </c>
      <c r="AJ144" s="368" t="n">
        <v>1</v>
      </c>
      <c r="AK144" s="368" t="n">
        <v>1</v>
      </c>
      <c r="AL144" s="368" t="n">
        <v>1</v>
      </c>
      <c r="AM144" s="368" t="n">
        <v>1</v>
      </c>
      <c r="AN144" s="368" t="n">
        <v>1</v>
      </c>
      <c r="AO144" s="368" t="n">
        <v>1</v>
      </c>
      <c r="AP144" s="368" t="n">
        <v>1</v>
      </c>
      <c r="AQ144" s="368" t="n">
        <v>1</v>
      </c>
      <c r="AR144" s="368" t="n">
        <v>1</v>
      </c>
      <c r="AS144" s="368" t="n">
        <v>1</v>
      </c>
      <c r="AT144" s="368" t="n">
        <v>1</v>
      </c>
      <c r="AU144" s="368" t="n">
        <v>1</v>
      </c>
      <c r="AV144" s="368" t="n">
        <v>1</v>
      </c>
      <c r="AW144" s="368" t="n">
        <v>1</v>
      </c>
    </row>
    <row r="145" outlineLevel="1">
      <c r="A145" s="207" t="n"/>
      <c r="B145" s="219" t="inlineStr">
        <is>
          <t>Feature 2 revs</t>
        </is>
      </c>
      <c r="C145" s="406">
        <f>SUMIF($H$5:$AW$5,C$5,$H145:$AW145)</f>
        <v/>
      </c>
      <c r="D145" s="406">
        <f>SUMIF($H$5:$AW$5,D$5,$H145:$AW145)</f>
        <v/>
      </c>
      <c r="E145" s="406">
        <f>SUMIF($H$5:$AW$5,E$5,$H145:$AW145)</f>
        <v/>
      </c>
      <c r="F145" s="406">
        <f>SUMIF($H$5:$AW$5,F$5,$H145:$AW145)</f>
        <v/>
      </c>
      <c r="G145" s="360" t="n"/>
      <c r="H145" s="407">
        <f>H144*H143*H$32</f>
        <v/>
      </c>
      <c r="I145" s="407">
        <f>I144*I143*I$32</f>
        <v/>
      </c>
      <c r="J145" s="407">
        <f>J144*J143*J$32</f>
        <v/>
      </c>
      <c r="K145" s="407">
        <f>K144*K143*K$32</f>
        <v/>
      </c>
      <c r="L145" s="407">
        <f>L144*L143*L$32</f>
        <v/>
      </c>
      <c r="M145" s="407">
        <f>M144*M143*M$32</f>
        <v/>
      </c>
      <c r="N145" s="407">
        <f>N144*N143*N$32</f>
        <v/>
      </c>
      <c r="O145" s="407">
        <f>O144*O143*O$32</f>
        <v/>
      </c>
      <c r="P145" s="407">
        <f>P144*P143*P$32</f>
        <v/>
      </c>
      <c r="Q145" s="407">
        <f>Q144*Q143*Q$32</f>
        <v/>
      </c>
      <c r="R145" s="407">
        <f>R144*R143*R$32</f>
        <v/>
      </c>
      <c r="S145" s="407">
        <f>S144*S143*S$32</f>
        <v/>
      </c>
      <c r="T145" s="407">
        <f>T144*T143*T$32</f>
        <v/>
      </c>
      <c r="U145" s="407">
        <f>U144*U143*U$32</f>
        <v/>
      </c>
      <c r="V145" s="407">
        <f>V144*V143*V$32</f>
        <v/>
      </c>
      <c r="W145" s="407">
        <f>W144*W143*W$32</f>
        <v/>
      </c>
      <c r="X145" s="407">
        <f>X144*X143*X$32</f>
        <v/>
      </c>
      <c r="Y145" s="407">
        <f>Y144*Y143*Y$32</f>
        <v/>
      </c>
      <c r="Z145" s="407">
        <f>Z144*Z143*Z$32</f>
        <v/>
      </c>
      <c r="AA145" s="407">
        <f>AA144*AA143*AA$32</f>
        <v/>
      </c>
      <c r="AB145" s="407">
        <f>AB144*AB143*AB$32</f>
        <v/>
      </c>
      <c r="AC145" s="407">
        <f>AC144*AC143*AC$32</f>
        <v/>
      </c>
      <c r="AD145" s="407">
        <f>AD144*AD143*AD$32</f>
        <v/>
      </c>
      <c r="AE145" s="407">
        <f>AE144*AE143*AE$32</f>
        <v/>
      </c>
      <c r="AF145" s="407">
        <f>AF144*AF143*AF$32</f>
        <v/>
      </c>
      <c r="AG145" s="407">
        <f>AG144*AG143*AG$32</f>
        <v/>
      </c>
      <c r="AH145" s="407">
        <f>AH144*AH143*AH$32</f>
        <v/>
      </c>
      <c r="AI145" s="407">
        <f>AI144*AI143*AI$32</f>
        <v/>
      </c>
      <c r="AJ145" s="407">
        <f>AJ144*AJ143*AJ$32</f>
        <v/>
      </c>
      <c r="AK145" s="407">
        <f>AK144*AK143*AK$32</f>
        <v/>
      </c>
      <c r="AL145" s="407">
        <f>AL144*AL143*AL$32</f>
        <v/>
      </c>
      <c r="AM145" s="407">
        <f>AM144*AM143*AM$32</f>
        <v/>
      </c>
      <c r="AN145" s="407">
        <f>AN144*AN143*AN$32</f>
        <v/>
      </c>
      <c r="AO145" s="407">
        <f>AO144*AO143*AO$32</f>
        <v/>
      </c>
      <c r="AP145" s="407">
        <f>AP144*AP143*AP$32</f>
        <v/>
      </c>
      <c r="AQ145" s="407">
        <f>AQ144*AQ143*AQ$32</f>
        <v/>
      </c>
      <c r="AR145" s="407">
        <f>AR144*AR143*AR$32</f>
        <v/>
      </c>
      <c r="AS145" s="407">
        <f>AS144*AS143*AS$32</f>
        <v/>
      </c>
      <c r="AT145" s="407">
        <f>AT144*AT143*AT$32</f>
        <v/>
      </c>
      <c r="AU145" s="407">
        <f>AU144*AU143*AU$32</f>
        <v/>
      </c>
      <c r="AV145" s="407">
        <f>AV144*AV143*AV$32</f>
        <v/>
      </c>
      <c r="AW145" s="407">
        <f>AW144*AW143*AW$32</f>
        <v/>
      </c>
    </row>
    <row r="146" outlineLevel="1">
      <c r="A146" s="207" t="n"/>
      <c r="C146" s="210" t="n"/>
      <c r="D146" s="210" t="n"/>
      <c r="E146" s="210" t="n"/>
      <c r="F146" s="210" t="n"/>
    </row>
    <row r="147" outlineLevel="1">
      <c r="A147" s="207" t="n"/>
      <c r="B147" s="1" t="inlineStr">
        <is>
          <t>Feature 3</t>
        </is>
      </c>
      <c r="C147" s="210" t="n"/>
      <c r="D147" s="210" t="n"/>
      <c r="E147" s="210" t="n"/>
      <c r="F147" s="210" t="n"/>
    </row>
    <row r="148" outlineLevel="1">
      <c r="A148" s="207" t="n"/>
      <c r="B148" s="11" t="inlineStr">
        <is>
          <t>Adoption %</t>
        </is>
      </c>
      <c r="C148" s="210" t="n"/>
      <c r="D148" s="210" t="n"/>
      <c r="E148" s="210" t="n"/>
      <c r="F148" s="210" t="n"/>
      <c r="H148" s="403" t="n">
        <v>0.05</v>
      </c>
      <c r="I148" s="403" t="n">
        <v>0.05</v>
      </c>
      <c r="J148" s="403" t="n">
        <v>0.05</v>
      </c>
      <c r="K148" s="403" t="n">
        <v>0.05</v>
      </c>
      <c r="L148" s="403" t="n">
        <v>0.05</v>
      </c>
      <c r="M148" s="403" t="n">
        <v>0.05</v>
      </c>
      <c r="N148" s="403" t="n">
        <v>0.05</v>
      </c>
      <c r="O148" s="403" t="n">
        <v>0.05</v>
      </c>
      <c r="P148" s="403" t="n">
        <v>0.05</v>
      </c>
      <c r="Q148" s="403" t="n">
        <v>0.05</v>
      </c>
      <c r="R148" s="403" t="n">
        <v>0.05</v>
      </c>
      <c r="S148" s="403" t="n">
        <v>0.05</v>
      </c>
      <c r="T148" s="403" t="n">
        <v>0.05</v>
      </c>
      <c r="U148" s="403" t="n">
        <v>0.05</v>
      </c>
      <c r="V148" s="403" t="n">
        <v>0.05</v>
      </c>
      <c r="W148" s="403" t="n">
        <v>0.05</v>
      </c>
      <c r="X148" s="403" t="n">
        <v>0.05</v>
      </c>
      <c r="Y148" s="403" t="n">
        <v>0.05</v>
      </c>
      <c r="Z148" s="403" t="n">
        <v>0.05</v>
      </c>
      <c r="AA148" s="403" t="n">
        <v>0.05</v>
      </c>
      <c r="AB148" s="403" t="n">
        <v>0.05</v>
      </c>
      <c r="AC148" s="403" t="n">
        <v>0.05</v>
      </c>
      <c r="AD148" s="403" t="n">
        <v>0.05</v>
      </c>
      <c r="AE148" s="403" t="n">
        <v>0.05</v>
      </c>
      <c r="AF148" s="403" t="n">
        <v>0.05</v>
      </c>
      <c r="AG148" s="403" t="n">
        <v>0.05</v>
      </c>
      <c r="AH148" s="403" t="n">
        <v>0.05</v>
      </c>
      <c r="AI148" s="403" t="n">
        <v>0.05</v>
      </c>
      <c r="AJ148" s="403" t="n">
        <v>0.05</v>
      </c>
      <c r="AK148" s="403" t="n">
        <v>0.05</v>
      </c>
      <c r="AL148" s="403" t="n">
        <v>0.05</v>
      </c>
      <c r="AM148" s="403" t="n">
        <v>0.05</v>
      </c>
      <c r="AN148" s="403" t="n">
        <v>0.05</v>
      </c>
      <c r="AO148" s="403" t="n">
        <v>0.05</v>
      </c>
      <c r="AP148" s="403" t="n">
        <v>0.05</v>
      </c>
      <c r="AQ148" s="403" t="n">
        <v>0.05</v>
      </c>
      <c r="AR148" s="403" t="n">
        <v>0.05</v>
      </c>
      <c r="AS148" s="403" t="n">
        <v>0.05</v>
      </c>
      <c r="AT148" s="403" t="n">
        <v>0.05</v>
      </c>
      <c r="AU148" s="403" t="n">
        <v>0.05</v>
      </c>
      <c r="AV148" s="403" t="n">
        <v>0.05</v>
      </c>
      <c r="AW148" s="403" t="n">
        <v>0.05</v>
      </c>
    </row>
    <row r="149" outlineLevel="1">
      <c r="A149" s="207" t="n"/>
      <c r="B149" s="11" t="inlineStr">
        <is>
          <t>Rev per account per month</t>
        </is>
      </c>
      <c r="C149" s="327" t="n"/>
      <c r="D149" s="327" t="n"/>
      <c r="E149" s="327" t="n"/>
      <c r="F149" s="327" t="n"/>
      <c r="G149" s="358" t="n"/>
      <c r="H149" s="368" t="n">
        <v>1</v>
      </c>
      <c r="I149" s="368" t="n">
        <v>1</v>
      </c>
      <c r="J149" s="368" t="n">
        <v>1</v>
      </c>
      <c r="K149" s="368" t="n">
        <v>1</v>
      </c>
      <c r="L149" s="368" t="n">
        <v>1</v>
      </c>
      <c r="M149" s="368" t="n">
        <v>1</v>
      </c>
      <c r="N149" s="368" t="n">
        <v>1</v>
      </c>
      <c r="O149" s="368" t="n">
        <v>1</v>
      </c>
      <c r="P149" s="368" t="n">
        <v>1</v>
      </c>
      <c r="Q149" s="368" t="n">
        <v>1</v>
      </c>
      <c r="R149" s="368" t="n">
        <v>1</v>
      </c>
      <c r="S149" s="368" t="n">
        <v>1</v>
      </c>
      <c r="T149" s="368" t="n">
        <v>1</v>
      </c>
      <c r="U149" s="368" t="n">
        <v>1</v>
      </c>
      <c r="V149" s="368" t="n">
        <v>1</v>
      </c>
      <c r="W149" s="368" t="n">
        <v>1</v>
      </c>
      <c r="X149" s="368" t="n">
        <v>1</v>
      </c>
      <c r="Y149" s="368" t="n">
        <v>1</v>
      </c>
      <c r="Z149" s="368" t="n">
        <v>1</v>
      </c>
      <c r="AA149" s="368" t="n">
        <v>1</v>
      </c>
      <c r="AB149" s="368" t="n">
        <v>1</v>
      </c>
      <c r="AC149" s="368" t="n">
        <v>1</v>
      </c>
      <c r="AD149" s="368" t="n">
        <v>1</v>
      </c>
      <c r="AE149" s="368" t="n">
        <v>1</v>
      </c>
      <c r="AF149" s="368" t="n">
        <v>1</v>
      </c>
      <c r="AG149" s="368" t="n">
        <v>1</v>
      </c>
      <c r="AH149" s="368" t="n">
        <v>1</v>
      </c>
      <c r="AI149" s="368" t="n">
        <v>1</v>
      </c>
      <c r="AJ149" s="368" t="n">
        <v>1</v>
      </c>
      <c r="AK149" s="368" t="n">
        <v>1</v>
      </c>
      <c r="AL149" s="368" t="n">
        <v>1</v>
      </c>
      <c r="AM149" s="368" t="n">
        <v>1</v>
      </c>
      <c r="AN149" s="368" t="n">
        <v>1</v>
      </c>
      <c r="AO149" s="368" t="n">
        <v>1</v>
      </c>
      <c r="AP149" s="368" t="n">
        <v>1</v>
      </c>
      <c r="AQ149" s="368" t="n">
        <v>1</v>
      </c>
      <c r="AR149" s="368" t="n">
        <v>1</v>
      </c>
      <c r="AS149" s="368" t="n">
        <v>1</v>
      </c>
      <c r="AT149" s="368" t="n">
        <v>1</v>
      </c>
      <c r="AU149" s="368" t="n">
        <v>1</v>
      </c>
      <c r="AV149" s="368" t="n">
        <v>1</v>
      </c>
      <c r="AW149" s="368" t="n">
        <v>1</v>
      </c>
    </row>
    <row r="150" outlineLevel="1">
      <c r="A150" s="207" t="n"/>
      <c r="B150" s="219" t="inlineStr">
        <is>
          <t>Feature 3 revs</t>
        </is>
      </c>
      <c r="C150" s="406">
        <f>SUMIF($H$5:$AW$5,C$5,$H150:$AW150)</f>
        <v/>
      </c>
      <c r="D150" s="406">
        <f>SUMIF($H$5:$AW$5,D$5,$H150:$AW150)</f>
        <v/>
      </c>
      <c r="E150" s="406">
        <f>SUMIF($H$5:$AW$5,E$5,$H150:$AW150)</f>
        <v/>
      </c>
      <c r="F150" s="406">
        <f>SUMIF($H$5:$AW$5,F$5,$H150:$AW150)</f>
        <v/>
      </c>
      <c r="G150" s="360" t="n"/>
      <c r="H150" s="407">
        <f>H149*H148*H$32</f>
        <v/>
      </c>
      <c r="I150" s="407">
        <f>I149*I148*I$32</f>
        <v/>
      </c>
      <c r="J150" s="407">
        <f>J149*J148*J$32</f>
        <v/>
      </c>
      <c r="K150" s="407">
        <f>K149*K148*K$32</f>
        <v/>
      </c>
      <c r="L150" s="407">
        <f>L149*L148*L$32</f>
        <v/>
      </c>
      <c r="M150" s="407">
        <f>M149*M148*M$32</f>
        <v/>
      </c>
      <c r="N150" s="407">
        <f>N149*N148*N$32</f>
        <v/>
      </c>
      <c r="O150" s="407">
        <f>O149*O148*O$32</f>
        <v/>
      </c>
      <c r="P150" s="407">
        <f>P149*P148*P$32</f>
        <v/>
      </c>
      <c r="Q150" s="407">
        <f>Q149*Q148*Q$32</f>
        <v/>
      </c>
      <c r="R150" s="407">
        <f>R149*R148*R$32</f>
        <v/>
      </c>
      <c r="S150" s="407">
        <f>S149*S148*S$32</f>
        <v/>
      </c>
      <c r="T150" s="407">
        <f>T149*T148*T$32</f>
        <v/>
      </c>
      <c r="U150" s="407">
        <f>U149*U148*U$32</f>
        <v/>
      </c>
      <c r="V150" s="407">
        <f>V149*V148*V$32</f>
        <v/>
      </c>
      <c r="W150" s="407">
        <f>W149*W148*W$32</f>
        <v/>
      </c>
      <c r="X150" s="407">
        <f>X149*X148*X$32</f>
        <v/>
      </c>
      <c r="Y150" s="407">
        <f>Y149*Y148*Y$32</f>
        <v/>
      </c>
      <c r="Z150" s="407">
        <f>Z149*Z148*Z$32</f>
        <v/>
      </c>
      <c r="AA150" s="407">
        <f>AA149*AA148*AA$32</f>
        <v/>
      </c>
      <c r="AB150" s="407">
        <f>AB149*AB148*AB$32</f>
        <v/>
      </c>
      <c r="AC150" s="407">
        <f>AC149*AC148*AC$32</f>
        <v/>
      </c>
      <c r="AD150" s="407">
        <f>AD149*AD148*AD$32</f>
        <v/>
      </c>
      <c r="AE150" s="407">
        <f>AE149*AE148*AE$32</f>
        <v/>
      </c>
      <c r="AF150" s="407">
        <f>AF149*AF148*AF$32</f>
        <v/>
      </c>
      <c r="AG150" s="407">
        <f>AG149*AG148*AG$32</f>
        <v/>
      </c>
      <c r="AH150" s="407">
        <f>AH149*AH148*AH$32</f>
        <v/>
      </c>
      <c r="AI150" s="407">
        <f>AI149*AI148*AI$32</f>
        <v/>
      </c>
      <c r="AJ150" s="407">
        <f>AJ149*AJ148*AJ$32</f>
        <v/>
      </c>
      <c r="AK150" s="407">
        <f>AK149*AK148*AK$32</f>
        <v/>
      </c>
      <c r="AL150" s="407">
        <f>AL149*AL148*AL$32</f>
        <v/>
      </c>
      <c r="AM150" s="407">
        <f>AM149*AM148*AM$32</f>
        <v/>
      </c>
      <c r="AN150" s="407">
        <f>AN149*AN148*AN$32</f>
        <v/>
      </c>
      <c r="AO150" s="407">
        <f>AO149*AO148*AO$32</f>
        <v/>
      </c>
      <c r="AP150" s="407">
        <f>AP149*AP148*AP$32</f>
        <v/>
      </c>
      <c r="AQ150" s="407">
        <f>AQ149*AQ148*AQ$32</f>
        <v/>
      </c>
      <c r="AR150" s="407">
        <f>AR149*AR148*AR$32</f>
        <v/>
      </c>
      <c r="AS150" s="407">
        <f>AS149*AS148*AS$32</f>
        <v/>
      </c>
      <c r="AT150" s="407">
        <f>AT149*AT148*AT$32</f>
        <v/>
      </c>
      <c r="AU150" s="407">
        <f>AU149*AU148*AU$32</f>
        <v/>
      </c>
      <c r="AV150" s="407">
        <f>AV149*AV148*AV$32</f>
        <v/>
      </c>
      <c r="AW150" s="407">
        <f>AW149*AW148*AW$32</f>
        <v/>
      </c>
    </row>
    <row r="151" outlineLevel="1">
      <c r="A151" s="207" t="n"/>
      <c r="C151" s="210" t="n"/>
      <c r="D151" s="210" t="n"/>
      <c r="E151" s="210" t="n"/>
      <c r="F151" s="210" t="n"/>
    </row>
    <row r="152" outlineLevel="1">
      <c r="A152" s="207" t="n"/>
      <c r="B152" s="1" t="inlineStr">
        <is>
          <t>Feature 4</t>
        </is>
      </c>
      <c r="C152" s="210" t="n"/>
      <c r="D152" s="210" t="n"/>
      <c r="E152" s="210" t="n"/>
      <c r="F152" s="210" t="n"/>
    </row>
    <row r="153" outlineLevel="1">
      <c r="A153" s="207" t="n"/>
      <c r="B153" s="11" t="inlineStr">
        <is>
          <t>Adoption %</t>
        </is>
      </c>
      <c r="C153" s="210" t="n"/>
      <c r="D153" s="210" t="n"/>
      <c r="E153" s="210" t="n"/>
      <c r="F153" s="210" t="n"/>
      <c r="H153" s="403" t="n">
        <v>0.05</v>
      </c>
      <c r="I153" s="403" t="n">
        <v>0.05</v>
      </c>
      <c r="J153" s="403" t="n">
        <v>0.05</v>
      </c>
      <c r="K153" s="403" t="n">
        <v>0.05</v>
      </c>
      <c r="L153" s="403" t="n">
        <v>0.05</v>
      </c>
      <c r="M153" s="403" t="n">
        <v>0.05</v>
      </c>
      <c r="N153" s="403" t="n">
        <v>0.05</v>
      </c>
      <c r="O153" s="403" t="n">
        <v>0.05</v>
      </c>
      <c r="P153" s="403" t="n">
        <v>0.05</v>
      </c>
      <c r="Q153" s="403" t="n">
        <v>0.05</v>
      </c>
      <c r="R153" s="403" t="n">
        <v>0.05</v>
      </c>
      <c r="S153" s="403" t="n">
        <v>0.05</v>
      </c>
      <c r="T153" s="403" t="n">
        <v>0.05</v>
      </c>
      <c r="U153" s="403" t="n">
        <v>0.05</v>
      </c>
      <c r="V153" s="403" t="n">
        <v>0.05</v>
      </c>
      <c r="W153" s="403" t="n">
        <v>0.05</v>
      </c>
      <c r="X153" s="403" t="n">
        <v>0.05</v>
      </c>
      <c r="Y153" s="403" t="n">
        <v>0.05</v>
      </c>
      <c r="Z153" s="403" t="n">
        <v>0.05</v>
      </c>
      <c r="AA153" s="403" t="n">
        <v>0.05</v>
      </c>
      <c r="AB153" s="403" t="n">
        <v>0.05</v>
      </c>
      <c r="AC153" s="403" t="n">
        <v>0.05</v>
      </c>
      <c r="AD153" s="403" t="n">
        <v>0.05</v>
      </c>
      <c r="AE153" s="403" t="n">
        <v>0.05</v>
      </c>
      <c r="AF153" s="403" t="n">
        <v>0.05</v>
      </c>
      <c r="AG153" s="403" t="n">
        <v>0.05</v>
      </c>
      <c r="AH153" s="403" t="n">
        <v>0.05</v>
      </c>
      <c r="AI153" s="403" t="n">
        <v>0.05</v>
      </c>
      <c r="AJ153" s="403" t="n">
        <v>0.05</v>
      </c>
      <c r="AK153" s="403" t="n">
        <v>0.05</v>
      </c>
      <c r="AL153" s="403" t="n">
        <v>0.05</v>
      </c>
      <c r="AM153" s="403" t="n">
        <v>0.05</v>
      </c>
      <c r="AN153" s="403" t="n">
        <v>0.05</v>
      </c>
      <c r="AO153" s="403" t="n">
        <v>0.05</v>
      </c>
      <c r="AP153" s="403" t="n">
        <v>0.05</v>
      </c>
      <c r="AQ153" s="403" t="n">
        <v>0.05</v>
      </c>
      <c r="AR153" s="403" t="n">
        <v>0.05</v>
      </c>
      <c r="AS153" s="403" t="n">
        <v>0.05</v>
      </c>
      <c r="AT153" s="403" t="n">
        <v>0.05</v>
      </c>
      <c r="AU153" s="403" t="n">
        <v>0.05</v>
      </c>
      <c r="AV153" s="403" t="n">
        <v>0.05</v>
      </c>
      <c r="AW153" s="403" t="n">
        <v>0.05</v>
      </c>
    </row>
    <row r="154" outlineLevel="1">
      <c r="A154" s="207" t="n"/>
      <c r="B154" s="11" t="inlineStr">
        <is>
          <t>Rev per account per month</t>
        </is>
      </c>
      <c r="C154" s="327" t="n"/>
      <c r="D154" s="327" t="n"/>
      <c r="E154" s="327" t="n"/>
      <c r="F154" s="327" t="n"/>
      <c r="G154" s="358" t="n"/>
      <c r="H154" s="368" t="n">
        <v>1</v>
      </c>
      <c r="I154" s="368" t="n">
        <v>1</v>
      </c>
      <c r="J154" s="368" t="n">
        <v>1</v>
      </c>
      <c r="K154" s="368" t="n">
        <v>1</v>
      </c>
      <c r="L154" s="368" t="n">
        <v>1</v>
      </c>
      <c r="M154" s="368" t="n">
        <v>1</v>
      </c>
      <c r="N154" s="368" t="n">
        <v>1</v>
      </c>
      <c r="O154" s="368" t="n">
        <v>1</v>
      </c>
      <c r="P154" s="368" t="n">
        <v>1</v>
      </c>
      <c r="Q154" s="368" t="n">
        <v>1</v>
      </c>
      <c r="R154" s="368" t="n">
        <v>1</v>
      </c>
      <c r="S154" s="368" t="n">
        <v>1</v>
      </c>
      <c r="T154" s="368" t="n">
        <v>1</v>
      </c>
      <c r="U154" s="368" t="n">
        <v>1</v>
      </c>
      <c r="V154" s="368" t="n">
        <v>1</v>
      </c>
      <c r="W154" s="368" t="n">
        <v>1</v>
      </c>
      <c r="X154" s="368" t="n">
        <v>1</v>
      </c>
      <c r="Y154" s="368" t="n">
        <v>1</v>
      </c>
      <c r="Z154" s="368" t="n">
        <v>1</v>
      </c>
      <c r="AA154" s="368" t="n">
        <v>1</v>
      </c>
      <c r="AB154" s="368" t="n">
        <v>1</v>
      </c>
      <c r="AC154" s="368" t="n">
        <v>1</v>
      </c>
      <c r="AD154" s="368" t="n">
        <v>1</v>
      </c>
      <c r="AE154" s="368" t="n">
        <v>1</v>
      </c>
      <c r="AF154" s="368" t="n">
        <v>1</v>
      </c>
      <c r="AG154" s="368" t="n">
        <v>1</v>
      </c>
      <c r="AH154" s="368" t="n">
        <v>1</v>
      </c>
      <c r="AI154" s="368" t="n">
        <v>1</v>
      </c>
      <c r="AJ154" s="368" t="n">
        <v>1</v>
      </c>
      <c r="AK154" s="368" t="n">
        <v>1</v>
      </c>
      <c r="AL154" s="368" t="n">
        <v>1</v>
      </c>
      <c r="AM154" s="368" t="n">
        <v>1</v>
      </c>
      <c r="AN154" s="368" t="n">
        <v>1</v>
      </c>
      <c r="AO154" s="368" t="n">
        <v>1</v>
      </c>
      <c r="AP154" s="368" t="n">
        <v>1</v>
      </c>
      <c r="AQ154" s="368" t="n">
        <v>1</v>
      </c>
      <c r="AR154" s="368" t="n">
        <v>1</v>
      </c>
      <c r="AS154" s="368" t="n">
        <v>1</v>
      </c>
      <c r="AT154" s="368" t="n">
        <v>1</v>
      </c>
      <c r="AU154" s="368" t="n">
        <v>1</v>
      </c>
      <c r="AV154" s="368" t="n">
        <v>1</v>
      </c>
      <c r="AW154" s="368" t="n">
        <v>1</v>
      </c>
    </row>
    <row r="155" outlineLevel="1">
      <c r="A155" s="207" t="n"/>
      <c r="B155" s="219" t="inlineStr">
        <is>
          <t>Feature 4 revs</t>
        </is>
      </c>
      <c r="C155" s="406">
        <f>SUMIF($H$5:$AW$5,C$5,$H155:$AW155)</f>
        <v/>
      </c>
      <c r="D155" s="406">
        <f>SUMIF($H$5:$AW$5,D$5,$H155:$AW155)</f>
        <v/>
      </c>
      <c r="E155" s="406">
        <f>SUMIF($H$5:$AW$5,E$5,$H155:$AW155)</f>
        <v/>
      </c>
      <c r="F155" s="406">
        <f>SUMIF($H$5:$AW$5,F$5,$H155:$AW155)</f>
        <v/>
      </c>
      <c r="G155" s="360" t="n"/>
      <c r="H155" s="407">
        <f>H154*H153*H$32</f>
        <v/>
      </c>
      <c r="I155" s="407">
        <f>I154*I153*I$32</f>
        <v/>
      </c>
      <c r="J155" s="407">
        <f>J154*J153*J$32</f>
        <v/>
      </c>
      <c r="K155" s="407">
        <f>K154*K153*K$32</f>
        <v/>
      </c>
      <c r="L155" s="407">
        <f>L154*L153*L$32</f>
        <v/>
      </c>
      <c r="M155" s="407">
        <f>M154*M153*M$32</f>
        <v/>
      </c>
      <c r="N155" s="407">
        <f>N154*N153*N$32</f>
        <v/>
      </c>
      <c r="O155" s="407">
        <f>O154*O153*O$32</f>
        <v/>
      </c>
      <c r="P155" s="407">
        <f>P154*P153*P$32</f>
        <v/>
      </c>
      <c r="Q155" s="407">
        <f>Q154*Q153*Q$32</f>
        <v/>
      </c>
      <c r="R155" s="407">
        <f>R154*R153*R$32</f>
        <v/>
      </c>
      <c r="S155" s="407">
        <f>S154*S153*S$32</f>
        <v/>
      </c>
      <c r="T155" s="407">
        <f>T154*T153*T$32</f>
        <v/>
      </c>
      <c r="U155" s="407">
        <f>U154*U153*U$32</f>
        <v/>
      </c>
      <c r="V155" s="407">
        <f>V154*V153*V$32</f>
        <v/>
      </c>
      <c r="W155" s="407">
        <f>W154*W153*W$32</f>
        <v/>
      </c>
      <c r="X155" s="407">
        <f>X154*X153*X$32</f>
        <v/>
      </c>
      <c r="Y155" s="407">
        <f>Y154*Y153*Y$32</f>
        <v/>
      </c>
      <c r="Z155" s="407">
        <f>Z154*Z153*Z$32</f>
        <v/>
      </c>
      <c r="AA155" s="407">
        <f>AA154*AA153*AA$32</f>
        <v/>
      </c>
      <c r="AB155" s="407">
        <f>AB154*AB153*AB$32</f>
        <v/>
      </c>
      <c r="AC155" s="407">
        <f>AC154*AC153*AC$32</f>
        <v/>
      </c>
      <c r="AD155" s="407">
        <f>AD154*AD153*AD$32</f>
        <v/>
      </c>
      <c r="AE155" s="407">
        <f>AE154*AE153*AE$32</f>
        <v/>
      </c>
      <c r="AF155" s="407">
        <f>AF154*AF153*AF$32</f>
        <v/>
      </c>
      <c r="AG155" s="407">
        <f>AG154*AG153*AG$32</f>
        <v/>
      </c>
      <c r="AH155" s="407">
        <f>AH154*AH153*AH$32</f>
        <v/>
      </c>
      <c r="AI155" s="407">
        <f>AI154*AI153*AI$32</f>
        <v/>
      </c>
      <c r="AJ155" s="407">
        <f>AJ154*AJ153*AJ$32</f>
        <v/>
      </c>
      <c r="AK155" s="407">
        <f>AK154*AK153*AK$32</f>
        <v/>
      </c>
      <c r="AL155" s="407">
        <f>AL154*AL153*AL$32</f>
        <v/>
      </c>
      <c r="AM155" s="407">
        <f>AM154*AM153*AM$32</f>
        <v/>
      </c>
      <c r="AN155" s="407">
        <f>AN154*AN153*AN$32</f>
        <v/>
      </c>
      <c r="AO155" s="407">
        <f>AO154*AO153*AO$32</f>
        <v/>
      </c>
      <c r="AP155" s="407">
        <f>AP154*AP153*AP$32</f>
        <v/>
      </c>
      <c r="AQ155" s="407">
        <f>AQ154*AQ153*AQ$32</f>
        <v/>
      </c>
      <c r="AR155" s="407">
        <f>AR154*AR153*AR$32</f>
        <v/>
      </c>
      <c r="AS155" s="407">
        <f>AS154*AS153*AS$32</f>
        <v/>
      </c>
      <c r="AT155" s="407">
        <f>AT154*AT153*AT$32</f>
        <v/>
      </c>
      <c r="AU155" s="407">
        <f>AU154*AU153*AU$32</f>
        <v/>
      </c>
      <c r="AV155" s="407">
        <f>AV154*AV153*AV$32</f>
        <v/>
      </c>
      <c r="AW155" s="407">
        <f>AW154*AW153*AW$32</f>
        <v/>
      </c>
    </row>
    <row r="156" outlineLevel="1">
      <c r="A156" s="207" t="n"/>
      <c r="C156" s="210" t="n"/>
      <c r="D156" s="210" t="n"/>
      <c r="E156" s="210" t="n"/>
      <c r="F156" s="210" t="n"/>
    </row>
    <row r="157" outlineLevel="1" collapsed="1">
      <c r="A157" s="207" t="n"/>
      <c r="B157" s="149" t="inlineStr">
        <is>
          <t>On platform features fees - B2B2C</t>
        </is>
      </c>
      <c r="C157" s="208" t="n"/>
      <c r="D157" s="208" t="n"/>
      <c r="E157" s="208" t="n"/>
      <c r="F157" s="208" t="n"/>
      <c r="G157" s="202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  <c r="AB157" s="209" t="n"/>
      <c r="AC157" s="209" t="n"/>
      <c r="AD157" s="209" t="n"/>
      <c r="AE157" s="209" t="n"/>
      <c r="AF157" s="209" t="n"/>
      <c r="AG157" s="209" t="n"/>
      <c r="AH157" s="209" t="n"/>
      <c r="AI157" s="209" t="n"/>
      <c r="AJ157" s="209" t="n"/>
      <c r="AK157" s="209" t="n"/>
      <c r="AL157" s="209" t="n"/>
      <c r="AM157" s="209" t="n"/>
      <c r="AN157" s="209" t="n"/>
      <c r="AO157" s="209" t="n"/>
      <c r="AP157" s="209" t="n"/>
      <c r="AQ157" s="209" t="n"/>
      <c r="AR157" s="209" t="n"/>
      <c r="AS157" s="209" t="n"/>
      <c r="AT157" s="209" t="n"/>
      <c r="AU157" s="209" t="n"/>
      <c r="AV157" s="209" t="n"/>
      <c r="AW157" s="209" t="n"/>
    </row>
    <row r="158" outlineLevel="1">
      <c r="A158" s="207" t="n"/>
    </row>
    <row r="159" outlineLevel="1">
      <c r="A159" s="207" t="n"/>
      <c r="B159" s="1" t="inlineStr">
        <is>
          <t>Feature 1</t>
        </is>
      </c>
      <c r="C159" s="210" t="n"/>
      <c r="D159" s="210" t="n"/>
      <c r="E159" s="210" t="n"/>
      <c r="F159" s="210" t="n"/>
    </row>
    <row r="160" outlineLevel="1">
      <c r="A160" s="207" t="n"/>
      <c r="B160" s="11" t="inlineStr">
        <is>
          <t>Adoption %</t>
        </is>
      </c>
      <c r="C160" s="210" t="n"/>
      <c r="D160" s="210" t="n"/>
      <c r="E160" s="210" t="n"/>
      <c r="F160" s="210" t="n"/>
      <c r="H160" s="403" t="n">
        <v>0.05</v>
      </c>
      <c r="I160" s="403" t="n">
        <v>0.05</v>
      </c>
      <c r="J160" s="403" t="n">
        <v>0.05</v>
      </c>
      <c r="K160" s="403" t="n">
        <v>0.05</v>
      </c>
      <c r="L160" s="403" t="n">
        <v>0.05</v>
      </c>
      <c r="M160" s="403" t="n">
        <v>0.05</v>
      </c>
      <c r="N160" s="403" t="n">
        <v>0.05</v>
      </c>
      <c r="O160" s="403" t="n">
        <v>0.05</v>
      </c>
      <c r="P160" s="403" t="n">
        <v>0.05</v>
      </c>
      <c r="Q160" s="403" t="n">
        <v>0.05</v>
      </c>
      <c r="R160" s="403" t="n">
        <v>0.05</v>
      </c>
      <c r="S160" s="403" t="n">
        <v>0.05</v>
      </c>
      <c r="T160" s="403" t="n">
        <v>0.05</v>
      </c>
      <c r="U160" s="403" t="n">
        <v>0.05</v>
      </c>
      <c r="V160" s="403" t="n">
        <v>0.05</v>
      </c>
      <c r="W160" s="403" t="n">
        <v>0.05</v>
      </c>
      <c r="X160" s="403" t="n">
        <v>0.05</v>
      </c>
      <c r="Y160" s="403" t="n">
        <v>0.05</v>
      </c>
      <c r="Z160" s="403" t="n">
        <v>0.05</v>
      </c>
      <c r="AA160" s="403" t="n">
        <v>0.05</v>
      </c>
      <c r="AB160" s="403" t="n">
        <v>0.05</v>
      </c>
      <c r="AC160" s="403" t="n">
        <v>0.05</v>
      </c>
      <c r="AD160" s="403" t="n">
        <v>0.05</v>
      </c>
      <c r="AE160" s="403" t="n">
        <v>0.05</v>
      </c>
      <c r="AF160" s="403" t="n">
        <v>0.05</v>
      </c>
      <c r="AG160" s="403" t="n">
        <v>0.05</v>
      </c>
      <c r="AH160" s="403" t="n">
        <v>0.05</v>
      </c>
      <c r="AI160" s="403" t="n">
        <v>0.05</v>
      </c>
      <c r="AJ160" s="403" t="n">
        <v>0.05</v>
      </c>
      <c r="AK160" s="403" t="n">
        <v>0.05</v>
      </c>
      <c r="AL160" s="403" t="n">
        <v>0.05</v>
      </c>
      <c r="AM160" s="403" t="n">
        <v>0.05</v>
      </c>
      <c r="AN160" s="403" t="n">
        <v>0.05</v>
      </c>
      <c r="AO160" s="403" t="n">
        <v>0.05</v>
      </c>
      <c r="AP160" s="403" t="n">
        <v>0.05</v>
      </c>
      <c r="AQ160" s="403" t="n">
        <v>0.05</v>
      </c>
      <c r="AR160" s="403" t="n">
        <v>0.05</v>
      </c>
      <c r="AS160" s="403" t="n">
        <v>0.05</v>
      </c>
      <c r="AT160" s="403" t="n">
        <v>0.05</v>
      </c>
      <c r="AU160" s="403" t="n">
        <v>0.05</v>
      </c>
      <c r="AV160" s="403" t="n">
        <v>0.05</v>
      </c>
      <c r="AW160" s="403" t="n">
        <v>0.05</v>
      </c>
    </row>
    <row r="161" outlineLevel="1">
      <c r="A161" s="207" t="n"/>
      <c r="B161" s="11" t="inlineStr">
        <is>
          <t>Rev per user per month</t>
        </is>
      </c>
      <c r="C161" s="327" t="n"/>
      <c r="D161" s="327" t="n"/>
      <c r="E161" s="327" t="n"/>
      <c r="F161" s="327" t="n"/>
      <c r="G161" s="358" t="n"/>
      <c r="H161" s="368" t="n">
        <v>1</v>
      </c>
      <c r="I161" s="368" t="n">
        <v>1</v>
      </c>
      <c r="J161" s="368" t="n">
        <v>1</v>
      </c>
      <c r="K161" s="368" t="n">
        <v>1</v>
      </c>
      <c r="L161" s="368" t="n">
        <v>1</v>
      </c>
      <c r="M161" s="368" t="n">
        <v>1</v>
      </c>
      <c r="N161" s="368" t="n">
        <v>1</v>
      </c>
      <c r="O161" s="368" t="n">
        <v>1</v>
      </c>
      <c r="P161" s="368" t="n">
        <v>1</v>
      </c>
      <c r="Q161" s="368" t="n">
        <v>1</v>
      </c>
      <c r="R161" s="368" t="n">
        <v>1</v>
      </c>
      <c r="S161" s="368" t="n">
        <v>1</v>
      </c>
      <c r="T161" s="368" t="n">
        <v>1</v>
      </c>
      <c r="U161" s="368" t="n">
        <v>1</v>
      </c>
      <c r="V161" s="368" t="n">
        <v>1</v>
      </c>
      <c r="W161" s="368" t="n">
        <v>1</v>
      </c>
      <c r="X161" s="368" t="n">
        <v>1</v>
      </c>
      <c r="Y161" s="368" t="n">
        <v>1</v>
      </c>
      <c r="Z161" s="368" t="n">
        <v>1</v>
      </c>
      <c r="AA161" s="368" t="n">
        <v>1</v>
      </c>
      <c r="AB161" s="368" t="n">
        <v>1</v>
      </c>
      <c r="AC161" s="368" t="n">
        <v>1</v>
      </c>
      <c r="AD161" s="368" t="n">
        <v>1</v>
      </c>
      <c r="AE161" s="368" t="n">
        <v>1</v>
      </c>
      <c r="AF161" s="368" t="n">
        <v>1</v>
      </c>
      <c r="AG161" s="368" t="n">
        <v>1</v>
      </c>
      <c r="AH161" s="368" t="n">
        <v>1</v>
      </c>
      <c r="AI161" s="368" t="n">
        <v>1</v>
      </c>
      <c r="AJ161" s="368" t="n">
        <v>1</v>
      </c>
      <c r="AK161" s="368" t="n">
        <v>1</v>
      </c>
      <c r="AL161" s="368" t="n">
        <v>1</v>
      </c>
      <c r="AM161" s="368" t="n">
        <v>1</v>
      </c>
      <c r="AN161" s="368" t="n">
        <v>1</v>
      </c>
      <c r="AO161" s="368" t="n">
        <v>1</v>
      </c>
      <c r="AP161" s="368" t="n">
        <v>1</v>
      </c>
      <c r="AQ161" s="368" t="n">
        <v>1</v>
      </c>
      <c r="AR161" s="368" t="n">
        <v>1</v>
      </c>
      <c r="AS161" s="368" t="n">
        <v>1</v>
      </c>
      <c r="AT161" s="368" t="n">
        <v>1</v>
      </c>
      <c r="AU161" s="368" t="n">
        <v>1</v>
      </c>
      <c r="AV161" s="368" t="n">
        <v>1</v>
      </c>
      <c r="AW161" s="368" t="n">
        <v>1</v>
      </c>
    </row>
    <row r="162" outlineLevel="1">
      <c r="A162" s="207" t="n"/>
      <c r="B162" s="219" t="inlineStr">
        <is>
          <t>Feature 1 revs</t>
        </is>
      </c>
      <c r="C162" s="406">
        <f>SUMIF($H$5:$AW$5,C$5,$H162:$AW162)</f>
        <v/>
      </c>
      <c r="D162" s="406">
        <f>SUMIF($H$5:$AW$5,D$5,$H162:$AW162)</f>
        <v/>
      </c>
      <c r="E162" s="406">
        <f>SUMIF($H$5:$AW$5,E$5,$H162:$AW162)</f>
        <v/>
      </c>
      <c r="F162" s="406">
        <f>SUMIF($H$5:$AW$5,F$5,$H162:$AW162)</f>
        <v/>
      </c>
      <c r="G162" s="360" t="n"/>
      <c r="H162" s="407">
        <f>H161*H160*H$32</f>
        <v/>
      </c>
      <c r="I162" s="407">
        <f>I161*I160*I$32</f>
        <v/>
      </c>
      <c r="J162" s="407">
        <f>J161*J160*J$32</f>
        <v/>
      </c>
      <c r="K162" s="407">
        <f>K161*K160*K$32</f>
        <v/>
      </c>
      <c r="L162" s="407">
        <f>L161*L160*L$32</f>
        <v/>
      </c>
      <c r="M162" s="407">
        <f>M161*M160*M$32</f>
        <v/>
      </c>
      <c r="N162" s="407">
        <f>N161*N160*N$32</f>
        <v/>
      </c>
      <c r="O162" s="407">
        <f>O161*O160*O$32</f>
        <v/>
      </c>
      <c r="P162" s="407">
        <f>P161*P160*P$32</f>
        <v/>
      </c>
      <c r="Q162" s="407">
        <f>Q161*Q160*Q$32</f>
        <v/>
      </c>
      <c r="R162" s="407">
        <f>R161*R160*R$32</f>
        <v/>
      </c>
      <c r="S162" s="407">
        <f>S161*S160*S$32</f>
        <v/>
      </c>
      <c r="T162" s="407">
        <f>T161*T160*T$32</f>
        <v/>
      </c>
      <c r="U162" s="407">
        <f>U161*U160*U$32</f>
        <v/>
      </c>
      <c r="V162" s="407">
        <f>V161*V160*V$32</f>
        <v/>
      </c>
      <c r="W162" s="407">
        <f>W161*W160*W$32</f>
        <v/>
      </c>
      <c r="X162" s="407">
        <f>X161*X160*X$32</f>
        <v/>
      </c>
      <c r="Y162" s="407">
        <f>Y161*Y160*Y$32</f>
        <v/>
      </c>
      <c r="Z162" s="407">
        <f>Z161*Z160*Z$32</f>
        <v/>
      </c>
      <c r="AA162" s="407">
        <f>AA161*AA160*AA$32</f>
        <v/>
      </c>
      <c r="AB162" s="407">
        <f>AB161*AB160*AB$32</f>
        <v/>
      </c>
      <c r="AC162" s="407">
        <f>AC161*AC160*AC$32</f>
        <v/>
      </c>
      <c r="AD162" s="407">
        <f>AD161*AD160*AD$32</f>
        <v/>
      </c>
      <c r="AE162" s="407">
        <f>AE161*AE160*AE$32</f>
        <v/>
      </c>
      <c r="AF162" s="407">
        <f>AF161*AF160*AF$32</f>
        <v/>
      </c>
      <c r="AG162" s="407">
        <f>AG161*AG160*AG$32</f>
        <v/>
      </c>
      <c r="AH162" s="407">
        <f>AH161*AH160*AH$32</f>
        <v/>
      </c>
      <c r="AI162" s="407">
        <f>AI161*AI160*AI$32</f>
        <v/>
      </c>
      <c r="AJ162" s="407">
        <f>AJ161*AJ160*AJ$32</f>
        <v/>
      </c>
      <c r="AK162" s="407">
        <f>AK161*AK160*AK$32</f>
        <v/>
      </c>
      <c r="AL162" s="407">
        <f>AL161*AL160*AL$32</f>
        <v/>
      </c>
      <c r="AM162" s="407">
        <f>AM161*AM160*AM$32</f>
        <v/>
      </c>
      <c r="AN162" s="407">
        <f>AN161*AN160*AN$32</f>
        <v/>
      </c>
      <c r="AO162" s="407">
        <f>AO161*AO160*AO$32</f>
        <v/>
      </c>
      <c r="AP162" s="407">
        <f>AP161*AP160*AP$32</f>
        <v/>
      </c>
      <c r="AQ162" s="407">
        <f>AQ161*AQ160*AQ$32</f>
        <v/>
      </c>
      <c r="AR162" s="407">
        <f>AR161*AR160*AR$32</f>
        <v/>
      </c>
      <c r="AS162" s="407">
        <f>AS161*AS160*AS$32</f>
        <v/>
      </c>
      <c r="AT162" s="407">
        <f>AT161*AT160*AT$32</f>
        <v/>
      </c>
      <c r="AU162" s="407">
        <f>AU161*AU160*AU$32</f>
        <v/>
      </c>
      <c r="AV162" s="407">
        <f>AV161*AV160*AV$32</f>
        <v/>
      </c>
      <c r="AW162" s="407">
        <f>AW161*AW160*AW$32</f>
        <v/>
      </c>
    </row>
    <row r="163" outlineLevel="1">
      <c r="A163" s="207" t="n"/>
      <c r="C163" s="210" t="n"/>
      <c r="D163" s="210" t="n"/>
      <c r="E163" s="210" t="n"/>
      <c r="F163" s="210" t="n"/>
    </row>
    <row r="164" outlineLevel="1">
      <c r="A164" s="207" t="n"/>
      <c r="B164" s="1" t="inlineStr">
        <is>
          <t>Feature 2</t>
        </is>
      </c>
      <c r="C164" s="210" t="n"/>
      <c r="D164" s="210" t="n"/>
      <c r="E164" s="210" t="n"/>
      <c r="F164" s="210" t="n"/>
    </row>
    <row r="165" outlineLevel="1">
      <c r="A165" s="207" t="n"/>
      <c r="B165" s="11" t="inlineStr">
        <is>
          <t>Adoption %</t>
        </is>
      </c>
      <c r="C165" s="210" t="n"/>
      <c r="D165" s="210" t="n"/>
      <c r="E165" s="210" t="n"/>
      <c r="F165" s="210" t="n"/>
      <c r="H165" s="403" t="n">
        <v>0.05</v>
      </c>
      <c r="I165" s="403" t="n">
        <v>0.05</v>
      </c>
      <c r="J165" s="403" t="n">
        <v>0.05</v>
      </c>
      <c r="K165" s="403" t="n">
        <v>0.05</v>
      </c>
      <c r="L165" s="403" t="n">
        <v>0.05</v>
      </c>
      <c r="M165" s="403" t="n">
        <v>0.05</v>
      </c>
      <c r="N165" s="403" t="n">
        <v>0.05</v>
      </c>
      <c r="O165" s="403" t="n">
        <v>0.05</v>
      </c>
      <c r="P165" s="403" t="n">
        <v>0.05</v>
      </c>
      <c r="Q165" s="403" t="n">
        <v>0.05</v>
      </c>
      <c r="R165" s="403" t="n">
        <v>0.05</v>
      </c>
      <c r="S165" s="403" t="n">
        <v>0.05</v>
      </c>
      <c r="T165" s="403" t="n">
        <v>0.05</v>
      </c>
      <c r="U165" s="403" t="n">
        <v>0.05</v>
      </c>
      <c r="V165" s="403" t="n">
        <v>0.05</v>
      </c>
      <c r="W165" s="403" t="n">
        <v>0.05</v>
      </c>
      <c r="X165" s="403" t="n">
        <v>0.05</v>
      </c>
      <c r="Y165" s="403" t="n">
        <v>0.05</v>
      </c>
      <c r="Z165" s="403" t="n">
        <v>0.05</v>
      </c>
      <c r="AA165" s="403" t="n">
        <v>0.05</v>
      </c>
      <c r="AB165" s="403" t="n">
        <v>0.05</v>
      </c>
      <c r="AC165" s="403" t="n">
        <v>0.05</v>
      </c>
      <c r="AD165" s="403" t="n">
        <v>0.05</v>
      </c>
      <c r="AE165" s="403" t="n">
        <v>0.05</v>
      </c>
      <c r="AF165" s="403" t="n">
        <v>0.05</v>
      </c>
      <c r="AG165" s="403" t="n">
        <v>0.05</v>
      </c>
      <c r="AH165" s="403" t="n">
        <v>0.05</v>
      </c>
      <c r="AI165" s="403" t="n">
        <v>0.05</v>
      </c>
      <c r="AJ165" s="403" t="n">
        <v>0.05</v>
      </c>
      <c r="AK165" s="403" t="n">
        <v>0.05</v>
      </c>
      <c r="AL165" s="403" t="n">
        <v>0.05</v>
      </c>
      <c r="AM165" s="403" t="n">
        <v>0.05</v>
      </c>
      <c r="AN165" s="403" t="n">
        <v>0.05</v>
      </c>
      <c r="AO165" s="403" t="n">
        <v>0.05</v>
      </c>
      <c r="AP165" s="403" t="n">
        <v>0.05</v>
      </c>
      <c r="AQ165" s="403" t="n">
        <v>0.05</v>
      </c>
      <c r="AR165" s="403" t="n">
        <v>0.05</v>
      </c>
      <c r="AS165" s="403" t="n">
        <v>0.05</v>
      </c>
      <c r="AT165" s="403" t="n">
        <v>0.05</v>
      </c>
      <c r="AU165" s="403" t="n">
        <v>0.05</v>
      </c>
      <c r="AV165" s="403" t="n">
        <v>0.05</v>
      </c>
      <c r="AW165" s="403" t="n">
        <v>0.05</v>
      </c>
    </row>
    <row r="166" outlineLevel="1">
      <c r="A166" s="207" t="n"/>
      <c r="B166" s="11" t="inlineStr">
        <is>
          <t>Rev per user per month</t>
        </is>
      </c>
      <c r="C166" s="327" t="n"/>
      <c r="D166" s="327" t="n"/>
      <c r="E166" s="327" t="n"/>
      <c r="F166" s="327" t="n"/>
      <c r="G166" s="358" t="n"/>
      <c r="H166" s="368" t="n">
        <v>1</v>
      </c>
      <c r="I166" s="368" t="n">
        <v>1</v>
      </c>
      <c r="J166" s="368" t="n">
        <v>1</v>
      </c>
      <c r="K166" s="368" t="n">
        <v>1</v>
      </c>
      <c r="L166" s="368" t="n">
        <v>1</v>
      </c>
      <c r="M166" s="368" t="n">
        <v>1</v>
      </c>
      <c r="N166" s="368" t="n">
        <v>1</v>
      </c>
      <c r="O166" s="368" t="n">
        <v>1</v>
      </c>
      <c r="P166" s="368" t="n">
        <v>1</v>
      </c>
      <c r="Q166" s="368" t="n">
        <v>1</v>
      </c>
      <c r="R166" s="368" t="n">
        <v>1</v>
      </c>
      <c r="S166" s="368" t="n">
        <v>1</v>
      </c>
      <c r="T166" s="368" t="n">
        <v>1</v>
      </c>
      <c r="U166" s="368" t="n">
        <v>1</v>
      </c>
      <c r="V166" s="368" t="n">
        <v>1</v>
      </c>
      <c r="W166" s="368" t="n">
        <v>1</v>
      </c>
      <c r="X166" s="368" t="n">
        <v>1</v>
      </c>
      <c r="Y166" s="368" t="n">
        <v>1</v>
      </c>
      <c r="Z166" s="368" t="n">
        <v>1</v>
      </c>
      <c r="AA166" s="368" t="n">
        <v>1</v>
      </c>
      <c r="AB166" s="368" t="n">
        <v>1</v>
      </c>
      <c r="AC166" s="368" t="n">
        <v>1</v>
      </c>
      <c r="AD166" s="368" t="n">
        <v>1</v>
      </c>
      <c r="AE166" s="368" t="n">
        <v>1</v>
      </c>
      <c r="AF166" s="368" t="n">
        <v>1</v>
      </c>
      <c r="AG166" s="368" t="n">
        <v>1</v>
      </c>
      <c r="AH166" s="368" t="n">
        <v>1</v>
      </c>
      <c r="AI166" s="368" t="n">
        <v>1</v>
      </c>
      <c r="AJ166" s="368" t="n">
        <v>1</v>
      </c>
      <c r="AK166" s="368" t="n">
        <v>1</v>
      </c>
      <c r="AL166" s="368" t="n">
        <v>1</v>
      </c>
      <c r="AM166" s="368" t="n">
        <v>1</v>
      </c>
      <c r="AN166" s="368" t="n">
        <v>1</v>
      </c>
      <c r="AO166" s="368" t="n">
        <v>1</v>
      </c>
      <c r="AP166" s="368" t="n">
        <v>1</v>
      </c>
      <c r="AQ166" s="368" t="n">
        <v>1</v>
      </c>
      <c r="AR166" s="368" t="n">
        <v>1</v>
      </c>
      <c r="AS166" s="368" t="n">
        <v>1</v>
      </c>
      <c r="AT166" s="368" t="n">
        <v>1</v>
      </c>
      <c r="AU166" s="368" t="n">
        <v>1</v>
      </c>
      <c r="AV166" s="368" t="n">
        <v>1</v>
      </c>
      <c r="AW166" s="368" t="n">
        <v>1</v>
      </c>
    </row>
    <row r="167" outlineLevel="1">
      <c r="A167" s="207" t="n"/>
      <c r="B167" s="219" t="inlineStr">
        <is>
          <t>Feature 2 revs</t>
        </is>
      </c>
      <c r="C167" s="406">
        <f>SUMIF($H$5:$AW$5,C$5,$H167:$AW167)</f>
        <v/>
      </c>
      <c r="D167" s="406">
        <f>SUMIF($H$5:$AW$5,D$5,$H167:$AW167)</f>
        <v/>
      </c>
      <c r="E167" s="406">
        <f>SUMIF($H$5:$AW$5,E$5,$H167:$AW167)</f>
        <v/>
      </c>
      <c r="F167" s="406">
        <f>SUMIF($H$5:$AW$5,F$5,$H167:$AW167)</f>
        <v/>
      </c>
      <c r="G167" s="360" t="n"/>
      <c r="H167" s="407">
        <f>H166*H165*H$32</f>
        <v/>
      </c>
      <c r="I167" s="407">
        <f>I166*I165*I$32</f>
        <v/>
      </c>
      <c r="J167" s="407">
        <f>J166*J165*J$32</f>
        <v/>
      </c>
      <c r="K167" s="407">
        <f>K166*K165*K$32</f>
        <v/>
      </c>
      <c r="L167" s="407">
        <f>L166*L165*L$32</f>
        <v/>
      </c>
      <c r="M167" s="407">
        <f>M166*M165*M$32</f>
        <v/>
      </c>
      <c r="N167" s="407">
        <f>N166*N165*N$32</f>
        <v/>
      </c>
      <c r="O167" s="407">
        <f>O166*O165*O$32</f>
        <v/>
      </c>
      <c r="P167" s="407">
        <f>P166*P165*P$32</f>
        <v/>
      </c>
      <c r="Q167" s="407">
        <f>Q166*Q165*Q$32</f>
        <v/>
      </c>
      <c r="R167" s="407">
        <f>R166*R165*R$32</f>
        <v/>
      </c>
      <c r="S167" s="407">
        <f>S166*S165*S$32</f>
        <v/>
      </c>
      <c r="T167" s="407">
        <f>T166*T165*T$32</f>
        <v/>
      </c>
      <c r="U167" s="407">
        <f>U166*U165*U$32</f>
        <v/>
      </c>
      <c r="V167" s="407">
        <f>V166*V165*V$32</f>
        <v/>
      </c>
      <c r="W167" s="407">
        <f>W166*W165*W$32</f>
        <v/>
      </c>
      <c r="X167" s="407">
        <f>X166*X165*X$32</f>
        <v/>
      </c>
      <c r="Y167" s="407">
        <f>Y166*Y165*Y$32</f>
        <v/>
      </c>
      <c r="Z167" s="407">
        <f>Z166*Z165*Z$32</f>
        <v/>
      </c>
      <c r="AA167" s="407">
        <f>AA166*AA165*AA$32</f>
        <v/>
      </c>
      <c r="AB167" s="407">
        <f>AB166*AB165*AB$32</f>
        <v/>
      </c>
      <c r="AC167" s="407">
        <f>AC166*AC165*AC$32</f>
        <v/>
      </c>
      <c r="AD167" s="407">
        <f>AD166*AD165*AD$32</f>
        <v/>
      </c>
      <c r="AE167" s="407">
        <f>AE166*AE165*AE$32</f>
        <v/>
      </c>
      <c r="AF167" s="407">
        <f>AF166*AF165*AF$32</f>
        <v/>
      </c>
      <c r="AG167" s="407">
        <f>AG166*AG165*AG$32</f>
        <v/>
      </c>
      <c r="AH167" s="407">
        <f>AH166*AH165*AH$32</f>
        <v/>
      </c>
      <c r="AI167" s="407">
        <f>AI166*AI165*AI$32</f>
        <v/>
      </c>
      <c r="AJ167" s="407">
        <f>AJ166*AJ165*AJ$32</f>
        <v/>
      </c>
      <c r="AK167" s="407">
        <f>AK166*AK165*AK$32</f>
        <v/>
      </c>
      <c r="AL167" s="407">
        <f>AL166*AL165*AL$32</f>
        <v/>
      </c>
      <c r="AM167" s="407">
        <f>AM166*AM165*AM$32</f>
        <v/>
      </c>
      <c r="AN167" s="407">
        <f>AN166*AN165*AN$32</f>
        <v/>
      </c>
      <c r="AO167" s="407">
        <f>AO166*AO165*AO$32</f>
        <v/>
      </c>
      <c r="AP167" s="407">
        <f>AP166*AP165*AP$32</f>
        <v/>
      </c>
      <c r="AQ167" s="407">
        <f>AQ166*AQ165*AQ$32</f>
        <v/>
      </c>
      <c r="AR167" s="407">
        <f>AR166*AR165*AR$32</f>
        <v/>
      </c>
      <c r="AS167" s="407">
        <f>AS166*AS165*AS$32</f>
        <v/>
      </c>
      <c r="AT167" s="407">
        <f>AT166*AT165*AT$32</f>
        <v/>
      </c>
      <c r="AU167" s="407">
        <f>AU166*AU165*AU$32</f>
        <v/>
      </c>
      <c r="AV167" s="407">
        <f>AV166*AV165*AV$32</f>
        <v/>
      </c>
      <c r="AW167" s="407">
        <f>AW166*AW165*AW$32</f>
        <v/>
      </c>
    </row>
    <row r="168" outlineLevel="1">
      <c r="A168" s="207" t="n"/>
      <c r="C168" s="210" t="n"/>
      <c r="D168" s="210" t="n"/>
      <c r="E168" s="210" t="n"/>
      <c r="F168" s="210" t="n"/>
    </row>
    <row r="169" outlineLevel="1">
      <c r="A169" s="207" t="n"/>
      <c r="B169" s="1" t="inlineStr">
        <is>
          <t>Feature 3</t>
        </is>
      </c>
      <c r="C169" s="210" t="n"/>
      <c r="D169" s="210" t="n"/>
      <c r="E169" s="210" t="n"/>
      <c r="F169" s="210" t="n"/>
    </row>
    <row r="170" outlineLevel="1">
      <c r="A170" s="207" t="n"/>
      <c r="B170" s="11" t="inlineStr">
        <is>
          <t>Adoption %</t>
        </is>
      </c>
      <c r="C170" s="210" t="n"/>
      <c r="D170" s="210" t="n"/>
      <c r="E170" s="210" t="n"/>
      <c r="F170" s="210" t="n"/>
      <c r="H170" s="403" t="n">
        <v>0.05</v>
      </c>
      <c r="I170" s="403" t="n">
        <v>0.05</v>
      </c>
      <c r="J170" s="403" t="n">
        <v>0.05</v>
      </c>
      <c r="K170" s="403" t="n">
        <v>0.05</v>
      </c>
      <c r="L170" s="403" t="n">
        <v>0.05</v>
      </c>
      <c r="M170" s="403" t="n">
        <v>0.05</v>
      </c>
      <c r="N170" s="403" t="n">
        <v>0.05</v>
      </c>
      <c r="O170" s="403" t="n">
        <v>0.05</v>
      </c>
      <c r="P170" s="403" t="n">
        <v>0.05</v>
      </c>
      <c r="Q170" s="403" t="n">
        <v>0.05</v>
      </c>
      <c r="R170" s="403" t="n">
        <v>0.05</v>
      </c>
      <c r="S170" s="403" t="n">
        <v>0.05</v>
      </c>
      <c r="T170" s="403" t="n">
        <v>0.05</v>
      </c>
      <c r="U170" s="403" t="n">
        <v>0.05</v>
      </c>
      <c r="V170" s="403" t="n">
        <v>0.05</v>
      </c>
      <c r="W170" s="403" t="n">
        <v>0.05</v>
      </c>
      <c r="X170" s="403" t="n">
        <v>0.05</v>
      </c>
      <c r="Y170" s="403" t="n">
        <v>0.05</v>
      </c>
      <c r="Z170" s="403" t="n">
        <v>0.05</v>
      </c>
      <c r="AA170" s="403" t="n">
        <v>0.05</v>
      </c>
      <c r="AB170" s="403" t="n">
        <v>0.05</v>
      </c>
      <c r="AC170" s="403" t="n">
        <v>0.05</v>
      </c>
      <c r="AD170" s="403" t="n">
        <v>0.05</v>
      </c>
      <c r="AE170" s="403" t="n">
        <v>0.05</v>
      </c>
      <c r="AF170" s="403" t="n">
        <v>0.05</v>
      </c>
      <c r="AG170" s="403" t="n">
        <v>0.05</v>
      </c>
      <c r="AH170" s="403" t="n">
        <v>0.05</v>
      </c>
      <c r="AI170" s="403" t="n">
        <v>0.05</v>
      </c>
      <c r="AJ170" s="403" t="n">
        <v>0.05</v>
      </c>
      <c r="AK170" s="403" t="n">
        <v>0.05</v>
      </c>
      <c r="AL170" s="403" t="n">
        <v>0.05</v>
      </c>
      <c r="AM170" s="403" t="n">
        <v>0.05</v>
      </c>
      <c r="AN170" s="403" t="n">
        <v>0.05</v>
      </c>
      <c r="AO170" s="403" t="n">
        <v>0.05</v>
      </c>
      <c r="AP170" s="403" t="n">
        <v>0.05</v>
      </c>
      <c r="AQ170" s="403" t="n">
        <v>0.05</v>
      </c>
      <c r="AR170" s="403" t="n">
        <v>0.05</v>
      </c>
      <c r="AS170" s="403" t="n">
        <v>0.05</v>
      </c>
      <c r="AT170" s="403" t="n">
        <v>0.05</v>
      </c>
      <c r="AU170" s="403" t="n">
        <v>0.05</v>
      </c>
      <c r="AV170" s="403" t="n">
        <v>0.05</v>
      </c>
      <c r="AW170" s="403" t="n">
        <v>0.05</v>
      </c>
    </row>
    <row r="171" outlineLevel="1">
      <c r="A171" s="207" t="n"/>
      <c r="B171" s="11" t="inlineStr">
        <is>
          <t>Rev per user per month</t>
        </is>
      </c>
      <c r="C171" s="327" t="n"/>
      <c r="D171" s="327" t="n"/>
      <c r="E171" s="327" t="n"/>
      <c r="F171" s="327" t="n"/>
      <c r="G171" s="358" t="n"/>
      <c r="H171" s="368" t="n">
        <v>1</v>
      </c>
      <c r="I171" s="368" t="n">
        <v>1</v>
      </c>
      <c r="J171" s="368" t="n">
        <v>1</v>
      </c>
      <c r="K171" s="368" t="n">
        <v>1</v>
      </c>
      <c r="L171" s="368" t="n">
        <v>1</v>
      </c>
      <c r="M171" s="368" t="n">
        <v>1</v>
      </c>
      <c r="N171" s="368" t="n">
        <v>1</v>
      </c>
      <c r="O171" s="368" t="n">
        <v>1</v>
      </c>
      <c r="P171" s="368" t="n">
        <v>1</v>
      </c>
      <c r="Q171" s="368" t="n">
        <v>1</v>
      </c>
      <c r="R171" s="368" t="n">
        <v>1</v>
      </c>
      <c r="S171" s="368" t="n">
        <v>1</v>
      </c>
      <c r="T171" s="368" t="n">
        <v>1</v>
      </c>
      <c r="U171" s="368" t="n">
        <v>1</v>
      </c>
      <c r="V171" s="368" t="n">
        <v>1</v>
      </c>
      <c r="W171" s="368" t="n">
        <v>1</v>
      </c>
      <c r="X171" s="368" t="n">
        <v>1</v>
      </c>
      <c r="Y171" s="368" t="n">
        <v>1</v>
      </c>
      <c r="Z171" s="368" t="n">
        <v>1</v>
      </c>
      <c r="AA171" s="368" t="n">
        <v>1</v>
      </c>
      <c r="AB171" s="368" t="n">
        <v>1</v>
      </c>
      <c r="AC171" s="368" t="n">
        <v>1</v>
      </c>
      <c r="AD171" s="368" t="n">
        <v>1</v>
      </c>
      <c r="AE171" s="368" t="n">
        <v>1</v>
      </c>
      <c r="AF171" s="368" t="n">
        <v>1</v>
      </c>
      <c r="AG171" s="368" t="n">
        <v>1</v>
      </c>
      <c r="AH171" s="368" t="n">
        <v>1</v>
      </c>
      <c r="AI171" s="368" t="n">
        <v>1</v>
      </c>
      <c r="AJ171" s="368" t="n">
        <v>1</v>
      </c>
      <c r="AK171" s="368" t="n">
        <v>1</v>
      </c>
      <c r="AL171" s="368" t="n">
        <v>1</v>
      </c>
      <c r="AM171" s="368" t="n">
        <v>1</v>
      </c>
      <c r="AN171" s="368" t="n">
        <v>1</v>
      </c>
      <c r="AO171" s="368" t="n">
        <v>1</v>
      </c>
      <c r="AP171" s="368" t="n">
        <v>1</v>
      </c>
      <c r="AQ171" s="368" t="n">
        <v>1</v>
      </c>
      <c r="AR171" s="368" t="n">
        <v>1</v>
      </c>
      <c r="AS171" s="368" t="n">
        <v>1</v>
      </c>
      <c r="AT171" s="368" t="n">
        <v>1</v>
      </c>
      <c r="AU171" s="368" t="n">
        <v>1</v>
      </c>
      <c r="AV171" s="368" t="n">
        <v>1</v>
      </c>
      <c r="AW171" s="368" t="n">
        <v>1</v>
      </c>
    </row>
    <row r="172" outlineLevel="1">
      <c r="A172" s="207" t="n"/>
      <c r="B172" s="219" t="inlineStr">
        <is>
          <t>Feature 3 revs</t>
        </is>
      </c>
      <c r="C172" s="406">
        <f>SUMIF($H$5:$AW$5,C$5,$H172:$AW172)</f>
        <v/>
      </c>
      <c r="D172" s="406">
        <f>SUMIF($H$5:$AW$5,D$5,$H172:$AW172)</f>
        <v/>
      </c>
      <c r="E172" s="406">
        <f>SUMIF($H$5:$AW$5,E$5,$H172:$AW172)</f>
        <v/>
      </c>
      <c r="F172" s="406">
        <f>SUMIF($H$5:$AW$5,F$5,$H172:$AW172)</f>
        <v/>
      </c>
      <c r="G172" s="360" t="n"/>
      <c r="H172" s="407">
        <f>H171*H170*H$32</f>
        <v/>
      </c>
      <c r="I172" s="407">
        <f>I171*I170*I$32</f>
        <v/>
      </c>
      <c r="J172" s="407">
        <f>J171*J170*J$32</f>
        <v/>
      </c>
      <c r="K172" s="407">
        <f>K171*K170*K$32</f>
        <v/>
      </c>
      <c r="L172" s="407">
        <f>L171*L170*L$32</f>
        <v/>
      </c>
      <c r="M172" s="407">
        <f>M171*M170*M$32</f>
        <v/>
      </c>
      <c r="N172" s="407">
        <f>N171*N170*N$32</f>
        <v/>
      </c>
      <c r="O172" s="407">
        <f>O171*O170*O$32</f>
        <v/>
      </c>
      <c r="P172" s="407">
        <f>P171*P170*P$32</f>
        <v/>
      </c>
      <c r="Q172" s="407">
        <f>Q171*Q170*Q$32</f>
        <v/>
      </c>
      <c r="R172" s="407">
        <f>R171*R170*R$32</f>
        <v/>
      </c>
      <c r="S172" s="407">
        <f>S171*S170*S$32</f>
        <v/>
      </c>
      <c r="T172" s="407">
        <f>T171*T170*T$32</f>
        <v/>
      </c>
      <c r="U172" s="407">
        <f>U171*U170*U$32</f>
        <v/>
      </c>
      <c r="V172" s="407">
        <f>V171*V170*V$32</f>
        <v/>
      </c>
      <c r="W172" s="407">
        <f>W171*W170*W$32</f>
        <v/>
      </c>
      <c r="X172" s="407">
        <f>X171*X170*X$32</f>
        <v/>
      </c>
      <c r="Y172" s="407">
        <f>Y171*Y170*Y$32</f>
        <v/>
      </c>
      <c r="Z172" s="407">
        <f>Z171*Z170*Z$32</f>
        <v/>
      </c>
      <c r="AA172" s="407">
        <f>AA171*AA170*AA$32</f>
        <v/>
      </c>
      <c r="AB172" s="407">
        <f>AB171*AB170*AB$32</f>
        <v/>
      </c>
      <c r="AC172" s="407">
        <f>AC171*AC170*AC$32</f>
        <v/>
      </c>
      <c r="AD172" s="407">
        <f>AD171*AD170*AD$32</f>
        <v/>
      </c>
      <c r="AE172" s="407">
        <f>AE171*AE170*AE$32</f>
        <v/>
      </c>
      <c r="AF172" s="407">
        <f>AF171*AF170*AF$32</f>
        <v/>
      </c>
      <c r="AG172" s="407">
        <f>AG171*AG170*AG$32</f>
        <v/>
      </c>
      <c r="AH172" s="407">
        <f>AH171*AH170*AH$32</f>
        <v/>
      </c>
      <c r="AI172" s="407">
        <f>AI171*AI170*AI$32</f>
        <v/>
      </c>
      <c r="AJ172" s="407">
        <f>AJ171*AJ170*AJ$32</f>
        <v/>
      </c>
      <c r="AK172" s="407">
        <f>AK171*AK170*AK$32</f>
        <v/>
      </c>
      <c r="AL172" s="407">
        <f>AL171*AL170*AL$32</f>
        <v/>
      </c>
      <c r="AM172" s="407">
        <f>AM171*AM170*AM$32</f>
        <v/>
      </c>
      <c r="AN172" s="407">
        <f>AN171*AN170*AN$32</f>
        <v/>
      </c>
      <c r="AO172" s="407">
        <f>AO171*AO170*AO$32</f>
        <v/>
      </c>
      <c r="AP172" s="407">
        <f>AP171*AP170*AP$32</f>
        <v/>
      </c>
      <c r="AQ172" s="407">
        <f>AQ171*AQ170*AQ$32</f>
        <v/>
      </c>
      <c r="AR172" s="407">
        <f>AR171*AR170*AR$32</f>
        <v/>
      </c>
      <c r="AS172" s="407">
        <f>AS171*AS170*AS$32</f>
        <v/>
      </c>
      <c r="AT172" s="407">
        <f>AT171*AT170*AT$32</f>
        <v/>
      </c>
      <c r="AU172" s="407">
        <f>AU171*AU170*AU$32</f>
        <v/>
      </c>
      <c r="AV172" s="407">
        <f>AV171*AV170*AV$32</f>
        <v/>
      </c>
      <c r="AW172" s="407">
        <f>AW171*AW170*AW$32</f>
        <v/>
      </c>
    </row>
    <row r="173" outlineLevel="1">
      <c r="A173" s="207" t="n"/>
      <c r="C173" s="210" t="n"/>
      <c r="D173" s="210" t="n"/>
      <c r="E173" s="210" t="n"/>
      <c r="F173" s="210" t="n"/>
    </row>
    <row r="174" outlineLevel="1">
      <c r="A174" s="207" t="n"/>
      <c r="B174" s="1" t="inlineStr">
        <is>
          <t>Feature 4</t>
        </is>
      </c>
      <c r="C174" s="210" t="n"/>
      <c r="D174" s="210" t="n"/>
      <c r="E174" s="210" t="n"/>
      <c r="F174" s="210" t="n"/>
    </row>
    <row r="175" outlineLevel="1">
      <c r="A175" s="207" t="n"/>
      <c r="B175" s="11" t="inlineStr">
        <is>
          <t>Adoption %</t>
        </is>
      </c>
      <c r="C175" s="210" t="n"/>
      <c r="D175" s="210" t="n"/>
      <c r="E175" s="210" t="n"/>
      <c r="F175" s="210" t="n"/>
      <c r="H175" s="403" t="n">
        <v>0.05</v>
      </c>
      <c r="I175" s="403" t="n">
        <v>0.05</v>
      </c>
      <c r="J175" s="403" t="n">
        <v>0.05</v>
      </c>
      <c r="K175" s="403" t="n">
        <v>0.05</v>
      </c>
      <c r="L175" s="403" t="n">
        <v>0.05</v>
      </c>
      <c r="M175" s="403" t="n">
        <v>0.05</v>
      </c>
      <c r="N175" s="403" t="n">
        <v>0.05</v>
      </c>
      <c r="O175" s="403" t="n">
        <v>0.05</v>
      </c>
      <c r="P175" s="403" t="n">
        <v>0.05</v>
      </c>
      <c r="Q175" s="403" t="n">
        <v>0.05</v>
      </c>
      <c r="R175" s="403" t="n">
        <v>0.05</v>
      </c>
      <c r="S175" s="403" t="n">
        <v>0.05</v>
      </c>
      <c r="T175" s="403" t="n">
        <v>0.05</v>
      </c>
      <c r="U175" s="403" t="n">
        <v>0.05</v>
      </c>
      <c r="V175" s="403" t="n">
        <v>0.05</v>
      </c>
      <c r="W175" s="403" t="n">
        <v>0.05</v>
      </c>
      <c r="X175" s="403" t="n">
        <v>0.05</v>
      </c>
      <c r="Y175" s="403" t="n">
        <v>0.05</v>
      </c>
      <c r="Z175" s="403" t="n">
        <v>0.05</v>
      </c>
      <c r="AA175" s="403" t="n">
        <v>0.05</v>
      </c>
      <c r="AB175" s="403" t="n">
        <v>0.05</v>
      </c>
      <c r="AC175" s="403" t="n">
        <v>0.05</v>
      </c>
      <c r="AD175" s="403" t="n">
        <v>0.05</v>
      </c>
      <c r="AE175" s="403" t="n">
        <v>0.05</v>
      </c>
      <c r="AF175" s="403" t="n">
        <v>0.05</v>
      </c>
      <c r="AG175" s="403" t="n">
        <v>0.05</v>
      </c>
      <c r="AH175" s="403" t="n">
        <v>0.05</v>
      </c>
      <c r="AI175" s="403" t="n">
        <v>0.05</v>
      </c>
      <c r="AJ175" s="403" t="n">
        <v>0.05</v>
      </c>
      <c r="AK175" s="403" t="n">
        <v>0.05</v>
      </c>
      <c r="AL175" s="403" t="n">
        <v>0.05</v>
      </c>
      <c r="AM175" s="403" t="n">
        <v>0.05</v>
      </c>
      <c r="AN175" s="403" t="n">
        <v>0.05</v>
      </c>
      <c r="AO175" s="403" t="n">
        <v>0.05</v>
      </c>
      <c r="AP175" s="403" t="n">
        <v>0.05</v>
      </c>
      <c r="AQ175" s="403" t="n">
        <v>0.05</v>
      </c>
      <c r="AR175" s="403" t="n">
        <v>0.05</v>
      </c>
      <c r="AS175" s="403" t="n">
        <v>0.05</v>
      </c>
      <c r="AT175" s="403" t="n">
        <v>0.05</v>
      </c>
      <c r="AU175" s="403" t="n">
        <v>0.05</v>
      </c>
      <c r="AV175" s="403" t="n">
        <v>0.05</v>
      </c>
      <c r="AW175" s="403" t="n">
        <v>0.05</v>
      </c>
    </row>
    <row r="176" outlineLevel="1">
      <c r="A176" s="207" t="n"/>
      <c r="B176" s="11" t="inlineStr">
        <is>
          <t>Rev per user per month</t>
        </is>
      </c>
      <c r="C176" s="327" t="n"/>
      <c r="D176" s="327" t="n"/>
      <c r="E176" s="327" t="n"/>
      <c r="F176" s="327" t="n"/>
      <c r="G176" s="358" t="n"/>
      <c r="H176" s="368" t="n">
        <v>1</v>
      </c>
      <c r="I176" s="368" t="n">
        <v>1</v>
      </c>
      <c r="J176" s="368" t="n">
        <v>1</v>
      </c>
      <c r="K176" s="368" t="n">
        <v>1</v>
      </c>
      <c r="L176" s="368" t="n">
        <v>1</v>
      </c>
      <c r="M176" s="368" t="n">
        <v>1</v>
      </c>
      <c r="N176" s="368" t="n">
        <v>1</v>
      </c>
      <c r="O176" s="368" t="n">
        <v>1</v>
      </c>
      <c r="P176" s="368" t="n">
        <v>1</v>
      </c>
      <c r="Q176" s="368" t="n">
        <v>1</v>
      </c>
      <c r="R176" s="368" t="n">
        <v>1</v>
      </c>
      <c r="S176" s="368" t="n">
        <v>1</v>
      </c>
      <c r="T176" s="368" t="n">
        <v>1</v>
      </c>
      <c r="U176" s="368" t="n">
        <v>1</v>
      </c>
      <c r="V176" s="368" t="n">
        <v>1</v>
      </c>
      <c r="W176" s="368" t="n">
        <v>1</v>
      </c>
      <c r="X176" s="368" t="n">
        <v>1</v>
      </c>
      <c r="Y176" s="368" t="n">
        <v>1</v>
      </c>
      <c r="Z176" s="368" t="n">
        <v>1</v>
      </c>
      <c r="AA176" s="368" t="n">
        <v>1</v>
      </c>
      <c r="AB176" s="368" t="n">
        <v>1</v>
      </c>
      <c r="AC176" s="368" t="n">
        <v>1</v>
      </c>
      <c r="AD176" s="368" t="n">
        <v>1</v>
      </c>
      <c r="AE176" s="368" t="n">
        <v>1</v>
      </c>
      <c r="AF176" s="368" t="n">
        <v>1</v>
      </c>
      <c r="AG176" s="368" t="n">
        <v>1</v>
      </c>
      <c r="AH176" s="368" t="n">
        <v>1</v>
      </c>
      <c r="AI176" s="368" t="n">
        <v>1</v>
      </c>
      <c r="AJ176" s="368" t="n">
        <v>1</v>
      </c>
      <c r="AK176" s="368" t="n">
        <v>1</v>
      </c>
      <c r="AL176" s="368" t="n">
        <v>1</v>
      </c>
      <c r="AM176" s="368" t="n">
        <v>1</v>
      </c>
      <c r="AN176" s="368" t="n">
        <v>1</v>
      </c>
      <c r="AO176" s="368" t="n">
        <v>1</v>
      </c>
      <c r="AP176" s="368" t="n">
        <v>1</v>
      </c>
      <c r="AQ176" s="368" t="n">
        <v>1</v>
      </c>
      <c r="AR176" s="368" t="n">
        <v>1</v>
      </c>
      <c r="AS176" s="368" t="n">
        <v>1</v>
      </c>
      <c r="AT176" s="368" t="n">
        <v>1</v>
      </c>
      <c r="AU176" s="368" t="n">
        <v>1</v>
      </c>
      <c r="AV176" s="368" t="n">
        <v>1</v>
      </c>
      <c r="AW176" s="368" t="n">
        <v>1</v>
      </c>
    </row>
    <row r="177" outlineLevel="1">
      <c r="A177" s="207" t="n"/>
      <c r="B177" s="219" t="inlineStr">
        <is>
          <t>Feature 4 revs</t>
        </is>
      </c>
      <c r="C177" s="406">
        <f>SUMIF($H$5:$AW$5,C$5,$H177:$AW177)</f>
        <v/>
      </c>
      <c r="D177" s="406">
        <f>SUMIF($H$5:$AW$5,D$5,$H177:$AW177)</f>
        <v/>
      </c>
      <c r="E177" s="406">
        <f>SUMIF($H$5:$AW$5,E$5,$H177:$AW177)</f>
        <v/>
      </c>
      <c r="F177" s="406">
        <f>SUMIF($H$5:$AW$5,F$5,$H177:$AW177)</f>
        <v/>
      </c>
      <c r="G177" s="360" t="n"/>
      <c r="H177" s="407">
        <f>H176*H175*H$32</f>
        <v/>
      </c>
      <c r="I177" s="407">
        <f>I176*I175*I$32</f>
        <v/>
      </c>
      <c r="J177" s="407">
        <f>J176*J175*J$32</f>
        <v/>
      </c>
      <c r="K177" s="407">
        <f>K176*K175*K$32</f>
        <v/>
      </c>
      <c r="L177" s="407">
        <f>L176*L175*L$32</f>
        <v/>
      </c>
      <c r="M177" s="407">
        <f>M176*M175*M$32</f>
        <v/>
      </c>
      <c r="N177" s="407">
        <f>N176*N175*N$32</f>
        <v/>
      </c>
      <c r="O177" s="407">
        <f>O176*O175*O$32</f>
        <v/>
      </c>
      <c r="P177" s="407">
        <f>P176*P175*P$32</f>
        <v/>
      </c>
      <c r="Q177" s="407">
        <f>Q176*Q175*Q$32</f>
        <v/>
      </c>
      <c r="R177" s="407">
        <f>R176*R175*R$32</f>
        <v/>
      </c>
      <c r="S177" s="407">
        <f>S176*S175*S$32</f>
        <v/>
      </c>
      <c r="T177" s="407">
        <f>T176*T175*T$32</f>
        <v/>
      </c>
      <c r="U177" s="407">
        <f>U176*U175*U$32</f>
        <v/>
      </c>
      <c r="V177" s="407">
        <f>V176*V175*V$32</f>
        <v/>
      </c>
      <c r="W177" s="407">
        <f>W176*W175*W$32</f>
        <v/>
      </c>
      <c r="X177" s="407">
        <f>X176*X175*X$32</f>
        <v/>
      </c>
      <c r="Y177" s="407">
        <f>Y176*Y175*Y$32</f>
        <v/>
      </c>
      <c r="Z177" s="407">
        <f>Z176*Z175*Z$32</f>
        <v/>
      </c>
      <c r="AA177" s="407">
        <f>AA176*AA175*AA$32</f>
        <v/>
      </c>
      <c r="AB177" s="407">
        <f>AB176*AB175*AB$32</f>
        <v/>
      </c>
      <c r="AC177" s="407">
        <f>AC176*AC175*AC$32</f>
        <v/>
      </c>
      <c r="AD177" s="407">
        <f>AD176*AD175*AD$32</f>
        <v/>
      </c>
      <c r="AE177" s="407">
        <f>AE176*AE175*AE$32</f>
        <v/>
      </c>
      <c r="AF177" s="407">
        <f>AF176*AF175*AF$32</f>
        <v/>
      </c>
      <c r="AG177" s="407">
        <f>AG176*AG175*AG$32</f>
        <v/>
      </c>
      <c r="AH177" s="407">
        <f>AH176*AH175*AH$32</f>
        <v/>
      </c>
      <c r="AI177" s="407">
        <f>AI176*AI175*AI$32</f>
        <v/>
      </c>
      <c r="AJ177" s="407">
        <f>AJ176*AJ175*AJ$32</f>
        <v/>
      </c>
      <c r="AK177" s="407">
        <f>AK176*AK175*AK$32</f>
        <v/>
      </c>
      <c r="AL177" s="407">
        <f>AL176*AL175*AL$32</f>
        <v/>
      </c>
      <c r="AM177" s="407">
        <f>AM176*AM175*AM$32</f>
        <v/>
      </c>
      <c r="AN177" s="407">
        <f>AN176*AN175*AN$32</f>
        <v/>
      </c>
      <c r="AO177" s="407">
        <f>AO176*AO175*AO$32</f>
        <v/>
      </c>
      <c r="AP177" s="407">
        <f>AP176*AP175*AP$32</f>
        <v/>
      </c>
      <c r="AQ177" s="407">
        <f>AQ176*AQ175*AQ$32</f>
        <v/>
      </c>
      <c r="AR177" s="407">
        <f>AR176*AR175*AR$32</f>
        <v/>
      </c>
      <c r="AS177" s="407">
        <f>AS176*AS175*AS$32</f>
        <v/>
      </c>
      <c r="AT177" s="407">
        <f>AT176*AT175*AT$32</f>
        <v/>
      </c>
      <c r="AU177" s="407">
        <f>AU176*AU175*AU$32</f>
        <v/>
      </c>
      <c r="AV177" s="407">
        <f>AV176*AV175*AV$32</f>
        <v/>
      </c>
      <c r="AW177" s="407">
        <f>AW176*AW175*AW$32</f>
        <v/>
      </c>
    </row>
    <row r="178" outlineLevel="1">
      <c r="A178" s="207" t="n"/>
      <c r="B178" s="190" t="n"/>
      <c r="C178" s="244" t="n"/>
      <c r="D178" s="244" t="n"/>
      <c r="E178" s="244" t="n"/>
      <c r="F178" s="244" t="n"/>
      <c r="G178" s="190" t="n"/>
      <c r="H178" s="245" t="n"/>
      <c r="I178" s="245" t="n"/>
      <c r="J178" s="245" t="n"/>
      <c r="K178" s="245" t="n"/>
      <c r="L178" s="245" t="n"/>
      <c r="M178" s="245" t="n"/>
      <c r="N178" s="245" t="n"/>
      <c r="O178" s="245" t="n"/>
      <c r="P178" s="245" t="n"/>
      <c r="Q178" s="245" t="n"/>
      <c r="R178" s="245" t="n"/>
      <c r="S178" s="245" t="n"/>
      <c r="T178" s="245" t="n"/>
      <c r="U178" s="245" t="n"/>
      <c r="V178" s="245" t="n"/>
      <c r="W178" s="245" t="n"/>
      <c r="X178" s="245" t="n"/>
      <c r="Y178" s="245" t="n"/>
      <c r="Z178" s="245" t="n"/>
      <c r="AA178" s="245" t="n"/>
      <c r="AB178" s="245" t="n"/>
      <c r="AC178" s="245" t="n"/>
      <c r="AD178" s="245" t="n"/>
      <c r="AE178" s="245" t="n"/>
      <c r="AF178" s="245" t="n"/>
      <c r="AG178" s="245" t="n"/>
      <c r="AH178" s="245" t="n"/>
      <c r="AI178" s="245" t="n"/>
      <c r="AJ178" s="245" t="n"/>
      <c r="AK178" s="245" t="n"/>
      <c r="AL178" s="245" t="n"/>
      <c r="AM178" s="245" t="n"/>
      <c r="AN178" s="245" t="n"/>
      <c r="AO178" s="245" t="n"/>
      <c r="AP178" s="245" t="n"/>
      <c r="AQ178" s="245" t="n"/>
      <c r="AR178" s="245" t="n"/>
      <c r="AS178" s="245" t="n"/>
      <c r="AT178" s="245" t="n"/>
      <c r="AU178" s="245" t="n"/>
      <c r="AV178" s="245" t="n"/>
      <c r="AW178" s="245" t="n"/>
    </row>
    <row r="179" outlineLevel="1" collapsed="1">
      <c r="A179" s="207" t="n"/>
      <c r="B179" s="149" t="inlineStr">
        <is>
          <t>Value Added Services - Platform or User (Change it to the corresponding driver based on type of company)</t>
        </is>
      </c>
      <c r="C179" s="208" t="n"/>
      <c r="D179" s="208" t="n"/>
      <c r="E179" s="208" t="n"/>
      <c r="F179" s="208" t="n"/>
      <c r="G179" s="202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  <c r="AB179" s="209" t="n"/>
      <c r="AC179" s="209" t="n"/>
      <c r="AD179" s="209" t="n"/>
      <c r="AE179" s="209" t="n"/>
      <c r="AF179" s="209" t="n"/>
      <c r="AG179" s="209" t="n"/>
      <c r="AH179" s="209" t="n"/>
      <c r="AI179" s="209" t="n"/>
      <c r="AJ179" s="209" t="n"/>
      <c r="AK179" s="209" t="n"/>
      <c r="AL179" s="209" t="n"/>
      <c r="AM179" s="209" t="n"/>
      <c r="AN179" s="209" t="n"/>
      <c r="AO179" s="209" t="n"/>
      <c r="AP179" s="209" t="n"/>
      <c r="AQ179" s="209" t="n"/>
      <c r="AR179" s="209" t="n"/>
      <c r="AS179" s="209" t="n"/>
      <c r="AT179" s="209" t="n"/>
      <c r="AU179" s="209" t="n"/>
      <c r="AV179" s="209" t="n"/>
      <c r="AW179" s="209" t="n"/>
    </row>
    <row r="180" outlineLevel="1">
      <c r="A180" s="207" t="n"/>
      <c r="C180" s="210" t="n"/>
      <c r="D180" s="210" t="n"/>
      <c r="E180" s="210" t="n"/>
      <c r="F180" s="210" t="n"/>
    </row>
    <row r="181" outlineLevel="1">
      <c r="A181" s="207" t="n"/>
      <c r="B181" s="1" t="inlineStr">
        <is>
          <t>Additional feature 1</t>
        </is>
      </c>
      <c r="C181" s="210" t="n"/>
      <c r="D181" s="210" t="n"/>
      <c r="E181" s="210" t="n"/>
      <c r="F181" s="210" t="n"/>
    </row>
    <row r="182" outlineLevel="1">
      <c r="A182" s="207" t="n"/>
      <c r="B182" s="11" t="inlineStr">
        <is>
          <t>Adoption %</t>
        </is>
      </c>
      <c r="C182" s="210" t="n"/>
      <c r="D182" s="210" t="n"/>
      <c r="E182" s="210" t="n"/>
      <c r="F182" s="210" t="n"/>
      <c r="H182" s="403" t="n">
        <v>0.02</v>
      </c>
      <c r="I182" s="403" t="n">
        <v>0.02</v>
      </c>
      <c r="J182" s="403" t="n">
        <v>0.02</v>
      </c>
      <c r="K182" s="403" t="n">
        <v>0.02</v>
      </c>
      <c r="L182" s="403" t="n">
        <v>0.02</v>
      </c>
      <c r="M182" s="403" t="n">
        <v>0.02</v>
      </c>
      <c r="N182" s="403" t="n">
        <v>0.02</v>
      </c>
      <c r="O182" s="403" t="n">
        <v>0.02</v>
      </c>
      <c r="P182" s="403" t="n">
        <v>0.02</v>
      </c>
      <c r="Q182" s="403" t="n">
        <v>0.02</v>
      </c>
      <c r="R182" s="403" t="n">
        <v>0.02</v>
      </c>
      <c r="S182" s="403" t="n">
        <v>0.02</v>
      </c>
      <c r="T182" s="403" t="n">
        <v>0.02</v>
      </c>
      <c r="U182" s="403" t="n">
        <v>0.02</v>
      </c>
      <c r="V182" s="403" t="n">
        <v>0.02</v>
      </c>
      <c r="W182" s="403" t="n">
        <v>0.02</v>
      </c>
      <c r="X182" s="403" t="n">
        <v>0.02</v>
      </c>
      <c r="Y182" s="403" t="n">
        <v>0.02</v>
      </c>
      <c r="Z182" s="403" t="n">
        <v>0.02</v>
      </c>
      <c r="AA182" s="403" t="n">
        <v>0.02</v>
      </c>
      <c r="AB182" s="403" t="n">
        <v>0.02</v>
      </c>
      <c r="AC182" s="403" t="n">
        <v>0.02</v>
      </c>
      <c r="AD182" s="403" t="n">
        <v>0.02</v>
      </c>
      <c r="AE182" s="403" t="n">
        <v>0.02</v>
      </c>
      <c r="AF182" s="403" t="n">
        <v>0.02</v>
      </c>
      <c r="AG182" s="403" t="n">
        <v>0.02</v>
      </c>
      <c r="AH182" s="403" t="n">
        <v>0.02</v>
      </c>
      <c r="AI182" s="403" t="n">
        <v>0.02</v>
      </c>
      <c r="AJ182" s="403" t="n">
        <v>0.02</v>
      </c>
      <c r="AK182" s="403" t="n">
        <v>0.02</v>
      </c>
      <c r="AL182" s="403" t="n">
        <v>0.02</v>
      </c>
      <c r="AM182" s="403" t="n">
        <v>0.02</v>
      </c>
      <c r="AN182" s="403" t="n">
        <v>0.02</v>
      </c>
      <c r="AO182" s="403" t="n">
        <v>0.02</v>
      </c>
      <c r="AP182" s="403" t="n">
        <v>0.02</v>
      </c>
      <c r="AQ182" s="403" t="n">
        <v>0.02</v>
      </c>
      <c r="AR182" s="403" t="n">
        <v>0.02</v>
      </c>
      <c r="AS182" s="403" t="n">
        <v>0.02</v>
      </c>
      <c r="AT182" s="403" t="n">
        <v>0.02</v>
      </c>
      <c r="AU182" s="403" t="n">
        <v>0.02</v>
      </c>
      <c r="AV182" s="403" t="n">
        <v>0.02</v>
      </c>
      <c r="AW182" s="403" t="n">
        <v>0.02</v>
      </c>
    </row>
    <row r="183" outlineLevel="1">
      <c r="A183" s="207" t="n"/>
      <c r="B183" s="11" t="inlineStr">
        <is>
          <t>Rev per user per month</t>
        </is>
      </c>
      <c r="C183" s="327" t="n"/>
      <c r="D183" s="327" t="n"/>
      <c r="E183" s="327" t="n"/>
      <c r="F183" s="327" t="n"/>
      <c r="G183" s="358" t="n"/>
      <c r="H183" s="368" t="n">
        <v>0.5</v>
      </c>
      <c r="I183" s="368" t="n">
        <v>0.5</v>
      </c>
      <c r="J183" s="368" t="n">
        <v>0.5</v>
      </c>
      <c r="K183" s="368" t="n">
        <v>0.5</v>
      </c>
      <c r="L183" s="368" t="n">
        <v>0.5</v>
      </c>
      <c r="M183" s="368" t="n">
        <v>0.5</v>
      </c>
      <c r="N183" s="368" t="n">
        <v>0.5</v>
      </c>
      <c r="O183" s="368" t="n">
        <v>0.5</v>
      </c>
      <c r="P183" s="368" t="n">
        <v>0.5</v>
      </c>
      <c r="Q183" s="368" t="n">
        <v>0.5</v>
      </c>
      <c r="R183" s="368" t="n">
        <v>0.5</v>
      </c>
      <c r="S183" s="368" t="n">
        <v>0.5</v>
      </c>
      <c r="T183" s="368" t="n">
        <v>0.5</v>
      </c>
      <c r="U183" s="368" t="n">
        <v>0.5</v>
      </c>
      <c r="V183" s="368" t="n">
        <v>0.5</v>
      </c>
      <c r="W183" s="368" t="n">
        <v>0.5</v>
      </c>
      <c r="X183" s="368" t="n">
        <v>0.5</v>
      </c>
      <c r="Y183" s="368" t="n">
        <v>0.5</v>
      </c>
      <c r="Z183" s="368" t="n">
        <v>0.5</v>
      </c>
      <c r="AA183" s="368" t="n">
        <v>0.5</v>
      </c>
      <c r="AB183" s="368" t="n">
        <v>0.5</v>
      </c>
      <c r="AC183" s="368" t="n">
        <v>0.5</v>
      </c>
      <c r="AD183" s="368" t="n">
        <v>0.5</v>
      </c>
      <c r="AE183" s="368" t="n">
        <v>0.5</v>
      </c>
      <c r="AF183" s="368" t="n">
        <v>0.5</v>
      </c>
      <c r="AG183" s="368" t="n">
        <v>0.5</v>
      </c>
      <c r="AH183" s="368" t="n">
        <v>0.5</v>
      </c>
      <c r="AI183" s="368" t="n">
        <v>0.5</v>
      </c>
      <c r="AJ183" s="368" t="n">
        <v>0.5</v>
      </c>
      <c r="AK183" s="368" t="n">
        <v>0.5</v>
      </c>
      <c r="AL183" s="368" t="n">
        <v>0.5</v>
      </c>
      <c r="AM183" s="368" t="n">
        <v>0.5</v>
      </c>
      <c r="AN183" s="368" t="n">
        <v>0.5</v>
      </c>
      <c r="AO183" s="368" t="n">
        <v>0.5</v>
      </c>
      <c r="AP183" s="368" t="n">
        <v>0.5</v>
      </c>
      <c r="AQ183" s="368" t="n">
        <v>0.5</v>
      </c>
      <c r="AR183" s="368" t="n">
        <v>0.5</v>
      </c>
      <c r="AS183" s="368" t="n">
        <v>0.5</v>
      </c>
      <c r="AT183" s="368" t="n">
        <v>0.5</v>
      </c>
      <c r="AU183" s="368" t="n">
        <v>0.5</v>
      </c>
      <c r="AV183" s="368" t="n">
        <v>0.5</v>
      </c>
      <c r="AW183" s="368" t="n">
        <v>0.5</v>
      </c>
    </row>
    <row r="184" outlineLevel="1">
      <c r="A184" s="207" t="n"/>
      <c r="B184" s="219" t="inlineStr">
        <is>
          <t>Feature 1 revs</t>
        </is>
      </c>
      <c r="C184" s="406">
        <f>SUMIF($H$5:$AW$5,C$5,$H184:$AW184)</f>
        <v/>
      </c>
      <c r="D184" s="406">
        <f>SUMIF($H$5:$AW$5,D$5,$H184:$AW184)</f>
        <v/>
      </c>
      <c r="E184" s="406">
        <f>SUMIF($H$5:$AW$5,E$5,$H184:$AW184)</f>
        <v/>
      </c>
      <c r="F184" s="406">
        <f>SUMIF($H$5:$AW$5,F$5,$H184:$AW184)</f>
        <v/>
      </c>
      <c r="G184" s="360" t="n"/>
      <c r="H184" s="407">
        <f>H183*H182*H$32</f>
        <v/>
      </c>
      <c r="I184" s="407">
        <f>I183*I182*I$32</f>
        <v/>
      </c>
      <c r="J184" s="407">
        <f>J183*J182*J$32</f>
        <v/>
      </c>
      <c r="K184" s="407">
        <f>K183*K182*K$32</f>
        <v/>
      </c>
      <c r="L184" s="407">
        <f>L183*L182*L$32</f>
        <v/>
      </c>
      <c r="M184" s="407">
        <f>M183*M182*M$32</f>
        <v/>
      </c>
      <c r="N184" s="407">
        <f>N183*N182*N$32</f>
        <v/>
      </c>
      <c r="O184" s="407">
        <f>O183*O182*O$32</f>
        <v/>
      </c>
      <c r="P184" s="407">
        <f>P183*P182*P$32</f>
        <v/>
      </c>
      <c r="Q184" s="407">
        <f>Q183*Q182*Q$32</f>
        <v/>
      </c>
      <c r="R184" s="407">
        <f>R183*R182*R$32</f>
        <v/>
      </c>
      <c r="S184" s="407">
        <f>S183*S182*S$32</f>
        <v/>
      </c>
      <c r="T184" s="407">
        <f>T183*T182*T$32</f>
        <v/>
      </c>
      <c r="U184" s="407">
        <f>U183*U182*U$32</f>
        <v/>
      </c>
      <c r="V184" s="407">
        <f>V183*V182*V$32</f>
        <v/>
      </c>
      <c r="W184" s="407">
        <f>W183*W182*W$32</f>
        <v/>
      </c>
      <c r="X184" s="407">
        <f>X183*X182*X$32</f>
        <v/>
      </c>
      <c r="Y184" s="407">
        <f>Y183*Y182*Y$32</f>
        <v/>
      </c>
      <c r="Z184" s="407">
        <f>Z183*Z182*Z$32</f>
        <v/>
      </c>
      <c r="AA184" s="407">
        <f>AA183*AA182*AA$32</f>
        <v/>
      </c>
      <c r="AB184" s="407">
        <f>AB183*AB182*AB$32</f>
        <v/>
      </c>
      <c r="AC184" s="407">
        <f>AC183*AC182*AC$32</f>
        <v/>
      </c>
      <c r="AD184" s="407">
        <f>AD183*AD182*AD$32</f>
        <v/>
      </c>
      <c r="AE184" s="407">
        <f>AE183*AE182*AE$32</f>
        <v/>
      </c>
      <c r="AF184" s="407">
        <f>AF183*AF182*AF$32</f>
        <v/>
      </c>
      <c r="AG184" s="407">
        <f>AG183*AG182*AG$32</f>
        <v/>
      </c>
      <c r="AH184" s="407">
        <f>AH183*AH182*AH$32</f>
        <v/>
      </c>
      <c r="AI184" s="407">
        <f>AI183*AI182*AI$32</f>
        <v/>
      </c>
      <c r="AJ184" s="407">
        <f>AJ183*AJ182*AJ$32</f>
        <v/>
      </c>
      <c r="AK184" s="407">
        <f>AK183*AK182*AK$32</f>
        <v/>
      </c>
      <c r="AL184" s="407">
        <f>AL183*AL182*AL$32</f>
        <v/>
      </c>
      <c r="AM184" s="407">
        <f>AM183*AM182*AM$32</f>
        <v/>
      </c>
      <c r="AN184" s="407">
        <f>AN183*AN182*AN$32</f>
        <v/>
      </c>
      <c r="AO184" s="407">
        <f>AO183*AO182*AO$32</f>
        <v/>
      </c>
      <c r="AP184" s="407">
        <f>AP183*AP182*AP$32</f>
        <v/>
      </c>
      <c r="AQ184" s="407">
        <f>AQ183*AQ182*AQ$32</f>
        <v/>
      </c>
      <c r="AR184" s="407">
        <f>AR183*AR182*AR$32</f>
        <v/>
      </c>
      <c r="AS184" s="407">
        <f>AS183*AS182*AS$32</f>
        <v/>
      </c>
      <c r="AT184" s="407">
        <f>AT183*AT182*AT$32</f>
        <v/>
      </c>
      <c r="AU184" s="407">
        <f>AU183*AU182*AU$32</f>
        <v/>
      </c>
      <c r="AV184" s="407">
        <f>AV183*AV182*AV$32</f>
        <v/>
      </c>
      <c r="AW184" s="407">
        <f>AW183*AW182*AW$32</f>
        <v/>
      </c>
    </row>
    <row r="185" outlineLevel="1">
      <c r="A185" s="207" t="n"/>
      <c r="C185" s="210" t="n"/>
      <c r="D185" s="210" t="n"/>
      <c r="E185" s="210" t="n"/>
      <c r="F185" s="210" t="n"/>
    </row>
    <row r="186" outlineLevel="1">
      <c r="A186" s="207" t="n"/>
      <c r="B186" s="1" t="inlineStr">
        <is>
          <t>Additional feature 2</t>
        </is>
      </c>
      <c r="C186" s="210" t="n"/>
      <c r="D186" s="210" t="n"/>
      <c r="E186" s="210" t="n"/>
      <c r="F186" s="210" t="n"/>
    </row>
    <row r="187" outlineLevel="1">
      <c r="A187" s="207" t="n"/>
      <c r="B187" s="11" t="inlineStr">
        <is>
          <t>Adoption %</t>
        </is>
      </c>
      <c r="C187" s="210" t="n"/>
      <c r="D187" s="210" t="n"/>
      <c r="E187" s="210" t="n"/>
      <c r="F187" s="210" t="n"/>
      <c r="H187" s="403" t="n">
        <v>0.02</v>
      </c>
      <c r="I187" s="403" t="n">
        <v>0.02</v>
      </c>
      <c r="J187" s="403" t="n">
        <v>0.02</v>
      </c>
      <c r="K187" s="403" t="n">
        <v>0.02</v>
      </c>
      <c r="L187" s="403" t="n">
        <v>0.02</v>
      </c>
      <c r="M187" s="403" t="n">
        <v>0.02</v>
      </c>
      <c r="N187" s="403" t="n">
        <v>0.02</v>
      </c>
      <c r="O187" s="403" t="n">
        <v>0.02</v>
      </c>
      <c r="P187" s="403" t="n">
        <v>0.02</v>
      </c>
      <c r="Q187" s="403" t="n">
        <v>0.02</v>
      </c>
      <c r="R187" s="403" t="n">
        <v>0.02</v>
      </c>
      <c r="S187" s="403" t="n">
        <v>0.02</v>
      </c>
      <c r="T187" s="403" t="n">
        <v>0.02</v>
      </c>
      <c r="U187" s="403" t="n">
        <v>0.02</v>
      </c>
      <c r="V187" s="403" t="n">
        <v>0.02</v>
      </c>
      <c r="W187" s="403" t="n">
        <v>0.02</v>
      </c>
      <c r="X187" s="403" t="n">
        <v>0.02</v>
      </c>
      <c r="Y187" s="403" t="n">
        <v>0.02</v>
      </c>
      <c r="Z187" s="403" t="n">
        <v>0.02</v>
      </c>
      <c r="AA187" s="403" t="n">
        <v>0.02</v>
      </c>
      <c r="AB187" s="403" t="n">
        <v>0.02</v>
      </c>
      <c r="AC187" s="403" t="n">
        <v>0.02</v>
      </c>
      <c r="AD187" s="403" t="n">
        <v>0.02</v>
      </c>
      <c r="AE187" s="403" t="n">
        <v>0.02</v>
      </c>
      <c r="AF187" s="403" t="n">
        <v>0.02</v>
      </c>
      <c r="AG187" s="403" t="n">
        <v>0.02</v>
      </c>
      <c r="AH187" s="403" t="n">
        <v>0.02</v>
      </c>
      <c r="AI187" s="403" t="n">
        <v>0.02</v>
      </c>
      <c r="AJ187" s="403" t="n">
        <v>0.02</v>
      </c>
      <c r="AK187" s="403" t="n">
        <v>0.02</v>
      </c>
      <c r="AL187" s="403" t="n">
        <v>0.02</v>
      </c>
      <c r="AM187" s="403" t="n">
        <v>0.02</v>
      </c>
      <c r="AN187" s="403" t="n">
        <v>0.02</v>
      </c>
      <c r="AO187" s="403" t="n">
        <v>0.02</v>
      </c>
      <c r="AP187" s="403" t="n">
        <v>0.02</v>
      </c>
      <c r="AQ187" s="403" t="n">
        <v>0.02</v>
      </c>
      <c r="AR187" s="403" t="n">
        <v>0.02</v>
      </c>
      <c r="AS187" s="403" t="n">
        <v>0.02</v>
      </c>
      <c r="AT187" s="403" t="n">
        <v>0.02</v>
      </c>
      <c r="AU187" s="403" t="n">
        <v>0.02</v>
      </c>
      <c r="AV187" s="403" t="n">
        <v>0.02</v>
      </c>
      <c r="AW187" s="403" t="n">
        <v>0.02</v>
      </c>
    </row>
    <row r="188" outlineLevel="1">
      <c r="A188" s="207" t="n"/>
      <c r="B188" s="11" t="inlineStr">
        <is>
          <t>Rev per user per month</t>
        </is>
      </c>
      <c r="C188" s="327" t="n"/>
      <c r="D188" s="327" t="n"/>
      <c r="E188" s="327" t="n"/>
      <c r="F188" s="327" t="n"/>
      <c r="G188" s="358" t="n"/>
      <c r="H188" s="368" t="n">
        <v>0.5</v>
      </c>
      <c r="I188" s="368" t="n">
        <v>0.5</v>
      </c>
      <c r="J188" s="368" t="n">
        <v>0.5</v>
      </c>
      <c r="K188" s="368" t="n">
        <v>0.5</v>
      </c>
      <c r="L188" s="368" t="n">
        <v>0.5</v>
      </c>
      <c r="M188" s="368" t="n">
        <v>0.5</v>
      </c>
      <c r="N188" s="368" t="n">
        <v>0.5</v>
      </c>
      <c r="O188" s="368" t="n">
        <v>0.5</v>
      </c>
      <c r="P188" s="368" t="n">
        <v>0.5</v>
      </c>
      <c r="Q188" s="368" t="n">
        <v>0.5</v>
      </c>
      <c r="R188" s="368" t="n">
        <v>0.5</v>
      </c>
      <c r="S188" s="368" t="n">
        <v>0.5</v>
      </c>
      <c r="T188" s="368" t="n">
        <v>0.5</v>
      </c>
      <c r="U188" s="368" t="n">
        <v>0.5</v>
      </c>
      <c r="V188" s="368" t="n">
        <v>0.5</v>
      </c>
      <c r="W188" s="368" t="n">
        <v>0.5</v>
      </c>
      <c r="X188" s="368" t="n">
        <v>0.5</v>
      </c>
      <c r="Y188" s="368" t="n">
        <v>0.5</v>
      </c>
      <c r="Z188" s="368" t="n">
        <v>0.5</v>
      </c>
      <c r="AA188" s="368" t="n">
        <v>0.5</v>
      </c>
      <c r="AB188" s="368" t="n">
        <v>0.5</v>
      </c>
      <c r="AC188" s="368" t="n">
        <v>0.5</v>
      </c>
      <c r="AD188" s="368" t="n">
        <v>0.5</v>
      </c>
      <c r="AE188" s="368" t="n">
        <v>0.5</v>
      </c>
      <c r="AF188" s="368" t="n">
        <v>0.5</v>
      </c>
      <c r="AG188" s="368" t="n">
        <v>0.5</v>
      </c>
      <c r="AH188" s="368" t="n">
        <v>0.5</v>
      </c>
      <c r="AI188" s="368" t="n">
        <v>0.5</v>
      </c>
      <c r="AJ188" s="368" t="n">
        <v>0.5</v>
      </c>
      <c r="AK188" s="368" t="n">
        <v>0.5</v>
      </c>
      <c r="AL188" s="368" t="n">
        <v>0.5</v>
      </c>
      <c r="AM188" s="368" t="n">
        <v>0.5</v>
      </c>
      <c r="AN188" s="368" t="n">
        <v>0.5</v>
      </c>
      <c r="AO188" s="368" t="n">
        <v>0.5</v>
      </c>
      <c r="AP188" s="368" t="n">
        <v>0.5</v>
      </c>
      <c r="AQ188" s="368" t="n">
        <v>0.5</v>
      </c>
      <c r="AR188" s="368" t="n">
        <v>0.5</v>
      </c>
      <c r="AS188" s="368" t="n">
        <v>0.5</v>
      </c>
      <c r="AT188" s="368" t="n">
        <v>0.5</v>
      </c>
      <c r="AU188" s="368" t="n">
        <v>0.5</v>
      </c>
      <c r="AV188" s="368" t="n">
        <v>0.5</v>
      </c>
      <c r="AW188" s="368" t="n">
        <v>0.5</v>
      </c>
    </row>
    <row r="189" outlineLevel="1">
      <c r="A189" s="207" t="n"/>
      <c r="B189" s="219" t="inlineStr">
        <is>
          <t>Feature 2 revs</t>
        </is>
      </c>
      <c r="C189" s="406">
        <f>SUMIF($H$5:$AW$5,C$5,$H189:$AW189)</f>
        <v/>
      </c>
      <c r="D189" s="406">
        <f>SUMIF($H$5:$AW$5,D$5,$H189:$AW189)</f>
        <v/>
      </c>
      <c r="E189" s="406">
        <f>SUMIF($H$5:$AW$5,E$5,$H189:$AW189)</f>
        <v/>
      </c>
      <c r="F189" s="406">
        <f>SUMIF($H$5:$AW$5,F$5,$H189:$AW189)</f>
        <v/>
      </c>
      <c r="G189" s="360" t="n"/>
      <c r="H189" s="407">
        <f>H188*H187*H$32</f>
        <v/>
      </c>
      <c r="I189" s="407">
        <f>I188*I187*I$32</f>
        <v/>
      </c>
      <c r="J189" s="407">
        <f>J188*J187*J$32</f>
        <v/>
      </c>
      <c r="K189" s="407">
        <f>K188*K187*K$32</f>
        <v/>
      </c>
      <c r="L189" s="407">
        <f>L188*L187*L$32</f>
        <v/>
      </c>
      <c r="M189" s="407">
        <f>M188*M187*M$32</f>
        <v/>
      </c>
      <c r="N189" s="407">
        <f>N188*N187*N$32</f>
        <v/>
      </c>
      <c r="O189" s="407">
        <f>O188*O187*O$32</f>
        <v/>
      </c>
      <c r="P189" s="407">
        <f>P188*P187*P$32</f>
        <v/>
      </c>
      <c r="Q189" s="407">
        <f>Q188*Q187*Q$32</f>
        <v/>
      </c>
      <c r="R189" s="407">
        <f>R188*R187*R$32</f>
        <v/>
      </c>
      <c r="S189" s="407">
        <f>S188*S187*S$32</f>
        <v/>
      </c>
      <c r="T189" s="407">
        <f>T188*T187*T$32</f>
        <v/>
      </c>
      <c r="U189" s="407">
        <f>U188*U187*U$32</f>
        <v/>
      </c>
      <c r="V189" s="407">
        <f>V188*V187*V$32</f>
        <v/>
      </c>
      <c r="W189" s="407">
        <f>W188*W187*W$32</f>
        <v/>
      </c>
      <c r="X189" s="407">
        <f>X188*X187*X$32</f>
        <v/>
      </c>
      <c r="Y189" s="407">
        <f>Y188*Y187*Y$32</f>
        <v/>
      </c>
      <c r="Z189" s="407">
        <f>Z188*Z187*Z$32</f>
        <v/>
      </c>
      <c r="AA189" s="407">
        <f>AA188*AA187*AA$32</f>
        <v/>
      </c>
      <c r="AB189" s="407">
        <f>AB188*AB187*AB$32</f>
        <v/>
      </c>
      <c r="AC189" s="407">
        <f>AC188*AC187*AC$32</f>
        <v/>
      </c>
      <c r="AD189" s="407">
        <f>AD188*AD187*AD$32</f>
        <v/>
      </c>
      <c r="AE189" s="407">
        <f>AE188*AE187*AE$32</f>
        <v/>
      </c>
      <c r="AF189" s="407">
        <f>AF188*AF187*AF$32</f>
        <v/>
      </c>
      <c r="AG189" s="407">
        <f>AG188*AG187*AG$32</f>
        <v/>
      </c>
      <c r="AH189" s="407">
        <f>AH188*AH187*AH$32</f>
        <v/>
      </c>
      <c r="AI189" s="407">
        <f>AI188*AI187*AI$32</f>
        <v/>
      </c>
      <c r="AJ189" s="407">
        <f>AJ188*AJ187*AJ$32</f>
        <v/>
      </c>
      <c r="AK189" s="407">
        <f>AK188*AK187*AK$32</f>
        <v/>
      </c>
      <c r="AL189" s="407">
        <f>AL188*AL187*AL$32</f>
        <v/>
      </c>
      <c r="AM189" s="407">
        <f>AM188*AM187*AM$32</f>
        <v/>
      </c>
      <c r="AN189" s="407">
        <f>AN188*AN187*AN$32</f>
        <v/>
      </c>
      <c r="AO189" s="407">
        <f>AO188*AO187*AO$32</f>
        <v/>
      </c>
      <c r="AP189" s="407">
        <f>AP188*AP187*AP$32</f>
        <v/>
      </c>
      <c r="AQ189" s="407">
        <f>AQ188*AQ187*AQ$32</f>
        <v/>
      </c>
      <c r="AR189" s="407">
        <f>AR188*AR187*AR$32</f>
        <v/>
      </c>
      <c r="AS189" s="407">
        <f>AS188*AS187*AS$32</f>
        <v/>
      </c>
      <c r="AT189" s="407">
        <f>AT188*AT187*AT$32</f>
        <v/>
      </c>
      <c r="AU189" s="407">
        <f>AU188*AU187*AU$32</f>
        <v/>
      </c>
      <c r="AV189" s="407">
        <f>AV188*AV187*AV$32</f>
        <v/>
      </c>
      <c r="AW189" s="407">
        <f>AW188*AW187*AW$32</f>
        <v/>
      </c>
    </row>
    <row r="190" outlineLevel="1">
      <c r="A190" s="207" t="n"/>
      <c r="C190" s="210" t="n"/>
      <c r="D190" s="210" t="n"/>
      <c r="E190" s="210" t="n"/>
      <c r="F190" s="210" t="n"/>
    </row>
    <row r="191" outlineLevel="1">
      <c r="A191" s="207" t="n"/>
      <c r="B191" s="1" t="inlineStr">
        <is>
          <t>Additional feature 3</t>
        </is>
      </c>
      <c r="C191" s="210" t="n"/>
      <c r="D191" s="210" t="n"/>
      <c r="E191" s="210" t="n"/>
      <c r="F191" s="210" t="n"/>
    </row>
    <row r="192" outlineLevel="1">
      <c r="A192" s="207" t="n"/>
      <c r="B192" s="11" t="inlineStr">
        <is>
          <t>Adoption %</t>
        </is>
      </c>
      <c r="C192" s="210" t="n"/>
      <c r="D192" s="210" t="n"/>
      <c r="E192" s="210" t="n"/>
      <c r="F192" s="210" t="n"/>
      <c r="H192" s="403" t="n">
        <v>0.02</v>
      </c>
      <c r="I192" s="403" t="n">
        <v>0.02</v>
      </c>
      <c r="J192" s="403" t="n">
        <v>0.02</v>
      </c>
      <c r="K192" s="403" t="n">
        <v>0.02</v>
      </c>
      <c r="L192" s="403" t="n">
        <v>0.02</v>
      </c>
      <c r="M192" s="403" t="n">
        <v>0.02</v>
      </c>
      <c r="N192" s="403" t="n">
        <v>0.02</v>
      </c>
      <c r="O192" s="403" t="n">
        <v>0.02</v>
      </c>
      <c r="P192" s="403" t="n">
        <v>0.02</v>
      </c>
      <c r="Q192" s="403" t="n">
        <v>0.02</v>
      </c>
      <c r="R192" s="403" t="n">
        <v>0.02</v>
      </c>
      <c r="S192" s="403" t="n">
        <v>0.02</v>
      </c>
      <c r="T192" s="403" t="n">
        <v>0.02</v>
      </c>
      <c r="U192" s="403" t="n">
        <v>0.02</v>
      </c>
      <c r="V192" s="403" t="n">
        <v>0.02</v>
      </c>
      <c r="W192" s="403" t="n">
        <v>0.02</v>
      </c>
      <c r="X192" s="403" t="n">
        <v>0.02</v>
      </c>
      <c r="Y192" s="403" t="n">
        <v>0.02</v>
      </c>
      <c r="Z192" s="403" t="n">
        <v>0.02</v>
      </c>
      <c r="AA192" s="403" t="n">
        <v>0.02</v>
      </c>
      <c r="AB192" s="403" t="n">
        <v>0.02</v>
      </c>
      <c r="AC192" s="403" t="n">
        <v>0.02</v>
      </c>
      <c r="AD192" s="403" t="n">
        <v>0.02</v>
      </c>
      <c r="AE192" s="403" t="n">
        <v>0.02</v>
      </c>
      <c r="AF192" s="403" t="n">
        <v>0.02</v>
      </c>
      <c r="AG192" s="403" t="n">
        <v>0.02</v>
      </c>
      <c r="AH192" s="403" t="n">
        <v>0.02</v>
      </c>
      <c r="AI192" s="403" t="n">
        <v>0.02</v>
      </c>
      <c r="AJ192" s="403" t="n">
        <v>0.02</v>
      </c>
      <c r="AK192" s="403" t="n">
        <v>0.02</v>
      </c>
      <c r="AL192" s="403" t="n">
        <v>0.02</v>
      </c>
      <c r="AM192" s="403" t="n">
        <v>0.02</v>
      </c>
      <c r="AN192" s="403" t="n">
        <v>0.02</v>
      </c>
      <c r="AO192" s="403" t="n">
        <v>0.02</v>
      </c>
      <c r="AP192" s="403" t="n">
        <v>0.02</v>
      </c>
      <c r="AQ192" s="403" t="n">
        <v>0.02</v>
      </c>
      <c r="AR192" s="403" t="n">
        <v>0.02</v>
      </c>
      <c r="AS192" s="403" t="n">
        <v>0.02</v>
      </c>
      <c r="AT192" s="403" t="n">
        <v>0.02</v>
      </c>
      <c r="AU192" s="403" t="n">
        <v>0.02</v>
      </c>
      <c r="AV192" s="403" t="n">
        <v>0.02</v>
      </c>
      <c r="AW192" s="403" t="n">
        <v>0.02</v>
      </c>
    </row>
    <row r="193" outlineLevel="1">
      <c r="A193" s="207" t="n"/>
      <c r="B193" s="11" t="inlineStr">
        <is>
          <t>Rev per user per month</t>
        </is>
      </c>
      <c r="C193" s="327" t="n"/>
      <c r="D193" s="327" t="n"/>
      <c r="E193" s="327" t="n"/>
      <c r="F193" s="327" t="n"/>
      <c r="G193" s="358" t="n"/>
      <c r="H193" s="368" t="n">
        <v>0.5</v>
      </c>
      <c r="I193" s="368" t="n">
        <v>0.5</v>
      </c>
      <c r="J193" s="368" t="n">
        <v>0.5</v>
      </c>
      <c r="K193" s="368" t="n">
        <v>0.5</v>
      </c>
      <c r="L193" s="368" t="n">
        <v>0.5</v>
      </c>
      <c r="M193" s="368" t="n">
        <v>0.5</v>
      </c>
      <c r="N193" s="368" t="n">
        <v>0.5</v>
      </c>
      <c r="O193" s="368" t="n">
        <v>0.5</v>
      </c>
      <c r="P193" s="368" t="n">
        <v>0.5</v>
      </c>
      <c r="Q193" s="368" t="n">
        <v>0.5</v>
      </c>
      <c r="R193" s="368" t="n">
        <v>0.5</v>
      </c>
      <c r="S193" s="368" t="n">
        <v>0.5</v>
      </c>
      <c r="T193" s="368" t="n">
        <v>0.5</v>
      </c>
      <c r="U193" s="368" t="n">
        <v>0.5</v>
      </c>
      <c r="V193" s="368" t="n">
        <v>0.5</v>
      </c>
      <c r="W193" s="368" t="n">
        <v>0.5</v>
      </c>
      <c r="X193" s="368" t="n">
        <v>0.5</v>
      </c>
      <c r="Y193" s="368" t="n">
        <v>0.5</v>
      </c>
      <c r="Z193" s="368" t="n">
        <v>0.5</v>
      </c>
      <c r="AA193" s="368" t="n">
        <v>0.5</v>
      </c>
      <c r="AB193" s="368" t="n">
        <v>0.5</v>
      </c>
      <c r="AC193" s="368" t="n">
        <v>0.5</v>
      </c>
      <c r="AD193" s="368" t="n">
        <v>0.5</v>
      </c>
      <c r="AE193" s="368" t="n">
        <v>0.5</v>
      </c>
      <c r="AF193" s="368" t="n">
        <v>0.5</v>
      </c>
      <c r="AG193" s="368" t="n">
        <v>0.5</v>
      </c>
      <c r="AH193" s="368" t="n">
        <v>0.5</v>
      </c>
      <c r="AI193" s="368" t="n">
        <v>0.5</v>
      </c>
      <c r="AJ193" s="368" t="n">
        <v>0.5</v>
      </c>
      <c r="AK193" s="368" t="n">
        <v>0.5</v>
      </c>
      <c r="AL193" s="368" t="n">
        <v>0.5</v>
      </c>
      <c r="AM193" s="368" t="n">
        <v>0.5</v>
      </c>
      <c r="AN193" s="368" t="n">
        <v>0.5</v>
      </c>
      <c r="AO193" s="368" t="n">
        <v>0.5</v>
      </c>
      <c r="AP193" s="368" t="n">
        <v>0.5</v>
      </c>
      <c r="AQ193" s="368" t="n">
        <v>0.5</v>
      </c>
      <c r="AR193" s="368" t="n">
        <v>0.5</v>
      </c>
      <c r="AS193" s="368" t="n">
        <v>0.5</v>
      </c>
      <c r="AT193" s="368" t="n">
        <v>0.5</v>
      </c>
      <c r="AU193" s="368" t="n">
        <v>0.5</v>
      </c>
      <c r="AV193" s="368" t="n">
        <v>0.5</v>
      </c>
      <c r="AW193" s="368" t="n">
        <v>0.5</v>
      </c>
    </row>
    <row r="194" outlineLevel="1">
      <c r="A194" s="207" t="n"/>
      <c r="B194" s="219" t="inlineStr">
        <is>
          <t>Feature 3 revs</t>
        </is>
      </c>
      <c r="C194" s="406">
        <f>SUMIF($H$5:$AW$5,C$5,$H194:$AW194)</f>
        <v/>
      </c>
      <c r="D194" s="406">
        <f>SUMIF($H$5:$AW$5,D$5,$H194:$AW194)</f>
        <v/>
      </c>
      <c r="E194" s="406">
        <f>SUMIF($H$5:$AW$5,E$5,$H194:$AW194)</f>
        <v/>
      </c>
      <c r="F194" s="406">
        <f>SUMIF($H$5:$AW$5,F$5,$H194:$AW194)</f>
        <v/>
      </c>
      <c r="G194" s="360" t="n"/>
      <c r="H194" s="407">
        <f>H193*H192*H$32</f>
        <v/>
      </c>
      <c r="I194" s="407">
        <f>I193*I192*I$32</f>
        <v/>
      </c>
      <c r="J194" s="407">
        <f>J193*J192*J$32</f>
        <v/>
      </c>
      <c r="K194" s="407">
        <f>K193*K192*K$32</f>
        <v/>
      </c>
      <c r="L194" s="407">
        <f>L193*L192*L$32</f>
        <v/>
      </c>
      <c r="M194" s="407">
        <f>M193*M192*M$32</f>
        <v/>
      </c>
      <c r="N194" s="407">
        <f>N193*N192*N$32</f>
        <v/>
      </c>
      <c r="O194" s="407">
        <f>O193*O192*O$32</f>
        <v/>
      </c>
      <c r="P194" s="407">
        <f>P193*P192*P$32</f>
        <v/>
      </c>
      <c r="Q194" s="407">
        <f>Q193*Q192*Q$32</f>
        <v/>
      </c>
      <c r="R194" s="407">
        <f>R193*R192*R$32</f>
        <v/>
      </c>
      <c r="S194" s="407">
        <f>S193*S192*S$32</f>
        <v/>
      </c>
      <c r="T194" s="407">
        <f>T193*T192*T$32</f>
        <v/>
      </c>
      <c r="U194" s="407">
        <f>U193*U192*U$32</f>
        <v/>
      </c>
      <c r="V194" s="407">
        <f>V193*V192*V$32</f>
        <v/>
      </c>
      <c r="W194" s="407">
        <f>W193*W192*W$32</f>
        <v/>
      </c>
      <c r="X194" s="407">
        <f>X193*X192*X$32</f>
        <v/>
      </c>
      <c r="Y194" s="407">
        <f>Y193*Y192*Y$32</f>
        <v/>
      </c>
      <c r="Z194" s="407">
        <f>Z193*Z192*Z$32</f>
        <v/>
      </c>
      <c r="AA194" s="407">
        <f>AA193*AA192*AA$32</f>
        <v/>
      </c>
      <c r="AB194" s="407">
        <f>AB193*AB192*AB$32</f>
        <v/>
      </c>
      <c r="AC194" s="407">
        <f>AC193*AC192*AC$32</f>
        <v/>
      </c>
      <c r="AD194" s="407">
        <f>AD193*AD192*AD$32</f>
        <v/>
      </c>
      <c r="AE194" s="407">
        <f>AE193*AE192*AE$32</f>
        <v/>
      </c>
      <c r="AF194" s="407">
        <f>AF193*AF192*AF$32</f>
        <v/>
      </c>
      <c r="AG194" s="407">
        <f>AG193*AG192*AG$32</f>
        <v/>
      </c>
      <c r="AH194" s="407">
        <f>AH193*AH192*AH$32</f>
        <v/>
      </c>
      <c r="AI194" s="407">
        <f>AI193*AI192*AI$32</f>
        <v/>
      </c>
      <c r="AJ194" s="407">
        <f>AJ193*AJ192*AJ$32</f>
        <v/>
      </c>
      <c r="AK194" s="407">
        <f>AK193*AK192*AK$32</f>
        <v/>
      </c>
      <c r="AL194" s="407">
        <f>AL193*AL192*AL$32</f>
        <v/>
      </c>
      <c r="AM194" s="407">
        <f>AM193*AM192*AM$32</f>
        <v/>
      </c>
      <c r="AN194" s="407">
        <f>AN193*AN192*AN$32</f>
        <v/>
      </c>
      <c r="AO194" s="407">
        <f>AO193*AO192*AO$32</f>
        <v/>
      </c>
      <c r="AP194" s="407">
        <f>AP193*AP192*AP$32</f>
        <v/>
      </c>
      <c r="AQ194" s="407">
        <f>AQ193*AQ192*AQ$32</f>
        <v/>
      </c>
      <c r="AR194" s="407">
        <f>AR193*AR192*AR$32</f>
        <v/>
      </c>
      <c r="AS194" s="407">
        <f>AS193*AS192*AS$32</f>
        <v/>
      </c>
      <c r="AT194" s="407">
        <f>AT193*AT192*AT$32</f>
        <v/>
      </c>
      <c r="AU194" s="407">
        <f>AU193*AU192*AU$32</f>
        <v/>
      </c>
      <c r="AV194" s="407">
        <f>AV193*AV192*AV$32</f>
        <v/>
      </c>
      <c r="AW194" s="407">
        <f>AW193*AW192*AW$32</f>
        <v/>
      </c>
    </row>
    <row r="195" outlineLevel="1">
      <c r="A195" s="207" t="n"/>
      <c r="C195" s="210" t="n"/>
      <c r="D195" s="210" t="n"/>
      <c r="E195" s="210" t="n"/>
      <c r="F195" s="210" t="n"/>
      <c r="H195" s="246" t="n"/>
      <c r="I195" s="246" t="n"/>
      <c r="J195" s="246" t="n"/>
      <c r="K195" s="246" t="n"/>
      <c r="L195" s="246" t="n"/>
      <c r="M195" s="246" t="n"/>
      <c r="N195" s="246" t="n"/>
      <c r="O195" s="246" t="n"/>
      <c r="P195" s="246" t="n"/>
      <c r="Q195" s="246" t="n"/>
      <c r="R195" s="246" t="n"/>
      <c r="S195" s="246" t="n"/>
      <c r="T195" s="246" t="n"/>
      <c r="U195" s="246" t="n"/>
      <c r="V195" s="246" t="n"/>
      <c r="W195" s="246" t="n"/>
      <c r="X195" s="246" t="n"/>
      <c r="Y195" s="246" t="n"/>
      <c r="Z195" s="246" t="n"/>
      <c r="AA195" s="246" t="n"/>
      <c r="AB195" s="246" t="n"/>
      <c r="AC195" s="246" t="n"/>
      <c r="AD195" s="246" t="n"/>
      <c r="AE195" s="246" t="n"/>
      <c r="AF195" s="246" t="n"/>
      <c r="AG195" s="246" t="n"/>
      <c r="AH195" s="246" t="n"/>
      <c r="AI195" s="246" t="n"/>
      <c r="AJ195" s="246" t="n"/>
      <c r="AK195" s="246" t="n"/>
      <c r="AL195" s="246" t="n"/>
      <c r="AM195" s="246" t="n"/>
      <c r="AN195" s="246" t="n"/>
      <c r="AO195" s="246" t="n"/>
      <c r="AP195" s="246" t="n"/>
      <c r="AQ195" s="246" t="n"/>
      <c r="AR195" s="246" t="n"/>
      <c r="AS195" s="246" t="n"/>
      <c r="AT195" s="246" t="n"/>
      <c r="AU195" s="246" t="n"/>
      <c r="AV195" s="246" t="n"/>
      <c r="AW195" s="246" t="n"/>
    </row>
    <row r="196" outlineLevel="1">
      <c r="A196" s="207" t="n"/>
      <c r="B196" s="1" t="inlineStr">
        <is>
          <t>Additional feature 4</t>
        </is>
      </c>
      <c r="C196" s="210" t="n"/>
      <c r="D196" s="210" t="n"/>
      <c r="E196" s="210" t="n"/>
      <c r="F196" s="210" t="n"/>
    </row>
    <row r="197" outlineLevel="1">
      <c r="A197" s="207" t="n"/>
      <c r="B197" s="11" t="inlineStr">
        <is>
          <t>Adoption %</t>
        </is>
      </c>
      <c r="C197" s="210" t="n"/>
      <c r="D197" s="210" t="n"/>
      <c r="E197" s="210" t="n"/>
      <c r="F197" s="210" t="n"/>
      <c r="H197" s="403" t="n">
        <v>0.02</v>
      </c>
      <c r="I197" s="403" t="n">
        <v>0.02</v>
      </c>
      <c r="J197" s="403" t="n">
        <v>0.02</v>
      </c>
      <c r="K197" s="403" t="n">
        <v>0.02</v>
      </c>
      <c r="L197" s="403" t="n">
        <v>0.02</v>
      </c>
      <c r="M197" s="403" t="n">
        <v>0.02</v>
      </c>
      <c r="N197" s="403" t="n">
        <v>0.02</v>
      </c>
      <c r="O197" s="403" t="n">
        <v>0.02</v>
      </c>
      <c r="P197" s="403" t="n">
        <v>0.02</v>
      </c>
      <c r="Q197" s="403" t="n">
        <v>0.02</v>
      </c>
      <c r="R197" s="403" t="n">
        <v>0.02</v>
      </c>
      <c r="S197" s="403" t="n">
        <v>0.02</v>
      </c>
      <c r="T197" s="403" t="n">
        <v>0.02</v>
      </c>
      <c r="U197" s="403" t="n">
        <v>0.02</v>
      </c>
      <c r="V197" s="403" t="n">
        <v>0.02</v>
      </c>
      <c r="W197" s="403" t="n">
        <v>0.02</v>
      </c>
      <c r="X197" s="403" t="n">
        <v>0.02</v>
      </c>
      <c r="Y197" s="403" t="n">
        <v>0.02</v>
      </c>
      <c r="Z197" s="403" t="n">
        <v>0.02</v>
      </c>
      <c r="AA197" s="403" t="n">
        <v>0.02</v>
      </c>
      <c r="AB197" s="403" t="n">
        <v>0.02</v>
      </c>
      <c r="AC197" s="403" t="n">
        <v>0.02</v>
      </c>
      <c r="AD197" s="403" t="n">
        <v>0.02</v>
      </c>
      <c r="AE197" s="403" t="n">
        <v>0.02</v>
      </c>
      <c r="AF197" s="403" t="n">
        <v>0.02</v>
      </c>
      <c r="AG197" s="403" t="n">
        <v>0.02</v>
      </c>
      <c r="AH197" s="403" t="n">
        <v>0.02</v>
      </c>
      <c r="AI197" s="403" t="n">
        <v>0.02</v>
      </c>
      <c r="AJ197" s="403" t="n">
        <v>0.02</v>
      </c>
      <c r="AK197" s="403" t="n">
        <v>0.02</v>
      </c>
      <c r="AL197" s="403" t="n">
        <v>0.02</v>
      </c>
      <c r="AM197" s="403" t="n">
        <v>0.02</v>
      </c>
      <c r="AN197" s="403" t="n">
        <v>0.02</v>
      </c>
      <c r="AO197" s="403" t="n">
        <v>0.02</v>
      </c>
      <c r="AP197" s="403" t="n">
        <v>0.02</v>
      </c>
      <c r="AQ197" s="403" t="n">
        <v>0.02</v>
      </c>
      <c r="AR197" s="403" t="n">
        <v>0.02</v>
      </c>
      <c r="AS197" s="403" t="n">
        <v>0.02</v>
      </c>
      <c r="AT197" s="403" t="n">
        <v>0.02</v>
      </c>
      <c r="AU197" s="403" t="n">
        <v>0.02</v>
      </c>
      <c r="AV197" s="403" t="n">
        <v>0.02</v>
      </c>
      <c r="AW197" s="403" t="n">
        <v>0.02</v>
      </c>
    </row>
    <row r="198" outlineLevel="1">
      <c r="A198" s="207" t="n"/>
      <c r="B198" s="11" t="inlineStr">
        <is>
          <t>Rev per user per month</t>
        </is>
      </c>
      <c r="C198" s="327" t="n"/>
      <c r="D198" s="327" t="n"/>
      <c r="E198" s="327" t="n"/>
      <c r="F198" s="327" t="n"/>
      <c r="G198" s="358" t="n"/>
      <c r="H198" s="368" t="n">
        <v>0.5</v>
      </c>
      <c r="I198" s="368" t="n">
        <v>0.5</v>
      </c>
      <c r="J198" s="368" t="n">
        <v>0.5</v>
      </c>
      <c r="K198" s="368" t="n">
        <v>0.5</v>
      </c>
      <c r="L198" s="368" t="n">
        <v>0.5</v>
      </c>
      <c r="M198" s="368" t="n">
        <v>0.5</v>
      </c>
      <c r="N198" s="368" t="n">
        <v>0.5</v>
      </c>
      <c r="O198" s="368" t="n">
        <v>0.5</v>
      </c>
      <c r="P198" s="368" t="n">
        <v>0.5</v>
      </c>
      <c r="Q198" s="368" t="n">
        <v>0.5</v>
      </c>
      <c r="R198" s="368" t="n">
        <v>0.5</v>
      </c>
      <c r="S198" s="368" t="n">
        <v>0.5</v>
      </c>
      <c r="T198" s="368" t="n">
        <v>0.5</v>
      </c>
      <c r="U198" s="368" t="n">
        <v>0.5</v>
      </c>
      <c r="V198" s="368" t="n">
        <v>0.5</v>
      </c>
      <c r="W198" s="368" t="n">
        <v>0.5</v>
      </c>
      <c r="X198" s="368" t="n">
        <v>0.5</v>
      </c>
      <c r="Y198" s="368" t="n">
        <v>0.5</v>
      </c>
      <c r="Z198" s="368" t="n">
        <v>0.5</v>
      </c>
      <c r="AA198" s="368" t="n">
        <v>0.5</v>
      </c>
      <c r="AB198" s="368" t="n">
        <v>0.5</v>
      </c>
      <c r="AC198" s="368" t="n">
        <v>0.5</v>
      </c>
      <c r="AD198" s="368" t="n">
        <v>0.5</v>
      </c>
      <c r="AE198" s="368" t="n">
        <v>0.5</v>
      </c>
      <c r="AF198" s="368" t="n">
        <v>0.5</v>
      </c>
      <c r="AG198" s="368" t="n">
        <v>0.5</v>
      </c>
      <c r="AH198" s="368" t="n">
        <v>0.5</v>
      </c>
      <c r="AI198" s="368" t="n">
        <v>0.5</v>
      </c>
      <c r="AJ198" s="368" t="n">
        <v>0.5</v>
      </c>
      <c r="AK198" s="368" t="n">
        <v>0.5</v>
      </c>
      <c r="AL198" s="368" t="n">
        <v>0.5</v>
      </c>
      <c r="AM198" s="368" t="n">
        <v>0.5</v>
      </c>
      <c r="AN198" s="368" t="n">
        <v>0.5</v>
      </c>
      <c r="AO198" s="368" t="n">
        <v>0.5</v>
      </c>
      <c r="AP198" s="368" t="n">
        <v>0.5</v>
      </c>
      <c r="AQ198" s="368" t="n">
        <v>0.5</v>
      </c>
      <c r="AR198" s="368" t="n">
        <v>0.5</v>
      </c>
      <c r="AS198" s="368" t="n">
        <v>0.5</v>
      </c>
      <c r="AT198" s="368" t="n">
        <v>0.5</v>
      </c>
      <c r="AU198" s="368" t="n">
        <v>0.5</v>
      </c>
      <c r="AV198" s="368" t="n">
        <v>0.5</v>
      </c>
      <c r="AW198" s="368" t="n">
        <v>0.5</v>
      </c>
    </row>
    <row r="199" outlineLevel="1">
      <c r="A199" s="207" t="n"/>
      <c r="B199" s="219" t="inlineStr">
        <is>
          <t>Feature 4 revs</t>
        </is>
      </c>
      <c r="C199" s="406">
        <f>SUMIF($H$5:$AW$5,C$5,$H199:$AW199)</f>
        <v/>
      </c>
      <c r="D199" s="406">
        <f>SUMIF($H$5:$AW$5,D$5,$H199:$AW199)</f>
        <v/>
      </c>
      <c r="E199" s="406">
        <f>SUMIF($H$5:$AW$5,E$5,$H199:$AW199)</f>
        <v/>
      </c>
      <c r="F199" s="406">
        <f>SUMIF($H$5:$AW$5,F$5,$H199:$AW199)</f>
        <v/>
      </c>
      <c r="G199" s="360" t="n"/>
      <c r="H199" s="407">
        <f>H198*H197*H$32</f>
        <v/>
      </c>
      <c r="I199" s="407">
        <f>I198*I197*I$32</f>
        <v/>
      </c>
      <c r="J199" s="407">
        <f>J198*J197*J$32</f>
        <v/>
      </c>
      <c r="K199" s="407">
        <f>K198*K197*K$32</f>
        <v/>
      </c>
      <c r="L199" s="407">
        <f>L198*L197*L$32</f>
        <v/>
      </c>
      <c r="M199" s="407">
        <f>M198*M197*M$32</f>
        <v/>
      </c>
      <c r="N199" s="407">
        <f>N198*N197*N$32</f>
        <v/>
      </c>
      <c r="O199" s="407">
        <f>O198*O197*O$32</f>
        <v/>
      </c>
      <c r="P199" s="407">
        <f>P198*P197*P$32</f>
        <v/>
      </c>
      <c r="Q199" s="407">
        <f>Q198*Q197*Q$32</f>
        <v/>
      </c>
      <c r="R199" s="407">
        <f>R198*R197*R$32</f>
        <v/>
      </c>
      <c r="S199" s="407">
        <f>S198*S197*S$32</f>
        <v/>
      </c>
      <c r="T199" s="407">
        <f>T198*T197*T$32</f>
        <v/>
      </c>
      <c r="U199" s="407">
        <f>U198*U197*U$32</f>
        <v/>
      </c>
      <c r="V199" s="407">
        <f>V198*V197*V$32</f>
        <v/>
      </c>
      <c r="W199" s="407">
        <f>W198*W197*W$32</f>
        <v/>
      </c>
      <c r="X199" s="407">
        <f>X198*X197*X$32</f>
        <v/>
      </c>
      <c r="Y199" s="407">
        <f>Y198*Y197*Y$32</f>
        <v/>
      </c>
      <c r="Z199" s="407">
        <f>Z198*Z197*Z$32</f>
        <v/>
      </c>
      <c r="AA199" s="407">
        <f>AA198*AA197*AA$32</f>
        <v/>
      </c>
      <c r="AB199" s="407">
        <f>AB198*AB197*AB$32</f>
        <v/>
      </c>
      <c r="AC199" s="407">
        <f>AC198*AC197*AC$32</f>
        <v/>
      </c>
      <c r="AD199" s="407">
        <f>AD198*AD197*AD$32</f>
        <v/>
      </c>
      <c r="AE199" s="407">
        <f>AE198*AE197*AE$32</f>
        <v/>
      </c>
      <c r="AF199" s="407">
        <f>AF198*AF197*AF$32</f>
        <v/>
      </c>
      <c r="AG199" s="407">
        <f>AG198*AG197*AG$32</f>
        <v/>
      </c>
      <c r="AH199" s="407">
        <f>AH198*AH197*AH$32</f>
        <v/>
      </c>
      <c r="AI199" s="407">
        <f>AI198*AI197*AI$32</f>
        <v/>
      </c>
      <c r="AJ199" s="407">
        <f>AJ198*AJ197*AJ$32</f>
        <v/>
      </c>
      <c r="AK199" s="407">
        <f>AK198*AK197*AK$32</f>
        <v/>
      </c>
      <c r="AL199" s="407">
        <f>AL198*AL197*AL$32</f>
        <v/>
      </c>
      <c r="AM199" s="407">
        <f>AM198*AM197*AM$32</f>
        <v/>
      </c>
      <c r="AN199" s="407">
        <f>AN198*AN197*AN$32</f>
        <v/>
      </c>
      <c r="AO199" s="407">
        <f>AO198*AO197*AO$32</f>
        <v/>
      </c>
      <c r="AP199" s="407">
        <f>AP198*AP197*AP$32</f>
        <v/>
      </c>
      <c r="AQ199" s="407">
        <f>AQ198*AQ197*AQ$32</f>
        <v/>
      </c>
      <c r="AR199" s="407">
        <f>AR198*AR197*AR$32</f>
        <v/>
      </c>
      <c r="AS199" s="407">
        <f>AS198*AS197*AS$32</f>
        <v/>
      </c>
      <c r="AT199" s="407">
        <f>AT198*AT197*AT$32</f>
        <v/>
      </c>
      <c r="AU199" s="407">
        <f>AU198*AU197*AU$32</f>
        <v/>
      </c>
      <c r="AV199" s="407">
        <f>AV198*AV197*AV$32</f>
        <v/>
      </c>
      <c r="AW199" s="407">
        <f>AW198*AW197*AW$32</f>
        <v/>
      </c>
    </row>
    <row r="200" outlineLevel="1">
      <c r="A200" s="207" t="n"/>
      <c r="C200" s="210" t="n"/>
      <c r="D200" s="210" t="n"/>
      <c r="E200" s="210" t="n"/>
      <c r="F200" s="210" t="n"/>
    </row>
    <row r="201" outlineLevel="1">
      <c r="A201" s="207" t="n"/>
      <c r="B201" s="1" t="inlineStr">
        <is>
          <t>Number of remittance</t>
        </is>
      </c>
      <c r="C201" s="327">
        <f>SUMIF($H$5:$AW$5,C$5,$H201:$AW201)</f>
        <v/>
      </c>
      <c r="D201" s="327">
        <f>SUMIF($H$5:$AW$5,D$5,$H201:$AW201)</f>
        <v/>
      </c>
      <c r="E201" s="327">
        <f>SUMIF($H$5:$AW$5,E$5,$H201:$AW201)</f>
        <v/>
      </c>
      <c r="F201" s="327">
        <f>SUMIF($H$5:$AW$5,F$5,$H201:$AW201)</f>
        <v/>
      </c>
      <c r="G201" s="358" t="n"/>
      <c r="H201" s="368" t="n">
        <v>0</v>
      </c>
      <c r="I201" s="368" t="n">
        <v>0</v>
      </c>
      <c r="J201" s="368" t="n">
        <v>0</v>
      </c>
      <c r="K201" s="368" t="n">
        <v>0</v>
      </c>
      <c r="L201" s="368" t="n">
        <v>0</v>
      </c>
      <c r="M201" s="368" t="n">
        <v>0</v>
      </c>
      <c r="N201" s="368" t="n">
        <v>0</v>
      </c>
      <c r="O201" s="368" t="n">
        <v>0</v>
      </c>
      <c r="P201" s="368" t="n">
        <v>0</v>
      </c>
      <c r="Q201" s="368" t="n">
        <v>0</v>
      </c>
      <c r="R201" s="368" t="n">
        <v>0</v>
      </c>
      <c r="S201" s="368" t="n">
        <v>0</v>
      </c>
      <c r="T201" s="368" t="n">
        <v>0</v>
      </c>
      <c r="U201" s="368" t="n">
        <v>0</v>
      </c>
      <c r="V201" s="368" t="n">
        <v>0</v>
      </c>
      <c r="W201" s="368" t="n">
        <v>0</v>
      </c>
      <c r="X201" s="368" t="n">
        <v>0</v>
      </c>
      <c r="Y201" s="368" t="n">
        <v>0</v>
      </c>
      <c r="Z201" s="368" t="n">
        <v>0</v>
      </c>
      <c r="AA201" s="368" t="n">
        <v>0</v>
      </c>
      <c r="AB201" s="368" t="n">
        <v>0</v>
      </c>
      <c r="AC201" s="368" t="n">
        <v>0</v>
      </c>
      <c r="AD201" s="368" t="n">
        <v>0</v>
      </c>
      <c r="AE201" s="368" t="n">
        <v>0</v>
      </c>
      <c r="AF201" s="368" t="n">
        <v>0</v>
      </c>
      <c r="AG201" s="368" t="n">
        <v>0</v>
      </c>
      <c r="AH201" s="368" t="n">
        <v>0</v>
      </c>
      <c r="AI201" s="368" t="n">
        <v>0</v>
      </c>
      <c r="AJ201" s="368" t="n">
        <v>0</v>
      </c>
      <c r="AK201" s="368" t="n">
        <v>0</v>
      </c>
      <c r="AL201" s="368" t="n">
        <v>0</v>
      </c>
      <c r="AM201" s="368" t="n">
        <v>0</v>
      </c>
      <c r="AN201" s="368" t="n">
        <v>0</v>
      </c>
      <c r="AO201" s="368" t="n">
        <v>0</v>
      </c>
      <c r="AP201" s="368" t="n">
        <v>0</v>
      </c>
      <c r="AQ201" s="368" t="n">
        <v>0</v>
      </c>
      <c r="AR201" s="368" t="n">
        <v>0</v>
      </c>
      <c r="AS201" s="368" t="n">
        <v>0</v>
      </c>
      <c r="AT201" s="368" t="n">
        <v>0</v>
      </c>
      <c r="AU201" s="368" t="n">
        <v>0</v>
      </c>
      <c r="AV201" s="368" t="n">
        <v>0</v>
      </c>
      <c r="AW201" s="368" t="n">
        <v>0</v>
      </c>
    </row>
    <row r="202" outlineLevel="1">
      <c r="A202" s="207" t="n"/>
      <c r="B202" s="1" t="inlineStr">
        <is>
          <t>Transaction cost per remittance</t>
        </is>
      </c>
      <c r="C202" s="210" t="n"/>
      <c r="D202" s="210" t="n"/>
      <c r="E202" s="210" t="n"/>
      <c r="F202" s="210" t="n"/>
      <c r="H202" s="403" t="n">
        <v>0.05</v>
      </c>
      <c r="I202" s="403" t="n">
        <v>0.05</v>
      </c>
      <c r="J202" s="403" t="n">
        <v>0.05</v>
      </c>
      <c r="K202" s="403" t="n">
        <v>0.05</v>
      </c>
      <c r="L202" s="403" t="n">
        <v>0.05</v>
      </c>
      <c r="M202" s="403" t="n">
        <v>0.05</v>
      </c>
      <c r="N202" s="403" t="n">
        <v>0.05</v>
      </c>
      <c r="O202" s="403" t="n">
        <v>0.05</v>
      </c>
      <c r="P202" s="403" t="n">
        <v>0.05</v>
      </c>
      <c r="Q202" s="403" t="n">
        <v>0.05</v>
      </c>
      <c r="R202" s="403" t="n">
        <v>0.05</v>
      </c>
      <c r="S202" s="403" t="n">
        <v>0.05</v>
      </c>
      <c r="T202" s="403" t="n">
        <v>0.05</v>
      </c>
      <c r="U202" s="403" t="n">
        <v>0.05</v>
      </c>
      <c r="V202" s="403" t="n">
        <v>0.05</v>
      </c>
      <c r="W202" s="403" t="n">
        <v>0.05</v>
      </c>
      <c r="X202" s="403" t="n">
        <v>0.05</v>
      </c>
      <c r="Y202" s="403" t="n">
        <v>0.05</v>
      </c>
      <c r="Z202" s="403" t="n">
        <v>0.05</v>
      </c>
      <c r="AA202" s="403" t="n">
        <v>0.05</v>
      </c>
      <c r="AB202" s="403" t="n">
        <v>0.05</v>
      </c>
      <c r="AC202" s="403" t="n">
        <v>0.05</v>
      </c>
      <c r="AD202" s="403" t="n">
        <v>0.05</v>
      </c>
      <c r="AE202" s="403" t="n">
        <v>0.05</v>
      </c>
      <c r="AF202" s="403" t="n">
        <v>0.05</v>
      </c>
      <c r="AG202" s="403" t="n">
        <v>0.05</v>
      </c>
      <c r="AH202" s="403" t="n">
        <v>0.05</v>
      </c>
      <c r="AI202" s="403" t="n">
        <v>0.05</v>
      </c>
      <c r="AJ202" s="403" t="n">
        <v>0.05</v>
      </c>
      <c r="AK202" s="403" t="n">
        <v>0.05</v>
      </c>
      <c r="AL202" s="403" t="n">
        <v>0.05</v>
      </c>
      <c r="AM202" s="403" t="n">
        <v>0.05</v>
      </c>
      <c r="AN202" s="403" t="n">
        <v>0.05</v>
      </c>
      <c r="AO202" s="403" t="n">
        <v>0.05</v>
      </c>
      <c r="AP202" s="403" t="n">
        <v>0.05</v>
      </c>
      <c r="AQ202" s="403" t="n">
        <v>0.05</v>
      </c>
      <c r="AR202" s="403" t="n">
        <v>0.05</v>
      </c>
      <c r="AS202" s="403" t="n">
        <v>0.05</v>
      </c>
      <c r="AT202" s="403" t="n">
        <v>0.05</v>
      </c>
      <c r="AU202" s="403" t="n">
        <v>0.05</v>
      </c>
      <c r="AV202" s="403" t="n">
        <v>0.05</v>
      </c>
      <c r="AW202" s="403" t="n">
        <v>0.05</v>
      </c>
    </row>
    <row r="203" outlineLevel="1">
      <c r="A203" s="207" t="n"/>
      <c r="B203" s="219" t="inlineStr">
        <is>
          <t>Revenues from Transactions</t>
        </is>
      </c>
      <c r="C203" s="406">
        <f>SUMIF($H$5:$AW$5,C$5,$H203:$AW203)</f>
        <v/>
      </c>
      <c r="D203" s="406">
        <f>SUMIF($H$5:$AW$5,D$5,$H203:$AW203)</f>
        <v/>
      </c>
      <c r="E203" s="406">
        <f>SUMIF($H$5:$AW$5,E$5,$H203:$AW203)</f>
        <v/>
      </c>
      <c r="F203" s="406">
        <f>SUMIF($H$5:$AW$5,F$5,$H203:$AW203)</f>
        <v/>
      </c>
      <c r="G203" s="360" t="n"/>
      <c r="H203" s="407">
        <f>H202*H201</f>
        <v/>
      </c>
      <c r="I203" s="407">
        <f>I202*I201</f>
        <v/>
      </c>
      <c r="J203" s="407">
        <f>J202*J201</f>
        <v/>
      </c>
      <c r="K203" s="407">
        <f>K202*K201</f>
        <v/>
      </c>
      <c r="L203" s="407">
        <f>L202*L201</f>
        <v/>
      </c>
      <c r="M203" s="407">
        <f>M202*M201</f>
        <v/>
      </c>
      <c r="N203" s="407">
        <f>N202*N201</f>
        <v/>
      </c>
      <c r="O203" s="407">
        <f>O202*O201</f>
        <v/>
      </c>
      <c r="P203" s="407">
        <f>P202*P201</f>
        <v/>
      </c>
      <c r="Q203" s="407">
        <f>Q202*Q201</f>
        <v/>
      </c>
      <c r="R203" s="407">
        <f>R202*R201</f>
        <v/>
      </c>
      <c r="S203" s="407">
        <f>S202*S201</f>
        <v/>
      </c>
      <c r="T203" s="407">
        <f>T202*T201</f>
        <v/>
      </c>
      <c r="U203" s="407">
        <f>U202*U201</f>
        <v/>
      </c>
      <c r="V203" s="407">
        <f>V202*V201</f>
        <v/>
      </c>
      <c r="W203" s="407">
        <f>W202*W201</f>
        <v/>
      </c>
      <c r="X203" s="407">
        <f>X202*X201</f>
        <v/>
      </c>
      <c r="Y203" s="407">
        <f>Y202*Y201</f>
        <v/>
      </c>
      <c r="Z203" s="407">
        <f>Z202*Z201</f>
        <v/>
      </c>
      <c r="AA203" s="407">
        <f>AA202*AA201</f>
        <v/>
      </c>
      <c r="AB203" s="407">
        <f>AB202*AB201</f>
        <v/>
      </c>
      <c r="AC203" s="407">
        <f>AC202*AC201</f>
        <v/>
      </c>
      <c r="AD203" s="407">
        <f>AD202*AD201</f>
        <v/>
      </c>
      <c r="AE203" s="407">
        <f>AE202*AE201</f>
        <v/>
      </c>
      <c r="AF203" s="407">
        <f>AF202*AF201</f>
        <v/>
      </c>
      <c r="AG203" s="407">
        <f>AG202*AG201</f>
        <v/>
      </c>
      <c r="AH203" s="407">
        <f>AH202*AH201</f>
        <v/>
      </c>
      <c r="AI203" s="407">
        <f>AI202*AI201</f>
        <v/>
      </c>
      <c r="AJ203" s="407">
        <f>AJ202*AJ201</f>
        <v/>
      </c>
      <c r="AK203" s="407">
        <f>AK202*AK201</f>
        <v/>
      </c>
      <c r="AL203" s="407">
        <f>AL202*AL201</f>
        <v/>
      </c>
      <c r="AM203" s="407">
        <f>AM202*AM201</f>
        <v/>
      </c>
      <c r="AN203" s="407">
        <f>AN202*AN201</f>
        <v/>
      </c>
      <c r="AO203" s="407">
        <f>AO202*AO201</f>
        <v/>
      </c>
      <c r="AP203" s="407">
        <f>AP202*AP201</f>
        <v/>
      </c>
      <c r="AQ203" s="407">
        <f>AQ202*AQ201</f>
        <v/>
      </c>
      <c r="AR203" s="407">
        <f>AR202*AR201</f>
        <v/>
      </c>
      <c r="AS203" s="407">
        <f>AS202*AS201</f>
        <v/>
      </c>
      <c r="AT203" s="407">
        <f>AT202*AT201</f>
        <v/>
      </c>
      <c r="AU203" s="407">
        <f>AU202*AU201</f>
        <v/>
      </c>
      <c r="AV203" s="407">
        <f>AV202*AV201</f>
        <v/>
      </c>
      <c r="AW203" s="407">
        <f>AW202*AW201</f>
        <v/>
      </c>
    </row>
    <row r="204" outlineLevel="1">
      <c r="A204" s="207" t="n"/>
      <c r="C204" s="210" t="n"/>
      <c r="D204" s="210" t="n"/>
      <c r="E204" s="210" t="n"/>
      <c r="F204" s="210" t="n"/>
    </row>
    <row r="205" outlineLevel="1" collapsed="1">
      <c r="A205" s="207" t="n"/>
      <c r="B205" s="149" t="inlineStr">
        <is>
          <t>Device Based Sale</t>
        </is>
      </c>
      <c r="C205" s="208" t="n"/>
      <c r="D205" s="208" t="n"/>
      <c r="E205" s="208" t="n"/>
      <c r="F205" s="208" t="n"/>
      <c r="G205" s="202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  <c r="AB205" s="209" t="n"/>
      <c r="AC205" s="209" t="n"/>
      <c r="AD205" s="209" t="n"/>
      <c r="AE205" s="209" t="n"/>
      <c r="AF205" s="209" t="n"/>
      <c r="AG205" s="209" t="n"/>
      <c r="AH205" s="209" t="n"/>
      <c r="AI205" s="209" t="n"/>
      <c r="AJ205" s="209" t="n"/>
      <c r="AK205" s="209" t="n"/>
      <c r="AL205" s="209" t="n"/>
      <c r="AM205" s="209" t="n"/>
      <c r="AN205" s="209" t="n"/>
      <c r="AO205" s="209" t="n"/>
      <c r="AP205" s="209" t="n"/>
      <c r="AQ205" s="209" t="n"/>
      <c r="AR205" s="209" t="n"/>
      <c r="AS205" s="209" t="n"/>
      <c r="AT205" s="209" t="n"/>
      <c r="AU205" s="209" t="n"/>
      <c r="AV205" s="209" t="n"/>
      <c r="AW205" s="209" t="n"/>
    </row>
    <row r="206" outlineLevel="1">
      <c r="A206" s="207" t="n"/>
      <c r="C206" s="210" t="n"/>
      <c r="D206" s="210" t="n"/>
      <c r="E206" s="210" t="n"/>
      <c r="F206" s="210" t="n"/>
    </row>
    <row r="207" outlineLevel="1">
      <c r="A207" s="207" t="n"/>
      <c r="B207" s="1" t="inlineStr">
        <is>
          <t>Number of transactions</t>
        </is>
      </c>
      <c r="C207" s="327">
        <f>SUMIF($H$5:$AW$5,C$5,$H207:$AW207)</f>
        <v/>
      </c>
      <c r="D207" s="327">
        <f>SUMIF($H$5:$AW$5,D$5,$H207:$AW207)</f>
        <v/>
      </c>
      <c r="E207" s="327">
        <f>SUMIF($H$5:$AW$5,E$5,$H207:$AW207)</f>
        <v/>
      </c>
      <c r="F207" s="327">
        <f>SUMIF($H$5:$AW$5,F$5,$H207:$AW207)</f>
        <v/>
      </c>
      <c r="G207" s="358" t="n"/>
      <c r="H207" s="368" t="n">
        <v>0</v>
      </c>
      <c r="I207" s="368" t="n">
        <v>0</v>
      </c>
      <c r="J207" s="368" t="n">
        <v>0</v>
      </c>
      <c r="K207" s="368" t="n">
        <v>0</v>
      </c>
      <c r="L207" s="368" t="n">
        <v>0</v>
      </c>
      <c r="M207" s="368" t="n">
        <v>0</v>
      </c>
      <c r="N207" s="368" t="n">
        <v>0</v>
      </c>
      <c r="O207" s="368" t="n">
        <v>0</v>
      </c>
      <c r="P207" s="368" t="n">
        <v>0</v>
      </c>
      <c r="Q207" s="368" t="n">
        <v>0</v>
      </c>
      <c r="R207" s="368" t="n">
        <v>0</v>
      </c>
      <c r="S207" s="368" t="n">
        <v>0</v>
      </c>
      <c r="T207" s="368" t="n">
        <v>0</v>
      </c>
      <c r="U207" s="368" t="n">
        <v>0</v>
      </c>
      <c r="V207" s="368" t="n">
        <v>0</v>
      </c>
      <c r="W207" s="368" t="n">
        <v>0</v>
      </c>
      <c r="X207" s="368" t="n">
        <v>0</v>
      </c>
      <c r="Y207" s="368" t="n">
        <v>0</v>
      </c>
      <c r="Z207" s="368" t="n">
        <v>0</v>
      </c>
      <c r="AA207" s="368" t="n">
        <v>0</v>
      </c>
      <c r="AB207" s="368" t="n">
        <v>0</v>
      </c>
      <c r="AC207" s="368" t="n">
        <v>0</v>
      </c>
      <c r="AD207" s="368" t="n">
        <v>0</v>
      </c>
      <c r="AE207" s="368" t="n">
        <v>0</v>
      </c>
      <c r="AF207" s="368" t="n">
        <v>0</v>
      </c>
      <c r="AG207" s="368" t="n">
        <v>0</v>
      </c>
      <c r="AH207" s="368" t="n">
        <v>0</v>
      </c>
      <c r="AI207" s="368" t="n">
        <v>0</v>
      </c>
      <c r="AJ207" s="368" t="n">
        <v>0</v>
      </c>
      <c r="AK207" s="368" t="n">
        <v>0</v>
      </c>
      <c r="AL207" s="368" t="n">
        <v>0</v>
      </c>
      <c r="AM207" s="368" t="n">
        <v>0</v>
      </c>
      <c r="AN207" s="368" t="n">
        <v>0</v>
      </c>
      <c r="AO207" s="368" t="n">
        <v>0</v>
      </c>
      <c r="AP207" s="368" t="n">
        <v>0</v>
      </c>
      <c r="AQ207" s="368" t="n">
        <v>0</v>
      </c>
      <c r="AR207" s="368" t="n">
        <v>0</v>
      </c>
      <c r="AS207" s="368" t="n">
        <v>0</v>
      </c>
      <c r="AT207" s="368" t="n">
        <v>0</v>
      </c>
      <c r="AU207" s="368" t="n">
        <v>0</v>
      </c>
      <c r="AV207" s="368" t="n">
        <v>0</v>
      </c>
      <c r="AW207" s="368" t="n">
        <v>0</v>
      </c>
    </row>
    <row r="208" outlineLevel="1">
      <c r="A208" s="207" t="n"/>
      <c r="B208" s="1" t="inlineStr">
        <is>
          <t>% of transactions on device</t>
        </is>
      </c>
      <c r="C208" s="210" t="n"/>
      <c r="D208" s="210" t="n"/>
      <c r="E208" s="210" t="n"/>
      <c r="F208" s="210" t="n"/>
      <c r="H208" s="403" t="n">
        <v>0.4</v>
      </c>
      <c r="I208" s="403" t="n">
        <v>0.4</v>
      </c>
      <c r="J208" s="403" t="n">
        <v>0.4</v>
      </c>
      <c r="K208" s="403" t="n">
        <v>0.4</v>
      </c>
      <c r="L208" s="403" t="n">
        <v>0.4</v>
      </c>
      <c r="M208" s="403" t="n">
        <v>0.4</v>
      </c>
      <c r="N208" s="403" t="n">
        <v>0.4</v>
      </c>
      <c r="O208" s="403" t="n">
        <v>0.4</v>
      </c>
      <c r="P208" s="403" t="n">
        <v>0.4</v>
      </c>
      <c r="Q208" s="403" t="n">
        <v>0.4</v>
      </c>
      <c r="R208" s="403" t="n">
        <v>0.4</v>
      </c>
      <c r="S208" s="403" t="n">
        <v>0.4</v>
      </c>
      <c r="T208" s="403" t="n">
        <v>0.4</v>
      </c>
      <c r="U208" s="403" t="n">
        <v>0.4</v>
      </c>
      <c r="V208" s="403" t="n">
        <v>0.4</v>
      </c>
      <c r="W208" s="403" t="n">
        <v>0.4</v>
      </c>
      <c r="X208" s="403" t="n">
        <v>0.4</v>
      </c>
      <c r="Y208" s="403" t="n">
        <v>0.4</v>
      </c>
      <c r="Z208" s="403" t="n">
        <v>0.4</v>
      </c>
      <c r="AA208" s="403" t="n">
        <v>0.4</v>
      </c>
      <c r="AB208" s="403" t="n">
        <v>0.4</v>
      </c>
      <c r="AC208" s="403" t="n">
        <v>0.4</v>
      </c>
      <c r="AD208" s="403" t="n">
        <v>0.4</v>
      </c>
      <c r="AE208" s="403" t="n">
        <v>0.4</v>
      </c>
      <c r="AF208" s="403" t="n">
        <v>0.4</v>
      </c>
      <c r="AG208" s="403" t="n">
        <v>0.4</v>
      </c>
      <c r="AH208" s="403" t="n">
        <v>0.4</v>
      </c>
      <c r="AI208" s="403" t="n">
        <v>0.4</v>
      </c>
      <c r="AJ208" s="403" t="n">
        <v>0.4</v>
      </c>
      <c r="AK208" s="403" t="n">
        <v>0.4</v>
      </c>
      <c r="AL208" s="403" t="n">
        <v>0.4</v>
      </c>
      <c r="AM208" s="403" t="n">
        <v>0.4</v>
      </c>
      <c r="AN208" s="403" t="n">
        <v>0.4</v>
      </c>
      <c r="AO208" s="403" t="n">
        <v>0.4</v>
      </c>
      <c r="AP208" s="403" t="n">
        <v>0.4</v>
      </c>
      <c r="AQ208" s="403" t="n">
        <v>0.4</v>
      </c>
      <c r="AR208" s="403" t="n">
        <v>0.4</v>
      </c>
      <c r="AS208" s="403" t="n">
        <v>0.4</v>
      </c>
      <c r="AT208" s="403" t="n">
        <v>0.4</v>
      </c>
      <c r="AU208" s="403" t="n">
        <v>0.4</v>
      </c>
      <c r="AV208" s="403" t="n">
        <v>0.4</v>
      </c>
      <c r="AW208" s="403" t="n">
        <v>0.4</v>
      </c>
    </row>
    <row r="209" outlineLevel="1">
      <c r="A209" s="207" t="n"/>
      <c r="B209" s="1" t="inlineStr">
        <is>
          <t xml:space="preserve">Rev. % of device based transaction volume </t>
        </is>
      </c>
      <c r="C209" s="210" t="n"/>
      <c r="D209" s="210" t="n"/>
      <c r="E209" s="210" t="n"/>
      <c r="F209" s="210" t="n"/>
      <c r="H209" s="403" t="n">
        <v>0.0025</v>
      </c>
      <c r="I209" s="403" t="n">
        <v>0.0025</v>
      </c>
      <c r="J209" s="403" t="n">
        <v>0.0025</v>
      </c>
      <c r="K209" s="403" t="n">
        <v>0.0025</v>
      </c>
      <c r="L209" s="403" t="n">
        <v>0.0025</v>
      </c>
      <c r="M209" s="403" t="n">
        <v>0.0025</v>
      </c>
      <c r="N209" s="403" t="n">
        <v>0.0025</v>
      </c>
      <c r="O209" s="403" t="n">
        <v>0.0025</v>
      </c>
      <c r="P209" s="403" t="n">
        <v>0.0025</v>
      </c>
      <c r="Q209" s="403" t="n">
        <v>0.0025</v>
      </c>
      <c r="R209" s="403" t="n">
        <v>0.0025</v>
      </c>
      <c r="S209" s="403" t="n">
        <v>0.0025</v>
      </c>
      <c r="T209" s="403" t="n">
        <v>0.0025</v>
      </c>
      <c r="U209" s="403" t="n">
        <v>0.0025</v>
      </c>
      <c r="V209" s="403" t="n">
        <v>0.0025</v>
      </c>
      <c r="W209" s="403" t="n">
        <v>0.0025</v>
      </c>
      <c r="X209" s="403" t="n">
        <v>0.0025</v>
      </c>
      <c r="Y209" s="403" t="n">
        <v>0.0025</v>
      </c>
      <c r="Z209" s="403" t="n">
        <v>0.0025</v>
      </c>
      <c r="AA209" s="403" t="n">
        <v>0.0025</v>
      </c>
      <c r="AB209" s="403" t="n">
        <v>0.0025</v>
      </c>
      <c r="AC209" s="403" t="n">
        <v>0.0025</v>
      </c>
      <c r="AD209" s="403" t="n">
        <v>0.0025</v>
      </c>
      <c r="AE209" s="403" t="n">
        <v>0.0025</v>
      </c>
      <c r="AF209" s="403" t="n">
        <v>0.0025</v>
      </c>
      <c r="AG209" s="403" t="n">
        <v>0.0025</v>
      </c>
      <c r="AH209" s="403" t="n">
        <v>0.0025</v>
      </c>
      <c r="AI209" s="403" t="n">
        <v>0.0025</v>
      </c>
      <c r="AJ209" s="403" t="n">
        <v>0.0025</v>
      </c>
      <c r="AK209" s="403" t="n">
        <v>0.0025</v>
      </c>
      <c r="AL209" s="403" t="n">
        <v>0.0025</v>
      </c>
      <c r="AM209" s="403" t="n">
        <v>0.0025</v>
      </c>
      <c r="AN209" s="403" t="n">
        <v>0.0025</v>
      </c>
      <c r="AO209" s="403" t="n">
        <v>0.0025</v>
      </c>
      <c r="AP209" s="403" t="n">
        <v>0.0025</v>
      </c>
      <c r="AQ209" s="403" t="n">
        <v>0.0025</v>
      </c>
      <c r="AR209" s="403" t="n">
        <v>0.0025</v>
      </c>
      <c r="AS209" s="403" t="n">
        <v>0.0025</v>
      </c>
      <c r="AT209" s="403" t="n">
        <v>0.0025</v>
      </c>
      <c r="AU209" s="403" t="n">
        <v>0.0025</v>
      </c>
      <c r="AV209" s="403" t="n">
        <v>0.0025</v>
      </c>
      <c r="AW209" s="403" t="n">
        <v>0.0025</v>
      </c>
    </row>
    <row r="210" outlineLevel="1">
      <c r="A210" s="207" t="n"/>
      <c r="B210" s="219" t="inlineStr">
        <is>
          <t>Revenues From Transactions</t>
        </is>
      </c>
      <c r="C210" s="406">
        <f>SUMIF($H$5:$AW$5,C$5,$H210:$AW210)</f>
        <v/>
      </c>
      <c r="D210" s="406">
        <f>SUMIF($H$5:$AW$5,D$5,$H210:$AW210)</f>
        <v/>
      </c>
      <c r="E210" s="406">
        <f>SUMIF($H$5:$AW$5,E$5,$H210:$AW210)</f>
        <v/>
      </c>
      <c r="F210" s="406">
        <f>SUMIF($H$5:$AW$5,F$5,$H210:$AW210)</f>
        <v/>
      </c>
      <c r="G210" s="360" t="n"/>
      <c r="H210" s="407">
        <f>H209*H208*H207</f>
        <v/>
      </c>
      <c r="I210" s="407">
        <f>I209*I208*I207</f>
        <v/>
      </c>
      <c r="J210" s="407">
        <f>J209*J208*J207</f>
        <v/>
      </c>
      <c r="K210" s="407">
        <f>K209*K208*K207</f>
        <v/>
      </c>
      <c r="L210" s="407">
        <f>L209*L208*L207</f>
        <v/>
      </c>
      <c r="M210" s="407">
        <f>M209*M208*M207</f>
        <v/>
      </c>
      <c r="N210" s="407">
        <f>N209*N208*N207</f>
        <v/>
      </c>
      <c r="O210" s="407">
        <f>O209*O208*O207</f>
        <v/>
      </c>
      <c r="P210" s="407">
        <f>P209*P208*P207</f>
        <v/>
      </c>
      <c r="Q210" s="407">
        <f>Q209*Q208*Q207</f>
        <v/>
      </c>
      <c r="R210" s="407">
        <f>R209*R208*R207</f>
        <v/>
      </c>
      <c r="S210" s="407">
        <f>S209*S208*S207</f>
        <v/>
      </c>
      <c r="T210" s="407">
        <f>T209*T208*T207</f>
        <v/>
      </c>
      <c r="U210" s="407">
        <f>U209*U208*U207</f>
        <v/>
      </c>
      <c r="V210" s="407">
        <f>V209*V208*V207</f>
        <v/>
      </c>
      <c r="W210" s="407">
        <f>W209*W208*W207</f>
        <v/>
      </c>
      <c r="X210" s="407">
        <f>X209*X208*X207</f>
        <v/>
      </c>
      <c r="Y210" s="407">
        <f>Y209*Y208*Y207</f>
        <v/>
      </c>
      <c r="Z210" s="407">
        <f>Z209*Z208*Z207</f>
        <v/>
      </c>
      <c r="AA210" s="407">
        <f>AA209*AA208*AA207</f>
        <v/>
      </c>
      <c r="AB210" s="407">
        <f>AB209*AB208*AB207</f>
        <v/>
      </c>
      <c r="AC210" s="407">
        <f>AC209*AC208*AC207</f>
        <v/>
      </c>
      <c r="AD210" s="407">
        <f>AD209*AD208*AD207</f>
        <v/>
      </c>
      <c r="AE210" s="407">
        <f>AE209*AE208*AE207</f>
        <v/>
      </c>
      <c r="AF210" s="407">
        <f>AF209*AF208*AF207</f>
        <v/>
      </c>
      <c r="AG210" s="407">
        <f>AG209*AG208*AG207</f>
        <v/>
      </c>
      <c r="AH210" s="407">
        <f>AH209*AH208*AH207</f>
        <v/>
      </c>
      <c r="AI210" s="407">
        <f>AI209*AI208*AI207</f>
        <v/>
      </c>
      <c r="AJ210" s="407">
        <f>AJ209*AJ208*AJ207</f>
        <v/>
      </c>
      <c r="AK210" s="407">
        <f>AK209*AK208*AK207</f>
        <v/>
      </c>
      <c r="AL210" s="407">
        <f>AL209*AL208*AL207</f>
        <v/>
      </c>
      <c r="AM210" s="407">
        <f>AM209*AM208*AM207</f>
        <v/>
      </c>
      <c r="AN210" s="407">
        <f>AN209*AN208*AN207</f>
        <v/>
      </c>
      <c r="AO210" s="407">
        <f>AO209*AO208*AO207</f>
        <v/>
      </c>
      <c r="AP210" s="407">
        <f>AP209*AP208*AP207</f>
        <v/>
      </c>
      <c r="AQ210" s="407">
        <f>AQ209*AQ208*AQ207</f>
        <v/>
      </c>
      <c r="AR210" s="407">
        <f>AR209*AR208*AR207</f>
        <v/>
      </c>
      <c r="AS210" s="407">
        <f>AS209*AS208*AS207</f>
        <v/>
      </c>
      <c r="AT210" s="407">
        <f>AT209*AT208*AT207</f>
        <v/>
      </c>
      <c r="AU210" s="407">
        <f>AU209*AU208*AU207</f>
        <v/>
      </c>
      <c r="AV210" s="407">
        <f>AV209*AV208*AV207</f>
        <v/>
      </c>
      <c r="AW210" s="407">
        <f>AW209*AW208*AW207</f>
        <v/>
      </c>
    </row>
    <row r="211" outlineLevel="1">
      <c r="A211" s="207" t="n"/>
      <c r="C211" s="210" t="n"/>
      <c r="D211" s="210" t="n"/>
      <c r="E211" s="210" t="n"/>
      <c r="F211" s="210" t="n"/>
    </row>
    <row r="212" outlineLevel="1" collapsed="1">
      <c r="A212" s="207" t="n"/>
      <c r="B212" s="149" t="inlineStr">
        <is>
          <t>Revenue on Transaction Volumes</t>
        </is>
      </c>
      <c r="C212" s="208" t="n"/>
      <c r="D212" s="208" t="n"/>
      <c r="E212" s="208" t="n"/>
      <c r="F212" s="208" t="n"/>
      <c r="G212" s="202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  <c r="AB212" s="209" t="n"/>
      <c r="AC212" s="209" t="n"/>
      <c r="AD212" s="209" t="n"/>
      <c r="AE212" s="209" t="n"/>
      <c r="AF212" s="209" t="n"/>
      <c r="AG212" s="209" t="n"/>
      <c r="AH212" s="209" t="n"/>
      <c r="AI212" s="209" t="n"/>
      <c r="AJ212" s="209" t="n"/>
      <c r="AK212" s="209" t="n"/>
      <c r="AL212" s="209" t="n"/>
      <c r="AM212" s="209" t="n"/>
      <c r="AN212" s="209" t="n"/>
      <c r="AO212" s="209" t="n"/>
      <c r="AP212" s="209" t="n"/>
      <c r="AQ212" s="209" t="n"/>
      <c r="AR212" s="209" t="n"/>
      <c r="AS212" s="209" t="n"/>
      <c r="AT212" s="209" t="n"/>
      <c r="AU212" s="209" t="n"/>
      <c r="AV212" s="209" t="n"/>
      <c r="AW212" s="209" t="n"/>
    </row>
    <row r="213" outlineLevel="1">
      <c r="A213" s="207" t="n"/>
      <c r="C213" s="210" t="n"/>
      <c r="D213" s="210" t="n"/>
      <c r="E213" s="210" t="n"/>
      <c r="F213" s="210" t="n"/>
    </row>
    <row r="214" outlineLevel="1">
      <c r="A214" s="207" t="n"/>
      <c r="B214" s="1" t="inlineStr">
        <is>
          <t>Number of transactions</t>
        </is>
      </c>
      <c r="C214" s="327">
        <f>SUMIF($H$5:$AW$5,C$5,$H214:$AW214)</f>
        <v/>
      </c>
      <c r="D214" s="327">
        <f>SUMIF($H$5:$AW$5,D$5,$H214:$AW214)</f>
        <v/>
      </c>
      <c r="E214" s="327">
        <f>SUMIF($H$5:$AW$5,E$5,$H214:$AW214)</f>
        <v/>
      </c>
      <c r="F214" s="327">
        <f>SUMIF($H$5:$AW$5,F$5,$H214:$AW214)</f>
        <v/>
      </c>
      <c r="G214" s="358" t="n"/>
      <c r="H214" s="368" t="n">
        <v>0</v>
      </c>
      <c r="I214" s="368" t="n">
        <v>0</v>
      </c>
      <c r="J214" s="368" t="n">
        <v>0</v>
      </c>
      <c r="K214" s="368" t="n">
        <v>0</v>
      </c>
      <c r="L214" s="368" t="n">
        <v>0</v>
      </c>
      <c r="M214" s="368" t="n">
        <v>0</v>
      </c>
      <c r="N214" s="368" t="n">
        <v>0</v>
      </c>
      <c r="O214" s="368" t="n">
        <v>0</v>
      </c>
      <c r="P214" s="368" t="n">
        <v>0</v>
      </c>
      <c r="Q214" s="368" t="n">
        <v>0</v>
      </c>
      <c r="R214" s="368" t="n">
        <v>0</v>
      </c>
      <c r="S214" s="368" t="n">
        <v>0</v>
      </c>
      <c r="T214" s="368" t="n">
        <v>0</v>
      </c>
      <c r="U214" s="368" t="n">
        <v>0</v>
      </c>
      <c r="V214" s="368" t="n">
        <v>0</v>
      </c>
      <c r="W214" s="368" t="n">
        <v>0</v>
      </c>
      <c r="X214" s="368" t="n">
        <v>0</v>
      </c>
      <c r="Y214" s="368" t="n">
        <v>0</v>
      </c>
      <c r="Z214" s="368" t="n">
        <v>0</v>
      </c>
      <c r="AA214" s="368" t="n">
        <v>0</v>
      </c>
      <c r="AB214" s="368" t="n">
        <v>0</v>
      </c>
      <c r="AC214" s="368" t="n">
        <v>0</v>
      </c>
      <c r="AD214" s="368" t="n">
        <v>0</v>
      </c>
      <c r="AE214" s="368" t="n">
        <v>0</v>
      </c>
      <c r="AF214" s="368" t="n">
        <v>0</v>
      </c>
      <c r="AG214" s="368" t="n">
        <v>0</v>
      </c>
      <c r="AH214" s="368" t="n">
        <v>0</v>
      </c>
      <c r="AI214" s="368" t="n">
        <v>0</v>
      </c>
      <c r="AJ214" s="368" t="n">
        <v>0</v>
      </c>
      <c r="AK214" s="368" t="n">
        <v>0</v>
      </c>
      <c r="AL214" s="368" t="n">
        <v>0</v>
      </c>
      <c r="AM214" s="368" t="n">
        <v>0</v>
      </c>
      <c r="AN214" s="368" t="n">
        <v>0</v>
      </c>
      <c r="AO214" s="368" t="n">
        <v>0</v>
      </c>
      <c r="AP214" s="368" t="n">
        <v>0</v>
      </c>
      <c r="AQ214" s="368" t="n">
        <v>0</v>
      </c>
      <c r="AR214" s="368" t="n">
        <v>0</v>
      </c>
      <c r="AS214" s="368" t="n">
        <v>0</v>
      </c>
      <c r="AT214" s="368" t="n">
        <v>0</v>
      </c>
      <c r="AU214" s="368" t="n">
        <v>0</v>
      </c>
      <c r="AV214" s="368" t="n">
        <v>0</v>
      </c>
      <c r="AW214" s="368" t="n">
        <v>0</v>
      </c>
    </row>
    <row r="215" outlineLevel="1">
      <c r="A215" s="207" t="n"/>
      <c r="B215" s="1" t="inlineStr">
        <is>
          <t>Rev. % of transaction volume</t>
        </is>
      </c>
      <c r="C215" s="401">
        <f>IFERROR(C216/C214,"NA")</f>
        <v/>
      </c>
      <c r="D215" s="401">
        <f>IFERROR(D216/D214,"NA")</f>
        <v/>
      </c>
      <c r="E215" s="401">
        <f>IFERROR(E216/E214,"NA")</f>
        <v/>
      </c>
      <c r="F215" s="401">
        <f>IFERROR(F216/F214,"NA")</f>
        <v/>
      </c>
      <c r="H215" s="403" t="n">
        <v>0.005</v>
      </c>
      <c r="I215" s="403" t="n">
        <v>0.005</v>
      </c>
      <c r="J215" s="403" t="n">
        <v>0.005</v>
      </c>
      <c r="K215" s="403" t="n">
        <v>0.005</v>
      </c>
      <c r="L215" s="403" t="n">
        <v>0.005</v>
      </c>
      <c r="M215" s="403" t="n">
        <v>0.005</v>
      </c>
      <c r="N215" s="403" t="n">
        <v>0.005</v>
      </c>
      <c r="O215" s="403" t="n">
        <v>0.005</v>
      </c>
      <c r="P215" s="403" t="n">
        <v>0.005</v>
      </c>
      <c r="Q215" s="403" t="n">
        <v>0.005</v>
      </c>
      <c r="R215" s="403" t="n">
        <v>0.005</v>
      </c>
      <c r="S215" s="403" t="n">
        <v>0.005</v>
      </c>
      <c r="T215" s="403" t="n">
        <v>0.005</v>
      </c>
      <c r="U215" s="403" t="n">
        <v>0.005</v>
      </c>
      <c r="V215" s="403" t="n">
        <v>0.005</v>
      </c>
      <c r="W215" s="403" t="n">
        <v>0.005</v>
      </c>
      <c r="X215" s="403" t="n">
        <v>0.005</v>
      </c>
      <c r="Y215" s="403" t="n">
        <v>0.005</v>
      </c>
      <c r="Z215" s="403" t="n">
        <v>0.005</v>
      </c>
      <c r="AA215" s="403" t="n">
        <v>0.005</v>
      </c>
      <c r="AB215" s="403" t="n">
        <v>0.005</v>
      </c>
      <c r="AC215" s="403" t="n">
        <v>0.005</v>
      </c>
      <c r="AD215" s="403" t="n">
        <v>0.005</v>
      </c>
      <c r="AE215" s="403" t="n">
        <v>0.005</v>
      </c>
      <c r="AF215" s="403" t="n">
        <v>0.005</v>
      </c>
      <c r="AG215" s="403" t="n">
        <v>0.005</v>
      </c>
      <c r="AH215" s="403" t="n">
        <v>0.005</v>
      </c>
      <c r="AI215" s="403" t="n">
        <v>0.005</v>
      </c>
      <c r="AJ215" s="403" t="n">
        <v>0.005</v>
      </c>
      <c r="AK215" s="403" t="n">
        <v>0.005</v>
      </c>
      <c r="AL215" s="403" t="n">
        <v>0.005</v>
      </c>
      <c r="AM215" s="403" t="n">
        <v>0.005</v>
      </c>
      <c r="AN215" s="403" t="n">
        <v>0.005</v>
      </c>
      <c r="AO215" s="403" t="n">
        <v>0.005</v>
      </c>
      <c r="AP215" s="403" t="n">
        <v>0.005</v>
      </c>
      <c r="AQ215" s="403" t="n">
        <v>0.005</v>
      </c>
      <c r="AR215" s="403" t="n">
        <v>0.005</v>
      </c>
      <c r="AS215" s="403" t="n">
        <v>0.005</v>
      </c>
      <c r="AT215" s="403" t="n">
        <v>0.005</v>
      </c>
      <c r="AU215" s="403" t="n">
        <v>0.005</v>
      </c>
      <c r="AV215" s="403" t="n">
        <v>0.005</v>
      </c>
      <c r="AW215" s="403" t="n">
        <v>0.005</v>
      </c>
    </row>
    <row r="216" outlineLevel="1">
      <c r="A216" s="207" t="n"/>
      <c r="B216" s="219" t="inlineStr">
        <is>
          <t>Revenues From Transactions</t>
        </is>
      </c>
      <c r="C216" s="406">
        <f>SUMIF($H$5:$AW$5,C$5,$H216:$AW216)</f>
        <v/>
      </c>
      <c r="D216" s="406">
        <f>SUMIF($H$5:$AW$5,D$5,$H216:$AW216)</f>
        <v/>
      </c>
      <c r="E216" s="406">
        <f>SUMIF($H$5:$AW$5,E$5,$H216:$AW216)</f>
        <v/>
      </c>
      <c r="F216" s="406">
        <f>SUMIF($H$5:$AW$5,F$5,$H216:$AW216)</f>
        <v/>
      </c>
      <c r="G216" s="360" t="n"/>
      <c r="H216" s="407">
        <f>H215*H214</f>
        <v/>
      </c>
      <c r="I216" s="407">
        <f>I215*I214</f>
        <v/>
      </c>
      <c r="J216" s="407">
        <f>J215*J214</f>
        <v/>
      </c>
      <c r="K216" s="407">
        <f>K215*K214</f>
        <v/>
      </c>
      <c r="L216" s="407">
        <f>L215*L214</f>
        <v/>
      </c>
      <c r="M216" s="407">
        <f>M215*M214</f>
        <v/>
      </c>
      <c r="N216" s="407">
        <f>N215*N214</f>
        <v/>
      </c>
      <c r="O216" s="407">
        <f>O215*O214</f>
        <v/>
      </c>
      <c r="P216" s="407">
        <f>P215*P214</f>
        <v/>
      </c>
      <c r="Q216" s="407">
        <f>Q215*Q214</f>
        <v/>
      </c>
      <c r="R216" s="407">
        <f>R215*R214</f>
        <v/>
      </c>
      <c r="S216" s="407">
        <f>S215*S214</f>
        <v/>
      </c>
      <c r="T216" s="407">
        <f>T215*T214</f>
        <v/>
      </c>
      <c r="U216" s="407">
        <f>U215*U214</f>
        <v/>
      </c>
      <c r="V216" s="407">
        <f>V215*V214</f>
        <v/>
      </c>
      <c r="W216" s="407">
        <f>W215*W214</f>
        <v/>
      </c>
      <c r="X216" s="407">
        <f>X215*X214</f>
        <v/>
      </c>
      <c r="Y216" s="407">
        <f>Y215*Y214</f>
        <v/>
      </c>
      <c r="Z216" s="407">
        <f>Z215*Z214</f>
        <v/>
      </c>
      <c r="AA216" s="407">
        <f>AA215*AA214</f>
        <v/>
      </c>
      <c r="AB216" s="407">
        <f>AB215*AB214</f>
        <v/>
      </c>
      <c r="AC216" s="407">
        <f>AC215*AC214</f>
        <v/>
      </c>
      <c r="AD216" s="407">
        <f>AD215*AD214</f>
        <v/>
      </c>
      <c r="AE216" s="407">
        <f>AE215*AE214</f>
        <v/>
      </c>
      <c r="AF216" s="407">
        <f>AF215*AF214</f>
        <v/>
      </c>
      <c r="AG216" s="407">
        <f>AG215*AG214</f>
        <v/>
      </c>
      <c r="AH216" s="407">
        <f>AH215*AH214</f>
        <v/>
      </c>
      <c r="AI216" s="407">
        <f>AI215*AI214</f>
        <v/>
      </c>
      <c r="AJ216" s="407">
        <f>AJ215*AJ214</f>
        <v/>
      </c>
      <c r="AK216" s="407">
        <f>AK215*AK214</f>
        <v/>
      </c>
      <c r="AL216" s="407">
        <f>AL215*AL214</f>
        <v/>
      </c>
      <c r="AM216" s="407">
        <f>AM215*AM214</f>
        <v/>
      </c>
      <c r="AN216" s="407">
        <f>AN215*AN214</f>
        <v/>
      </c>
      <c r="AO216" s="407">
        <f>AO215*AO214</f>
        <v/>
      </c>
      <c r="AP216" s="407">
        <f>AP215*AP214</f>
        <v/>
      </c>
      <c r="AQ216" s="407">
        <f>AQ215*AQ214</f>
        <v/>
      </c>
      <c r="AR216" s="407">
        <f>AR215*AR214</f>
        <v/>
      </c>
      <c r="AS216" s="407">
        <f>AS215*AS214</f>
        <v/>
      </c>
      <c r="AT216" s="407">
        <f>AT215*AT214</f>
        <v/>
      </c>
      <c r="AU216" s="407">
        <f>AU215*AU214</f>
        <v/>
      </c>
      <c r="AV216" s="407">
        <f>AV215*AV214</f>
        <v/>
      </c>
      <c r="AW216" s="407">
        <f>AW215*AW214</f>
        <v/>
      </c>
    </row>
    <row r="217" outlineLevel="1">
      <c r="A217" s="207" t="n"/>
      <c r="C217" s="327" t="n"/>
      <c r="D217" s="327" t="n"/>
      <c r="E217" s="327" t="n"/>
      <c r="F217" s="327" t="n"/>
      <c r="G217" s="358" t="n"/>
      <c r="H217" s="357" t="n"/>
      <c r="I217" s="357" t="n"/>
      <c r="J217" s="357" t="n"/>
      <c r="K217" s="357" t="n"/>
      <c r="L217" s="357" t="n"/>
      <c r="M217" s="357" t="n"/>
      <c r="N217" s="357" t="n"/>
      <c r="O217" s="357" t="n"/>
      <c r="P217" s="357" t="n"/>
      <c r="Q217" s="357" t="n"/>
      <c r="R217" s="357" t="n"/>
      <c r="S217" s="357" t="n"/>
      <c r="T217" s="357" t="n"/>
      <c r="U217" s="357" t="n"/>
      <c r="V217" s="357" t="n"/>
      <c r="W217" s="357" t="n"/>
      <c r="X217" s="357" t="n"/>
      <c r="Y217" s="357" t="n"/>
      <c r="Z217" s="357" t="n"/>
      <c r="AA217" s="357" t="n"/>
      <c r="AB217" s="357" t="n"/>
      <c r="AC217" s="357" t="n"/>
      <c r="AD217" s="357" t="n"/>
      <c r="AE217" s="357" t="n"/>
      <c r="AF217" s="357" t="n"/>
      <c r="AG217" s="357" t="n"/>
      <c r="AH217" s="357" t="n"/>
      <c r="AI217" s="357" t="n"/>
      <c r="AJ217" s="357" t="n"/>
      <c r="AK217" s="357" t="n"/>
      <c r="AL217" s="357" t="n"/>
      <c r="AM217" s="357" t="n"/>
      <c r="AN217" s="357" t="n"/>
      <c r="AO217" s="357" t="n"/>
      <c r="AP217" s="357" t="n"/>
      <c r="AQ217" s="357" t="n"/>
      <c r="AR217" s="357" t="n"/>
      <c r="AS217" s="357" t="n"/>
      <c r="AT217" s="357" t="n"/>
      <c r="AU217" s="357" t="n"/>
      <c r="AV217" s="357" t="n"/>
      <c r="AW217" s="357" t="n"/>
    </row>
    <row r="218" ht="14" customHeight="1" thickBot="1">
      <c r="A218" s="207" t="inlineStr">
        <is>
          <t>US$</t>
        </is>
      </c>
      <c r="B218" s="247" t="inlineStr">
        <is>
          <t>Total Revenue</t>
        </is>
      </c>
      <c r="C218" s="420">
        <f>SUMIF($H$5:$AW$5,C$5,$H218:$AW218)</f>
        <v/>
      </c>
      <c r="D218" s="420">
        <f>SUMIF($H$5:$AW$5,D$5,$H218:$AW218)</f>
        <v/>
      </c>
      <c r="E218" s="420">
        <f>SUMIF($H$5:$AW$5,E$5,$H218:$AW218)</f>
        <v/>
      </c>
      <c r="F218" s="420">
        <f>SUMIF($H$5:$AW$5,F$5,$H218:$AW218)</f>
        <v/>
      </c>
      <c r="G218" s="421" t="n"/>
      <c r="H218" s="420">
        <f>H19+H35+H36+H37+H67+H68+H70+H71+H94+H95+H96+H97+H112+H113+H114+H115+H130+H131+H132+H133+H140+H145+H150+H155+H162+H167+H172+H177+H184+H189+H194+H199+H203+H210+H216+H69</f>
        <v/>
      </c>
      <c r="I218" s="420">
        <f>I19+I35+I36+I37+I67+I68+I70+I71+I94+I95+I96+I97+I112+I113+I114+I115+I130+I131+I132+I133+I140+I145+I150+I155+I162+I167+I172+I177+I184+I189+I194+I199+I203+I210+I216+I69</f>
        <v/>
      </c>
      <c r="J218" s="420">
        <f>J19+J35+J36+J37+J67+J68+J70+J71+J94+J95+J96+J97+J112+J113+J114+J115+J130+J131+J132+J133+J140+J145+J150+J155+J162+J167+J172+J177+J184+J189+J194+J199+J203+J210+J216+J69</f>
        <v/>
      </c>
      <c r="K218" s="420">
        <f>K19+K35+K36+K37+K67+K68+K70+K71+K94+K95+K96+K97+K112+K113+K114+K115+K130+K131+K132+K133+K140+K145+K150+K155+K162+K167+K172+K177+K184+K189+K194+K199+K203+K210+K216+K69</f>
        <v/>
      </c>
      <c r="L218" s="420">
        <f>L19+L35+L36+L37+L67+L68+L70+L71+L94+L95+L96+L97+L112+L113+L114+L115+L130+L131+L132+L133+L140+L145+L150+L155+L162+L167+L172+L177+L184+L189+L194+L199+L203+L210+L216+L69</f>
        <v/>
      </c>
      <c r="M218" s="420">
        <f>M19+M35+M36+M37+M67+M68+M70+M71+M94+M95+M96+M97+M112+M113+M114+M115+M130+M131+M132+M133+M140+M145+M150+M155+M162+M167+M172+M177+M184+M189+M194+M199+M203+M210+M216+M69</f>
        <v/>
      </c>
      <c r="N218" s="420">
        <f>N19+N35+N36+N37+N67+N68+N70+N71+N94+N95+N96+N97+N112+N113+N114+N115+N130+N131+N132+N133+N140+N145+N150+N155+N162+N167+N172+N177+N184+N189+N194+N199+N203+N210+N216+N69</f>
        <v/>
      </c>
      <c r="O218" s="420">
        <f>O19+O35+O36+O37+O67+O68+O70+O71+O94+O95+O96+O97+O112+O113+O114+O115+O130+O131+O132+O133+O140+O145+O150+O155+O162+O167+O172+O177+O184+O189+O194+O199+O203+O210+O216+O69</f>
        <v/>
      </c>
      <c r="P218" s="420">
        <f>P19+P35+P36+P37+P67+P68+P70+P71+P94+P95+P96+P97+P112+P113+P114+P115+P130+P131+P132+P133+P140+P145+P150+P155+P162+P167+P172+P177+P184+P189+P194+P199+P203+P210+P216+P69</f>
        <v/>
      </c>
      <c r="Q218" s="420">
        <f>Q19+Q35+Q36+Q37+Q67+Q68+Q70+Q71+Q94+Q95+Q96+Q97+Q112+Q113+Q114+Q115+Q130+Q131+Q132+Q133+Q140+Q145+Q150+Q155+Q162+Q167+Q172+Q177+Q184+Q189+Q194+Q199+Q203+Q210+Q216+Q69</f>
        <v/>
      </c>
      <c r="R218" s="420">
        <f>R19+R35+R36+R37+R67+R68+R70+R71+R94+R95+R96+R97+R112+R113+R114+R115+R130+R131+R132+R133+R140+R145+R150+R155+R162+R167+R172+R177+R184+R189+R194+R199+R203+R210+R216+R69</f>
        <v/>
      </c>
      <c r="S218" s="420">
        <f>S19+S35+S36+S37+S67+S68+S70+S71+S94+S95+S96+S97+S112+S113+S114+S115+S130+S131+S132+S133+S140+S145+S150+S155+S162+S167+S172+S177+S184+S189+S194+S199+S203+S210+S216+S69</f>
        <v/>
      </c>
      <c r="T218" s="420">
        <f>T19+T35+T36+T37+T67+T68+T70+T71+T94+T95+T96+T97+T112+T113+T114+T115+T130+T131+T132+T133+T140+T145+T150+T155+T162+T167+T172+T177+T184+T189+T194+T199+T203+T210+T216+T69</f>
        <v/>
      </c>
      <c r="U218" s="420">
        <f>U19+U35+U36+U37+U67+U68+U70+U71+U94+U95+U96+U97+U112+U113+U114+U115+U130+U131+U132+U133+U140+U145+U150+U155+U162+U167+U172+U177+U184+U189+U194+U199+U203+U210+U216+U69</f>
        <v/>
      </c>
      <c r="V218" s="420">
        <f>V19+V35+V36+V37+V67+V68+V70+V71+V94+V95+V96+V97+V112+V113+V114+V115+V130+V131+V132+V133+V140+V145+V150+V155+V162+V167+V172+V177+V184+V189+V194+V199+V203+V210+V216+V69</f>
        <v/>
      </c>
      <c r="W218" s="420">
        <f>W19+W35+W36+W37+W67+W68+W70+W71+W94+W95+W96+W97+W112+W113+W114+W115+W130+W131+W132+W133+W140+W145+W150+W155+W162+W167+W172+W177+W184+W189+W194+W199+W203+W210+W216+W69</f>
        <v/>
      </c>
      <c r="X218" s="420">
        <f>X19+X35+X36+X37+X67+X68+X70+X71+X94+X95+X96+X97+X112+X113+X114+X115+X130+X131+X132+X133+X140+X145+X150+X155+X162+X167+X172+X177+X184+X189+X194+X199+X203+X210+X216+X69</f>
        <v/>
      </c>
      <c r="Y218" s="420">
        <f>Y19+Y35+Y36+Y37+Y67+Y68+Y70+Y71+Y94+Y95+Y96+Y97+Y112+Y113+Y114+Y115+Y130+Y131+Y132+Y133+Y140+Y145+Y150+Y155+Y162+Y167+Y172+Y177+Y184+Y189+Y194+Y199+Y203+Y210+Y216+Y69</f>
        <v/>
      </c>
      <c r="Z218" s="420">
        <f>Z19+Z35+Z36+Z37+Z67+Z68+Z70+Z71+Z94+Z95+Z96+Z97+Z112+Z113+Z114+Z115+Z130+Z131+Z132+Z133+Z140+Z145+Z150+Z155+Z162+Z167+Z172+Z177+Z184+Z189+Z194+Z199+Z203+Z210+Z216+Z69</f>
        <v/>
      </c>
      <c r="AA218" s="420">
        <f>AA19+AA35+AA36+AA37+AA67+AA68+AA70+AA71+AA94+AA95+AA96+AA97+AA112+AA113+AA114+AA115+AA130+AA131+AA132+AA133+AA140+AA145+AA150+AA155+AA162+AA167+AA172+AA177+AA184+AA189+AA194+AA199+AA203+AA210+AA216+AA69</f>
        <v/>
      </c>
      <c r="AB218" s="420">
        <f>AB19+AB35+AB36+AB37+AB67+AB68+AB70+AB71+AB94+AB95+AB96+AB97+AB112+AB113+AB114+AB115+AB130+AB131+AB132+AB133+AB140+AB145+AB150+AB155+AB162+AB167+AB172+AB177+AB184+AB189+AB194+AB199+AB203+AB210+AB216+AB69</f>
        <v/>
      </c>
      <c r="AC218" s="420">
        <f>AC19+AC35+AC36+AC37+AC67+AC68+AC70+AC71+AC94+AC95+AC96+AC97+AC112+AC113+AC114+AC115+AC130+AC131+AC132+AC133+AC140+AC145+AC150+AC155+AC162+AC167+AC172+AC177+AC184+AC189+AC194+AC199+AC203+AC210+AC216+AC69</f>
        <v/>
      </c>
      <c r="AD218" s="420">
        <f>AD19+AD35+AD36+AD37+AD67+AD68+AD70+AD71+AD94+AD95+AD96+AD97+AD112+AD113+AD114+AD115+AD130+AD131+AD132+AD133+AD140+AD145+AD150+AD155+AD162+AD167+AD172+AD177+AD184+AD189+AD194+AD199+AD203+AD210+AD216+AD69</f>
        <v/>
      </c>
      <c r="AE218" s="420">
        <f>AE19+AE35+AE36+AE37+AE67+AE68+AE70+AE71+AE94+AE95+AE96+AE97+AE112+AE113+AE114+AE115+AE130+AE131+AE132+AE133+AE140+AE145+AE150+AE155+AE162+AE167+AE172+AE177+AE184+AE189+AE194+AE199+AE203+AE210+AE216+AE69</f>
        <v/>
      </c>
      <c r="AF218" s="420">
        <f>AF19+AF35+AF36+AF37+AF67+AF68+AF70+AF71+AF94+AF95+AF96+AF97+AF112+AF113+AF114+AF115+AF130+AF131+AF132+AF133+AF140+AF145+AF150+AF155+AF162+AF167+AF172+AF177+AF184+AF189+AF194+AF199+AF203+AF210+AF216+AF69</f>
        <v/>
      </c>
      <c r="AG218" s="420">
        <f>AG19+AG35+AG36+AG37+AG67+AG68+AG70+AG71+AG94+AG95+AG96+AG97+AG112+AG113+AG114+AG115+AG130+AG131+AG132+AG133+AG140+AG145+AG150+AG155+AG162+AG167+AG172+AG177+AG184+AG189+AG194+AG199+AG203+AG210+AG216+AG69</f>
        <v/>
      </c>
      <c r="AH218" s="420">
        <f>AH19+AH35+AH36+AH37+AH67+AH68+AH70+AH71+AH94+AH95+AH96+AH97+AH112+AH113+AH114+AH115+AH130+AH131+AH132+AH133+AH140+AH145+AH150+AH155+AH162+AH167+AH172+AH177+AH184+AH189+AH194+AH199+AH203+AH210+AH216+AH69</f>
        <v/>
      </c>
      <c r="AI218" s="420">
        <f>AI19+AI35+AI36+AI37+AI67+AI68+AI70+AI71+AI94+AI95+AI96+AI97+AI112+AI113+AI114+AI115+AI130+AI131+AI132+AI133+AI140+AI145+AI150+AI155+AI162+AI167+AI172+AI177+AI184+AI189+AI194+AI199+AI203+AI210+AI216+AI69</f>
        <v/>
      </c>
      <c r="AJ218" s="420">
        <f>AJ19+AJ35+AJ36+AJ37+AJ67+AJ68+AJ70+AJ71+AJ94+AJ95+AJ96+AJ97+AJ112+AJ113+AJ114+AJ115+AJ130+AJ131+AJ132+AJ133+AJ140+AJ145+AJ150+AJ155+AJ162+AJ167+AJ172+AJ177+AJ184+AJ189+AJ194+AJ199+AJ203+AJ210+AJ216+AJ69</f>
        <v/>
      </c>
      <c r="AK218" s="420">
        <f>AK19+AK35+AK36+AK37+AK67+AK68+AK70+AK71+AK94+AK95+AK96+AK97+AK112+AK113+AK114+AK115+AK130+AK131+AK132+AK133+AK140+AK145+AK150+AK155+AK162+AK167+AK172+AK177+AK184+AK189+AK194+AK199+AK203+AK210+AK216+AK69</f>
        <v/>
      </c>
      <c r="AL218" s="420">
        <f>AL19+AL35+AL36+AL37+AL67+AL68+AL70+AL71+AL94+AL95+AL96+AL97+AL112+AL113+AL114+AL115+AL130+AL131+AL132+AL133+AL140+AL145+AL150+AL155+AL162+AL167+AL172+AL177+AL184+AL189+AL194+AL199+AL203+AL210+AL216+AL69</f>
        <v/>
      </c>
      <c r="AM218" s="420">
        <f>AM19+AM35+AM36+AM37+AM67+AM68+AM70+AM71+AM94+AM95+AM96+AM97+AM112+AM113+AM114+AM115+AM130+AM131+AM132+AM133+AM140+AM145+AM150+AM155+AM162+AM167+AM172+AM177+AM184+AM189+AM194+AM199+AM203+AM210+AM216+AM69</f>
        <v/>
      </c>
      <c r="AN218" s="420">
        <f>AN19+AN35+AN36+AN37+AN67+AN68+AN70+AN71+AN94+AN95+AN96+AN97+AN112+AN113+AN114+AN115+AN130+AN131+AN132+AN133+AN140+AN145+AN150+AN155+AN162+AN167+AN172+AN177+AN184+AN189+AN194+AN199+AN203+AN210+AN216+AN69</f>
        <v/>
      </c>
      <c r="AO218" s="420">
        <f>AO19+AO35+AO36+AO37+AO67+AO68+AO70+AO71+AO94+AO95+AO96+AO97+AO112+AO113+AO114+AO115+AO130+AO131+AO132+AO133+AO140+AO145+AO150+AO155+AO162+AO167+AO172+AO177+AO184+AO189+AO194+AO199+AO203+AO210+AO216+AO69</f>
        <v/>
      </c>
      <c r="AP218" s="420">
        <f>AP19+AP35+AP36+AP37+AP67+AP68+AP70+AP71+AP94+AP95+AP96+AP97+AP112+AP113+AP114+AP115+AP130+AP131+AP132+AP133+AP140+AP145+AP150+AP155+AP162+AP167+AP172+AP177+AP184+AP189+AP194+AP199+AP203+AP210+AP216+AP69</f>
        <v/>
      </c>
      <c r="AQ218" s="420">
        <f>AQ19+AQ35+AQ36+AQ37+AQ67+AQ68+AQ70+AQ71+AQ94+AQ95+AQ96+AQ97+AQ112+AQ113+AQ114+AQ115+AQ130+AQ131+AQ132+AQ133+AQ140+AQ145+AQ150+AQ155+AQ162+AQ167+AQ172+AQ177+AQ184+AQ189+AQ194+AQ199+AQ203+AQ210+AQ216+AQ69</f>
        <v/>
      </c>
      <c r="AR218" s="420">
        <f>AR19+AR35+AR36+AR37+AR67+AR68+AR70+AR71+AR94+AR95+AR96+AR97+AR112+AR113+AR114+AR115+AR130+AR131+AR132+AR133+AR140+AR145+AR150+AR155+AR162+AR167+AR172+AR177+AR184+AR189+AR194+AR199+AR203+AR210+AR216+AR69</f>
        <v/>
      </c>
      <c r="AS218" s="420">
        <f>AS19+AS35+AS36+AS37+AS67+AS68+AS70+AS71+AS94+AS95+AS96+AS97+AS112+AS113+AS114+AS115+AS130+AS131+AS132+AS133+AS140+AS145+AS150+AS155+AS162+AS167+AS172+AS177+AS184+AS189+AS194+AS199+AS203+AS210+AS216+AS69</f>
        <v/>
      </c>
      <c r="AT218" s="420">
        <f>AT19+AT35+AT36+AT37+AT67+AT68+AT70+AT71+AT94+AT95+AT96+AT97+AT112+AT113+AT114+AT115+AT130+AT131+AT132+AT133+AT140+AT145+AT150+AT155+AT162+AT167+AT172+AT177+AT184+AT189+AT194+AT199+AT203+AT210+AT216+AT69</f>
        <v/>
      </c>
      <c r="AU218" s="420">
        <f>AU19+AU35+AU36+AU37+AU67+AU68+AU70+AU71+AU94+AU95+AU96+AU97+AU112+AU113+AU114+AU115+AU130+AU131+AU132+AU133+AU140+AU145+AU150+AU155+AU162+AU167+AU172+AU177+AU184+AU189+AU194+AU199+AU203+AU210+AU216+AU69</f>
        <v/>
      </c>
      <c r="AV218" s="420">
        <f>AV19+AV35+AV36+AV37+AV67+AV68+AV70+AV71+AV94+AV95+AV96+AV97+AV112+AV113+AV114+AV115+AV130+AV131+AV132+AV133+AV140+AV145+AV150+AV155+AV162+AV167+AV172+AV177+AV184+AV189+AV194+AV199+AV203+AV210+AV216+AV69</f>
        <v/>
      </c>
      <c r="AW218" s="420">
        <f>AW19+AW35+AW36+AW37+AW67+AW68+AW70+AW71+AW94+AW95+AW96+AW97+AW112+AW113+AW114+AW115+AW130+AW131+AW132+AW133+AW140+AW145+AW150+AW155+AW162+AW167+AW172+AW177+AW184+AW189+AW194+AW199+AW203+AW210+AW216+AW69</f>
        <v/>
      </c>
    </row>
    <row r="219">
      <c r="C219" s="210" t="n"/>
      <c r="D219" s="210" t="n"/>
      <c r="E219" s="210" t="n"/>
      <c r="F219" s="210" t="n"/>
    </row>
    <row r="220">
      <c r="C220" s="210" t="n"/>
      <c r="D220" s="210" t="n"/>
      <c r="E220" s="210" t="n"/>
      <c r="F220" s="210" t="n"/>
    </row>
    <row r="221">
      <c r="C221" s="210" t="n"/>
      <c r="D221" s="210" t="n"/>
      <c r="E221" s="210" t="n"/>
      <c r="F221" s="210" t="n"/>
    </row>
    <row r="222">
      <c r="C222" s="210" t="n"/>
      <c r="D222" s="210" t="n"/>
      <c r="E222" s="210" t="n"/>
      <c r="F222" s="210" t="n"/>
    </row>
    <row r="223">
      <c r="C223" s="210" t="n"/>
      <c r="D223" s="210" t="n"/>
      <c r="E223" s="210" t="n"/>
      <c r="F223" s="210" t="n"/>
    </row>
    <row r="224">
      <c r="C224" s="210" t="n"/>
      <c r="D224" s="210" t="n"/>
      <c r="E224" s="210" t="n"/>
      <c r="F224" s="210" t="n"/>
    </row>
    <row r="225">
      <c r="C225" s="210" t="n"/>
      <c r="D225" s="210" t="n"/>
      <c r="E225" s="210" t="n"/>
      <c r="F225" s="210" t="n"/>
    </row>
    <row r="226">
      <c r="C226" s="210" t="n"/>
      <c r="D226" s="210" t="n"/>
      <c r="E226" s="210" t="n"/>
      <c r="F226" s="210" t="n"/>
    </row>
    <row r="227">
      <c r="C227" s="210" t="n"/>
      <c r="D227" s="210" t="n"/>
      <c r="E227" s="210" t="n"/>
      <c r="F227" s="210" t="n"/>
    </row>
    <row r="228">
      <c r="C228" s="210" t="n"/>
      <c r="D228" s="210" t="n"/>
      <c r="E228" s="210" t="n"/>
      <c r="F228" s="210" t="n"/>
    </row>
    <row r="229">
      <c r="C229" s="210" t="n"/>
      <c r="D229" s="210" t="n"/>
      <c r="E229" s="210" t="n"/>
      <c r="F229" s="210" t="n"/>
    </row>
    <row r="230">
      <c r="C230" s="210" t="n"/>
      <c r="D230" s="210" t="n"/>
      <c r="E230" s="210" t="n"/>
      <c r="F230" s="210" t="n"/>
    </row>
    <row r="231">
      <c r="C231" s="210" t="n"/>
      <c r="D231" s="210" t="n"/>
      <c r="E231" s="210" t="n"/>
      <c r="F231" s="210" t="n"/>
    </row>
    <row r="232">
      <c r="C232" s="210" t="n"/>
      <c r="D232" s="210" t="n"/>
      <c r="E232" s="210" t="n"/>
      <c r="F232" s="210" t="n"/>
    </row>
    <row r="233">
      <c r="C233" s="210" t="n"/>
      <c r="D233" s="210" t="n"/>
      <c r="E233" s="210" t="n"/>
      <c r="F233" s="210" t="n"/>
    </row>
    <row r="234">
      <c r="C234" s="210" t="n"/>
      <c r="D234" s="210" t="n"/>
      <c r="E234" s="210" t="n"/>
      <c r="F234" s="210" t="n"/>
    </row>
    <row r="235">
      <c r="C235" s="210" t="n"/>
      <c r="D235" s="210" t="n"/>
      <c r="E235" s="210" t="n"/>
      <c r="F235" s="210" t="n"/>
    </row>
    <row r="236">
      <c r="C236" s="210" t="n"/>
      <c r="D236" s="210" t="n"/>
      <c r="E236" s="210" t="n"/>
      <c r="F236" s="210" t="n"/>
    </row>
    <row r="237">
      <c r="C237" s="210" t="n"/>
      <c r="D237" s="210" t="n"/>
      <c r="E237" s="210" t="n"/>
      <c r="F237" s="210" t="n"/>
    </row>
    <row r="238">
      <c r="C238" s="210" t="n"/>
      <c r="D238" s="210" t="n"/>
      <c r="E238" s="210" t="n"/>
      <c r="F238" s="210" t="n"/>
    </row>
    <row r="239">
      <c r="C239" s="210" t="n"/>
      <c r="D239" s="210" t="n"/>
      <c r="E239" s="210" t="n"/>
      <c r="F239" s="210" t="n"/>
    </row>
    <row r="240">
      <c r="C240" s="210" t="n"/>
      <c r="D240" s="210" t="n"/>
      <c r="E240" s="210" t="n"/>
      <c r="F240" s="210" t="n"/>
    </row>
    <row r="241">
      <c r="C241" s="210" t="n"/>
      <c r="D241" s="210" t="n"/>
      <c r="E241" s="210" t="n"/>
      <c r="F241" s="210" t="n"/>
    </row>
    <row r="242">
      <c r="C242" s="210" t="n"/>
      <c r="D242" s="210" t="n"/>
      <c r="E242" s="210" t="n"/>
      <c r="F242" s="210" t="n"/>
    </row>
    <row r="243">
      <c r="C243" s="210" t="n"/>
      <c r="D243" s="210" t="n"/>
      <c r="E243" s="210" t="n"/>
      <c r="F243" s="210" t="n"/>
    </row>
    <row r="244">
      <c r="C244" s="210" t="n"/>
      <c r="D244" s="210" t="n"/>
      <c r="E244" s="210" t="n"/>
      <c r="F244" s="210" t="n"/>
    </row>
    <row r="245">
      <c r="C245" s="210" t="n"/>
      <c r="D245" s="210" t="n"/>
      <c r="E245" s="210" t="n"/>
      <c r="F245" s="210" t="n"/>
    </row>
    <row r="246">
      <c r="C246" s="210" t="n"/>
      <c r="D246" s="210" t="n"/>
      <c r="E246" s="210" t="n"/>
      <c r="F246" s="210" t="n"/>
    </row>
    <row r="247">
      <c r="C247" s="210" t="n"/>
      <c r="D247" s="210" t="n"/>
      <c r="E247" s="210" t="n"/>
      <c r="F247" s="210" t="n"/>
    </row>
    <row r="248">
      <c r="C248" s="210" t="n"/>
      <c r="D248" s="210" t="n"/>
      <c r="E248" s="210" t="n"/>
      <c r="F248" s="210" t="n"/>
    </row>
    <row r="249">
      <c r="C249" s="210" t="n"/>
      <c r="D249" s="210" t="n"/>
      <c r="E249" s="210" t="n"/>
      <c r="F249" s="210" t="n"/>
    </row>
    <row r="250">
      <c r="C250" s="210" t="n"/>
      <c r="D250" s="210" t="n"/>
      <c r="E250" s="210" t="n"/>
      <c r="F250" s="210" t="n"/>
    </row>
    <row r="251">
      <c r="C251" s="210" t="n"/>
      <c r="D251" s="210" t="n"/>
      <c r="E251" s="210" t="n"/>
      <c r="F251" s="210" t="n"/>
    </row>
    <row r="252">
      <c r="C252" s="210" t="n"/>
      <c r="D252" s="210" t="n"/>
      <c r="E252" s="210" t="n"/>
      <c r="F252" s="210" t="n"/>
    </row>
    <row r="253">
      <c r="C253" s="210" t="n"/>
      <c r="D253" s="210" t="n"/>
      <c r="E253" s="210" t="n"/>
      <c r="F253" s="210" t="n"/>
    </row>
    <row r="254">
      <c r="C254" s="210" t="n"/>
      <c r="D254" s="210" t="n"/>
      <c r="E254" s="210" t="n"/>
      <c r="F254" s="210" t="n"/>
    </row>
    <row r="255">
      <c r="C255" s="210" t="n"/>
      <c r="D255" s="210" t="n"/>
      <c r="E255" s="210" t="n"/>
      <c r="F255" s="210" t="n"/>
    </row>
    <row r="256">
      <c r="C256" s="210" t="n"/>
      <c r="D256" s="210" t="n"/>
      <c r="E256" s="210" t="n"/>
      <c r="F256" s="210" t="n"/>
    </row>
    <row r="257">
      <c r="C257" s="210" t="n"/>
      <c r="D257" s="210" t="n"/>
      <c r="E257" s="210" t="n"/>
      <c r="F257" s="210" t="n"/>
    </row>
    <row r="258">
      <c r="C258" s="210" t="n"/>
      <c r="D258" s="210" t="n"/>
      <c r="E258" s="210" t="n"/>
      <c r="F258" s="210" t="n"/>
    </row>
    <row r="259">
      <c r="C259" s="210" t="n"/>
      <c r="D259" s="210" t="n"/>
      <c r="E259" s="210" t="n"/>
      <c r="F259" s="210" t="n"/>
    </row>
    <row r="260">
      <c r="C260" s="210" t="n"/>
      <c r="D260" s="210" t="n"/>
      <c r="E260" s="210" t="n"/>
      <c r="F260" s="210" t="n"/>
    </row>
    <row r="261">
      <c r="C261" s="210" t="n"/>
      <c r="D261" s="210" t="n"/>
      <c r="E261" s="210" t="n"/>
      <c r="F261" s="210" t="n"/>
    </row>
    <row r="262">
      <c r="C262" s="210" t="n"/>
      <c r="D262" s="210" t="n"/>
      <c r="E262" s="210" t="n"/>
      <c r="F262" s="210" t="n"/>
    </row>
    <row r="263">
      <c r="C263" s="210" t="n"/>
      <c r="D263" s="210" t="n"/>
      <c r="E263" s="210" t="n"/>
      <c r="F263" s="210" t="n"/>
    </row>
    <row r="264">
      <c r="C264" s="210" t="n"/>
      <c r="D264" s="210" t="n"/>
      <c r="E264" s="210" t="n"/>
      <c r="F264" s="210" t="n"/>
    </row>
    <row r="265">
      <c r="C265" s="210" t="n"/>
      <c r="D265" s="210" t="n"/>
      <c r="E265" s="210" t="n"/>
      <c r="F265" s="210" t="n"/>
    </row>
    <row r="266">
      <c r="C266" s="210" t="n"/>
      <c r="D266" s="210" t="n"/>
      <c r="E266" s="210" t="n"/>
      <c r="F266" s="210" t="n"/>
    </row>
    <row r="267">
      <c r="C267" s="210" t="n"/>
      <c r="D267" s="210" t="n"/>
      <c r="E267" s="210" t="n"/>
      <c r="F267" s="210" t="n"/>
    </row>
    <row r="268">
      <c r="C268" s="210" t="n"/>
      <c r="D268" s="210" t="n"/>
      <c r="E268" s="210" t="n"/>
      <c r="F268" s="210" t="n"/>
    </row>
    <row r="269">
      <c r="C269" s="210" t="n"/>
      <c r="D269" s="210" t="n"/>
      <c r="E269" s="210" t="n"/>
      <c r="F269" s="210" t="n"/>
    </row>
    <row r="270">
      <c r="C270" s="210" t="n"/>
      <c r="D270" s="210" t="n"/>
      <c r="E270" s="210" t="n"/>
      <c r="F270" s="210" t="n"/>
    </row>
    <row r="271">
      <c r="C271" s="210" t="n"/>
      <c r="D271" s="210" t="n"/>
      <c r="E271" s="210" t="n"/>
      <c r="F271" s="210" t="n"/>
    </row>
    <row r="272">
      <c r="C272" s="210" t="n"/>
      <c r="D272" s="210" t="n"/>
      <c r="E272" s="210" t="n"/>
      <c r="F272" s="210" t="n"/>
    </row>
    <row r="273">
      <c r="C273" s="210" t="n"/>
      <c r="D273" s="210" t="n"/>
      <c r="E273" s="210" t="n"/>
      <c r="F273" s="210" t="n"/>
    </row>
    <row r="274">
      <c r="C274" s="210" t="n"/>
      <c r="D274" s="210" t="n"/>
      <c r="E274" s="210" t="n"/>
      <c r="F274" s="210" t="n"/>
    </row>
  </sheetData>
  <mergeCells count="5">
    <mergeCell ref="E5:E6"/>
    <mergeCell ref="C5:C6"/>
    <mergeCell ref="F5:F6"/>
    <mergeCell ref="B5:B6"/>
    <mergeCell ref="D5:D6"/>
  </mergeCells>
  <pageMargins left="0.7" right="0.7" top="0.75" bottom="0.75" header="0.3" footer="0.3"/>
  <pageSetup orientation="portrait" scale="1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W69"/>
  <sheetViews>
    <sheetView showGridLines="0" view="pageBreakPreview" zoomScaleNormal="100" zoomScaleSheetLayoutView="100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C45" sqref="C45:F45"/>
    </sheetView>
  </sheetViews>
  <sheetFormatPr baseColWidth="10" defaultColWidth="12.5" defaultRowHeight="13"/>
  <cols>
    <col width="4" customWidth="1" style="1" min="1" max="1"/>
    <col width="26" customWidth="1" style="1" min="2" max="2"/>
    <col width="12.5" customWidth="1" style="1" min="3" max="6"/>
    <col width="4.83203125" customWidth="1" style="1" min="7" max="7"/>
    <col width="12.5" customWidth="1" style="1" min="8" max="16384"/>
  </cols>
  <sheetData>
    <row r="2">
      <c r="B2" s="2">
        <f>DCF!B2</f>
        <v/>
      </c>
    </row>
    <row r="3">
      <c r="B3" s="2" t="inlineStr">
        <is>
          <t>Cost Drivers</t>
        </is>
      </c>
    </row>
    <row r="5">
      <c r="B5" s="305">
        <f t="array" ref="B5:B6">'Revenue Driver'!B5:B6</f>
        <v/>
      </c>
      <c r="C5" s="295">
        <f t="array" ref="C5:C6">'Revenue Driver'!C5:C6</f>
        <v/>
      </c>
      <c r="D5" s="295">
        <f t="array" ref="D5:D6">'Revenue Driver'!D5:D6</f>
        <v/>
      </c>
      <c r="E5" s="295">
        <f t="array" ref="E5:E6">'Revenue Driver'!E5:E6</f>
        <v/>
      </c>
      <c r="F5" s="295">
        <f t="array" ref="F5:F6">'Revenue Driver'!F5:F6</f>
        <v/>
      </c>
      <c r="G5" s="292" t="n"/>
      <c r="H5" s="7">
        <f t="array" ref="H5:H6">'Revenue Driver'!H5:H6</f>
        <v/>
      </c>
      <c r="I5" s="7">
        <f t="array" ref="I5:I6">'Revenue Driver'!I5:I6</f>
        <v/>
      </c>
      <c r="J5" s="7">
        <f t="array" ref="J5:J6">'Revenue Driver'!J5:J6</f>
        <v/>
      </c>
      <c r="K5" s="7">
        <f t="array" ref="K5:K6">'Revenue Driver'!K5:K6</f>
        <v/>
      </c>
      <c r="L5" s="7">
        <f t="array" ref="L5:L6">'Revenue Driver'!L5:L6</f>
        <v/>
      </c>
      <c r="M5" s="7">
        <f t="array" ref="M5:M6">'Revenue Driver'!M5:M6</f>
        <v/>
      </c>
      <c r="N5" s="7">
        <f t="array" ref="N5:N6">'Revenue Driver'!N5:N6</f>
        <v/>
      </c>
      <c r="O5" s="7">
        <f t="array" ref="O5:O6">'Revenue Driver'!O5:O6</f>
        <v/>
      </c>
      <c r="P5" s="7">
        <f t="array" ref="P5:P6">'Revenue Driver'!P5:P6</f>
        <v/>
      </c>
      <c r="Q5" s="7">
        <f t="array" ref="Q5:Q6">'Revenue Driver'!Q5:Q6</f>
        <v/>
      </c>
      <c r="R5" s="7">
        <f t="array" ref="R5:R6">'Revenue Driver'!R5:R6</f>
        <v/>
      </c>
      <c r="S5" s="7">
        <f t="array" ref="S5:S6">'Revenue Driver'!S5:S6</f>
        <v/>
      </c>
      <c r="T5" s="7">
        <f t="array" ref="T5:T6">'Revenue Driver'!T5:T6</f>
        <v/>
      </c>
      <c r="U5" s="7">
        <f t="array" ref="U5:U6">'Revenue Driver'!U5:U6</f>
        <v/>
      </c>
      <c r="V5" s="7">
        <f t="array" ref="V5:V6">'Revenue Driver'!V5:V6</f>
        <v/>
      </c>
      <c r="W5" s="7">
        <f t="array" ref="W5:W6">'Revenue Driver'!W5:W6</f>
        <v/>
      </c>
      <c r="X5" s="7">
        <f t="array" ref="X5:X6">'Revenue Driver'!X5:X6</f>
        <v/>
      </c>
      <c r="Y5" s="7">
        <f t="array" ref="Y5:Y6">'Revenue Driver'!Y5:Y6</f>
        <v/>
      </c>
      <c r="Z5" s="7">
        <f t="array" ref="Z5:Z6">'Revenue Driver'!Z5:Z6</f>
        <v/>
      </c>
      <c r="AA5" s="7">
        <f t="array" ref="AA5:AA6">'Revenue Driver'!AA5:AA6</f>
        <v/>
      </c>
      <c r="AB5" s="7">
        <f t="array" ref="AB5:AB6">'Revenue Driver'!AB5:AB6</f>
        <v/>
      </c>
      <c r="AC5" s="7">
        <f t="array" ref="AC5:AC6">'Revenue Driver'!AC5:AC6</f>
        <v/>
      </c>
      <c r="AD5" s="7">
        <f t="array" ref="AD5:AD6">'Revenue Driver'!AD5:AD6</f>
        <v/>
      </c>
      <c r="AE5" s="7">
        <f t="array" ref="AE5:AE6">'Revenue Driver'!AE5:AE6</f>
        <v/>
      </c>
      <c r="AF5" s="7">
        <f t="array" ref="AF5:AF6">'Revenue Driver'!AF5:AF6</f>
        <v/>
      </c>
      <c r="AG5" s="7">
        <f t="array" ref="AG5:AG6">'Revenue Driver'!AG5:AG6</f>
        <v/>
      </c>
      <c r="AH5" s="7">
        <f t="array" ref="AH5:AH6">'Revenue Driver'!AH5:AH6</f>
        <v/>
      </c>
      <c r="AI5" s="7">
        <f t="array" ref="AI5:AI6">'Revenue Driver'!AI5:AI6</f>
        <v/>
      </c>
      <c r="AJ5" s="7">
        <f t="array" ref="AJ5:AJ6">'Revenue Driver'!AJ5:AJ6</f>
        <v/>
      </c>
      <c r="AK5" s="7">
        <f t="array" ref="AK5:AK6">'Revenue Driver'!AK5:AK6</f>
        <v/>
      </c>
      <c r="AL5" s="7">
        <f t="array" ref="AL5:AL6">'Revenue Driver'!AL5:AL6</f>
        <v/>
      </c>
      <c r="AM5" s="7">
        <f t="array" ref="AM5:AM6">'Revenue Driver'!AM5:AM6</f>
        <v/>
      </c>
      <c r="AN5" s="7">
        <f t="array" ref="AN5:AN6">'Revenue Driver'!AN5:AN6</f>
        <v/>
      </c>
      <c r="AO5" s="7">
        <f t="array" ref="AO5:AO6">'Revenue Driver'!AO5:AO6</f>
        <v/>
      </c>
      <c r="AP5" s="7">
        <f t="array" ref="AP5:AP6">'Revenue Driver'!AP5:AP6</f>
        <v/>
      </c>
      <c r="AQ5" s="7">
        <f t="array" ref="AQ5:AQ6">'Revenue Driver'!AQ5:AQ6</f>
        <v/>
      </c>
      <c r="AR5" s="7">
        <f t="array" ref="AR5:AR6">'Revenue Driver'!AR5:AR6</f>
        <v/>
      </c>
      <c r="AS5" s="7">
        <f t="array" ref="AS5:AS6">'Revenue Driver'!AS5:AS6</f>
        <v/>
      </c>
      <c r="AT5" s="7">
        <f t="array" ref="AT5:AT6">'Revenue Driver'!AT5:AT6</f>
        <v/>
      </c>
      <c r="AU5" s="7">
        <f t="array" ref="AU5:AU6">'Revenue Driver'!AU5:AU6</f>
        <v/>
      </c>
      <c r="AV5" s="7">
        <f t="array" ref="AV5:AV6">'Revenue Driver'!AV5:AV6</f>
        <v/>
      </c>
      <c r="AW5" s="7">
        <f t="array" ref="AW5:AW6">'Revenue Driver'!AW5:AW6</f>
        <v/>
      </c>
    </row>
    <row r="6">
      <c r="H6" s="8" t="n">
        <v>45497</v>
      </c>
      <c r="I6" s="8" t="n">
        <v>45535</v>
      </c>
      <c r="J6" s="8" t="n">
        <v>45565</v>
      </c>
      <c r="K6" s="8" t="n">
        <v>45596</v>
      </c>
      <c r="L6" s="8" t="n">
        <v>45626</v>
      </c>
      <c r="M6" s="8" t="n">
        <v>45657</v>
      </c>
      <c r="N6" s="8" t="n">
        <v>45688</v>
      </c>
      <c r="O6" s="8" t="n">
        <v>45716</v>
      </c>
      <c r="P6" s="8" t="n">
        <v>45747</v>
      </c>
      <c r="Q6" s="8" t="n">
        <v>45777</v>
      </c>
      <c r="R6" s="8" t="n">
        <v>45808</v>
      </c>
      <c r="S6" s="8" t="n">
        <v>45838</v>
      </c>
      <c r="T6" s="8" t="n">
        <v>45869</v>
      </c>
      <c r="U6" s="8" t="n">
        <v>45900</v>
      </c>
      <c r="V6" s="8" t="n">
        <v>45930</v>
      </c>
      <c r="W6" s="8" t="n">
        <v>45961</v>
      </c>
      <c r="X6" s="8" t="n">
        <v>45991</v>
      </c>
      <c r="Y6" s="8" t="n">
        <v>46022</v>
      </c>
      <c r="Z6" s="8" t="n">
        <v>46053</v>
      </c>
      <c r="AA6" s="8" t="n">
        <v>46081</v>
      </c>
      <c r="AB6" s="8" t="n">
        <v>46112</v>
      </c>
      <c r="AC6" s="8" t="n">
        <v>46142</v>
      </c>
      <c r="AD6" s="8" t="n">
        <v>46173</v>
      </c>
      <c r="AE6" s="8" t="n">
        <v>46203</v>
      </c>
      <c r="AF6" s="8" t="n">
        <v>46234</v>
      </c>
      <c r="AG6" s="8" t="n">
        <v>46265</v>
      </c>
      <c r="AH6" s="8" t="n">
        <v>46295</v>
      </c>
      <c r="AI6" s="8" t="n">
        <v>46326</v>
      </c>
      <c r="AJ6" s="8" t="n">
        <v>46356</v>
      </c>
      <c r="AK6" s="8" t="n">
        <v>46387</v>
      </c>
      <c r="AL6" s="8" t="n">
        <v>46418</v>
      </c>
      <c r="AM6" s="8" t="n">
        <v>46446</v>
      </c>
      <c r="AN6" s="8" t="n">
        <v>46477</v>
      </c>
      <c r="AO6" s="8" t="n">
        <v>46507</v>
      </c>
      <c r="AP6" s="8" t="n">
        <v>46538</v>
      </c>
      <c r="AQ6" s="8" t="n">
        <v>46568</v>
      </c>
      <c r="AR6" s="8" t="n">
        <v>46599</v>
      </c>
      <c r="AS6" s="8" t="n">
        <v>46630</v>
      </c>
      <c r="AT6" s="8" t="n">
        <v>46660</v>
      </c>
      <c r="AU6" s="8" t="n">
        <v>46691</v>
      </c>
      <c r="AV6" s="8" t="n">
        <v>46721</v>
      </c>
      <c r="AW6" s="8" t="n">
        <v>46752</v>
      </c>
    </row>
    <row r="8" customFormat="1" s="2">
      <c r="B8" s="250" t="inlineStr">
        <is>
          <t>Total Revenue</t>
        </is>
      </c>
      <c r="C8" s="251">
        <f>'Revenue Driver'!C218</f>
        <v/>
      </c>
      <c r="D8" s="251">
        <f>'Revenue Driver'!D218</f>
        <v/>
      </c>
      <c r="E8" s="251">
        <f>'Revenue Driver'!E218</f>
        <v/>
      </c>
      <c r="F8" s="251">
        <f>'Revenue Driver'!F218</f>
        <v/>
      </c>
      <c r="G8" s="27" t="n"/>
      <c r="H8" s="251">
        <f>'Revenue Driver'!H218</f>
        <v/>
      </c>
      <c r="I8" s="251">
        <f>'Revenue Driver'!I218</f>
        <v/>
      </c>
      <c r="J8" s="251">
        <f>'Revenue Driver'!J218</f>
        <v/>
      </c>
      <c r="K8" s="251">
        <f>'Revenue Driver'!K218</f>
        <v/>
      </c>
      <c r="L8" s="251">
        <f>'Revenue Driver'!L218</f>
        <v/>
      </c>
      <c r="M8" s="251">
        <f>'Revenue Driver'!M218</f>
        <v/>
      </c>
      <c r="N8" s="251">
        <f>'Revenue Driver'!N218</f>
        <v/>
      </c>
      <c r="O8" s="251">
        <f>'Revenue Driver'!O218</f>
        <v/>
      </c>
      <c r="P8" s="251">
        <f>'Revenue Driver'!P218</f>
        <v/>
      </c>
      <c r="Q8" s="251">
        <f>'Revenue Driver'!Q218</f>
        <v/>
      </c>
      <c r="R8" s="251">
        <f>'Revenue Driver'!R218</f>
        <v/>
      </c>
      <c r="S8" s="251">
        <f>'Revenue Driver'!S218</f>
        <v/>
      </c>
      <c r="T8" s="251">
        <f>'Revenue Driver'!T218</f>
        <v/>
      </c>
      <c r="U8" s="251">
        <f>'Revenue Driver'!U218</f>
        <v/>
      </c>
      <c r="V8" s="251">
        <f>'Revenue Driver'!V218</f>
        <v/>
      </c>
      <c r="W8" s="251">
        <f>'Revenue Driver'!W218</f>
        <v/>
      </c>
      <c r="X8" s="251">
        <f>'Revenue Driver'!X218</f>
        <v/>
      </c>
      <c r="Y8" s="251">
        <f>'Revenue Driver'!Y218</f>
        <v/>
      </c>
      <c r="Z8" s="251">
        <f>'Revenue Driver'!Z218</f>
        <v/>
      </c>
      <c r="AA8" s="251">
        <f>'Revenue Driver'!AA218</f>
        <v/>
      </c>
      <c r="AB8" s="251">
        <f>'Revenue Driver'!AB218</f>
        <v/>
      </c>
      <c r="AC8" s="251">
        <f>'Revenue Driver'!AC218</f>
        <v/>
      </c>
      <c r="AD8" s="251">
        <f>'Revenue Driver'!AD218</f>
        <v/>
      </c>
      <c r="AE8" s="251">
        <f>'Revenue Driver'!AE218</f>
        <v/>
      </c>
      <c r="AF8" s="251">
        <f>'Revenue Driver'!AF218</f>
        <v/>
      </c>
      <c r="AG8" s="251">
        <f>'Revenue Driver'!AG218</f>
        <v/>
      </c>
      <c r="AH8" s="251">
        <f>'Revenue Driver'!AH218</f>
        <v/>
      </c>
      <c r="AI8" s="251">
        <f>'Revenue Driver'!AI218</f>
        <v/>
      </c>
      <c r="AJ8" s="251">
        <f>'Revenue Driver'!AJ218</f>
        <v/>
      </c>
      <c r="AK8" s="251">
        <f>'Revenue Driver'!AK218</f>
        <v/>
      </c>
      <c r="AL8" s="251">
        <f>'Revenue Driver'!AL218</f>
        <v/>
      </c>
      <c r="AM8" s="251">
        <f>'Revenue Driver'!AM218</f>
        <v/>
      </c>
      <c r="AN8" s="251">
        <f>'Revenue Driver'!AN218</f>
        <v/>
      </c>
      <c r="AO8" s="251">
        <f>'Revenue Driver'!AO218</f>
        <v/>
      </c>
      <c r="AP8" s="251">
        <f>'Revenue Driver'!AP218</f>
        <v/>
      </c>
      <c r="AQ8" s="251">
        <f>'Revenue Driver'!AQ218</f>
        <v/>
      </c>
      <c r="AR8" s="251">
        <f>'Revenue Driver'!AR218</f>
        <v/>
      </c>
      <c r="AS8" s="251">
        <f>'Revenue Driver'!AS218</f>
        <v/>
      </c>
      <c r="AT8" s="251">
        <f>'Revenue Driver'!AT218</f>
        <v/>
      </c>
      <c r="AU8" s="251">
        <f>'Revenue Driver'!AU218</f>
        <v/>
      </c>
      <c r="AV8" s="251">
        <f>'Revenue Driver'!AV218</f>
        <v/>
      </c>
      <c r="AW8" s="251">
        <f>'Revenue Driver'!AW218</f>
        <v/>
      </c>
    </row>
    <row r="9"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</row>
    <row r="10">
      <c r="B10" s="217" t="inlineStr">
        <is>
          <t>Cost of Services</t>
        </is>
      </c>
      <c r="C10" s="252">
        <f>SUMIF($H$5:$AW$5,C$5,$H10:$AW10)</f>
        <v/>
      </c>
      <c r="D10" s="252">
        <f>SUMIF($H$5:$AW$5,D$5,$H10:$AW10)</f>
        <v/>
      </c>
      <c r="E10" s="252">
        <f>SUMIF($H$5:$AW$5,E$5,$H10:$AW10)</f>
        <v/>
      </c>
      <c r="F10" s="252">
        <f>SUMIF($H$5:$AW$5,F$5,$H10:$AW10)</f>
        <v/>
      </c>
      <c r="G10" s="19" t="n"/>
      <c r="H10" s="253">
        <f>H$8*-H11</f>
        <v/>
      </c>
      <c r="I10" s="253">
        <f>I$8*-I11</f>
        <v/>
      </c>
      <c r="J10" s="253">
        <f>J$8*-J11</f>
        <v/>
      </c>
      <c r="K10" s="253">
        <f>K$8*-K11</f>
        <v/>
      </c>
      <c r="L10" s="253">
        <f>L$8*-L11</f>
        <v/>
      </c>
      <c r="M10" s="253">
        <f>M$8*-M11</f>
        <v/>
      </c>
      <c r="N10" s="253">
        <f>N$8*-N11</f>
        <v/>
      </c>
      <c r="O10" s="253">
        <f>O$8*-O11</f>
        <v/>
      </c>
      <c r="P10" s="253">
        <f>P$8*-P11</f>
        <v/>
      </c>
      <c r="Q10" s="253">
        <f>Q$8*-Q11</f>
        <v/>
      </c>
      <c r="R10" s="253">
        <f>R$8*-R11</f>
        <v/>
      </c>
      <c r="S10" s="253">
        <f>S$8*-S11</f>
        <v/>
      </c>
      <c r="T10" s="253">
        <f>T$8*-T11</f>
        <v/>
      </c>
      <c r="U10" s="253">
        <f>U$8*-U11</f>
        <v/>
      </c>
      <c r="V10" s="253">
        <f>V$8*-V11</f>
        <v/>
      </c>
      <c r="W10" s="253">
        <f>W$8*-W11</f>
        <v/>
      </c>
      <c r="X10" s="253">
        <f>X$8*-X11</f>
        <v/>
      </c>
      <c r="Y10" s="253">
        <f>Y$8*-Y11</f>
        <v/>
      </c>
      <c r="Z10" s="253">
        <f>Z$8*-Z11</f>
        <v/>
      </c>
      <c r="AA10" s="253">
        <f>AA$8*-AA11</f>
        <v/>
      </c>
      <c r="AB10" s="253">
        <f>AB$8*-AB11</f>
        <v/>
      </c>
      <c r="AC10" s="253">
        <f>AC$8*-AC11</f>
        <v/>
      </c>
      <c r="AD10" s="253">
        <f>AD$8*-AD11</f>
        <v/>
      </c>
      <c r="AE10" s="253">
        <f>AE$8*-AE11</f>
        <v/>
      </c>
      <c r="AF10" s="253">
        <f>AF$8*-AF11</f>
        <v/>
      </c>
      <c r="AG10" s="253">
        <f>AG$8*-AG11</f>
        <v/>
      </c>
      <c r="AH10" s="253">
        <f>AH$8*-AH11</f>
        <v/>
      </c>
      <c r="AI10" s="253">
        <f>AI$8*-AI11</f>
        <v/>
      </c>
      <c r="AJ10" s="253">
        <f>AJ$8*-AJ11</f>
        <v/>
      </c>
      <c r="AK10" s="253">
        <f>AK$8*-AK11</f>
        <v/>
      </c>
      <c r="AL10" s="253">
        <f>AL$8*-AL11</f>
        <v/>
      </c>
      <c r="AM10" s="253">
        <f>AM$8*-AM11</f>
        <v/>
      </c>
      <c r="AN10" s="253">
        <f>AN$8*-AN11</f>
        <v/>
      </c>
      <c r="AO10" s="253">
        <f>AO$8*-AO11</f>
        <v/>
      </c>
      <c r="AP10" s="253">
        <f>AP$8*-AP11</f>
        <v/>
      </c>
      <c r="AQ10" s="253">
        <f>AQ$8*-AQ11</f>
        <v/>
      </c>
      <c r="AR10" s="253">
        <f>AR$8*-AR11</f>
        <v/>
      </c>
      <c r="AS10" s="253">
        <f>AS$8*-AS11</f>
        <v/>
      </c>
      <c r="AT10" s="253">
        <f>AT$8*-AT11</f>
        <v/>
      </c>
      <c r="AU10" s="253">
        <f>AU$8*-AU11</f>
        <v/>
      </c>
      <c r="AV10" s="253">
        <f>AV$8*-AV11</f>
        <v/>
      </c>
      <c r="AW10" s="253">
        <f>AW$8*-AW11</f>
        <v/>
      </c>
    </row>
    <row r="11">
      <c r="B11" s="254" t="inlineStr">
        <is>
          <t>% of Total Revenue</t>
        </is>
      </c>
      <c r="H11" s="154" t="n">
        <v>0.3</v>
      </c>
      <c r="I11" s="154" t="n">
        <v>0.3</v>
      </c>
      <c r="J11" s="154" t="n">
        <v>0.3</v>
      </c>
      <c r="K11" s="154" t="n">
        <v>0.3</v>
      </c>
      <c r="L11" s="154" t="n">
        <v>0.3</v>
      </c>
      <c r="M11" s="154" t="n">
        <v>0.3</v>
      </c>
      <c r="N11" s="154" t="n">
        <v>0.3</v>
      </c>
      <c r="O11" s="154" t="n">
        <v>0.3</v>
      </c>
      <c r="P11" s="154" t="n">
        <v>0.3</v>
      </c>
      <c r="Q11" s="154" t="n">
        <v>0.3</v>
      </c>
      <c r="R11" s="154" t="n">
        <v>0.3</v>
      </c>
      <c r="S11" s="154" t="n">
        <v>0.3</v>
      </c>
      <c r="T11" s="154" t="n">
        <v>0.3</v>
      </c>
      <c r="U11" s="154" t="n">
        <v>0.3</v>
      </c>
      <c r="V11" s="154" t="n">
        <v>0.3</v>
      </c>
      <c r="W11" s="154" t="n">
        <v>0.3</v>
      </c>
      <c r="X11" s="154" t="n">
        <v>0.3</v>
      </c>
      <c r="Y11" s="154" t="n">
        <v>0.3</v>
      </c>
      <c r="Z11" s="154" t="n">
        <v>0.3</v>
      </c>
      <c r="AA11" s="154" t="n">
        <v>0.3</v>
      </c>
      <c r="AB11" s="154" t="n">
        <v>0.3</v>
      </c>
      <c r="AC11" s="154" t="n">
        <v>0.3</v>
      </c>
      <c r="AD11" s="154" t="n">
        <v>0.3</v>
      </c>
      <c r="AE11" s="154" t="n">
        <v>0.3</v>
      </c>
      <c r="AF11" s="154" t="n">
        <v>0.3</v>
      </c>
      <c r="AG11" s="154" t="n">
        <v>0.3</v>
      </c>
      <c r="AH11" s="154" t="n">
        <v>0.3</v>
      </c>
      <c r="AI11" s="154" t="n">
        <v>0.3</v>
      </c>
      <c r="AJ11" s="154" t="n">
        <v>0.3</v>
      </c>
      <c r="AK11" s="154" t="n">
        <v>0.3</v>
      </c>
      <c r="AL11" s="154" t="n">
        <v>0.3</v>
      </c>
      <c r="AM11" s="154" t="n">
        <v>0.3</v>
      </c>
      <c r="AN11" s="154" t="n">
        <v>0.3</v>
      </c>
      <c r="AO11" s="154" t="n">
        <v>0.3</v>
      </c>
      <c r="AP11" s="154" t="n">
        <v>0.3</v>
      </c>
      <c r="AQ11" s="154" t="n">
        <v>0.3</v>
      </c>
      <c r="AR11" s="154" t="n">
        <v>0.3</v>
      </c>
      <c r="AS11" s="154" t="n">
        <v>0.3</v>
      </c>
      <c r="AT11" s="154" t="n">
        <v>0.3</v>
      </c>
      <c r="AU11" s="154" t="n">
        <v>0.3</v>
      </c>
      <c r="AV11" s="154" t="n">
        <v>0.3</v>
      </c>
      <c r="AW11" s="154" t="n">
        <v>0.3</v>
      </c>
    </row>
    <row r="13">
      <c r="B13" s="22" t="inlineStr">
        <is>
          <t>Operating Expenses</t>
        </is>
      </c>
      <c r="C13" s="255" t="n"/>
      <c r="D13" s="255" t="n"/>
      <c r="E13" s="255" t="n"/>
      <c r="F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  <c r="AI13" s="255" t="n"/>
      <c r="AJ13" s="255" t="n"/>
      <c r="AK13" s="255" t="n"/>
      <c r="AL13" s="255" t="n"/>
      <c r="AM13" s="255" t="n"/>
      <c r="AN13" s="255" t="n"/>
      <c r="AO13" s="255" t="n"/>
      <c r="AP13" s="255" t="n"/>
      <c r="AQ13" s="255" t="n"/>
      <c r="AR13" s="255" t="n"/>
      <c r="AS13" s="255" t="n"/>
      <c r="AT13" s="255" t="n"/>
      <c r="AU13" s="255" t="n"/>
      <c r="AV13" s="255" t="n"/>
      <c r="AW13" s="255" t="n"/>
    </row>
    <row r="15">
      <c r="B15" s="217" t="inlineStr">
        <is>
          <t>Selling and Management</t>
        </is>
      </c>
      <c r="C15" s="252">
        <f>SUMIF($H$5:$AW$5,C$5,$H15:$AW15)</f>
        <v/>
      </c>
      <c r="D15" s="252">
        <f>SUMIF($H$5:$AW$5,D$5,$H15:$AW15)</f>
        <v/>
      </c>
      <c r="E15" s="252">
        <f>SUMIF($H$5:$AW$5,E$5,$H15:$AW15)</f>
        <v/>
      </c>
      <c r="F15" s="327">
        <f>SUMIF($H$5:$AW$5,F$5,$H15:$AW15)</f>
        <v/>
      </c>
      <c r="G15" s="357" t="n"/>
      <c r="H15" s="362">
        <f>H$8*-H16</f>
        <v/>
      </c>
      <c r="I15" s="362">
        <f>I$8*-I16</f>
        <v/>
      </c>
      <c r="J15" s="362">
        <f>J$8*-J16</f>
        <v/>
      </c>
      <c r="K15" s="362">
        <f>K$8*-K16</f>
        <v/>
      </c>
      <c r="L15" s="362">
        <f>L$8*-L16</f>
        <v/>
      </c>
      <c r="M15" s="362">
        <f>M$8*-M16</f>
        <v/>
      </c>
      <c r="N15" s="362">
        <f>N$8*-N16</f>
        <v/>
      </c>
      <c r="O15" s="362">
        <f>O$8*-O16</f>
        <v/>
      </c>
      <c r="P15" s="362">
        <f>P$8*-P16</f>
        <v/>
      </c>
      <c r="Q15" s="362">
        <f>Q$8*-Q16</f>
        <v/>
      </c>
      <c r="R15" s="362">
        <f>R$8*-R16</f>
        <v/>
      </c>
      <c r="S15" s="362">
        <f>S$8*-S16</f>
        <v/>
      </c>
      <c r="T15" s="362">
        <f>T$8*-T16</f>
        <v/>
      </c>
      <c r="U15" s="362">
        <f>U$8*-U16</f>
        <v/>
      </c>
      <c r="V15" s="362">
        <f>V$8*-V16</f>
        <v/>
      </c>
      <c r="W15" s="362">
        <f>W$8*-W16</f>
        <v/>
      </c>
      <c r="X15" s="362">
        <f>X$8*-X16</f>
        <v/>
      </c>
      <c r="Y15" s="362">
        <f>Y$8*-Y16</f>
        <v/>
      </c>
      <c r="Z15" s="362">
        <f>Z$8*-Z16</f>
        <v/>
      </c>
      <c r="AA15" s="362">
        <f>AA$8*-AA16</f>
        <v/>
      </c>
      <c r="AB15" s="362">
        <f>AB$8*-AB16</f>
        <v/>
      </c>
      <c r="AC15" s="362">
        <f>AC$8*-AC16</f>
        <v/>
      </c>
      <c r="AD15" s="362">
        <f>AD$8*-AD16</f>
        <v/>
      </c>
      <c r="AE15" s="362">
        <f>AE$8*-AE16</f>
        <v/>
      </c>
      <c r="AF15" s="362">
        <f>AF$8*-AF16</f>
        <v/>
      </c>
      <c r="AG15" s="362">
        <f>AG$8*-AG16</f>
        <v/>
      </c>
      <c r="AH15" s="362">
        <f>AH$8*-AH16</f>
        <v/>
      </c>
      <c r="AI15" s="362">
        <f>AI$8*-AI16</f>
        <v/>
      </c>
      <c r="AJ15" s="362">
        <f>AJ$8*-AJ16</f>
        <v/>
      </c>
      <c r="AK15" s="362">
        <f>AK$8*-AK16</f>
        <v/>
      </c>
      <c r="AL15" s="362">
        <f>AL$8*-AL16</f>
        <v/>
      </c>
      <c r="AM15" s="362">
        <f>AM$8*-AM16</f>
        <v/>
      </c>
      <c r="AN15" s="362">
        <f>AN$8*-AN16</f>
        <v/>
      </c>
      <c r="AO15" s="362">
        <f>AO$8*-AO16</f>
        <v/>
      </c>
      <c r="AP15" s="362">
        <f>AP$8*-AP16</f>
        <v/>
      </c>
      <c r="AQ15" s="362">
        <f>AQ$8*-AQ16</f>
        <v/>
      </c>
      <c r="AR15" s="362">
        <f>AR$8*-AR16</f>
        <v/>
      </c>
      <c r="AS15" s="362">
        <f>AS$8*-AS16</f>
        <v/>
      </c>
      <c r="AT15" s="362">
        <f>AT$8*-AT16</f>
        <v/>
      </c>
      <c r="AU15" s="362">
        <f>AU$8*-AU16</f>
        <v/>
      </c>
      <c r="AV15" s="362">
        <f>AV$8*-AV16</f>
        <v/>
      </c>
      <c r="AW15" s="362">
        <f>AW$8*-AW16</f>
        <v/>
      </c>
    </row>
    <row r="16">
      <c r="B16" s="254" t="inlineStr">
        <is>
          <t>% of Total Revenue</t>
        </is>
      </c>
      <c r="H16" s="154" t="n">
        <v>0.03</v>
      </c>
      <c r="I16" s="154" t="n">
        <v>0.03</v>
      </c>
      <c r="J16" s="154" t="n">
        <v>0.03</v>
      </c>
      <c r="K16" s="154" t="n">
        <v>0.03</v>
      </c>
      <c r="L16" s="154" t="n">
        <v>0.03</v>
      </c>
      <c r="M16" s="154" t="n">
        <v>0.03</v>
      </c>
      <c r="N16" s="154" t="n">
        <v>0.03</v>
      </c>
      <c r="O16" s="154" t="n">
        <v>0.03</v>
      </c>
      <c r="P16" s="154" t="n">
        <v>0.03</v>
      </c>
      <c r="Q16" s="154" t="n">
        <v>0.03</v>
      </c>
      <c r="R16" s="154" t="n">
        <v>0.03</v>
      </c>
      <c r="S16" s="154" t="n">
        <v>0.03</v>
      </c>
      <c r="T16" s="154" t="n">
        <v>0.03</v>
      </c>
      <c r="U16" s="154" t="n">
        <v>0.03</v>
      </c>
      <c r="V16" s="154" t="n">
        <v>0.03</v>
      </c>
      <c r="W16" s="154" t="n">
        <v>0.03</v>
      </c>
      <c r="X16" s="154" t="n">
        <v>0.03</v>
      </c>
      <c r="Y16" s="154" t="n">
        <v>0.03</v>
      </c>
      <c r="Z16" s="154" t="n">
        <v>0.03</v>
      </c>
      <c r="AA16" s="154" t="n">
        <v>0.03</v>
      </c>
      <c r="AB16" s="154" t="n">
        <v>0.03</v>
      </c>
      <c r="AC16" s="154" t="n">
        <v>0.03</v>
      </c>
      <c r="AD16" s="154" t="n">
        <v>0.03</v>
      </c>
      <c r="AE16" s="154" t="n">
        <v>0.03</v>
      </c>
      <c r="AF16" s="154" t="n">
        <v>0.03</v>
      </c>
      <c r="AG16" s="154" t="n">
        <v>0.03</v>
      </c>
      <c r="AH16" s="154" t="n">
        <v>0.03</v>
      </c>
      <c r="AI16" s="154" t="n">
        <v>0.03</v>
      </c>
      <c r="AJ16" s="154" t="n">
        <v>0.03</v>
      </c>
      <c r="AK16" s="154" t="n">
        <v>0.03</v>
      </c>
      <c r="AL16" s="154" t="n">
        <v>0.03</v>
      </c>
      <c r="AM16" s="154" t="n">
        <v>0.03</v>
      </c>
      <c r="AN16" s="154" t="n">
        <v>0.03</v>
      </c>
      <c r="AO16" s="154" t="n">
        <v>0.03</v>
      </c>
      <c r="AP16" s="154" t="n">
        <v>0.03</v>
      </c>
      <c r="AQ16" s="154" t="n">
        <v>0.03</v>
      </c>
      <c r="AR16" s="154" t="n">
        <v>0.03</v>
      </c>
      <c r="AS16" s="154" t="n">
        <v>0.03</v>
      </c>
      <c r="AT16" s="154" t="n">
        <v>0.03</v>
      </c>
      <c r="AU16" s="154" t="n">
        <v>0.03</v>
      </c>
      <c r="AV16" s="154" t="n">
        <v>0.03</v>
      </c>
      <c r="AW16" s="154" t="n">
        <v>0.03</v>
      </c>
    </row>
    <row r="18" customFormat="1" s="19">
      <c r="A18" s="217" t="n"/>
      <c r="B18" s="217" t="inlineStr">
        <is>
          <t>Advertising and Marketing</t>
        </is>
      </c>
      <c r="C18" s="327">
        <f>SUMIF($H$5:$AW$5,C$5,$H18:$AW18)</f>
        <v/>
      </c>
      <c r="D18" s="327">
        <f>SUMIF($H$5:$AW$5,D$5,$H18:$AW18)</f>
        <v/>
      </c>
      <c r="E18" s="327">
        <f>SUMIF($H$5:$AW$5,E$5,$H18:$AW18)</f>
        <v/>
      </c>
      <c r="F18" s="327">
        <f>SUMIF($H$5:$AW$5,F$5,$H18:$AW18)</f>
        <v/>
      </c>
      <c r="G18" s="357" t="n"/>
      <c r="H18" s="362">
        <f>H$8*-H19</f>
        <v/>
      </c>
      <c r="I18" s="362">
        <f>I$8*-I19</f>
        <v/>
      </c>
      <c r="J18" s="362">
        <f>J$8*-J19</f>
        <v/>
      </c>
      <c r="K18" s="362">
        <f>K$8*-K19</f>
        <v/>
      </c>
      <c r="L18" s="362">
        <f>L$8*-L19</f>
        <v/>
      </c>
      <c r="M18" s="362">
        <f>M$8*-M19</f>
        <v/>
      </c>
      <c r="N18" s="362">
        <f>N$8*-N19</f>
        <v/>
      </c>
      <c r="O18" s="362">
        <f>O$8*-O19</f>
        <v/>
      </c>
      <c r="P18" s="362">
        <f>P$8*-P19</f>
        <v/>
      </c>
      <c r="Q18" s="362">
        <f>Q$8*-Q19</f>
        <v/>
      </c>
      <c r="R18" s="362">
        <f>R$8*-R19</f>
        <v/>
      </c>
      <c r="S18" s="362">
        <f>S$8*-S19</f>
        <v/>
      </c>
      <c r="T18" s="362">
        <f>T$8*-T19</f>
        <v/>
      </c>
      <c r="U18" s="362">
        <f>U$8*-U19</f>
        <v/>
      </c>
      <c r="V18" s="362">
        <f>V$8*-V19</f>
        <v/>
      </c>
      <c r="W18" s="362">
        <f>W$8*-W19</f>
        <v/>
      </c>
      <c r="X18" s="362">
        <f>X$8*-X19</f>
        <v/>
      </c>
      <c r="Y18" s="362">
        <f>Y$8*-Y19</f>
        <v/>
      </c>
      <c r="Z18" s="362">
        <f>Z$8*-Z19</f>
        <v/>
      </c>
      <c r="AA18" s="362">
        <f>AA$8*-AA19</f>
        <v/>
      </c>
      <c r="AB18" s="362">
        <f>AB$8*-AB19</f>
        <v/>
      </c>
      <c r="AC18" s="362">
        <f>AC$8*-AC19</f>
        <v/>
      </c>
      <c r="AD18" s="362">
        <f>AD$8*-AD19</f>
        <v/>
      </c>
      <c r="AE18" s="362">
        <f>AE$8*-AE19</f>
        <v/>
      </c>
      <c r="AF18" s="362">
        <f>AF$8*-AF19</f>
        <v/>
      </c>
      <c r="AG18" s="362">
        <f>AG$8*-AG19</f>
        <v/>
      </c>
      <c r="AH18" s="362">
        <f>AH$8*-AH19</f>
        <v/>
      </c>
      <c r="AI18" s="362">
        <f>AI$8*-AI19</f>
        <v/>
      </c>
      <c r="AJ18" s="362">
        <f>AJ$8*-AJ19</f>
        <v/>
      </c>
      <c r="AK18" s="362">
        <f>AK$8*-AK19</f>
        <v/>
      </c>
      <c r="AL18" s="362">
        <f>AL$8*-AL19</f>
        <v/>
      </c>
      <c r="AM18" s="362">
        <f>AM$8*-AM19</f>
        <v/>
      </c>
      <c r="AN18" s="362">
        <f>AN$8*-AN19</f>
        <v/>
      </c>
      <c r="AO18" s="362">
        <f>AO$8*-AO19</f>
        <v/>
      </c>
      <c r="AP18" s="362">
        <f>AP$8*-AP19</f>
        <v/>
      </c>
      <c r="AQ18" s="362">
        <f>AQ$8*-AQ19</f>
        <v/>
      </c>
      <c r="AR18" s="362">
        <f>AR$8*-AR19</f>
        <v/>
      </c>
      <c r="AS18" s="362">
        <f>AS$8*-AS19</f>
        <v/>
      </c>
      <c r="AT18" s="362">
        <f>AT$8*-AT19</f>
        <v/>
      </c>
      <c r="AU18" s="362">
        <f>AU$8*-AU19</f>
        <v/>
      </c>
      <c r="AV18" s="362">
        <f>AV$8*-AV19</f>
        <v/>
      </c>
      <c r="AW18" s="362">
        <f>AW$8*-AW19</f>
        <v/>
      </c>
    </row>
    <row r="19">
      <c r="B19" s="254" t="inlineStr">
        <is>
          <t>% of Total Revenue</t>
        </is>
      </c>
      <c r="H19" s="154" t="n">
        <v>0.025</v>
      </c>
      <c r="I19" s="154" t="n">
        <v>0.025</v>
      </c>
      <c r="J19" s="154" t="n">
        <v>0.025</v>
      </c>
      <c r="K19" s="154" t="n">
        <v>0.025</v>
      </c>
      <c r="L19" s="154" t="n">
        <v>0.025</v>
      </c>
      <c r="M19" s="154" t="n">
        <v>0.025</v>
      </c>
      <c r="N19" s="154" t="n">
        <v>0.025</v>
      </c>
      <c r="O19" s="154" t="n">
        <v>0.025</v>
      </c>
      <c r="P19" s="154" t="n">
        <v>0.025</v>
      </c>
      <c r="Q19" s="154" t="n">
        <v>0.025</v>
      </c>
      <c r="R19" s="154" t="n">
        <v>0.025</v>
      </c>
      <c r="S19" s="154" t="n">
        <v>0.025</v>
      </c>
      <c r="T19" s="154" t="n">
        <v>0.025</v>
      </c>
      <c r="U19" s="154" t="n">
        <v>0.025</v>
      </c>
      <c r="V19" s="154" t="n">
        <v>0.025</v>
      </c>
      <c r="W19" s="154" t="n">
        <v>0.025</v>
      </c>
      <c r="X19" s="154" t="n">
        <v>0.025</v>
      </c>
      <c r="Y19" s="154" t="n">
        <v>0.025</v>
      </c>
      <c r="Z19" s="154" t="n">
        <v>0.025</v>
      </c>
      <c r="AA19" s="154" t="n">
        <v>0.025</v>
      </c>
      <c r="AB19" s="154" t="n">
        <v>0.025</v>
      </c>
      <c r="AC19" s="154" t="n">
        <v>0.025</v>
      </c>
      <c r="AD19" s="154" t="n">
        <v>0.025</v>
      </c>
      <c r="AE19" s="154" t="n">
        <v>0.025</v>
      </c>
      <c r="AF19" s="154" t="n">
        <v>0.025</v>
      </c>
      <c r="AG19" s="154" t="n">
        <v>0.025</v>
      </c>
      <c r="AH19" s="154" t="n">
        <v>0.025</v>
      </c>
      <c r="AI19" s="154" t="n">
        <v>0.025</v>
      </c>
      <c r="AJ19" s="154" t="n">
        <v>0.025</v>
      </c>
      <c r="AK19" s="154" t="n">
        <v>0.025</v>
      </c>
      <c r="AL19" s="154" t="n">
        <v>0.025</v>
      </c>
      <c r="AM19" s="154" t="n">
        <v>0.025</v>
      </c>
      <c r="AN19" s="154" t="n">
        <v>0.025</v>
      </c>
      <c r="AO19" s="154" t="n">
        <v>0.025</v>
      </c>
      <c r="AP19" s="154" t="n">
        <v>0.025</v>
      </c>
      <c r="AQ19" s="154" t="n">
        <v>0.025</v>
      </c>
      <c r="AR19" s="154" t="n">
        <v>0.025</v>
      </c>
      <c r="AS19" s="154" t="n">
        <v>0.025</v>
      </c>
      <c r="AT19" s="154" t="n">
        <v>0.025</v>
      </c>
      <c r="AU19" s="154" t="n">
        <v>0.025</v>
      </c>
      <c r="AV19" s="154" t="n">
        <v>0.025</v>
      </c>
      <c r="AW19" s="154" t="n">
        <v>0.025</v>
      </c>
    </row>
    <row r="21">
      <c r="B21" s="217" t="inlineStr">
        <is>
          <t>Travelling Expenses</t>
        </is>
      </c>
      <c r="C21" s="327">
        <f>SUMIF($H$5:$AW$5,C$5,$H21:$AW21)</f>
        <v/>
      </c>
      <c r="D21" s="327">
        <f>SUMIF($H$5:$AW$5,D$5,$H21:$AW21)</f>
        <v/>
      </c>
      <c r="E21" s="327">
        <f>SUMIF($H$5:$AW$5,E$5,$H21:$AW21)</f>
        <v/>
      </c>
      <c r="F21" s="327">
        <f>SUMIF($H$5:$AW$5,F$5,$H21:$AW21)</f>
        <v/>
      </c>
      <c r="G21" s="357" t="n"/>
      <c r="H21" s="362">
        <f>H$8*-H22</f>
        <v/>
      </c>
      <c r="I21" s="362">
        <f>I$8*-I22</f>
        <v/>
      </c>
      <c r="J21" s="362">
        <f>J$8*-J22</f>
        <v/>
      </c>
      <c r="K21" s="362">
        <f>K$8*-K22</f>
        <v/>
      </c>
      <c r="L21" s="362">
        <f>L$8*-L22</f>
        <v/>
      </c>
      <c r="M21" s="362">
        <f>M$8*-M22</f>
        <v/>
      </c>
      <c r="N21" s="362">
        <f>N$8*-N22</f>
        <v/>
      </c>
      <c r="O21" s="362">
        <f>O$8*-O22</f>
        <v/>
      </c>
      <c r="P21" s="362">
        <f>P$8*-P22</f>
        <v/>
      </c>
      <c r="Q21" s="362">
        <f>Q$8*-Q22</f>
        <v/>
      </c>
      <c r="R21" s="362">
        <f>R$8*-R22</f>
        <v/>
      </c>
      <c r="S21" s="362">
        <f>S$8*-S22</f>
        <v/>
      </c>
      <c r="T21" s="362">
        <f>T$8*-T22</f>
        <v/>
      </c>
      <c r="U21" s="362">
        <f>U$8*-U22</f>
        <v/>
      </c>
      <c r="V21" s="362">
        <f>V$8*-V22</f>
        <v/>
      </c>
      <c r="W21" s="362">
        <f>W$8*-W22</f>
        <v/>
      </c>
      <c r="X21" s="362">
        <f>X$8*-X22</f>
        <v/>
      </c>
      <c r="Y21" s="362">
        <f>Y$8*-Y22</f>
        <v/>
      </c>
      <c r="Z21" s="362">
        <f>Z$8*-Z22</f>
        <v/>
      </c>
      <c r="AA21" s="362">
        <f>AA$8*-AA22</f>
        <v/>
      </c>
      <c r="AB21" s="362">
        <f>AB$8*-AB22</f>
        <v/>
      </c>
      <c r="AC21" s="362">
        <f>AC$8*-AC22</f>
        <v/>
      </c>
      <c r="AD21" s="362">
        <f>AD$8*-AD22</f>
        <v/>
      </c>
      <c r="AE21" s="362">
        <f>AE$8*-AE22</f>
        <v/>
      </c>
      <c r="AF21" s="362">
        <f>AF$8*-AF22</f>
        <v/>
      </c>
      <c r="AG21" s="362">
        <f>AG$8*-AG22</f>
        <v/>
      </c>
      <c r="AH21" s="362">
        <f>AH$8*-AH22</f>
        <v/>
      </c>
      <c r="AI21" s="362">
        <f>AI$8*-AI22</f>
        <v/>
      </c>
      <c r="AJ21" s="362">
        <f>AJ$8*-AJ22</f>
        <v/>
      </c>
      <c r="AK21" s="362">
        <f>AK$8*-AK22</f>
        <v/>
      </c>
      <c r="AL21" s="362">
        <f>AL$8*-AL22</f>
        <v/>
      </c>
      <c r="AM21" s="362">
        <f>AM$8*-AM22</f>
        <v/>
      </c>
      <c r="AN21" s="362">
        <f>AN$8*-AN22</f>
        <v/>
      </c>
      <c r="AO21" s="362">
        <f>AO$8*-AO22</f>
        <v/>
      </c>
      <c r="AP21" s="362">
        <f>AP$8*-AP22</f>
        <v/>
      </c>
      <c r="AQ21" s="362">
        <f>AQ$8*-AQ22</f>
        <v/>
      </c>
      <c r="AR21" s="362">
        <f>AR$8*-AR22</f>
        <v/>
      </c>
      <c r="AS21" s="362">
        <f>AS$8*-AS22</f>
        <v/>
      </c>
      <c r="AT21" s="362">
        <f>AT$8*-AT22</f>
        <v/>
      </c>
      <c r="AU21" s="362">
        <f>AU$8*-AU22</f>
        <v/>
      </c>
      <c r="AV21" s="362">
        <f>AV$8*-AV22</f>
        <v/>
      </c>
      <c r="AW21" s="362">
        <f>AW$8*-AW22</f>
        <v/>
      </c>
    </row>
    <row r="22">
      <c r="B22" s="254" t="inlineStr">
        <is>
          <t>% of Total Revenue</t>
        </is>
      </c>
      <c r="H22" s="154" t="n">
        <v>0.005</v>
      </c>
      <c r="I22" s="154" t="n">
        <v>0.005</v>
      </c>
      <c r="J22" s="154" t="n">
        <v>0.005</v>
      </c>
      <c r="K22" s="154" t="n">
        <v>0.005</v>
      </c>
      <c r="L22" s="154" t="n">
        <v>0.005</v>
      </c>
      <c r="M22" s="154" t="n">
        <v>0.005</v>
      </c>
      <c r="N22" s="154" t="n">
        <v>0.005</v>
      </c>
      <c r="O22" s="154" t="n">
        <v>0.005</v>
      </c>
      <c r="P22" s="154" t="n">
        <v>0.005</v>
      </c>
      <c r="Q22" s="154" t="n">
        <v>0.005</v>
      </c>
      <c r="R22" s="154" t="n">
        <v>0.005</v>
      </c>
      <c r="S22" s="154" t="n">
        <v>0.005</v>
      </c>
      <c r="T22" s="154" t="n">
        <v>0.005</v>
      </c>
      <c r="U22" s="154" t="n">
        <v>0.005</v>
      </c>
      <c r="V22" s="154" t="n">
        <v>0.005</v>
      </c>
      <c r="W22" s="154" t="n">
        <v>0.005</v>
      </c>
      <c r="X22" s="154" t="n">
        <v>0.005</v>
      </c>
      <c r="Y22" s="154" t="n">
        <v>0.005</v>
      </c>
      <c r="Z22" s="154" t="n">
        <v>0.005</v>
      </c>
      <c r="AA22" s="154" t="n">
        <v>0.005</v>
      </c>
      <c r="AB22" s="154" t="n">
        <v>0.005</v>
      </c>
      <c r="AC22" s="154" t="n">
        <v>0.005</v>
      </c>
      <c r="AD22" s="154" t="n">
        <v>0.005</v>
      </c>
      <c r="AE22" s="154" t="n">
        <v>0.005</v>
      </c>
      <c r="AF22" s="154" t="n">
        <v>0.005</v>
      </c>
      <c r="AG22" s="154" t="n">
        <v>0.005</v>
      </c>
      <c r="AH22" s="154" t="n">
        <v>0.005</v>
      </c>
      <c r="AI22" s="154" t="n">
        <v>0.005</v>
      </c>
      <c r="AJ22" s="154" t="n">
        <v>0.005</v>
      </c>
      <c r="AK22" s="154" t="n">
        <v>0.005</v>
      </c>
      <c r="AL22" s="154" t="n">
        <v>0.005</v>
      </c>
      <c r="AM22" s="154" t="n">
        <v>0.005</v>
      </c>
      <c r="AN22" s="154" t="n">
        <v>0.005</v>
      </c>
      <c r="AO22" s="154" t="n">
        <v>0.005</v>
      </c>
      <c r="AP22" s="154" t="n">
        <v>0.005</v>
      </c>
      <c r="AQ22" s="154" t="n">
        <v>0.005</v>
      </c>
      <c r="AR22" s="154" t="n">
        <v>0.005</v>
      </c>
      <c r="AS22" s="154" t="n">
        <v>0.005</v>
      </c>
      <c r="AT22" s="154" t="n">
        <v>0.005</v>
      </c>
      <c r="AU22" s="154" t="n">
        <v>0.005</v>
      </c>
      <c r="AV22" s="154" t="n">
        <v>0.005</v>
      </c>
      <c r="AW22" s="154" t="n">
        <v>0.005</v>
      </c>
    </row>
    <row r="24">
      <c r="B24" s="217" t="inlineStr">
        <is>
          <t>Support and Maintenance</t>
        </is>
      </c>
      <c r="C24" s="327">
        <f>SUMIF($H$5:$AW$5,C$5,$H24:$AW24)</f>
        <v/>
      </c>
      <c r="D24" s="327">
        <f>SUMIF($H$5:$AW$5,D$5,$H24:$AW24)</f>
        <v/>
      </c>
      <c r="E24" s="327">
        <f>SUMIF($H$5:$AW$5,E$5,$H24:$AW24)</f>
        <v/>
      </c>
      <c r="F24" s="327">
        <f>SUMIF($H$5:$AW$5,F$5,$H24:$AW24)</f>
        <v/>
      </c>
      <c r="G24" s="357" t="n"/>
      <c r="H24" s="362">
        <f>H$8*-H25</f>
        <v/>
      </c>
      <c r="I24" s="362">
        <f>I$8*-I25</f>
        <v/>
      </c>
      <c r="J24" s="362">
        <f>J$8*-J25</f>
        <v/>
      </c>
      <c r="K24" s="362">
        <f>K$8*-K25</f>
        <v/>
      </c>
      <c r="L24" s="362">
        <f>L$8*-L25</f>
        <v/>
      </c>
      <c r="M24" s="362">
        <f>M$8*-M25</f>
        <v/>
      </c>
      <c r="N24" s="362">
        <f>N$8*-N25</f>
        <v/>
      </c>
      <c r="O24" s="362">
        <f>O$8*-O25</f>
        <v/>
      </c>
      <c r="P24" s="362">
        <f>P$8*-P25</f>
        <v/>
      </c>
      <c r="Q24" s="362">
        <f>Q$8*-Q25</f>
        <v/>
      </c>
      <c r="R24" s="362">
        <f>R$8*-R25</f>
        <v/>
      </c>
      <c r="S24" s="362">
        <f>S$8*-S25</f>
        <v/>
      </c>
      <c r="T24" s="362">
        <f>T$8*-T25</f>
        <v/>
      </c>
      <c r="U24" s="362">
        <f>U$8*-U25</f>
        <v/>
      </c>
      <c r="V24" s="362">
        <f>V$8*-V25</f>
        <v/>
      </c>
      <c r="W24" s="362">
        <f>W$8*-W25</f>
        <v/>
      </c>
      <c r="X24" s="362">
        <f>X$8*-X25</f>
        <v/>
      </c>
      <c r="Y24" s="362">
        <f>Y$8*-Y25</f>
        <v/>
      </c>
      <c r="Z24" s="362">
        <f>Z$8*-Z25</f>
        <v/>
      </c>
      <c r="AA24" s="362">
        <f>AA$8*-AA25</f>
        <v/>
      </c>
      <c r="AB24" s="362">
        <f>AB$8*-AB25</f>
        <v/>
      </c>
      <c r="AC24" s="362">
        <f>AC$8*-AC25</f>
        <v/>
      </c>
      <c r="AD24" s="362">
        <f>AD$8*-AD25</f>
        <v/>
      </c>
      <c r="AE24" s="362">
        <f>AE$8*-AE25</f>
        <v/>
      </c>
      <c r="AF24" s="362">
        <f>AF$8*-AF25</f>
        <v/>
      </c>
      <c r="AG24" s="362">
        <f>AG$8*-AG25</f>
        <v/>
      </c>
      <c r="AH24" s="362">
        <f>AH$8*-AH25</f>
        <v/>
      </c>
      <c r="AI24" s="362">
        <f>AI$8*-AI25</f>
        <v/>
      </c>
      <c r="AJ24" s="362">
        <f>AJ$8*-AJ25</f>
        <v/>
      </c>
      <c r="AK24" s="362">
        <f>AK$8*-AK25</f>
        <v/>
      </c>
      <c r="AL24" s="362">
        <f>AL$8*-AL25</f>
        <v/>
      </c>
      <c r="AM24" s="362">
        <f>AM$8*-AM25</f>
        <v/>
      </c>
      <c r="AN24" s="362">
        <f>AN$8*-AN25</f>
        <v/>
      </c>
      <c r="AO24" s="362">
        <f>AO$8*-AO25</f>
        <v/>
      </c>
      <c r="AP24" s="362">
        <f>AP$8*-AP25</f>
        <v/>
      </c>
      <c r="AQ24" s="362">
        <f>AQ$8*-AQ25</f>
        <v/>
      </c>
      <c r="AR24" s="362">
        <f>AR$8*-AR25</f>
        <v/>
      </c>
      <c r="AS24" s="362">
        <f>AS$8*-AS25</f>
        <v/>
      </c>
      <c r="AT24" s="362">
        <f>AT$8*-AT25</f>
        <v/>
      </c>
      <c r="AU24" s="362">
        <f>AU$8*-AU25</f>
        <v/>
      </c>
      <c r="AV24" s="362">
        <f>AV$8*-AV25</f>
        <v/>
      </c>
      <c r="AW24" s="362">
        <f>AW$8*-AW25</f>
        <v/>
      </c>
    </row>
    <row r="25">
      <c r="B25" s="254" t="inlineStr">
        <is>
          <t>% of Total Revenue</t>
        </is>
      </c>
      <c r="H25" s="154" t="n">
        <v>0.025</v>
      </c>
      <c r="I25" s="154" t="n">
        <v>0.025</v>
      </c>
      <c r="J25" s="154" t="n">
        <v>0.025</v>
      </c>
      <c r="K25" s="154" t="n">
        <v>0.025</v>
      </c>
      <c r="L25" s="154" t="n">
        <v>0.025</v>
      </c>
      <c r="M25" s="154" t="n">
        <v>0.025</v>
      </c>
      <c r="N25" s="154" t="n">
        <v>0.025</v>
      </c>
      <c r="O25" s="154" t="n">
        <v>0.025</v>
      </c>
      <c r="P25" s="154" t="n">
        <v>0.025</v>
      </c>
      <c r="Q25" s="154" t="n">
        <v>0.025</v>
      </c>
      <c r="R25" s="154" t="n">
        <v>0.025</v>
      </c>
      <c r="S25" s="154" t="n">
        <v>0.025</v>
      </c>
      <c r="T25" s="154" t="n">
        <v>0.025</v>
      </c>
      <c r="U25" s="154" t="n">
        <v>0.025</v>
      </c>
      <c r="V25" s="154" t="n">
        <v>0.025</v>
      </c>
      <c r="W25" s="154" t="n">
        <v>0.025</v>
      </c>
      <c r="X25" s="154" t="n">
        <v>0.025</v>
      </c>
      <c r="Y25" s="154" t="n">
        <v>0.025</v>
      </c>
      <c r="Z25" s="154" t="n">
        <v>0.025</v>
      </c>
      <c r="AA25" s="154" t="n">
        <v>0.025</v>
      </c>
      <c r="AB25" s="154" t="n">
        <v>0.025</v>
      </c>
      <c r="AC25" s="154" t="n">
        <v>0.025</v>
      </c>
      <c r="AD25" s="154" t="n">
        <v>0.025</v>
      </c>
      <c r="AE25" s="154" t="n">
        <v>0.025</v>
      </c>
      <c r="AF25" s="154" t="n">
        <v>0.025</v>
      </c>
      <c r="AG25" s="154" t="n">
        <v>0.025</v>
      </c>
      <c r="AH25" s="154" t="n">
        <v>0.025</v>
      </c>
      <c r="AI25" s="154" t="n">
        <v>0.025</v>
      </c>
      <c r="AJ25" s="154" t="n">
        <v>0.025</v>
      </c>
      <c r="AK25" s="154" t="n">
        <v>0.025</v>
      </c>
      <c r="AL25" s="154" t="n">
        <v>0.025</v>
      </c>
      <c r="AM25" s="154" t="n">
        <v>0.025</v>
      </c>
      <c r="AN25" s="154" t="n">
        <v>0.025</v>
      </c>
      <c r="AO25" s="154" t="n">
        <v>0.025</v>
      </c>
      <c r="AP25" s="154" t="n">
        <v>0.025</v>
      </c>
      <c r="AQ25" s="154" t="n">
        <v>0.025</v>
      </c>
      <c r="AR25" s="154" t="n">
        <v>0.025</v>
      </c>
      <c r="AS25" s="154" t="n">
        <v>0.025</v>
      </c>
      <c r="AT25" s="154" t="n">
        <v>0.025</v>
      </c>
      <c r="AU25" s="154" t="n">
        <v>0.025</v>
      </c>
      <c r="AV25" s="154" t="n">
        <v>0.025</v>
      </c>
      <c r="AW25" s="154" t="n">
        <v>0.025</v>
      </c>
    </row>
    <row r="27">
      <c r="B27" s="217" t="inlineStr">
        <is>
          <t>Other Operating Expenses 1</t>
        </is>
      </c>
      <c r="C27" s="327">
        <f>SUMIF($H$5:$AW$5,C$5,$H27:$AW27)</f>
        <v/>
      </c>
      <c r="D27" s="327">
        <f>SUMIF($H$5:$AW$5,D$5,$H27:$AW27)</f>
        <v/>
      </c>
      <c r="E27" s="327">
        <f>SUMIF($H$5:$AW$5,E$5,$H27:$AW27)</f>
        <v/>
      </c>
      <c r="F27" s="327">
        <f>SUMIF($H$5:$AW$5,F$5,$H27:$AW27)</f>
        <v/>
      </c>
      <c r="G27" s="357" t="n"/>
      <c r="H27" s="362">
        <f>H$8*-H28</f>
        <v/>
      </c>
      <c r="I27" s="362">
        <f>I$8*-I28</f>
        <v/>
      </c>
      <c r="J27" s="362">
        <f>J$8*-J28</f>
        <v/>
      </c>
      <c r="K27" s="362">
        <f>K$8*-K28</f>
        <v/>
      </c>
      <c r="L27" s="362">
        <f>L$8*-L28</f>
        <v/>
      </c>
      <c r="M27" s="362">
        <f>M$8*-M28</f>
        <v/>
      </c>
      <c r="N27" s="362">
        <f>N$8*-N28</f>
        <v/>
      </c>
      <c r="O27" s="362">
        <f>O$8*-O28</f>
        <v/>
      </c>
      <c r="P27" s="362">
        <f>P$8*-P28</f>
        <v/>
      </c>
      <c r="Q27" s="362">
        <f>Q$8*-Q28</f>
        <v/>
      </c>
      <c r="R27" s="362">
        <f>R$8*-R28</f>
        <v/>
      </c>
      <c r="S27" s="362">
        <f>S$8*-S28</f>
        <v/>
      </c>
      <c r="T27" s="362">
        <f>T$8*-T28</f>
        <v/>
      </c>
      <c r="U27" s="362">
        <f>U$8*-U28</f>
        <v/>
      </c>
      <c r="V27" s="362">
        <f>V$8*-V28</f>
        <v/>
      </c>
      <c r="W27" s="362">
        <f>W$8*-W28</f>
        <v/>
      </c>
      <c r="X27" s="362">
        <f>X$8*-X28</f>
        <v/>
      </c>
      <c r="Y27" s="362">
        <f>Y$8*-Y28</f>
        <v/>
      </c>
      <c r="Z27" s="362">
        <f>Z$8*-Z28</f>
        <v/>
      </c>
      <c r="AA27" s="362">
        <f>AA$8*-AA28</f>
        <v/>
      </c>
      <c r="AB27" s="362">
        <f>AB$8*-AB28</f>
        <v/>
      </c>
      <c r="AC27" s="362">
        <f>AC$8*-AC28</f>
        <v/>
      </c>
      <c r="AD27" s="362">
        <f>AD$8*-AD28</f>
        <v/>
      </c>
      <c r="AE27" s="362">
        <f>AE$8*-AE28</f>
        <v/>
      </c>
      <c r="AF27" s="362">
        <f>AF$8*-AF28</f>
        <v/>
      </c>
      <c r="AG27" s="362">
        <f>AG$8*-AG28</f>
        <v/>
      </c>
      <c r="AH27" s="362">
        <f>AH$8*-AH28</f>
        <v/>
      </c>
      <c r="AI27" s="362">
        <f>AI$8*-AI28</f>
        <v/>
      </c>
      <c r="AJ27" s="362">
        <f>AJ$8*-AJ28</f>
        <v/>
      </c>
      <c r="AK27" s="362">
        <f>AK$8*-AK28</f>
        <v/>
      </c>
      <c r="AL27" s="362">
        <f>AL$8*-AL28</f>
        <v/>
      </c>
      <c r="AM27" s="362">
        <f>AM$8*-AM28</f>
        <v/>
      </c>
      <c r="AN27" s="362">
        <f>AN$8*-AN28</f>
        <v/>
      </c>
      <c r="AO27" s="362">
        <f>AO$8*-AO28</f>
        <v/>
      </c>
      <c r="AP27" s="362">
        <f>AP$8*-AP28</f>
        <v/>
      </c>
      <c r="AQ27" s="362">
        <f>AQ$8*-AQ28</f>
        <v/>
      </c>
      <c r="AR27" s="362">
        <f>AR$8*-AR28</f>
        <v/>
      </c>
      <c r="AS27" s="362">
        <f>AS$8*-AS28</f>
        <v/>
      </c>
      <c r="AT27" s="362">
        <f>AT$8*-AT28</f>
        <v/>
      </c>
      <c r="AU27" s="362">
        <f>AU$8*-AU28</f>
        <v/>
      </c>
      <c r="AV27" s="362">
        <f>AV$8*-AV28</f>
        <v/>
      </c>
      <c r="AW27" s="362">
        <f>AW$8*-AW28</f>
        <v/>
      </c>
    </row>
    <row r="28">
      <c r="B28" s="254" t="inlineStr">
        <is>
          <t>% of Total Revenue</t>
        </is>
      </c>
      <c r="H28" s="154" t="n">
        <v>0.05</v>
      </c>
      <c r="I28" s="154" t="n">
        <v>0.05</v>
      </c>
      <c r="J28" s="154" t="n">
        <v>0.05</v>
      </c>
      <c r="K28" s="154" t="n">
        <v>0.05</v>
      </c>
      <c r="L28" s="154" t="n">
        <v>0.05</v>
      </c>
      <c r="M28" s="154" t="n">
        <v>0.05</v>
      </c>
      <c r="N28" s="154" t="n">
        <v>0.05</v>
      </c>
      <c r="O28" s="154" t="n">
        <v>0.05</v>
      </c>
      <c r="P28" s="154" t="n">
        <v>0.05</v>
      </c>
      <c r="Q28" s="154" t="n">
        <v>0.05</v>
      </c>
      <c r="R28" s="154" t="n">
        <v>0.05</v>
      </c>
      <c r="S28" s="154" t="n">
        <v>0.05</v>
      </c>
      <c r="T28" s="154" t="n">
        <v>0.05</v>
      </c>
      <c r="U28" s="154" t="n">
        <v>0.05</v>
      </c>
      <c r="V28" s="154" t="n">
        <v>0.05</v>
      </c>
      <c r="W28" s="154" t="n">
        <v>0.05</v>
      </c>
      <c r="X28" s="154" t="n">
        <v>0.05</v>
      </c>
      <c r="Y28" s="154" t="n">
        <v>0.05</v>
      </c>
      <c r="Z28" s="154" t="n">
        <v>0.05</v>
      </c>
      <c r="AA28" s="154" t="n">
        <v>0.05</v>
      </c>
      <c r="AB28" s="154" t="n">
        <v>0.05</v>
      </c>
      <c r="AC28" s="154" t="n">
        <v>0.05</v>
      </c>
      <c r="AD28" s="154" t="n">
        <v>0.05</v>
      </c>
      <c r="AE28" s="154" t="n">
        <v>0.05</v>
      </c>
      <c r="AF28" s="154" t="n">
        <v>0.05</v>
      </c>
      <c r="AG28" s="154" t="n">
        <v>0.05</v>
      </c>
      <c r="AH28" s="154" t="n">
        <v>0.05</v>
      </c>
      <c r="AI28" s="154" t="n">
        <v>0.05</v>
      </c>
      <c r="AJ28" s="154" t="n">
        <v>0.05</v>
      </c>
      <c r="AK28" s="154" t="n">
        <v>0.05</v>
      </c>
      <c r="AL28" s="154" t="n">
        <v>0.05</v>
      </c>
      <c r="AM28" s="154" t="n">
        <v>0.05</v>
      </c>
      <c r="AN28" s="154" t="n">
        <v>0.05</v>
      </c>
      <c r="AO28" s="154" t="n">
        <v>0.05</v>
      </c>
      <c r="AP28" s="154" t="n">
        <v>0.05</v>
      </c>
      <c r="AQ28" s="154" t="n">
        <v>0.05</v>
      </c>
      <c r="AR28" s="154" t="n">
        <v>0.05</v>
      </c>
      <c r="AS28" s="154" t="n">
        <v>0.05</v>
      </c>
      <c r="AT28" s="154" t="n">
        <v>0.05</v>
      </c>
      <c r="AU28" s="154" t="n">
        <v>0.05</v>
      </c>
      <c r="AV28" s="154" t="n">
        <v>0.05</v>
      </c>
      <c r="AW28" s="154" t="n">
        <v>0.05</v>
      </c>
    </row>
    <row r="30">
      <c r="B30" s="217" t="inlineStr">
        <is>
          <t>Other Operating Expenses 2</t>
        </is>
      </c>
      <c r="C30" s="327">
        <f>SUMIF($H$5:$AW$5,C$5,$H30:$AW30)</f>
        <v/>
      </c>
      <c r="D30" s="327">
        <f>SUMIF($H$5:$AW$5,D$5,$H30:$AW30)</f>
        <v/>
      </c>
      <c r="E30" s="327">
        <f>SUMIF($H$5:$AW$5,E$5,$H30:$AW30)</f>
        <v/>
      </c>
      <c r="F30" s="327">
        <f>SUMIF($H$5:$AW$5,F$5,$H30:$AW30)</f>
        <v/>
      </c>
      <c r="G30" s="357" t="n"/>
      <c r="H30" s="362">
        <f>H$8*-H31</f>
        <v/>
      </c>
      <c r="I30" s="362">
        <f>I$8*-I31</f>
        <v/>
      </c>
      <c r="J30" s="362">
        <f>J$8*-J31</f>
        <v/>
      </c>
      <c r="K30" s="362">
        <f>K$8*-K31</f>
        <v/>
      </c>
      <c r="L30" s="362">
        <f>L$8*-L31</f>
        <v/>
      </c>
      <c r="M30" s="362">
        <f>M$8*-M31</f>
        <v/>
      </c>
      <c r="N30" s="362">
        <f>N$8*-N31</f>
        <v/>
      </c>
      <c r="O30" s="362">
        <f>O$8*-O31</f>
        <v/>
      </c>
      <c r="P30" s="362">
        <f>P$8*-P31</f>
        <v/>
      </c>
      <c r="Q30" s="362">
        <f>Q$8*-Q31</f>
        <v/>
      </c>
      <c r="R30" s="362">
        <f>R$8*-R31</f>
        <v/>
      </c>
      <c r="S30" s="362">
        <f>S$8*-S31</f>
        <v/>
      </c>
      <c r="T30" s="362">
        <f>T$8*-T31</f>
        <v/>
      </c>
      <c r="U30" s="362">
        <f>U$8*-U31</f>
        <v/>
      </c>
      <c r="V30" s="362">
        <f>V$8*-V31</f>
        <v/>
      </c>
      <c r="W30" s="362">
        <f>W$8*-W31</f>
        <v/>
      </c>
      <c r="X30" s="362">
        <f>X$8*-X31</f>
        <v/>
      </c>
      <c r="Y30" s="362">
        <f>Y$8*-Y31</f>
        <v/>
      </c>
      <c r="Z30" s="362">
        <f>Z$8*-Z31</f>
        <v/>
      </c>
      <c r="AA30" s="362">
        <f>AA$8*-AA31</f>
        <v/>
      </c>
      <c r="AB30" s="362">
        <f>AB$8*-AB31</f>
        <v/>
      </c>
      <c r="AC30" s="362">
        <f>AC$8*-AC31</f>
        <v/>
      </c>
      <c r="AD30" s="362">
        <f>AD$8*-AD31</f>
        <v/>
      </c>
      <c r="AE30" s="362">
        <f>AE$8*-AE31</f>
        <v/>
      </c>
      <c r="AF30" s="362">
        <f>AF$8*-AF31</f>
        <v/>
      </c>
      <c r="AG30" s="362">
        <f>AG$8*-AG31</f>
        <v/>
      </c>
      <c r="AH30" s="362">
        <f>AH$8*-AH31</f>
        <v/>
      </c>
      <c r="AI30" s="362">
        <f>AI$8*-AI31</f>
        <v/>
      </c>
      <c r="AJ30" s="362">
        <f>AJ$8*-AJ31</f>
        <v/>
      </c>
      <c r="AK30" s="362">
        <f>AK$8*-AK31</f>
        <v/>
      </c>
      <c r="AL30" s="362">
        <f>AL$8*-AL31</f>
        <v/>
      </c>
      <c r="AM30" s="362">
        <f>AM$8*-AM31</f>
        <v/>
      </c>
      <c r="AN30" s="362">
        <f>AN$8*-AN31</f>
        <v/>
      </c>
      <c r="AO30" s="362">
        <f>AO$8*-AO31</f>
        <v/>
      </c>
      <c r="AP30" s="362">
        <f>AP$8*-AP31</f>
        <v/>
      </c>
      <c r="AQ30" s="362">
        <f>AQ$8*-AQ31</f>
        <v/>
      </c>
      <c r="AR30" s="362">
        <f>AR$8*-AR31</f>
        <v/>
      </c>
      <c r="AS30" s="362">
        <f>AS$8*-AS31</f>
        <v/>
      </c>
      <c r="AT30" s="362">
        <f>AT$8*-AT31</f>
        <v/>
      </c>
      <c r="AU30" s="362">
        <f>AU$8*-AU31</f>
        <v/>
      </c>
      <c r="AV30" s="362">
        <f>AV$8*-AV31</f>
        <v/>
      </c>
      <c r="AW30" s="362">
        <f>AW$8*-AW31</f>
        <v/>
      </c>
    </row>
    <row r="31">
      <c r="B31" s="254" t="inlineStr">
        <is>
          <t>% of Total Revenue</t>
        </is>
      </c>
      <c r="H31" s="154" t="n">
        <v>0</v>
      </c>
      <c r="I31" s="154" t="n">
        <v>0</v>
      </c>
      <c r="J31" s="154" t="n">
        <v>0</v>
      </c>
      <c r="K31" s="154" t="n">
        <v>0</v>
      </c>
      <c r="L31" s="154" t="n">
        <v>0</v>
      </c>
      <c r="M31" s="154" t="n">
        <v>0</v>
      </c>
      <c r="N31" s="154" t="n">
        <v>0</v>
      </c>
      <c r="O31" s="154" t="n">
        <v>0</v>
      </c>
      <c r="P31" s="154" t="n">
        <v>0</v>
      </c>
      <c r="Q31" s="154" t="n">
        <v>0</v>
      </c>
      <c r="R31" s="154" t="n">
        <v>0</v>
      </c>
      <c r="S31" s="154" t="n">
        <v>0</v>
      </c>
      <c r="T31" s="154" t="n">
        <v>0</v>
      </c>
      <c r="U31" s="154" t="n">
        <v>0</v>
      </c>
      <c r="V31" s="154" t="n">
        <v>0</v>
      </c>
      <c r="W31" s="154" t="n">
        <v>0</v>
      </c>
      <c r="X31" s="154" t="n">
        <v>0</v>
      </c>
      <c r="Y31" s="154" t="n">
        <v>0</v>
      </c>
      <c r="Z31" s="154" t="n">
        <v>0</v>
      </c>
      <c r="AA31" s="154" t="n">
        <v>0</v>
      </c>
      <c r="AB31" s="154" t="n">
        <v>0</v>
      </c>
      <c r="AC31" s="154" t="n">
        <v>0</v>
      </c>
      <c r="AD31" s="154" t="n">
        <v>0</v>
      </c>
      <c r="AE31" s="154" t="n">
        <v>0</v>
      </c>
      <c r="AF31" s="154" t="n">
        <v>0</v>
      </c>
      <c r="AG31" s="154" t="n">
        <v>0</v>
      </c>
      <c r="AH31" s="154" t="n">
        <v>0</v>
      </c>
      <c r="AI31" s="154" t="n">
        <v>0</v>
      </c>
      <c r="AJ31" s="154" t="n">
        <v>0</v>
      </c>
      <c r="AK31" s="154" t="n">
        <v>0</v>
      </c>
      <c r="AL31" s="154" t="n">
        <v>0</v>
      </c>
      <c r="AM31" s="154" t="n">
        <v>0</v>
      </c>
      <c r="AN31" s="154" t="n">
        <v>0</v>
      </c>
      <c r="AO31" s="154" t="n">
        <v>0</v>
      </c>
      <c r="AP31" s="154" t="n">
        <v>0</v>
      </c>
      <c r="AQ31" s="154" t="n">
        <v>0</v>
      </c>
      <c r="AR31" s="154" t="n">
        <v>0</v>
      </c>
      <c r="AS31" s="154" t="n">
        <v>0</v>
      </c>
      <c r="AT31" s="154" t="n">
        <v>0</v>
      </c>
      <c r="AU31" s="154" t="n">
        <v>0</v>
      </c>
      <c r="AV31" s="154" t="n">
        <v>0</v>
      </c>
      <c r="AW31" s="154" t="n">
        <v>0</v>
      </c>
    </row>
    <row r="32">
      <c r="B32" s="254" t="n"/>
      <c r="H32" s="107" t="n"/>
      <c r="I32" s="107" t="n"/>
      <c r="J32" s="107" t="n"/>
      <c r="K32" s="107" t="n"/>
      <c r="L32" s="107" t="n"/>
      <c r="M32" s="107" t="n"/>
      <c r="N32" s="107" t="n"/>
      <c r="O32" s="107" t="n"/>
      <c r="P32" s="107" t="n"/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107" t="n"/>
      <c r="AJ32" s="107" t="n"/>
      <c r="AK32" s="107" t="n"/>
      <c r="AL32" s="107" t="n"/>
      <c r="AM32" s="107" t="n"/>
      <c r="AN32" s="107" t="n"/>
      <c r="AO32" s="107" t="n"/>
      <c r="AP32" s="107" t="n"/>
      <c r="AQ32" s="107" t="n"/>
      <c r="AR32" s="107" t="n"/>
      <c r="AS32" s="107" t="n"/>
      <c r="AT32" s="107" t="n"/>
      <c r="AU32" s="107" t="n"/>
      <c r="AV32" s="107" t="n"/>
      <c r="AW32" s="107" t="n"/>
    </row>
    <row r="33">
      <c r="B33" s="217" t="inlineStr">
        <is>
          <t>Other Operating Expenses 3</t>
        </is>
      </c>
      <c r="C33" s="327">
        <f>SUMIF($H$5:$AW$5,C$5,$H33:$AW33)</f>
        <v/>
      </c>
      <c r="D33" s="327">
        <f>SUMIF($H$5:$AW$5,D$5,$H33:$AW33)</f>
        <v/>
      </c>
      <c r="E33" s="327">
        <f>SUMIF($H$5:$AW$5,E$5,$H33:$AW33)</f>
        <v/>
      </c>
      <c r="F33" s="327">
        <f>SUMIF($H$5:$AW$5,F$5,$H33:$AW33)</f>
        <v/>
      </c>
      <c r="G33" s="357" t="n"/>
      <c r="H33" s="362">
        <f>H$8*-H34</f>
        <v/>
      </c>
      <c r="I33" s="362">
        <f>I$8*-I34</f>
        <v/>
      </c>
      <c r="J33" s="362">
        <f>J$8*-J34</f>
        <v/>
      </c>
      <c r="K33" s="362">
        <f>K$8*-K34</f>
        <v/>
      </c>
      <c r="L33" s="362">
        <f>L$8*-L34</f>
        <v/>
      </c>
      <c r="M33" s="362">
        <f>M$8*-M34</f>
        <v/>
      </c>
      <c r="N33" s="362">
        <f>N$8*-N34</f>
        <v/>
      </c>
      <c r="O33" s="362">
        <f>O$8*-O34</f>
        <v/>
      </c>
      <c r="P33" s="362">
        <f>P$8*-P34</f>
        <v/>
      </c>
      <c r="Q33" s="362">
        <f>Q$8*-Q34</f>
        <v/>
      </c>
      <c r="R33" s="362">
        <f>R$8*-R34</f>
        <v/>
      </c>
      <c r="S33" s="362">
        <f>S$8*-S34</f>
        <v/>
      </c>
      <c r="T33" s="362">
        <f>T$8*-T34</f>
        <v/>
      </c>
      <c r="U33" s="362">
        <f>U$8*-U34</f>
        <v/>
      </c>
      <c r="V33" s="362">
        <f>V$8*-V34</f>
        <v/>
      </c>
      <c r="W33" s="362">
        <f>W$8*-W34</f>
        <v/>
      </c>
      <c r="X33" s="362">
        <f>X$8*-X34</f>
        <v/>
      </c>
      <c r="Y33" s="362">
        <f>Y$8*-Y34</f>
        <v/>
      </c>
      <c r="Z33" s="362">
        <f>Z$8*-Z34</f>
        <v/>
      </c>
      <c r="AA33" s="362">
        <f>AA$8*-AA34</f>
        <v/>
      </c>
      <c r="AB33" s="362">
        <f>AB$8*-AB34</f>
        <v/>
      </c>
      <c r="AC33" s="362">
        <f>AC$8*-AC34</f>
        <v/>
      </c>
      <c r="AD33" s="362">
        <f>AD$8*-AD34</f>
        <v/>
      </c>
      <c r="AE33" s="362">
        <f>AE$8*-AE34</f>
        <v/>
      </c>
      <c r="AF33" s="362">
        <f>AF$8*-AF34</f>
        <v/>
      </c>
      <c r="AG33" s="362">
        <f>AG$8*-AG34</f>
        <v/>
      </c>
      <c r="AH33" s="362">
        <f>AH$8*-AH34</f>
        <v/>
      </c>
      <c r="AI33" s="362">
        <f>AI$8*-AI34</f>
        <v/>
      </c>
      <c r="AJ33" s="362">
        <f>AJ$8*-AJ34</f>
        <v/>
      </c>
      <c r="AK33" s="362">
        <f>AK$8*-AK34</f>
        <v/>
      </c>
      <c r="AL33" s="362">
        <f>AL$8*-AL34</f>
        <v/>
      </c>
      <c r="AM33" s="362">
        <f>AM$8*-AM34</f>
        <v/>
      </c>
      <c r="AN33" s="362">
        <f>AN$8*-AN34</f>
        <v/>
      </c>
      <c r="AO33" s="362">
        <f>AO$8*-AO34</f>
        <v/>
      </c>
      <c r="AP33" s="362">
        <f>AP$8*-AP34</f>
        <v/>
      </c>
      <c r="AQ33" s="362">
        <f>AQ$8*-AQ34</f>
        <v/>
      </c>
      <c r="AR33" s="362">
        <f>AR$8*-AR34</f>
        <v/>
      </c>
      <c r="AS33" s="362">
        <f>AS$8*-AS34</f>
        <v/>
      </c>
      <c r="AT33" s="362">
        <f>AT$8*-AT34</f>
        <v/>
      </c>
      <c r="AU33" s="362">
        <f>AU$8*-AU34</f>
        <v/>
      </c>
      <c r="AV33" s="362">
        <f>AV$8*-AV34</f>
        <v/>
      </c>
      <c r="AW33" s="362">
        <f>AW$8*-AW34</f>
        <v/>
      </c>
    </row>
    <row r="34">
      <c r="B34" s="254" t="inlineStr">
        <is>
          <t>% of Total Revenue</t>
        </is>
      </c>
      <c r="H34" s="154" t="n">
        <v>0</v>
      </c>
      <c r="I34" s="154" t="n">
        <v>0</v>
      </c>
      <c r="J34" s="154" t="n">
        <v>0</v>
      </c>
      <c r="K34" s="154" t="n">
        <v>0</v>
      </c>
      <c r="L34" s="154" t="n">
        <v>0</v>
      </c>
      <c r="M34" s="154" t="n">
        <v>0</v>
      </c>
      <c r="N34" s="154" t="n">
        <v>0</v>
      </c>
      <c r="O34" s="154" t="n">
        <v>0</v>
      </c>
      <c r="P34" s="154" t="n">
        <v>0</v>
      </c>
      <c r="Q34" s="154" t="n">
        <v>0</v>
      </c>
      <c r="R34" s="154" t="n">
        <v>0</v>
      </c>
      <c r="S34" s="154" t="n">
        <v>0</v>
      </c>
      <c r="T34" s="154" t="n">
        <v>0</v>
      </c>
      <c r="U34" s="154" t="n">
        <v>0</v>
      </c>
      <c r="V34" s="154" t="n">
        <v>0</v>
      </c>
      <c r="W34" s="154" t="n">
        <v>0</v>
      </c>
      <c r="X34" s="154" t="n">
        <v>0</v>
      </c>
      <c r="Y34" s="154" t="n">
        <v>0</v>
      </c>
      <c r="Z34" s="154" t="n">
        <v>0</v>
      </c>
      <c r="AA34" s="154" t="n">
        <v>0</v>
      </c>
      <c r="AB34" s="154" t="n">
        <v>0</v>
      </c>
      <c r="AC34" s="154" t="n">
        <v>0</v>
      </c>
      <c r="AD34" s="154" t="n">
        <v>0</v>
      </c>
      <c r="AE34" s="154" t="n">
        <v>0</v>
      </c>
      <c r="AF34" s="154" t="n">
        <v>0</v>
      </c>
      <c r="AG34" s="154" t="n">
        <v>0</v>
      </c>
      <c r="AH34" s="154" t="n">
        <v>0</v>
      </c>
      <c r="AI34" s="154" t="n">
        <v>0</v>
      </c>
      <c r="AJ34" s="154" t="n">
        <v>0</v>
      </c>
      <c r="AK34" s="154" t="n">
        <v>0</v>
      </c>
      <c r="AL34" s="154" t="n">
        <v>0</v>
      </c>
      <c r="AM34" s="154" t="n">
        <v>0</v>
      </c>
      <c r="AN34" s="154" t="n">
        <v>0</v>
      </c>
      <c r="AO34" s="154" t="n">
        <v>0</v>
      </c>
      <c r="AP34" s="154" t="n">
        <v>0</v>
      </c>
      <c r="AQ34" s="154" t="n">
        <v>0</v>
      </c>
      <c r="AR34" s="154" t="n">
        <v>0</v>
      </c>
      <c r="AS34" s="154" t="n">
        <v>0</v>
      </c>
      <c r="AT34" s="154" t="n">
        <v>0</v>
      </c>
      <c r="AU34" s="154" t="n">
        <v>0</v>
      </c>
      <c r="AV34" s="154" t="n">
        <v>0</v>
      </c>
      <c r="AW34" s="154" t="n">
        <v>0</v>
      </c>
    </row>
    <row r="35">
      <c r="B35" s="254" t="n"/>
      <c r="H35" s="107" t="n"/>
      <c r="I35" s="107" t="n"/>
      <c r="J35" s="107" t="n"/>
      <c r="K35" s="107" t="n"/>
      <c r="L35" s="107" t="n"/>
      <c r="M35" s="107" t="n"/>
      <c r="N35" s="107" t="n"/>
      <c r="O35" s="107" t="n"/>
      <c r="P35" s="107" t="n"/>
      <c r="Q35" s="107" t="n"/>
      <c r="R35" s="107" t="n"/>
      <c r="S35" s="107" t="n"/>
      <c r="T35" s="107" t="n"/>
      <c r="U35" s="107" t="n"/>
      <c r="V35" s="107" t="n"/>
      <c r="W35" s="107" t="n"/>
      <c r="X35" s="107" t="n"/>
      <c r="Y35" s="107" t="n"/>
      <c r="Z35" s="107" t="n"/>
      <c r="AA35" s="107" t="n"/>
      <c r="AB35" s="107" t="n"/>
      <c r="AC35" s="107" t="n"/>
      <c r="AD35" s="107" t="n"/>
      <c r="AE35" s="107" t="n"/>
      <c r="AF35" s="107" t="n"/>
      <c r="AG35" s="107" t="n"/>
      <c r="AH35" s="107" t="n"/>
      <c r="AI35" s="107" t="n"/>
      <c r="AJ35" s="107" t="n"/>
      <c r="AK35" s="107" t="n"/>
      <c r="AL35" s="107" t="n"/>
      <c r="AM35" s="107" t="n"/>
      <c r="AN35" s="107" t="n"/>
      <c r="AO35" s="107" t="n"/>
      <c r="AP35" s="107" t="n"/>
      <c r="AQ35" s="107" t="n"/>
      <c r="AR35" s="107" t="n"/>
      <c r="AS35" s="107" t="n"/>
      <c r="AT35" s="107" t="n"/>
      <c r="AU35" s="107" t="n"/>
      <c r="AV35" s="107" t="n"/>
      <c r="AW35" s="107" t="n"/>
    </row>
    <row r="36">
      <c r="B36" s="217" t="inlineStr">
        <is>
          <t>Other Operating Expenses 4</t>
        </is>
      </c>
      <c r="C36" s="327">
        <f>SUMIF($H$5:$AW$5,C$5,$H36:$AW36)</f>
        <v/>
      </c>
      <c r="D36" s="327">
        <f>SUMIF($H$5:$AW$5,D$5,$H36:$AW36)</f>
        <v/>
      </c>
      <c r="E36" s="327">
        <f>SUMIF($H$5:$AW$5,E$5,$H36:$AW36)</f>
        <v/>
      </c>
      <c r="F36" s="327">
        <f>SUMIF($H$5:$AW$5,F$5,$H36:$AW36)</f>
        <v/>
      </c>
      <c r="G36" s="357" t="n"/>
      <c r="H36" s="362">
        <f>H$8*-H37</f>
        <v/>
      </c>
      <c r="I36" s="362">
        <f>I$8*-I37</f>
        <v/>
      </c>
      <c r="J36" s="362">
        <f>J$8*-J37</f>
        <v/>
      </c>
      <c r="K36" s="362">
        <f>K$8*-K37</f>
        <v/>
      </c>
      <c r="L36" s="362">
        <f>L$8*-L37</f>
        <v/>
      </c>
      <c r="M36" s="362">
        <f>M$8*-M37</f>
        <v/>
      </c>
      <c r="N36" s="362">
        <f>N$8*-N37</f>
        <v/>
      </c>
      <c r="O36" s="362">
        <f>O$8*-O37</f>
        <v/>
      </c>
      <c r="P36" s="362">
        <f>P$8*-P37</f>
        <v/>
      </c>
      <c r="Q36" s="362">
        <f>Q$8*-Q37</f>
        <v/>
      </c>
      <c r="R36" s="362">
        <f>R$8*-R37</f>
        <v/>
      </c>
      <c r="S36" s="362">
        <f>S$8*-S37</f>
        <v/>
      </c>
      <c r="T36" s="362">
        <f>T$8*-T37</f>
        <v/>
      </c>
      <c r="U36" s="362">
        <f>U$8*-U37</f>
        <v/>
      </c>
      <c r="V36" s="362">
        <f>V$8*-V37</f>
        <v/>
      </c>
      <c r="W36" s="362">
        <f>W$8*-W37</f>
        <v/>
      </c>
      <c r="X36" s="362">
        <f>X$8*-X37</f>
        <v/>
      </c>
      <c r="Y36" s="362">
        <f>Y$8*-Y37</f>
        <v/>
      </c>
      <c r="Z36" s="362">
        <f>Z$8*-Z37</f>
        <v/>
      </c>
      <c r="AA36" s="362">
        <f>AA$8*-AA37</f>
        <v/>
      </c>
      <c r="AB36" s="362">
        <f>AB$8*-AB37</f>
        <v/>
      </c>
      <c r="AC36" s="362">
        <f>AC$8*-AC37</f>
        <v/>
      </c>
      <c r="AD36" s="362">
        <f>AD$8*-AD37</f>
        <v/>
      </c>
      <c r="AE36" s="362">
        <f>AE$8*-AE37</f>
        <v/>
      </c>
      <c r="AF36" s="362">
        <f>AF$8*-AF37</f>
        <v/>
      </c>
      <c r="AG36" s="362">
        <f>AG$8*-AG37</f>
        <v/>
      </c>
      <c r="AH36" s="362">
        <f>AH$8*-AH37</f>
        <v/>
      </c>
      <c r="AI36" s="362">
        <f>AI$8*-AI37</f>
        <v/>
      </c>
      <c r="AJ36" s="362">
        <f>AJ$8*-AJ37</f>
        <v/>
      </c>
      <c r="AK36" s="362">
        <f>AK$8*-AK37</f>
        <v/>
      </c>
      <c r="AL36" s="362">
        <f>AL$8*-AL37</f>
        <v/>
      </c>
      <c r="AM36" s="362">
        <f>AM$8*-AM37</f>
        <v/>
      </c>
      <c r="AN36" s="362">
        <f>AN$8*-AN37</f>
        <v/>
      </c>
      <c r="AO36" s="362">
        <f>AO$8*-AO37</f>
        <v/>
      </c>
      <c r="AP36" s="362">
        <f>AP$8*-AP37</f>
        <v/>
      </c>
      <c r="AQ36" s="362">
        <f>AQ$8*-AQ37</f>
        <v/>
      </c>
      <c r="AR36" s="362">
        <f>AR$8*-AR37</f>
        <v/>
      </c>
      <c r="AS36" s="362">
        <f>AS$8*-AS37</f>
        <v/>
      </c>
      <c r="AT36" s="362">
        <f>AT$8*-AT37</f>
        <v/>
      </c>
      <c r="AU36" s="362">
        <f>AU$8*-AU37</f>
        <v/>
      </c>
      <c r="AV36" s="362">
        <f>AV$8*-AV37</f>
        <v/>
      </c>
      <c r="AW36" s="362">
        <f>AW$8*-AW37</f>
        <v/>
      </c>
    </row>
    <row r="37">
      <c r="B37" s="254" t="inlineStr">
        <is>
          <t>% of Total Revenue</t>
        </is>
      </c>
      <c r="H37" s="154" t="n">
        <v>0</v>
      </c>
      <c r="I37" s="154" t="n">
        <v>0</v>
      </c>
      <c r="J37" s="154" t="n">
        <v>0</v>
      </c>
      <c r="K37" s="154" t="n">
        <v>0</v>
      </c>
      <c r="L37" s="154" t="n">
        <v>0</v>
      </c>
      <c r="M37" s="154" t="n">
        <v>0</v>
      </c>
      <c r="N37" s="154" t="n">
        <v>0</v>
      </c>
      <c r="O37" s="154" t="n">
        <v>0</v>
      </c>
      <c r="P37" s="154" t="n">
        <v>0</v>
      </c>
      <c r="Q37" s="154" t="n">
        <v>0</v>
      </c>
      <c r="R37" s="154" t="n">
        <v>0</v>
      </c>
      <c r="S37" s="154" t="n">
        <v>0</v>
      </c>
      <c r="T37" s="154" t="n">
        <v>0</v>
      </c>
      <c r="U37" s="154" t="n">
        <v>0</v>
      </c>
      <c r="V37" s="154" t="n">
        <v>0</v>
      </c>
      <c r="W37" s="154" t="n">
        <v>0</v>
      </c>
      <c r="X37" s="154" t="n">
        <v>0</v>
      </c>
      <c r="Y37" s="154" t="n">
        <v>0</v>
      </c>
      <c r="Z37" s="154" t="n">
        <v>0</v>
      </c>
      <c r="AA37" s="154" t="n">
        <v>0</v>
      </c>
      <c r="AB37" s="154" t="n">
        <v>0</v>
      </c>
      <c r="AC37" s="154" t="n">
        <v>0</v>
      </c>
      <c r="AD37" s="154" t="n">
        <v>0</v>
      </c>
      <c r="AE37" s="154" t="n">
        <v>0</v>
      </c>
      <c r="AF37" s="154" t="n">
        <v>0</v>
      </c>
      <c r="AG37" s="154" t="n">
        <v>0</v>
      </c>
      <c r="AH37" s="154" t="n">
        <v>0</v>
      </c>
      <c r="AI37" s="154" t="n">
        <v>0</v>
      </c>
      <c r="AJ37" s="154" t="n">
        <v>0</v>
      </c>
      <c r="AK37" s="154" t="n">
        <v>0</v>
      </c>
      <c r="AL37" s="154" t="n">
        <v>0</v>
      </c>
      <c r="AM37" s="154" t="n">
        <v>0</v>
      </c>
      <c r="AN37" s="154" t="n">
        <v>0</v>
      </c>
      <c r="AO37" s="154" t="n">
        <v>0</v>
      </c>
      <c r="AP37" s="154" t="n">
        <v>0</v>
      </c>
      <c r="AQ37" s="154" t="n">
        <v>0</v>
      </c>
      <c r="AR37" s="154" t="n">
        <v>0</v>
      </c>
      <c r="AS37" s="154" t="n">
        <v>0</v>
      </c>
      <c r="AT37" s="154" t="n">
        <v>0</v>
      </c>
      <c r="AU37" s="154" t="n">
        <v>0</v>
      </c>
      <c r="AV37" s="154" t="n">
        <v>0</v>
      </c>
      <c r="AW37" s="154" t="n">
        <v>0</v>
      </c>
    </row>
    <row r="38">
      <c r="B38" s="254" t="n"/>
      <c r="H38" s="107" t="n"/>
      <c r="I38" s="107" t="n"/>
      <c r="J38" s="107" t="n"/>
      <c r="K38" s="107" t="n"/>
      <c r="L38" s="107" t="n"/>
      <c r="M38" s="107" t="n"/>
      <c r="N38" s="107" t="n"/>
      <c r="O38" s="107" t="n"/>
      <c r="P38" s="107" t="n"/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107" t="n"/>
      <c r="AJ38" s="107" t="n"/>
      <c r="AK38" s="107" t="n"/>
      <c r="AL38" s="107" t="n"/>
      <c r="AM38" s="107" t="n"/>
      <c r="AN38" s="107" t="n"/>
      <c r="AO38" s="107" t="n"/>
      <c r="AP38" s="107" t="n"/>
      <c r="AQ38" s="107" t="n"/>
      <c r="AR38" s="107" t="n"/>
      <c r="AS38" s="107" t="n"/>
      <c r="AT38" s="107" t="n"/>
      <c r="AU38" s="107" t="n"/>
      <c r="AV38" s="107" t="n"/>
      <c r="AW38" s="107" t="n"/>
    </row>
    <row r="39">
      <c r="B39" s="22" t="inlineStr">
        <is>
          <t>Fixed Expenses</t>
        </is>
      </c>
      <c r="C39" s="255" t="n"/>
      <c r="D39" s="255" t="n"/>
      <c r="E39" s="255" t="n"/>
      <c r="F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  <c r="AI39" s="255" t="n"/>
      <c r="AJ39" s="255" t="n"/>
      <c r="AK39" s="255" t="n"/>
      <c r="AL39" s="255" t="n"/>
      <c r="AM39" s="255" t="n"/>
      <c r="AN39" s="255" t="n"/>
      <c r="AO39" s="255" t="n"/>
      <c r="AP39" s="255" t="n"/>
      <c r="AQ39" s="255" t="n"/>
      <c r="AR39" s="255" t="n"/>
      <c r="AS39" s="255" t="n"/>
      <c r="AT39" s="255" t="n"/>
      <c r="AU39" s="255" t="n"/>
      <c r="AV39" s="255" t="n"/>
      <c r="AW39" s="255" t="n"/>
    </row>
    <row r="41">
      <c r="B41" s="217" t="inlineStr">
        <is>
          <t>Rent</t>
        </is>
      </c>
      <c r="C41" s="327">
        <f>SUMIF($H$5:$AW$5,C$5,$H41:$AW41)</f>
        <v/>
      </c>
      <c r="D41" s="327">
        <f>SUMIF($H$5:$AW$5,D$5,$H41:$AW41)</f>
        <v/>
      </c>
      <c r="E41" s="327">
        <f>SUMIF($H$5:$AW$5,E$5,$H41:$AW41)</f>
        <v/>
      </c>
      <c r="F41" s="327">
        <f>SUMIF($H$5:$AW$5,F$5,$H41:$AW41)</f>
        <v/>
      </c>
      <c r="G41" s="357" t="n"/>
      <c r="H41" s="379" t="n">
        <v>-2000</v>
      </c>
      <c r="I41" s="362">
        <f>H41*(1+I42)</f>
        <v/>
      </c>
      <c r="J41" s="362">
        <f>I41*(1+J42)</f>
        <v/>
      </c>
      <c r="K41" s="362">
        <f>J41*(1+K42)</f>
        <v/>
      </c>
      <c r="L41" s="362">
        <f>K41*(1+L42)</f>
        <v/>
      </c>
      <c r="M41" s="362">
        <f>L41*(1+M42)</f>
        <v/>
      </c>
      <c r="N41" s="362">
        <f>M41*(1+N42)</f>
        <v/>
      </c>
      <c r="O41" s="362">
        <f>N41*(1+O42)</f>
        <v/>
      </c>
      <c r="P41" s="362">
        <f>O41*(1+P42)</f>
        <v/>
      </c>
      <c r="Q41" s="362">
        <f>P41*(1+Q42)</f>
        <v/>
      </c>
      <c r="R41" s="362">
        <f>Q41*(1+R42)</f>
        <v/>
      </c>
      <c r="S41" s="362">
        <f>R41*(1+S42)</f>
        <v/>
      </c>
      <c r="T41" s="362">
        <f>S41*(1+T42)</f>
        <v/>
      </c>
      <c r="U41" s="362">
        <f>T41*(1+U42)</f>
        <v/>
      </c>
      <c r="V41" s="362">
        <f>U41*(1+V42)</f>
        <v/>
      </c>
      <c r="W41" s="362">
        <f>V41*(1+W42)</f>
        <v/>
      </c>
      <c r="X41" s="362">
        <f>W41*(1+X42)</f>
        <v/>
      </c>
      <c r="Y41" s="362">
        <f>X41*(1+Y42)</f>
        <v/>
      </c>
      <c r="Z41" s="362">
        <f>Y41*(1+Z42)</f>
        <v/>
      </c>
      <c r="AA41" s="362">
        <f>Z41*(1+AA42)</f>
        <v/>
      </c>
      <c r="AB41" s="362">
        <f>AA41*(1+AB42)</f>
        <v/>
      </c>
      <c r="AC41" s="362">
        <f>AB41*(1+AC42)</f>
        <v/>
      </c>
      <c r="AD41" s="362">
        <f>AC41*(1+AD42)</f>
        <v/>
      </c>
      <c r="AE41" s="362">
        <f>AD41*(1+AE42)</f>
        <v/>
      </c>
      <c r="AF41" s="362">
        <f>AE41*(1+AF42)</f>
        <v/>
      </c>
      <c r="AG41" s="362">
        <f>AF41*(1+AG42)</f>
        <v/>
      </c>
      <c r="AH41" s="362">
        <f>AG41*(1+AH42)</f>
        <v/>
      </c>
      <c r="AI41" s="362">
        <f>AH41*(1+AI42)</f>
        <v/>
      </c>
      <c r="AJ41" s="362">
        <f>AI41*(1+AJ42)</f>
        <v/>
      </c>
      <c r="AK41" s="362">
        <f>AJ41*(1+AK42)</f>
        <v/>
      </c>
      <c r="AL41" s="362">
        <f>AK41*(1+AL42)</f>
        <v/>
      </c>
      <c r="AM41" s="362">
        <f>AL41*(1+AM42)</f>
        <v/>
      </c>
      <c r="AN41" s="362">
        <f>AM41*(1+AN42)</f>
        <v/>
      </c>
      <c r="AO41" s="362">
        <f>AN41*(1+AO42)</f>
        <v/>
      </c>
      <c r="AP41" s="362">
        <f>AO41*(1+AP42)</f>
        <v/>
      </c>
      <c r="AQ41" s="362">
        <f>AP41*(1+AQ42)</f>
        <v/>
      </c>
      <c r="AR41" s="362">
        <f>AQ41*(1+AR42)</f>
        <v/>
      </c>
      <c r="AS41" s="362">
        <f>AR41*(1+AS42)</f>
        <v/>
      </c>
      <c r="AT41" s="362">
        <f>AS41*(1+AT42)</f>
        <v/>
      </c>
      <c r="AU41" s="362">
        <f>AT41*(1+AU42)</f>
        <v/>
      </c>
      <c r="AV41" s="362">
        <f>AU41*(1+AV42)</f>
        <v/>
      </c>
      <c r="AW41" s="362">
        <f>AV41*(1+AW42)</f>
        <v/>
      </c>
    </row>
    <row r="42">
      <c r="B42" s="254" t="inlineStr">
        <is>
          <t>Y-O-Y Growth</t>
        </is>
      </c>
      <c r="D42" s="257">
        <f>D41/C41-1</f>
        <v/>
      </c>
      <c r="E42" s="257">
        <f>E41/D41-1</f>
        <v/>
      </c>
      <c r="F42" s="257">
        <f>F41/E41-1</f>
        <v/>
      </c>
      <c r="H42" s="258">
        <f>IF(MONTH(H$6)=1,10%,0)</f>
        <v/>
      </c>
      <c r="I42" s="258">
        <f>IF(MONTH(I$6)=1,10%,0)</f>
        <v/>
      </c>
      <c r="J42" s="258">
        <f>IF(MONTH(J$6)=1,10%,0)</f>
        <v/>
      </c>
      <c r="K42" s="258">
        <f>IF(MONTH(K$6)=1,10%,0)</f>
        <v/>
      </c>
      <c r="L42" s="258">
        <f>IF(MONTH(L$6)=1,10%,0)</f>
        <v/>
      </c>
      <c r="M42" s="258">
        <f>IF(MONTH(M$6)=1,10%,0)</f>
        <v/>
      </c>
      <c r="N42" s="258">
        <f>IF(MONTH(N$6)=1,10%,0)</f>
        <v/>
      </c>
      <c r="O42" s="258">
        <f>IF(MONTH(O$6)=1,10%,0)</f>
        <v/>
      </c>
      <c r="P42" s="258">
        <f>IF(MONTH(P$6)=1,10%,0)</f>
        <v/>
      </c>
      <c r="Q42" s="258">
        <f>IF(MONTH(Q$6)=1,10%,0)</f>
        <v/>
      </c>
      <c r="R42" s="258">
        <f>IF(MONTH(R$6)=1,10%,0)</f>
        <v/>
      </c>
      <c r="S42" s="258">
        <f>IF(MONTH(S$6)=1,10%,0)</f>
        <v/>
      </c>
      <c r="T42" s="258">
        <f>IF(MONTH(T$6)=1,10%,0)</f>
        <v/>
      </c>
      <c r="U42" s="258">
        <f>IF(MONTH(U$6)=1,10%,0)</f>
        <v/>
      </c>
      <c r="V42" s="258">
        <f>IF(MONTH(V$6)=1,10%,0)</f>
        <v/>
      </c>
      <c r="W42" s="258">
        <f>IF(MONTH(W$6)=1,10%,0)</f>
        <v/>
      </c>
      <c r="X42" s="258">
        <f>IF(MONTH(X$6)=1,10%,0)</f>
        <v/>
      </c>
      <c r="Y42" s="258">
        <f>IF(MONTH(Y$6)=1,10%,0)</f>
        <v/>
      </c>
      <c r="Z42" s="258">
        <f>IF(MONTH(Z$6)=1,10%,0)</f>
        <v/>
      </c>
      <c r="AA42" s="258">
        <f>IF(MONTH(AA$6)=1,10%,0)</f>
        <v/>
      </c>
      <c r="AB42" s="258">
        <f>IF(MONTH(AB$6)=1,10%,0)</f>
        <v/>
      </c>
      <c r="AC42" s="258">
        <f>IF(MONTH(AC$6)=1,10%,0)</f>
        <v/>
      </c>
      <c r="AD42" s="258">
        <f>IF(MONTH(AD$6)=1,10%,0)</f>
        <v/>
      </c>
      <c r="AE42" s="258">
        <f>IF(MONTH(AE$6)=1,10%,0)</f>
        <v/>
      </c>
      <c r="AF42" s="258">
        <f>IF(MONTH(AF$6)=1,10%,0)</f>
        <v/>
      </c>
      <c r="AG42" s="258">
        <f>IF(MONTH(AG$6)=1,10%,0)</f>
        <v/>
      </c>
      <c r="AH42" s="258">
        <f>IF(MONTH(AH$6)=1,10%,0)</f>
        <v/>
      </c>
      <c r="AI42" s="258">
        <f>IF(MONTH(AI$6)=1,10%,0)</f>
        <v/>
      </c>
      <c r="AJ42" s="258">
        <f>IF(MONTH(AJ$6)=1,10%,0)</f>
        <v/>
      </c>
      <c r="AK42" s="258">
        <f>IF(MONTH(AK$6)=1,10%,0)</f>
        <v/>
      </c>
      <c r="AL42" s="258">
        <f>IF(MONTH(AL$6)=1,10%,0)</f>
        <v/>
      </c>
      <c r="AM42" s="258">
        <f>IF(MONTH(AM$6)=1,10%,0)</f>
        <v/>
      </c>
      <c r="AN42" s="258">
        <f>IF(MONTH(AN$6)=1,10%,0)</f>
        <v/>
      </c>
      <c r="AO42" s="258">
        <f>IF(MONTH(AO$6)=1,10%,0)</f>
        <v/>
      </c>
      <c r="AP42" s="258">
        <f>IF(MONTH(AP$6)=1,10%,0)</f>
        <v/>
      </c>
      <c r="AQ42" s="258">
        <f>IF(MONTH(AQ$6)=1,10%,0)</f>
        <v/>
      </c>
      <c r="AR42" s="258">
        <f>IF(MONTH(AR$6)=1,10%,0)</f>
        <v/>
      </c>
      <c r="AS42" s="258">
        <f>IF(MONTH(AS$6)=1,10%,0)</f>
        <v/>
      </c>
      <c r="AT42" s="258">
        <f>IF(MONTH(AT$6)=1,10%,0)</f>
        <v/>
      </c>
      <c r="AU42" s="258">
        <f>IF(MONTH(AU$6)=1,10%,0)</f>
        <v/>
      </c>
      <c r="AV42" s="258">
        <f>IF(MONTH(AV$6)=1,10%,0)</f>
        <v/>
      </c>
      <c r="AW42" s="258">
        <f>IF(MONTH(AW$6)=1,10%,0)</f>
        <v/>
      </c>
    </row>
    <row r="44">
      <c r="B44" s="217" t="inlineStr">
        <is>
          <t>Professional Fees</t>
        </is>
      </c>
      <c r="C44" s="327">
        <f>SUMIF($H$5:$AW$5,C$5,$H44:$AW44)</f>
        <v/>
      </c>
      <c r="D44" s="327">
        <f>SUMIF($H$5:$AW$5,D$5,$H44:$AW44)</f>
        <v/>
      </c>
      <c r="E44" s="327">
        <f>SUMIF($H$5:$AW$5,E$5,$H44:$AW44)</f>
        <v/>
      </c>
      <c r="F44" s="327">
        <f>SUMIF($H$5:$AW$5,F$5,$H44:$AW44)</f>
        <v/>
      </c>
      <c r="G44" s="357" t="n"/>
      <c r="H44" s="379" t="n">
        <v>-2500</v>
      </c>
      <c r="I44" s="362">
        <f>H44*(1+I45)</f>
        <v/>
      </c>
      <c r="J44" s="362">
        <f>I44*(1+J45)</f>
        <v/>
      </c>
      <c r="K44" s="362">
        <f>J44*(1+K45)</f>
        <v/>
      </c>
      <c r="L44" s="362">
        <f>K44*(1+L45)</f>
        <v/>
      </c>
      <c r="M44" s="362">
        <f>L44*(1+M45)</f>
        <v/>
      </c>
      <c r="N44" s="362">
        <f>M44*(1+N45)</f>
        <v/>
      </c>
      <c r="O44" s="362">
        <f>N44*(1+O45)</f>
        <v/>
      </c>
      <c r="P44" s="362">
        <f>O44*(1+P45)</f>
        <v/>
      </c>
      <c r="Q44" s="362">
        <f>P44*(1+Q45)</f>
        <v/>
      </c>
      <c r="R44" s="362">
        <f>Q44*(1+R45)</f>
        <v/>
      </c>
      <c r="S44" s="362">
        <f>R44*(1+S45)</f>
        <v/>
      </c>
      <c r="T44" s="362">
        <f>S44*(1+T45)</f>
        <v/>
      </c>
      <c r="U44" s="362">
        <f>T44*(1+U45)</f>
        <v/>
      </c>
      <c r="V44" s="362">
        <f>U44*(1+V45)</f>
        <v/>
      </c>
      <c r="W44" s="362">
        <f>V44*(1+W45)</f>
        <v/>
      </c>
      <c r="X44" s="362">
        <f>W44*(1+X45)</f>
        <v/>
      </c>
      <c r="Y44" s="362">
        <f>X44*(1+Y45)</f>
        <v/>
      </c>
      <c r="Z44" s="362">
        <f>Y44*(1+Z45)</f>
        <v/>
      </c>
      <c r="AA44" s="362">
        <f>Z44*(1+AA45)</f>
        <v/>
      </c>
      <c r="AB44" s="362">
        <f>AA44*(1+AB45)</f>
        <v/>
      </c>
      <c r="AC44" s="362">
        <f>AB44*(1+AC45)</f>
        <v/>
      </c>
      <c r="AD44" s="362">
        <f>AC44*(1+AD45)</f>
        <v/>
      </c>
      <c r="AE44" s="362">
        <f>AD44*(1+AE45)</f>
        <v/>
      </c>
      <c r="AF44" s="362">
        <f>AE44*(1+AF45)</f>
        <v/>
      </c>
      <c r="AG44" s="362">
        <f>AF44*(1+AG45)</f>
        <v/>
      </c>
      <c r="AH44" s="362">
        <f>AG44*(1+AH45)</f>
        <v/>
      </c>
      <c r="AI44" s="362">
        <f>AH44*(1+AI45)</f>
        <v/>
      </c>
      <c r="AJ44" s="362">
        <f>AI44*(1+AJ45)</f>
        <v/>
      </c>
      <c r="AK44" s="362">
        <f>AJ44*(1+AK45)</f>
        <v/>
      </c>
      <c r="AL44" s="362">
        <f>AK44*(1+AL45)</f>
        <v/>
      </c>
      <c r="AM44" s="362">
        <f>AL44*(1+AM45)</f>
        <v/>
      </c>
      <c r="AN44" s="362">
        <f>AM44*(1+AN45)</f>
        <v/>
      </c>
      <c r="AO44" s="362">
        <f>AN44*(1+AO45)</f>
        <v/>
      </c>
      <c r="AP44" s="362">
        <f>AO44*(1+AP45)</f>
        <v/>
      </c>
      <c r="AQ44" s="362">
        <f>AP44*(1+AQ45)</f>
        <v/>
      </c>
      <c r="AR44" s="362">
        <f>AQ44*(1+AR45)</f>
        <v/>
      </c>
      <c r="AS44" s="362">
        <f>AR44*(1+AS45)</f>
        <v/>
      </c>
      <c r="AT44" s="362">
        <f>AS44*(1+AT45)</f>
        <v/>
      </c>
      <c r="AU44" s="362">
        <f>AT44*(1+AU45)</f>
        <v/>
      </c>
      <c r="AV44" s="362">
        <f>AU44*(1+AV45)</f>
        <v/>
      </c>
      <c r="AW44" s="362">
        <f>AV44*(1+AW45)</f>
        <v/>
      </c>
    </row>
    <row r="45">
      <c r="B45" s="254" t="inlineStr">
        <is>
          <t>Y-O-Y Growth</t>
        </is>
      </c>
      <c r="D45" s="257">
        <f>D44/C44-1</f>
        <v/>
      </c>
      <c r="E45" s="257">
        <f>E44/D44-1</f>
        <v/>
      </c>
      <c r="F45" s="257">
        <f>F44/E44-1</f>
        <v/>
      </c>
      <c r="H45" s="258">
        <f>IF(MONTH(H$6)=1,10%,0)</f>
        <v/>
      </c>
      <c r="I45" s="258">
        <f>IF(MONTH(I$6)=1,10%,0)</f>
        <v/>
      </c>
      <c r="J45" s="258">
        <f>IF(MONTH(J$6)=1,10%,0)</f>
        <v/>
      </c>
      <c r="K45" s="258">
        <f>IF(MONTH(K$6)=1,10%,0)</f>
        <v/>
      </c>
      <c r="L45" s="258">
        <f>IF(MONTH(L$6)=1,10%,0)</f>
        <v/>
      </c>
      <c r="M45" s="258">
        <f>IF(MONTH(M$6)=1,10%,0)</f>
        <v/>
      </c>
      <c r="N45" s="258">
        <f>IF(MONTH(N$6)=1,10%,0)</f>
        <v/>
      </c>
      <c r="O45" s="258">
        <f>IF(MONTH(O$6)=1,10%,0)</f>
        <v/>
      </c>
      <c r="P45" s="258">
        <f>IF(MONTH(P$6)=1,10%,0)</f>
        <v/>
      </c>
      <c r="Q45" s="258">
        <f>IF(MONTH(Q$6)=1,10%,0)</f>
        <v/>
      </c>
      <c r="R45" s="258">
        <f>IF(MONTH(R$6)=1,10%,0)</f>
        <v/>
      </c>
      <c r="S45" s="258">
        <f>IF(MONTH(S$6)=1,10%,0)</f>
        <v/>
      </c>
      <c r="T45" s="258">
        <f>IF(MONTH(T$6)=1,10%,0)</f>
        <v/>
      </c>
      <c r="U45" s="258">
        <f>IF(MONTH(U$6)=1,10%,0)</f>
        <v/>
      </c>
      <c r="V45" s="258">
        <f>IF(MONTH(V$6)=1,10%,0)</f>
        <v/>
      </c>
      <c r="W45" s="258">
        <f>IF(MONTH(W$6)=1,10%,0)</f>
        <v/>
      </c>
      <c r="X45" s="258">
        <f>IF(MONTH(X$6)=1,10%,0)</f>
        <v/>
      </c>
      <c r="Y45" s="258">
        <f>IF(MONTH(Y$6)=1,10%,0)</f>
        <v/>
      </c>
      <c r="Z45" s="258">
        <f>IF(MONTH(Z$6)=1,10%,0)</f>
        <v/>
      </c>
      <c r="AA45" s="258">
        <f>IF(MONTH(AA$6)=1,10%,0)</f>
        <v/>
      </c>
      <c r="AB45" s="258">
        <f>IF(MONTH(AB$6)=1,10%,0)</f>
        <v/>
      </c>
      <c r="AC45" s="258">
        <f>IF(MONTH(AC$6)=1,10%,0)</f>
        <v/>
      </c>
      <c r="AD45" s="258">
        <f>IF(MONTH(AD$6)=1,10%,0)</f>
        <v/>
      </c>
      <c r="AE45" s="258">
        <f>IF(MONTH(AE$6)=1,10%,0)</f>
        <v/>
      </c>
      <c r="AF45" s="258">
        <f>IF(MONTH(AF$6)=1,10%,0)</f>
        <v/>
      </c>
      <c r="AG45" s="258">
        <f>IF(MONTH(AG$6)=1,10%,0)</f>
        <v/>
      </c>
      <c r="AH45" s="258">
        <f>IF(MONTH(AH$6)=1,10%,0)</f>
        <v/>
      </c>
      <c r="AI45" s="258">
        <f>IF(MONTH(AI$6)=1,10%,0)</f>
        <v/>
      </c>
      <c r="AJ45" s="258">
        <f>IF(MONTH(AJ$6)=1,10%,0)</f>
        <v/>
      </c>
      <c r="AK45" s="258">
        <f>IF(MONTH(AK$6)=1,10%,0)</f>
        <v/>
      </c>
      <c r="AL45" s="258">
        <f>IF(MONTH(AL$6)=1,10%,0)</f>
        <v/>
      </c>
      <c r="AM45" s="258">
        <f>IF(MONTH(AM$6)=1,10%,0)</f>
        <v/>
      </c>
      <c r="AN45" s="258">
        <f>IF(MONTH(AN$6)=1,10%,0)</f>
        <v/>
      </c>
      <c r="AO45" s="258">
        <f>IF(MONTH(AO$6)=1,10%,0)</f>
        <v/>
      </c>
      <c r="AP45" s="258">
        <f>IF(MONTH(AP$6)=1,10%,0)</f>
        <v/>
      </c>
      <c r="AQ45" s="258">
        <f>IF(MONTH(AQ$6)=1,10%,0)</f>
        <v/>
      </c>
      <c r="AR45" s="258">
        <f>IF(MONTH(AR$6)=1,10%,0)</f>
        <v/>
      </c>
      <c r="AS45" s="258">
        <f>IF(MONTH(AS$6)=1,10%,0)</f>
        <v/>
      </c>
      <c r="AT45" s="258">
        <f>IF(MONTH(AT$6)=1,10%,0)</f>
        <v/>
      </c>
      <c r="AU45" s="258">
        <f>IF(MONTH(AU$6)=1,10%,0)</f>
        <v/>
      </c>
      <c r="AV45" s="258">
        <f>IF(MONTH(AV$6)=1,10%,0)</f>
        <v/>
      </c>
      <c r="AW45" s="258">
        <f>IF(MONTH(AW$6)=1,10%,0)</f>
        <v/>
      </c>
    </row>
    <row r="47">
      <c r="B47" s="217" t="inlineStr">
        <is>
          <t>Software Licences</t>
        </is>
      </c>
      <c r="C47" s="327">
        <f>SUMIF($H$5:$AW$5,C$5,$H47:$AW47)</f>
        <v/>
      </c>
      <c r="D47" s="327">
        <f>SUMIF($H$5:$AW$5,D$5,$H47:$AW47)</f>
        <v/>
      </c>
      <c r="E47" s="327">
        <f>SUMIF($H$5:$AW$5,E$5,$H47:$AW47)</f>
        <v/>
      </c>
      <c r="F47" s="327">
        <f>SUMIF($H$5:$AW$5,F$5,$H47:$AW47)</f>
        <v/>
      </c>
      <c r="G47" s="357" t="n"/>
      <c r="H47" s="379" t="n">
        <v>-2500</v>
      </c>
      <c r="I47" s="362">
        <f>H47*(1+I48)</f>
        <v/>
      </c>
      <c r="J47" s="362">
        <f>I47*(1+J48)</f>
        <v/>
      </c>
      <c r="K47" s="362">
        <f>J47*(1+K48)</f>
        <v/>
      </c>
      <c r="L47" s="362">
        <f>K47*(1+L48)</f>
        <v/>
      </c>
      <c r="M47" s="362">
        <f>L47*(1+M48)</f>
        <v/>
      </c>
      <c r="N47" s="362">
        <f>M47*(1+N48)</f>
        <v/>
      </c>
      <c r="O47" s="362">
        <f>N47*(1+O48)</f>
        <v/>
      </c>
      <c r="P47" s="362">
        <f>O47*(1+P48)</f>
        <v/>
      </c>
      <c r="Q47" s="362">
        <f>P47*(1+Q48)</f>
        <v/>
      </c>
      <c r="R47" s="362">
        <f>Q47*(1+R48)</f>
        <v/>
      </c>
      <c r="S47" s="362">
        <f>R47*(1+S48)</f>
        <v/>
      </c>
      <c r="T47" s="362">
        <f>S47*(1+T48)</f>
        <v/>
      </c>
      <c r="U47" s="362">
        <f>T47*(1+U48)</f>
        <v/>
      </c>
      <c r="V47" s="362">
        <f>U47*(1+V48)</f>
        <v/>
      </c>
      <c r="W47" s="362">
        <f>V47*(1+W48)</f>
        <v/>
      </c>
      <c r="X47" s="362">
        <f>W47*(1+X48)</f>
        <v/>
      </c>
      <c r="Y47" s="362">
        <f>X47*(1+Y48)</f>
        <v/>
      </c>
      <c r="Z47" s="362">
        <f>Y47*(1+Z48)</f>
        <v/>
      </c>
      <c r="AA47" s="362">
        <f>Z47*(1+AA48)</f>
        <v/>
      </c>
      <c r="AB47" s="362">
        <f>AA47*(1+AB48)</f>
        <v/>
      </c>
      <c r="AC47" s="362">
        <f>AB47*(1+AC48)</f>
        <v/>
      </c>
      <c r="AD47" s="362">
        <f>AC47*(1+AD48)</f>
        <v/>
      </c>
      <c r="AE47" s="362">
        <f>AD47*(1+AE48)</f>
        <v/>
      </c>
      <c r="AF47" s="362">
        <f>AE47*(1+AF48)</f>
        <v/>
      </c>
      <c r="AG47" s="362">
        <f>AF47*(1+AG48)</f>
        <v/>
      </c>
      <c r="AH47" s="362">
        <f>AG47*(1+AH48)</f>
        <v/>
      </c>
      <c r="AI47" s="362">
        <f>AH47*(1+AI48)</f>
        <v/>
      </c>
      <c r="AJ47" s="362">
        <f>AI47*(1+AJ48)</f>
        <v/>
      </c>
      <c r="AK47" s="362">
        <f>AJ47*(1+AK48)</f>
        <v/>
      </c>
      <c r="AL47" s="362">
        <f>AK47*(1+AL48)</f>
        <v/>
      </c>
      <c r="AM47" s="362">
        <f>AL47*(1+AM48)</f>
        <v/>
      </c>
      <c r="AN47" s="362">
        <f>AM47*(1+AN48)</f>
        <v/>
      </c>
      <c r="AO47" s="362">
        <f>AN47*(1+AO48)</f>
        <v/>
      </c>
      <c r="AP47" s="362">
        <f>AO47*(1+AP48)</f>
        <v/>
      </c>
      <c r="AQ47" s="362">
        <f>AP47*(1+AQ48)</f>
        <v/>
      </c>
      <c r="AR47" s="362">
        <f>AQ47*(1+AR48)</f>
        <v/>
      </c>
      <c r="AS47" s="362">
        <f>AR47*(1+AS48)</f>
        <v/>
      </c>
      <c r="AT47" s="362">
        <f>AS47*(1+AT48)</f>
        <v/>
      </c>
      <c r="AU47" s="362">
        <f>AT47*(1+AU48)</f>
        <v/>
      </c>
      <c r="AV47" s="362">
        <f>AU47*(1+AV48)</f>
        <v/>
      </c>
      <c r="AW47" s="362">
        <f>AV47*(1+AW48)</f>
        <v/>
      </c>
    </row>
    <row r="48">
      <c r="B48" s="254" t="inlineStr">
        <is>
          <t>Y-O-Y Growth</t>
        </is>
      </c>
      <c r="D48" s="257">
        <f>D47/C47-1</f>
        <v/>
      </c>
      <c r="E48" s="257">
        <f>E47/D47-1</f>
        <v/>
      </c>
      <c r="F48" s="257">
        <f>F47/E47-1</f>
        <v/>
      </c>
      <c r="H48" s="258">
        <f>IF(MONTH(H$6)=1,10%,0)</f>
        <v/>
      </c>
      <c r="I48" s="258">
        <f>IF(MONTH(I$6)=1,10%,0)</f>
        <v/>
      </c>
      <c r="J48" s="258">
        <f>IF(MONTH(J$6)=1,10%,0)</f>
        <v/>
      </c>
      <c r="K48" s="258">
        <f>IF(MONTH(K$6)=1,10%,0)</f>
        <v/>
      </c>
      <c r="L48" s="258">
        <f>IF(MONTH(L$6)=1,10%,0)</f>
        <v/>
      </c>
      <c r="M48" s="258">
        <f>IF(MONTH(M$6)=1,10%,0)</f>
        <v/>
      </c>
      <c r="N48" s="258">
        <f>IF(MONTH(N$6)=1,10%,0)</f>
        <v/>
      </c>
      <c r="O48" s="258">
        <f>IF(MONTH(O$6)=1,10%,0)</f>
        <v/>
      </c>
      <c r="P48" s="258">
        <f>IF(MONTH(P$6)=1,10%,0)</f>
        <v/>
      </c>
      <c r="Q48" s="258">
        <f>IF(MONTH(Q$6)=1,10%,0)</f>
        <v/>
      </c>
      <c r="R48" s="258">
        <f>IF(MONTH(R$6)=1,10%,0)</f>
        <v/>
      </c>
      <c r="S48" s="258">
        <f>IF(MONTH(S$6)=1,10%,0)</f>
        <v/>
      </c>
      <c r="T48" s="258">
        <f>IF(MONTH(T$6)=1,10%,0)</f>
        <v/>
      </c>
      <c r="U48" s="258">
        <f>IF(MONTH(U$6)=1,10%,0)</f>
        <v/>
      </c>
      <c r="V48" s="258">
        <f>IF(MONTH(V$6)=1,10%,0)</f>
        <v/>
      </c>
      <c r="W48" s="258">
        <f>IF(MONTH(W$6)=1,10%,0)</f>
        <v/>
      </c>
      <c r="X48" s="258">
        <f>IF(MONTH(X$6)=1,10%,0)</f>
        <v/>
      </c>
      <c r="Y48" s="258">
        <f>IF(MONTH(Y$6)=1,10%,0)</f>
        <v/>
      </c>
      <c r="Z48" s="258">
        <f>IF(MONTH(Z$6)=1,10%,0)</f>
        <v/>
      </c>
      <c r="AA48" s="258">
        <f>IF(MONTH(AA$6)=1,10%,0)</f>
        <v/>
      </c>
      <c r="AB48" s="258">
        <f>IF(MONTH(AB$6)=1,10%,0)</f>
        <v/>
      </c>
      <c r="AC48" s="258">
        <f>IF(MONTH(AC$6)=1,10%,0)</f>
        <v/>
      </c>
      <c r="AD48" s="258">
        <f>IF(MONTH(AD$6)=1,10%,0)</f>
        <v/>
      </c>
      <c r="AE48" s="258">
        <f>IF(MONTH(AE$6)=1,10%,0)</f>
        <v/>
      </c>
      <c r="AF48" s="258">
        <f>IF(MONTH(AF$6)=1,10%,0)</f>
        <v/>
      </c>
      <c r="AG48" s="258">
        <f>IF(MONTH(AG$6)=1,10%,0)</f>
        <v/>
      </c>
      <c r="AH48" s="258">
        <f>IF(MONTH(AH$6)=1,10%,0)</f>
        <v/>
      </c>
      <c r="AI48" s="258">
        <f>IF(MONTH(AI$6)=1,10%,0)</f>
        <v/>
      </c>
      <c r="AJ48" s="258">
        <f>IF(MONTH(AJ$6)=1,10%,0)</f>
        <v/>
      </c>
      <c r="AK48" s="258">
        <f>IF(MONTH(AK$6)=1,10%,0)</f>
        <v/>
      </c>
      <c r="AL48" s="258">
        <f>IF(MONTH(AL$6)=1,10%,0)</f>
        <v/>
      </c>
      <c r="AM48" s="258">
        <f>IF(MONTH(AM$6)=1,10%,0)</f>
        <v/>
      </c>
      <c r="AN48" s="258">
        <f>IF(MONTH(AN$6)=1,10%,0)</f>
        <v/>
      </c>
      <c r="AO48" s="258">
        <f>IF(MONTH(AO$6)=1,10%,0)</f>
        <v/>
      </c>
      <c r="AP48" s="258">
        <f>IF(MONTH(AP$6)=1,10%,0)</f>
        <v/>
      </c>
      <c r="AQ48" s="258">
        <f>IF(MONTH(AQ$6)=1,10%,0)</f>
        <v/>
      </c>
      <c r="AR48" s="258">
        <f>IF(MONTH(AR$6)=1,10%,0)</f>
        <v/>
      </c>
      <c r="AS48" s="258">
        <f>IF(MONTH(AS$6)=1,10%,0)</f>
        <v/>
      </c>
      <c r="AT48" s="258">
        <f>IF(MONTH(AT$6)=1,10%,0)</f>
        <v/>
      </c>
      <c r="AU48" s="258">
        <f>IF(MONTH(AU$6)=1,10%,0)</f>
        <v/>
      </c>
      <c r="AV48" s="258">
        <f>IF(MONTH(AV$6)=1,10%,0)</f>
        <v/>
      </c>
      <c r="AW48" s="258">
        <f>IF(MONTH(AW$6)=1,10%,0)</f>
        <v/>
      </c>
    </row>
    <row r="50">
      <c r="B50" s="217" t="inlineStr">
        <is>
          <t>Utilities</t>
        </is>
      </c>
      <c r="C50" s="327">
        <f>SUMIF($H$5:$AW$5,C$5,$H50:$AW50)</f>
        <v/>
      </c>
      <c r="D50" s="327">
        <f>SUMIF($H$5:$AW$5,D$5,$H50:$AW50)</f>
        <v/>
      </c>
      <c r="E50" s="327">
        <f>SUMIF($H$5:$AW$5,E$5,$H50:$AW50)</f>
        <v/>
      </c>
      <c r="F50" s="327">
        <f>SUMIF($H$5:$AW$5,F$5,$H50:$AW50)</f>
        <v/>
      </c>
      <c r="G50" s="357" t="n"/>
      <c r="H50" s="379" t="n">
        <v>-1000</v>
      </c>
      <c r="I50" s="362">
        <f>H50*(1+I51)</f>
        <v/>
      </c>
      <c r="J50" s="362">
        <f>I50*(1+J51)</f>
        <v/>
      </c>
      <c r="K50" s="362">
        <f>J50*(1+K51)</f>
        <v/>
      </c>
      <c r="L50" s="362">
        <f>K50*(1+L51)</f>
        <v/>
      </c>
      <c r="M50" s="362">
        <f>L50*(1+M51)</f>
        <v/>
      </c>
      <c r="N50" s="362">
        <f>M50*(1+N51)</f>
        <v/>
      </c>
      <c r="O50" s="362">
        <f>N50*(1+O51)</f>
        <v/>
      </c>
      <c r="P50" s="362">
        <f>O50*(1+P51)</f>
        <v/>
      </c>
      <c r="Q50" s="362">
        <f>P50*(1+Q51)</f>
        <v/>
      </c>
      <c r="R50" s="362">
        <f>Q50*(1+R51)</f>
        <v/>
      </c>
      <c r="S50" s="362">
        <f>R50*(1+S51)</f>
        <v/>
      </c>
      <c r="T50" s="362">
        <f>S50*(1+T51)</f>
        <v/>
      </c>
      <c r="U50" s="362">
        <f>T50*(1+U51)</f>
        <v/>
      </c>
      <c r="V50" s="362">
        <f>U50*(1+V51)</f>
        <v/>
      </c>
      <c r="W50" s="362">
        <f>V50*(1+W51)</f>
        <v/>
      </c>
      <c r="X50" s="362">
        <f>W50*(1+X51)</f>
        <v/>
      </c>
      <c r="Y50" s="362">
        <f>X50*(1+Y51)</f>
        <v/>
      </c>
      <c r="Z50" s="362">
        <f>Y50*(1+Z51)</f>
        <v/>
      </c>
      <c r="AA50" s="362">
        <f>Z50*(1+AA51)</f>
        <v/>
      </c>
      <c r="AB50" s="362">
        <f>AA50*(1+AB51)</f>
        <v/>
      </c>
      <c r="AC50" s="362">
        <f>AB50*(1+AC51)</f>
        <v/>
      </c>
      <c r="AD50" s="362">
        <f>AC50*(1+AD51)</f>
        <v/>
      </c>
      <c r="AE50" s="362">
        <f>AD50*(1+AE51)</f>
        <v/>
      </c>
      <c r="AF50" s="362">
        <f>AE50*(1+AF51)</f>
        <v/>
      </c>
      <c r="AG50" s="362">
        <f>AF50*(1+AG51)</f>
        <v/>
      </c>
      <c r="AH50" s="362">
        <f>AG50*(1+AH51)</f>
        <v/>
      </c>
      <c r="AI50" s="362">
        <f>AH50*(1+AI51)</f>
        <v/>
      </c>
      <c r="AJ50" s="362">
        <f>AI50*(1+AJ51)</f>
        <v/>
      </c>
      <c r="AK50" s="362">
        <f>AJ50*(1+AK51)</f>
        <v/>
      </c>
      <c r="AL50" s="362">
        <f>AK50*(1+AL51)</f>
        <v/>
      </c>
      <c r="AM50" s="362">
        <f>AL50*(1+AM51)</f>
        <v/>
      </c>
      <c r="AN50" s="362">
        <f>AM50*(1+AN51)</f>
        <v/>
      </c>
      <c r="AO50" s="362">
        <f>AN50*(1+AO51)</f>
        <v/>
      </c>
      <c r="AP50" s="362">
        <f>AO50*(1+AP51)</f>
        <v/>
      </c>
      <c r="AQ50" s="362">
        <f>AP50*(1+AQ51)</f>
        <v/>
      </c>
      <c r="AR50" s="362">
        <f>AQ50*(1+AR51)</f>
        <v/>
      </c>
      <c r="AS50" s="362">
        <f>AR50*(1+AS51)</f>
        <v/>
      </c>
      <c r="AT50" s="362">
        <f>AS50*(1+AT51)</f>
        <v/>
      </c>
      <c r="AU50" s="362">
        <f>AT50*(1+AU51)</f>
        <v/>
      </c>
      <c r="AV50" s="362">
        <f>AU50*(1+AV51)</f>
        <v/>
      </c>
      <c r="AW50" s="362">
        <f>AV50*(1+AW51)</f>
        <v/>
      </c>
    </row>
    <row r="51">
      <c r="B51" s="254" t="inlineStr">
        <is>
          <t>Y-O-Y Growth</t>
        </is>
      </c>
      <c r="D51" s="257">
        <f>D50/C50-1</f>
        <v/>
      </c>
      <c r="E51" s="257">
        <f>E50/D50-1</f>
        <v/>
      </c>
      <c r="F51" s="257">
        <f>F50/E50-1</f>
        <v/>
      </c>
      <c r="H51" s="258">
        <f>IF(MONTH(H$6)=1,10%,0)</f>
        <v/>
      </c>
      <c r="I51" s="258">
        <f>IF(MONTH(I$6)=1,10%,0)</f>
        <v/>
      </c>
      <c r="J51" s="258">
        <f>IF(MONTH(J$6)=1,10%,0)</f>
        <v/>
      </c>
      <c r="K51" s="258">
        <f>IF(MONTH(K$6)=1,10%,0)</f>
        <v/>
      </c>
      <c r="L51" s="258">
        <f>IF(MONTH(L$6)=1,10%,0)</f>
        <v/>
      </c>
      <c r="M51" s="258">
        <f>IF(MONTH(M$6)=1,10%,0)</f>
        <v/>
      </c>
      <c r="N51" s="258">
        <f>IF(MONTH(N$6)=1,10%,0)</f>
        <v/>
      </c>
      <c r="O51" s="258">
        <f>IF(MONTH(O$6)=1,10%,0)</f>
        <v/>
      </c>
      <c r="P51" s="258">
        <f>IF(MONTH(P$6)=1,10%,0)</f>
        <v/>
      </c>
      <c r="Q51" s="258">
        <f>IF(MONTH(Q$6)=1,10%,0)</f>
        <v/>
      </c>
      <c r="R51" s="258">
        <f>IF(MONTH(R$6)=1,10%,0)</f>
        <v/>
      </c>
      <c r="S51" s="258">
        <f>IF(MONTH(S$6)=1,10%,0)</f>
        <v/>
      </c>
      <c r="T51" s="258">
        <f>IF(MONTH(T$6)=1,10%,0)</f>
        <v/>
      </c>
      <c r="U51" s="258">
        <f>IF(MONTH(U$6)=1,10%,0)</f>
        <v/>
      </c>
      <c r="V51" s="258">
        <f>IF(MONTH(V$6)=1,10%,0)</f>
        <v/>
      </c>
      <c r="W51" s="258">
        <f>IF(MONTH(W$6)=1,10%,0)</f>
        <v/>
      </c>
      <c r="X51" s="258">
        <f>IF(MONTH(X$6)=1,10%,0)</f>
        <v/>
      </c>
      <c r="Y51" s="258">
        <f>IF(MONTH(Y$6)=1,10%,0)</f>
        <v/>
      </c>
      <c r="Z51" s="258">
        <f>IF(MONTH(Z$6)=1,10%,0)</f>
        <v/>
      </c>
      <c r="AA51" s="258">
        <f>IF(MONTH(AA$6)=1,10%,0)</f>
        <v/>
      </c>
      <c r="AB51" s="258">
        <f>IF(MONTH(AB$6)=1,10%,0)</f>
        <v/>
      </c>
      <c r="AC51" s="258">
        <f>IF(MONTH(AC$6)=1,10%,0)</f>
        <v/>
      </c>
      <c r="AD51" s="258">
        <f>IF(MONTH(AD$6)=1,10%,0)</f>
        <v/>
      </c>
      <c r="AE51" s="258">
        <f>IF(MONTH(AE$6)=1,10%,0)</f>
        <v/>
      </c>
      <c r="AF51" s="258">
        <f>IF(MONTH(AF$6)=1,10%,0)</f>
        <v/>
      </c>
      <c r="AG51" s="258">
        <f>IF(MONTH(AG$6)=1,10%,0)</f>
        <v/>
      </c>
      <c r="AH51" s="258">
        <f>IF(MONTH(AH$6)=1,10%,0)</f>
        <v/>
      </c>
      <c r="AI51" s="258">
        <f>IF(MONTH(AI$6)=1,10%,0)</f>
        <v/>
      </c>
      <c r="AJ51" s="258">
        <f>IF(MONTH(AJ$6)=1,10%,0)</f>
        <v/>
      </c>
      <c r="AK51" s="258">
        <f>IF(MONTH(AK$6)=1,10%,0)</f>
        <v/>
      </c>
      <c r="AL51" s="258">
        <f>IF(MONTH(AL$6)=1,10%,0)</f>
        <v/>
      </c>
      <c r="AM51" s="258">
        <f>IF(MONTH(AM$6)=1,10%,0)</f>
        <v/>
      </c>
      <c r="AN51" s="258">
        <f>IF(MONTH(AN$6)=1,10%,0)</f>
        <v/>
      </c>
      <c r="AO51" s="258">
        <f>IF(MONTH(AO$6)=1,10%,0)</f>
        <v/>
      </c>
      <c r="AP51" s="258">
        <f>IF(MONTH(AP$6)=1,10%,0)</f>
        <v/>
      </c>
      <c r="AQ51" s="258">
        <f>IF(MONTH(AQ$6)=1,10%,0)</f>
        <v/>
      </c>
      <c r="AR51" s="258">
        <f>IF(MONTH(AR$6)=1,10%,0)</f>
        <v/>
      </c>
      <c r="AS51" s="258">
        <f>IF(MONTH(AS$6)=1,10%,0)</f>
        <v/>
      </c>
      <c r="AT51" s="258">
        <f>IF(MONTH(AT$6)=1,10%,0)</f>
        <v/>
      </c>
      <c r="AU51" s="258">
        <f>IF(MONTH(AU$6)=1,10%,0)</f>
        <v/>
      </c>
      <c r="AV51" s="258">
        <f>IF(MONTH(AV$6)=1,10%,0)</f>
        <v/>
      </c>
      <c r="AW51" s="258">
        <f>IF(MONTH(AW$6)=1,10%,0)</f>
        <v/>
      </c>
    </row>
    <row r="53">
      <c r="B53" s="217" t="inlineStr">
        <is>
          <t>Other Fixed Expenses 1</t>
        </is>
      </c>
      <c r="C53" s="327">
        <f>SUMIF($H$5:$AW$5,C$5,$H53:$AW53)</f>
        <v/>
      </c>
      <c r="D53" s="327">
        <f>SUMIF($H$5:$AW$5,D$5,$H53:$AW53)</f>
        <v/>
      </c>
      <c r="E53" s="327">
        <f>SUMIF($H$5:$AW$5,E$5,$H53:$AW53)</f>
        <v/>
      </c>
      <c r="F53" s="327">
        <f>SUMIF($H$5:$AW$5,F$5,$H53:$AW53)</f>
        <v/>
      </c>
      <c r="G53" s="357" t="n"/>
      <c r="H53" s="379" t="n">
        <v>-5000</v>
      </c>
      <c r="I53" s="362">
        <f>H53*(1+I54)</f>
        <v/>
      </c>
      <c r="J53" s="362">
        <f>I53*(1+J54)</f>
        <v/>
      </c>
      <c r="K53" s="362">
        <f>J53*(1+K54)</f>
        <v/>
      </c>
      <c r="L53" s="362">
        <f>K53*(1+L54)</f>
        <v/>
      </c>
      <c r="M53" s="362">
        <f>L53*(1+M54)</f>
        <v/>
      </c>
      <c r="N53" s="362">
        <f>M53*(1+N54)</f>
        <v/>
      </c>
      <c r="O53" s="362">
        <f>N53*(1+O54)</f>
        <v/>
      </c>
      <c r="P53" s="362">
        <f>O53*(1+P54)</f>
        <v/>
      </c>
      <c r="Q53" s="362">
        <f>P53*(1+Q54)</f>
        <v/>
      </c>
      <c r="R53" s="362">
        <f>Q53*(1+R54)</f>
        <v/>
      </c>
      <c r="S53" s="362">
        <f>R53*(1+S54)</f>
        <v/>
      </c>
      <c r="T53" s="362">
        <f>S53*(1+T54)</f>
        <v/>
      </c>
      <c r="U53" s="362">
        <f>T53*(1+U54)</f>
        <v/>
      </c>
      <c r="V53" s="362">
        <f>U53*(1+V54)</f>
        <v/>
      </c>
      <c r="W53" s="362">
        <f>V53*(1+W54)</f>
        <v/>
      </c>
      <c r="X53" s="362">
        <f>W53*(1+X54)</f>
        <v/>
      </c>
      <c r="Y53" s="362">
        <f>X53*(1+Y54)</f>
        <v/>
      </c>
      <c r="Z53" s="362">
        <f>Y53*(1+Z54)</f>
        <v/>
      </c>
      <c r="AA53" s="362">
        <f>Z53*(1+AA54)</f>
        <v/>
      </c>
      <c r="AB53" s="362">
        <f>AA53*(1+AB54)</f>
        <v/>
      </c>
      <c r="AC53" s="362">
        <f>AB53*(1+AC54)</f>
        <v/>
      </c>
      <c r="AD53" s="362">
        <f>AC53*(1+AD54)</f>
        <v/>
      </c>
      <c r="AE53" s="362">
        <f>AD53*(1+AE54)</f>
        <v/>
      </c>
      <c r="AF53" s="362">
        <f>AE53*(1+AF54)</f>
        <v/>
      </c>
      <c r="AG53" s="362">
        <f>AF53*(1+AG54)</f>
        <v/>
      </c>
      <c r="AH53" s="362">
        <f>AG53*(1+AH54)</f>
        <v/>
      </c>
      <c r="AI53" s="362">
        <f>AH53*(1+AI54)</f>
        <v/>
      </c>
      <c r="AJ53" s="362">
        <f>AI53*(1+AJ54)</f>
        <v/>
      </c>
      <c r="AK53" s="362">
        <f>AJ53*(1+AK54)</f>
        <v/>
      </c>
      <c r="AL53" s="362">
        <f>AK53*(1+AL54)</f>
        <v/>
      </c>
      <c r="AM53" s="362">
        <f>AL53*(1+AM54)</f>
        <v/>
      </c>
      <c r="AN53" s="362">
        <f>AM53*(1+AN54)</f>
        <v/>
      </c>
      <c r="AO53" s="362">
        <f>AN53*(1+AO54)</f>
        <v/>
      </c>
      <c r="AP53" s="362">
        <f>AO53*(1+AP54)</f>
        <v/>
      </c>
      <c r="AQ53" s="362">
        <f>AP53*(1+AQ54)</f>
        <v/>
      </c>
      <c r="AR53" s="362">
        <f>AQ53*(1+AR54)</f>
        <v/>
      </c>
      <c r="AS53" s="362">
        <f>AR53*(1+AS54)</f>
        <v/>
      </c>
      <c r="AT53" s="362">
        <f>AS53*(1+AT54)</f>
        <v/>
      </c>
      <c r="AU53" s="362">
        <f>AT53*(1+AU54)</f>
        <v/>
      </c>
      <c r="AV53" s="362">
        <f>AU53*(1+AV54)</f>
        <v/>
      </c>
      <c r="AW53" s="362">
        <f>AV53*(1+AW54)</f>
        <v/>
      </c>
    </row>
    <row r="54">
      <c r="B54" s="254" t="inlineStr">
        <is>
          <t>Y-O-Y Growth</t>
        </is>
      </c>
      <c r="D54" s="257">
        <f>D53/C53-1</f>
        <v/>
      </c>
      <c r="E54" s="257">
        <f>E53/D53-1</f>
        <v/>
      </c>
      <c r="F54" s="257">
        <f>F53/E53-1</f>
        <v/>
      </c>
      <c r="H54" s="258">
        <f>IF(MONTH(H$6)=1,10%,0)</f>
        <v/>
      </c>
      <c r="I54" s="258">
        <f>IF(MONTH(I$6)=1,10%,0)</f>
        <v/>
      </c>
      <c r="J54" s="258">
        <f>IF(MONTH(J$6)=1,10%,0)</f>
        <v/>
      </c>
      <c r="K54" s="258">
        <f>IF(MONTH(K$6)=1,10%,0)</f>
        <v/>
      </c>
      <c r="L54" s="258">
        <f>IF(MONTH(L$6)=1,10%,0)</f>
        <v/>
      </c>
      <c r="M54" s="258">
        <f>IF(MONTH(M$6)=1,10%,0)</f>
        <v/>
      </c>
      <c r="N54" s="258">
        <f>IF(MONTH(N$6)=1,10%,0)</f>
        <v/>
      </c>
      <c r="O54" s="258">
        <f>IF(MONTH(O$6)=1,10%,0)</f>
        <v/>
      </c>
      <c r="P54" s="258">
        <f>IF(MONTH(P$6)=1,10%,0)</f>
        <v/>
      </c>
      <c r="Q54" s="258">
        <f>IF(MONTH(Q$6)=1,10%,0)</f>
        <v/>
      </c>
      <c r="R54" s="258">
        <f>IF(MONTH(R$6)=1,10%,0)</f>
        <v/>
      </c>
      <c r="S54" s="258">
        <f>IF(MONTH(S$6)=1,10%,0)</f>
        <v/>
      </c>
      <c r="T54" s="258">
        <f>IF(MONTH(T$6)=1,10%,0)</f>
        <v/>
      </c>
      <c r="U54" s="258">
        <f>IF(MONTH(U$6)=1,10%,0)</f>
        <v/>
      </c>
      <c r="V54" s="258">
        <f>IF(MONTH(V$6)=1,10%,0)</f>
        <v/>
      </c>
      <c r="W54" s="258">
        <f>IF(MONTH(W$6)=1,10%,0)</f>
        <v/>
      </c>
      <c r="X54" s="258">
        <f>IF(MONTH(X$6)=1,10%,0)</f>
        <v/>
      </c>
      <c r="Y54" s="258">
        <f>IF(MONTH(Y$6)=1,10%,0)</f>
        <v/>
      </c>
      <c r="Z54" s="258">
        <f>IF(MONTH(Z$6)=1,10%,0)</f>
        <v/>
      </c>
      <c r="AA54" s="258">
        <f>IF(MONTH(AA$6)=1,10%,0)</f>
        <v/>
      </c>
      <c r="AB54" s="258">
        <f>IF(MONTH(AB$6)=1,10%,0)</f>
        <v/>
      </c>
      <c r="AC54" s="258">
        <f>IF(MONTH(AC$6)=1,10%,0)</f>
        <v/>
      </c>
      <c r="AD54" s="258">
        <f>IF(MONTH(AD$6)=1,10%,0)</f>
        <v/>
      </c>
      <c r="AE54" s="258">
        <f>IF(MONTH(AE$6)=1,10%,0)</f>
        <v/>
      </c>
      <c r="AF54" s="258">
        <f>IF(MONTH(AF$6)=1,10%,0)</f>
        <v/>
      </c>
      <c r="AG54" s="258">
        <f>IF(MONTH(AG$6)=1,10%,0)</f>
        <v/>
      </c>
      <c r="AH54" s="258">
        <f>IF(MONTH(AH$6)=1,10%,0)</f>
        <v/>
      </c>
      <c r="AI54" s="258">
        <f>IF(MONTH(AI$6)=1,10%,0)</f>
        <v/>
      </c>
      <c r="AJ54" s="258">
        <f>IF(MONTH(AJ$6)=1,10%,0)</f>
        <v/>
      </c>
      <c r="AK54" s="258">
        <f>IF(MONTH(AK$6)=1,10%,0)</f>
        <v/>
      </c>
      <c r="AL54" s="258">
        <f>IF(MONTH(AL$6)=1,10%,0)</f>
        <v/>
      </c>
      <c r="AM54" s="258">
        <f>IF(MONTH(AM$6)=1,10%,0)</f>
        <v/>
      </c>
      <c r="AN54" s="258">
        <f>IF(MONTH(AN$6)=1,10%,0)</f>
        <v/>
      </c>
      <c r="AO54" s="258">
        <f>IF(MONTH(AO$6)=1,10%,0)</f>
        <v/>
      </c>
      <c r="AP54" s="258">
        <f>IF(MONTH(AP$6)=1,10%,0)</f>
        <v/>
      </c>
      <c r="AQ54" s="258">
        <f>IF(MONTH(AQ$6)=1,10%,0)</f>
        <v/>
      </c>
      <c r="AR54" s="258">
        <f>IF(MONTH(AR$6)=1,10%,0)</f>
        <v/>
      </c>
      <c r="AS54" s="258">
        <f>IF(MONTH(AS$6)=1,10%,0)</f>
        <v/>
      </c>
      <c r="AT54" s="258">
        <f>IF(MONTH(AT$6)=1,10%,0)</f>
        <v/>
      </c>
      <c r="AU54" s="258">
        <f>IF(MONTH(AU$6)=1,10%,0)</f>
        <v/>
      </c>
      <c r="AV54" s="258">
        <f>IF(MONTH(AV$6)=1,10%,0)</f>
        <v/>
      </c>
      <c r="AW54" s="258">
        <f>IF(MONTH(AW$6)=1,10%,0)</f>
        <v/>
      </c>
    </row>
    <row r="56">
      <c r="B56" s="217" t="inlineStr">
        <is>
          <t>Other Fixed Expenses 2</t>
        </is>
      </c>
      <c r="C56" s="327">
        <f>SUMIF($H$5:$AW$5,C$5,$H56:$AW56)</f>
        <v/>
      </c>
      <c r="D56" s="327">
        <f>SUMIF($H$5:$AW$5,D$5,$H56:$AW56)</f>
        <v/>
      </c>
      <c r="E56" s="327">
        <f>SUMIF($H$5:$AW$5,E$5,$H56:$AW56)</f>
        <v/>
      </c>
      <c r="F56" s="327">
        <f>SUMIF($H$5:$AW$5,F$5,$H56:$AW56)</f>
        <v/>
      </c>
      <c r="G56" s="357" t="n"/>
      <c r="H56" s="379" t="n">
        <v>0</v>
      </c>
      <c r="I56" s="362">
        <f>H56*(1+I57)</f>
        <v/>
      </c>
      <c r="J56" s="362">
        <f>I56*(1+J57)</f>
        <v/>
      </c>
      <c r="K56" s="362">
        <f>J56*(1+K57)</f>
        <v/>
      </c>
      <c r="L56" s="362">
        <f>K56*(1+L57)</f>
        <v/>
      </c>
      <c r="M56" s="362">
        <f>L56*(1+M57)</f>
        <v/>
      </c>
      <c r="N56" s="362">
        <f>M56*(1+N57)</f>
        <v/>
      </c>
      <c r="O56" s="362">
        <f>N56*(1+O57)</f>
        <v/>
      </c>
      <c r="P56" s="362">
        <f>O56*(1+P57)</f>
        <v/>
      </c>
      <c r="Q56" s="362">
        <f>P56*(1+Q57)</f>
        <v/>
      </c>
      <c r="R56" s="362">
        <f>Q56*(1+R57)</f>
        <v/>
      </c>
      <c r="S56" s="362">
        <f>R56*(1+S57)</f>
        <v/>
      </c>
      <c r="T56" s="362">
        <f>S56*(1+T57)</f>
        <v/>
      </c>
      <c r="U56" s="362">
        <f>T56*(1+U57)</f>
        <v/>
      </c>
      <c r="V56" s="362">
        <f>U56*(1+V57)</f>
        <v/>
      </c>
      <c r="W56" s="362">
        <f>V56*(1+W57)</f>
        <v/>
      </c>
      <c r="X56" s="362">
        <f>W56*(1+X57)</f>
        <v/>
      </c>
      <c r="Y56" s="362">
        <f>X56*(1+Y57)</f>
        <v/>
      </c>
      <c r="Z56" s="362">
        <f>Y56*(1+Z57)</f>
        <v/>
      </c>
      <c r="AA56" s="362">
        <f>Z56*(1+AA57)</f>
        <v/>
      </c>
      <c r="AB56" s="362">
        <f>AA56*(1+AB57)</f>
        <v/>
      </c>
      <c r="AC56" s="362">
        <f>AB56*(1+AC57)</f>
        <v/>
      </c>
      <c r="AD56" s="362">
        <f>AC56*(1+AD57)</f>
        <v/>
      </c>
      <c r="AE56" s="362">
        <f>AD56*(1+AE57)</f>
        <v/>
      </c>
      <c r="AF56" s="362">
        <f>AE56*(1+AF57)</f>
        <v/>
      </c>
      <c r="AG56" s="362">
        <f>AF56*(1+AG57)</f>
        <v/>
      </c>
      <c r="AH56" s="362">
        <f>AG56*(1+AH57)</f>
        <v/>
      </c>
      <c r="AI56" s="362">
        <f>AH56*(1+AI57)</f>
        <v/>
      </c>
      <c r="AJ56" s="362">
        <f>AI56*(1+AJ57)</f>
        <v/>
      </c>
      <c r="AK56" s="362">
        <f>AJ56*(1+AK57)</f>
        <v/>
      </c>
      <c r="AL56" s="362">
        <f>AK56*(1+AL57)</f>
        <v/>
      </c>
      <c r="AM56" s="362">
        <f>AL56*(1+AM57)</f>
        <v/>
      </c>
      <c r="AN56" s="362">
        <f>AM56*(1+AN57)</f>
        <v/>
      </c>
      <c r="AO56" s="362">
        <f>AN56*(1+AO57)</f>
        <v/>
      </c>
      <c r="AP56" s="362">
        <f>AO56*(1+AP57)</f>
        <v/>
      </c>
      <c r="AQ56" s="362">
        <f>AP56*(1+AQ57)</f>
        <v/>
      </c>
      <c r="AR56" s="362">
        <f>AQ56*(1+AR57)</f>
        <v/>
      </c>
      <c r="AS56" s="362">
        <f>AR56*(1+AS57)</f>
        <v/>
      </c>
      <c r="AT56" s="362">
        <f>AS56*(1+AT57)</f>
        <v/>
      </c>
      <c r="AU56" s="362">
        <f>AT56*(1+AU57)</f>
        <v/>
      </c>
      <c r="AV56" s="362">
        <f>AU56*(1+AV57)</f>
        <v/>
      </c>
      <c r="AW56" s="362">
        <f>AV56*(1+AW57)</f>
        <v/>
      </c>
    </row>
    <row r="57">
      <c r="B57" s="254" t="inlineStr">
        <is>
          <t>Y-O-Y Growth</t>
        </is>
      </c>
      <c r="D57" s="259">
        <f>IFERROR(D56/C56-1,"NM")</f>
        <v/>
      </c>
      <c r="E57" s="259">
        <f>IFERROR(E56/D56-1,"NM")</f>
        <v/>
      </c>
      <c r="F57" s="259">
        <f>IFERROR(F56/E56-1,"NM")</f>
        <v/>
      </c>
      <c r="H57" s="258">
        <f>IF(MONTH(H$6)=1,10%,0)</f>
        <v/>
      </c>
      <c r="I57" s="258">
        <f>IF(MONTH(I$6)=1,10%,0)</f>
        <v/>
      </c>
      <c r="J57" s="258">
        <f>IF(MONTH(J$6)=1,10%,0)</f>
        <v/>
      </c>
      <c r="K57" s="258">
        <f>IF(MONTH(K$6)=1,10%,0)</f>
        <v/>
      </c>
      <c r="L57" s="258">
        <f>IF(MONTH(L$6)=1,10%,0)</f>
        <v/>
      </c>
      <c r="M57" s="258">
        <f>IF(MONTH(M$6)=1,10%,0)</f>
        <v/>
      </c>
      <c r="N57" s="258">
        <f>IF(MONTH(N$6)=1,10%,0)</f>
        <v/>
      </c>
      <c r="O57" s="258">
        <f>IF(MONTH(O$6)=1,10%,0)</f>
        <v/>
      </c>
      <c r="P57" s="258">
        <f>IF(MONTH(P$6)=1,10%,0)</f>
        <v/>
      </c>
      <c r="Q57" s="258">
        <f>IF(MONTH(Q$6)=1,10%,0)</f>
        <v/>
      </c>
      <c r="R57" s="258">
        <f>IF(MONTH(R$6)=1,10%,0)</f>
        <v/>
      </c>
      <c r="S57" s="258">
        <f>IF(MONTH(S$6)=1,10%,0)</f>
        <v/>
      </c>
      <c r="T57" s="258">
        <f>IF(MONTH(T$6)=1,10%,0)</f>
        <v/>
      </c>
      <c r="U57" s="258">
        <f>IF(MONTH(U$6)=1,10%,0)</f>
        <v/>
      </c>
      <c r="V57" s="258">
        <f>IF(MONTH(V$6)=1,10%,0)</f>
        <v/>
      </c>
      <c r="W57" s="258">
        <f>IF(MONTH(W$6)=1,10%,0)</f>
        <v/>
      </c>
      <c r="X57" s="258">
        <f>IF(MONTH(X$6)=1,10%,0)</f>
        <v/>
      </c>
      <c r="Y57" s="258">
        <f>IF(MONTH(Y$6)=1,10%,0)</f>
        <v/>
      </c>
      <c r="Z57" s="258">
        <f>IF(MONTH(Z$6)=1,10%,0)</f>
        <v/>
      </c>
      <c r="AA57" s="258">
        <f>IF(MONTH(AA$6)=1,10%,0)</f>
        <v/>
      </c>
      <c r="AB57" s="258">
        <f>IF(MONTH(AB$6)=1,10%,0)</f>
        <v/>
      </c>
      <c r="AC57" s="258">
        <f>IF(MONTH(AC$6)=1,10%,0)</f>
        <v/>
      </c>
      <c r="AD57" s="258">
        <f>IF(MONTH(AD$6)=1,10%,0)</f>
        <v/>
      </c>
      <c r="AE57" s="258">
        <f>IF(MONTH(AE$6)=1,10%,0)</f>
        <v/>
      </c>
      <c r="AF57" s="258">
        <f>IF(MONTH(AF$6)=1,10%,0)</f>
        <v/>
      </c>
      <c r="AG57" s="258">
        <f>IF(MONTH(AG$6)=1,10%,0)</f>
        <v/>
      </c>
      <c r="AH57" s="258">
        <f>IF(MONTH(AH$6)=1,10%,0)</f>
        <v/>
      </c>
      <c r="AI57" s="258">
        <f>IF(MONTH(AI$6)=1,10%,0)</f>
        <v/>
      </c>
      <c r="AJ57" s="258">
        <f>IF(MONTH(AJ$6)=1,10%,0)</f>
        <v/>
      </c>
      <c r="AK57" s="258">
        <f>IF(MONTH(AK$6)=1,10%,0)</f>
        <v/>
      </c>
      <c r="AL57" s="258">
        <f>IF(MONTH(AL$6)=1,10%,0)</f>
        <v/>
      </c>
      <c r="AM57" s="258">
        <f>IF(MONTH(AM$6)=1,10%,0)</f>
        <v/>
      </c>
      <c r="AN57" s="258">
        <f>IF(MONTH(AN$6)=1,10%,0)</f>
        <v/>
      </c>
      <c r="AO57" s="258">
        <f>IF(MONTH(AO$6)=1,10%,0)</f>
        <v/>
      </c>
      <c r="AP57" s="258">
        <f>IF(MONTH(AP$6)=1,10%,0)</f>
        <v/>
      </c>
      <c r="AQ57" s="258">
        <f>IF(MONTH(AQ$6)=1,10%,0)</f>
        <v/>
      </c>
      <c r="AR57" s="258">
        <f>IF(MONTH(AR$6)=1,10%,0)</f>
        <v/>
      </c>
      <c r="AS57" s="258">
        <f>IF(MONTH(AS$6)=1,10%,0)</f>
        <v/>
      </c>
      <c r="AT57" s="258">
        <f>IF(MONTH(AT$6)=1,10%,0)</f>
        <v/>
      </c>
      <c r="AU57" s="258">
        <f>IF(MONTH(AU$6)=1,10%,0)</f>
        <v/>
      </c>
      <c r="AV57" s="258">
        <f>IF(MONTH(AV$6)=1,10%,0)</f>
        <v/>
      </c>
      <c r="AW57" s="258">
        <f>IF(MONTH(AW$6)=1,10%,0)</f>
        <v/>
      </c>
    </row>
    <row r="59">
      <c r="B59" s="217" t="inlineStr">
        <is>
          <t>Other Fixed Expenses 3</t>
        </is>
      </c>
      <c r="C59" s="327">
        <f>SUMIF($H$5:$AW$5,C$5,$H59:$AW59)</f>
        <v/>
      </c>
      <c r="D59" s="327">
        <f>SUMIF($H$5:$AW$5,D$5,$H59:$AW59)</f>
        <v/>
      </c>
      <c r="E59" s="327">
        <f>SUMIF($H$5:$AW$5,E$5,$H59:$AW59)</f>
        <v/>
      </c>
      <c r="F59" s="327">
        <f>SUMIF($H$5:$AW$5,F$5,$H59:$AW59)</f>
        <v/>
      </c>
      <c r="G59" s="357" t="n"/>
      <c r="H59" s="379" t="n">
        <v>0</v>
      </c>
      <c r="I59" s="362">
        <f>H59*(1+I60)</f>
        <v/>
      </c>
      <c r="J59" s="362">
        <f>I59*(1+J60)</f>
        <v/>
      </c>
      <c r="K59" s="362">
        <f>J59*(1+K60)</f>
        <v/>
      </c>
      <c r="L59" s="362">
        <f>K59*(1+L60)</f>
        <v/>
      </c>
      <c r="M59" s="362">
        <f>L59*(1+M60)</f>
        <v/>
      </c>
      <c r="N59" s="362">
        <f>M59*(1+N60)</f>
        <v/>
      </c>
      <c r="O59" s="362">
        <f>N59*(1+O60)</f>
        <v/>
      </c>
      <c r="P59" s="362">
        <f>O59*(1+P60)</f>
        <v/>
      </c>
      <c r="Q59" s="362">
        <f>P59*(1+Q60)</f>
        <v/>
      </c>
      <c r="R59" s="362">
        <f>Q59*(1+R60)</f>
        <v/>
      </c>
      <c r="S59" s="362">
        <f>R59*(1+S60)</f>
        <v/>
      </c>
      <c r="T59" s="362">
        <f>S59*(1+T60)</f>
        <v/>
      </c>
      <c r="U59" s="362">
        <f>T59*(1+U60)</f>
        <v/>
      </c>
      <c r="V59" s="362">
        <f>U59*(1+V60)</f>
        <v/>
      </c>
      <c r="W59" s="362">
        <f>V59*(1+W60)</f>
        <v/>
      </c>
      <c r="X59" s="362">
        <f>W59*(1+X60)</f>
        <v/>
      </c>
      <c r="Y59" s="362">
        <f>X59*(1+Y60)</f>
        <v/>
      </c>
      <c r="Z59" s="362">
        <f>Y59*(1+Z60)</f>
        <v/>
      </c>
      <c r="AA59" s="362">
        <f>Z59*(1+AA60)</f>
        <v/>
      </c>
      <c r="AB59" s="362">
        <f>AA59*(1+AB60)</f>
        <v/>
      </c>
      <c r="AC59" s="362">
        <f>AB59*(1+AC60)</f>
        <v/>
      </c>
      <c r="AD59" s="362">
        <f>AC59*(1+AD60)</f>
        <v/>
      </c>
      <c r="AE59" s="362">
        <f>AD59*(1+AE60)</f>
        <v/>
      </c>
      <c r="AF59" s="362">
        <f>AE59*(1+AF60)</f>
        <v/>
      </c>
      <c r="AG59" s="362">
        <f>AF59*(1+AG60)</f>
        <v/>
      </c>
      <c r="AH59" s="362">
        <f>AG59*(1+AH60)</f>
        <v/>
      </c>
      <c r="AI59" s="362">
        <f>AH59*(1+AI60)</f>
        <v/>
      </c>
      <c r="AJ59" s="362">
        <f>AI59*(1+AJ60)</f>
        <v/>
      </c>
      <c r="AK59" s="362">
        <f>AJ59*(1+AK60)</f>
        <v/>
      </c>
      <c r="AL59" s="362">
        <f>AK59*(1+AL60)</f>
        <v/>
      </c>
      <c r="AM59" s="362">
        <f>AL59*(1+AM60)</f>
        <v/>
      </c>
      <c r="AN59" s="362">
        <f>AM59*(1+AN60)</f>
        <v/>
      </c>
      <c r="AO59" s="362">
        <f>AN59*(1+AO60)</f>
        <v/>
      </c>
      <c r="AP59" s="362">
        <f>AO59*(1+AP60)</f>
        <v/>
      </c>
      <c r="AQ59" s="362">
        <f>AP59*(1+AQ60)</f>
        <v/>
      </c>
      <c r="AR59" s="362">
        <f>AQ59*(1+AR60)</f>
        <v/>
      </c>
      <c r="AS59" s="362">
        <f>AR59*(1+AS60)</f>
        <v/>
      </c>
      <c r="AT59" s="362">
        <f>AS59*(1+AT60)</f>
        <v/>
      </c>
      <c r="AU59" s="362">
        <f>AT59*(1+AU60)</f>
        <v/>
      </c>
      <c r="AV59" s="362">
        <f>AU59*(1+AV60)</f>
        <v/>
      </c>
      <c r="AW59" s="362">
        <f>AV59*(1+AW60)</f>
        <v/>
      </c>
    </row>
    <row r="60">
      <c r="B60" s="254" t="inlineStr">
        <is>
          <t>Y-O-Y Growth</t>
        </is>
      </c>
      <c r="D60" s="259">
        <f>IFERROR(D59/C59-1,"NM")</f>
        <v/>
      </c>
      <c r="E60" s="259">
        <f>IFERROR(E59/D59-1,"NM")</f>
        <v/>
      </c>
      <c r="F60" s="259">
        <f>IFERROR(F59/E59-1,"NM")</f>
        <v/>
      </c>
      <c r="H60" s="258">
        <f>IF(MONTH(H$6)=1,10%,0)</f>
        <v/>
      </c>
      <c r="I60" s="258">
        <f>IF(MONTH(I$6)=1,10%,0)</f>
        <v/>
      </c>
      <c r="J60" s="258">
        <f>IF(MONTH(J$6)=1,10%,0)</f>
        <v/>
      </c>
      <c r="K60" s="258">
        <f>IF(MONTH(K$6)=1,10%,0)</f>
        <v/>
      </c>
      <c r="L60" s="258">
        <f>IF(MONTH(L$6)=1,10%,0)</f>
        <v/>
      </c>
      <c r="M60" s="258">
        <f>IF(MONTH(M$6)=1,10%,0)</f>
        <v/>
      </c>
      <c r="N60" s="258">
        <f>IF(MONTH(N$6)=1,10%,0)</f>
        <v/>
      </c>
      <c r="O60" s="258">
        <f>IF(MONTH(O$6)=1,10%,0)</f>
        <v/>
      </c>
      <c r="P60" s="258">
        <f>IF(MONTH(P$6)=1,10%,0)</f>
        <v/>
      </c>
      <c r="Q60" s="258">
        <f>IF(MONTH(Q$6)=1,10%,0)</f>
        <v/>
      </c>
      <c r="R60" s="258">
        <f>IF(MONTH(R$6)=1,10%,0)</f>
        <v/>
      </c>
      <c r="S60" s="258">
        <f>IF(MONTH(S$6)=1,10%,0)</f>
        <v/>
      </c>
      <c r="T60" s="258">
        <f>IF(MONTH(T$6)=1,10%,0)</f>
        <v/>
      </c>
      <c r="U60" s="258">
        <f>IF(MONTH(U$6)=1,10%,0)</f>
        <v/>
      </c>
      <c r="V60" s="258">
        <f>IF(MONTH(V$6)=1,10%,0)</f>
        <v/>
      </c>
      <c r="W60" s="258">
        <f>IF(MONTH(W$6)=1,10%,0)</f>
        <v/>
      </c>
      <c r="X60" s="258">
        <f>IF(MONTH(X$6)=1,10%,0)</f>
        <v/>
      </c>
      <c r="Y60" s="258">
        <f>IF(MONTH(Y$6)=1,10%,0)</f>
        <v/>
      </c>
      <c r="Z60" s="258">
        <f>IF(MONTH(Z$6)=1,10%,0)</f>
        <v/>
      </c>
      <c r="AA60" s="258">
        <f>IF(MONTH(AA$6)=1,10%,0)</f>
        <v/>
      </c>
      <c r="AB60" s="258">
        <f>IF(MONTH(AB$6)=1,10%,0)</f>
        <v/>
      </c>
      <c r="AC60" s="258">
        <f>IF(MONTH(AC$6)=1,10%,0)</f>
        <v/>
      </c>
      <c r="AD60" s="258">
        <f>IF(MONTH(AD$6)=1,10%,0)</f>
        <v/>
      </c>
      <c r="AE60" s="258">
        <f>IF(MONTH(AE$6)=1,10%,0)</f>
        <v/>
      </c>
      <c r="AF60" s="258">
        <f>IF(MONTH(AF$6)=1,10%,0)</f>
        <v/>
      </c>
      <c r="AG60" s="258">
        <f>IF(MONTH(AG$6)=1,10%,0)</f>
        <v/>
      </c>
      <c r="AH60" s="258">
        <f>IF(MONTH(AH$6)=1,10%,0)</f>
        <v/>
      </c>
      <c r="AI60" s="258">
        <f>IF(MONTH(AI$6)=1,10%,0)</f>
        <v/>
      </c>
      <c r="AJ60" s="258">
        <f>IF(MONTH(AJ$6)=1,10%,0)</f>
        <v/>
      </c>
      <c r="AK60" s="258">
        <f>IF(MONTH(AK$6)=1,10%,0)</f>
        <v/>
      </c>
      <c r="AL60" s="258">
        <f>IF(MONTH(AL$6)=1,10%,0)</f>
        <v/>
      </c>
      <c r="AM60" s="258">
        <f>IF(MONTH(AM$6)=1,10%,0)</f>
        <v/>
      </c>
      <c r="AN60" s="258">
        <f>IF(MONTH(AN$6)=1,10%,0)</f>
        <v/>
      </c>
      <c r="AO60" s="258">
        <f>IF(MONTH(AO$6)=1,10%,0)</f>
        <v/>
      </c>
      <c r="AP60" s="258">
        <f>IF(MONTH(AP$6)=1,10%,0)</f>
        <v/>
      </c>
      <c r="AQ60" s="258">
        <f>IF(MONTH(AQ$6)=1,10%,0)</f>
        <v/>
      </c>
      <c r="AR60" s="258">
        <f>IF(MONTH(AR$6)=1,10%,0)</f>
        <v/>
      </c>
      <c r="AS60" s="258">
        <f>IF(MONTH(AS$6)=1,10%,0)</f>
        <v/>
      </c>
      <c r="AT60" s="258">
        <f>IF(MONTH(AT$6)=1,10%,0)</f>
        <v/>
      </c>
      <c r="AU60" s="258">
        <f>IF(MONTH(AU$6)=1,10%,0)</f>
        <v/>
      </c>
      <c r="AV60" s="258">
        <f>IF(MONTH(AV$6)=1,10%,0)</f>
        <v/>
      </c>
      <c r="AW60" s="258">
        <f>IF(MONTH(AW$6)=1,10%,0)</f>
        <v/>
      </c>
    </row>
    <row r="62">
      <c r="B62" s="217" t="inlineStr">
        <is>
          <t>Other Fixed Expenses 4</t>
        </is>
      </c>
      <c r="C62" s="327">
        <f>SUMIF($H$5:$AW$5,C$5,$H62:$AW62)</f>
        <v/>
      </c>
      <c r="D62" s="327">
        <f>SUMIF($H$5:$AW$5,D$5,$H62:$AW62)</f>
        <v/>
      </c>
      <c r="E62" s="327">
        <f>SUMIF($H$5:$AW$5,E$5,$H62:$AW62)</f>
        <v/>
      </c>
      <c r="F62" s="327">
        <f>SUMIF($H$5:$AW$5,F$5,$H62:$AW62)</f>
        <v/>
      </c>
      <c r="G62" s="357" t="n"/>
      <c r="H62" s="379" t="n">
        <v>0</v>
      </c>
      <c r="I62" s="362">
        <f>H62*(1+I63)</f>
        <v/>
      </c>
      <c r="J62" s="362">
        <f>I62*(1+J63)</f>
        <v/>
      </c>
      <c r="K62" s="362">
        <f>J62*(1+K63)</f>
        <v/>
      </c>
      <c r="L62" s="362">
        <f>K62*(1+L63)</f>
        <v/>
      </c>
      <c r="M62" s="362">
        <f>L62*(1+M63)</f>
        <v/>
      </c>
      <c r="N62" s="362">
        <f>M62*(1+N63)</f>
        <v/>
      </c>
      <c r="O62" s="362">
        <f>N62*(1+O63)</f>
        <v/>
      </c>
      <c r="P62" s="362">
        <f>O62*(1+P63)</f>
        <v/>
      </c>
      <c r="Q62" s="362">
        <f>P62*(1+Q63)</f>
        <v/>
      </c>
      <c r="R62" s="362">
        <f>Q62*(1+R63)</f>
        <v/>
      </c>
      <c r="S62" s="362">
        <f>R62*(1+S63)</f>
        <v/>
      </c>
      <c r="T62" s="362">
        <f>S62*(1+T63)</f>
        <v/>
      </c>
      <c r="U62" s="362">
        <f>T62*(1+U63)</f>
        <v/>
      </c>
      <c r="V62" s="362">
        <f>U62*(1+V63)</f>
        <v/>
      </c>
      <c r="W62" s="362">
        <f>V62*(1+W63)</f>
        <v/>
      </c>
      <c r="X62" s="362">
        <f>W62*(1+X63)</f>
        <v/>
      </c>
      <c r="Y62" s="362">
        <f>X62*(1+Y63)</f>
        <v/>
      </c>
      <c r="Z62" s="362">
        <f>Y62*(1+Z63)</f>
        <v/>
      </c>
      <c r="AA62" s="362">
        <f>Z62*(1+AA63)</f>
        <v/>
      </c>
      <c r="AB62" s="362">
        <f>AA62*(1+AB63)</f>
        <v/>
      </c>
      <c r="AC62" s="362">
        <f>AB62*(1+AC63)</f>
        <v/>
      </c>
      <c r="AD62" s="362">
        <f>AC62*(1+AD63)</f>
        <v/>
      </c>
      <c r="AE62" s="362">
        <f>AD62*(1+AE63)</f>
        <v/>
      </c>
      <c r="AF62" s="362">
        <f>AE62*(1+AF63)</f>
        <v/>
      </c>
      <c r="AG62" s="362">
        <f>AF62*(1+AG63)</f>
        <v/>
      </c>
      <c r="AH62" s="362">
        <f>AG62*(1+AH63)</f>
        <v/>
      </c>
      <c r="AI62" s="362">
        <f>AH62*(1+AI63)</f>
        <v/>
      </c>
      <c r="AJ62" s="362">
        <f>AI62*(1+AJ63)</f>
        <v/>
      </c>
      <c r="AK62" s="362">
        <f>AJ62*(1+AK63)</f>
        <v/>
      </c>
      <c r="AL62" s="362">
        <f>AK62*(1+AL63)</f>
        <v/>
      </c>
      <c r="AM62" s="362">
        <f>AL62*(1+AM63)</f>
        <v/>
      </c>
      <c r="AN62" s="362">
        <f>AM62*(1+AN63)</f>
        <v/>
      </c>
      <c r="AO62" s="362">
        <f>AN62*(1+AO63)</f>
        <v/>
      </c>
      <c r="AP62" s="362">
        <f>AO62*(1+AP63)</f>
        <v/>
      </c>
      <c r="AQ62" s="362">
        <f>AP62*(1+AQ63)</f>
        <v/>
      </c>
      <c r="AR62" s="362">
        <f>AQ62*(1+AR63)</f>
        <v/>
      </c>
      <c r="AS62" s="362">
        <f>AR62*(1+AS63)</f>
        <v/>
      </c>
      <c r="AT62" s="362">
        <f>AS62*(1+AT63)</f>
        <v/>
      </c>
      <c r="AU62" s="362">
        <f>AT62*(1+AU63)</f>
        <v/>
      </c>
      <c r="AV62" s="362">
        <f>AU62*(1+AV63)</f>
        <v/>
      </c>
      <c r="AW62" s="362">
        <f>AV62*(1+AW63)</f>
        <v/>
      </c>
    </row>
    <row r="63">
      <c r="B63" s="254" t="inlineStr">
        <is>
          <t>Y-O-Y Growth</t>
        </is>
      </c>
      <c r="D63" s="259">
        <f>IFERROR(D62/C62-1,"NM")</f>
        <v/>
      </c>
      <c r="E63" s="259">
        <f>IFERROR(E62/D62-1,"NM")</f>
        <v/>
      </c>
      <c r="F63" s="259">
        <f>IFERROR(F62/E62-1,"NM")</f>
        <v/>
      </c>
      <c r="H63" s="258">
        <f>IF(MONTH(H$6)=1,10%,0)</f>
        <v/>
      </c>
      <c r="I63" s="258">
        <f>IF(MONTH(I$6)=1,10%,0)</f>
        <v/>
      </c>
      <c r="J63" s="258">
        <f>IF(MONTH(J$6)=1,10%,0)</f>
        <v/>
      </c>
      <c r="K63" s="258">
        <f>IF(MONTH(K$6)=1,10%,0)</f>
        <v/>
      </c>
      <c r="L63" s="258">
        <f>IF(MONTH(L$6)=1,10%,0)</f>
        <v/>
      </c>
      <c r="M63" s="258">
        <f>IF(MONTH(M$6)=1,10%,0)</f>
        <v/>
      </c>
      <c r="N63" s="258">
        <f>IF(MONTH(N$6)=1,10%,0)</f>
        <v/>
      </c>
      <c r="O63" s="258">
        <f>IF(MONTH(O$6)=1,10%,0)</f>
        <v/>
      </c>
      <c r="P63" s="258">
        <f>IF(MONTH(P$6)=1,10%,0)</f>
        <v/>
      </c>
      <c r="Q63" s="258">
        <f>IF(MONTH(Q$6)=1,10%,0)</f>
        <v/>
      </c>
      <c r="R63" s="258">
        <f>IF(MONTH(R$6)=1,10%,0)</f>
        <v/>
      </c>
      <c r="S63" s="258">
        <f>IF(MONTH(S$6)=1,10%,0)</f>
        <v/>
      </c>
      <c r="T63" s="258">
        <f>IF(MONTH(T$6)=1,10%,0)</f>
        <v/>
      </c>
      <c r="U63" s="258">
        <f>IF(MONTH(U$6)=1,10%,0)</f>
        <v/>
      </c>
      <c r="V63" s="258">
        <f>IF(MONTH(V$6)=1,10%,0)</f>
        <v/>
      </c>
      <c r="W63" s="258">
        <f>IF(MONTH(W$6)=1,10%,0)</f>
        <v/>
      </c>
      <c r="X63" s="258">
        <f>IF(MONTH(X$6)=1,10%,0)</f>
        <v/>
      </c>
      <c r="Y63" s="258">
        <f>IF(MONTH(Y$6)=1,10%,0)</f>
        <v/>
      </c>
      <c r="Z63" s="258">
        <f>IF(MONTH(Z$6)=1,10%,0)</f>
        <v/>
      </c>
      <c r="AA63" s="258">
        <f>IF(MONTH(AA$6)=1,10%,0)</f>
        <v/>
      </c>
      <c r="AB63" s="258">
        <f>IF(MONTH(AB$6)=1,10%,0)</f>
        <v/>
      </c>
      <c r="AC63" s="258">
        <f>IF(MONTH(AC$6)=1,10%,0)</f>
        <v/>
      </c>
      <c r="AD63" s="258">
        <f>IF(MONTH(AD$6)=1,10%,0)</f>
        <v/>
      </c>
      <c r="AE63" s="258">
        <f>IF(MONTH(AE$6)=1,10%,0)</f>
        <v/>
      </c>
      <c r="AF63" s="258">
        <f>IF(MONTH(AF$6)=1,10%,0)</f>
        <v/>
      </c>
      <c r="AG63" s="258">
        <f>IF(MONTH(AG$6)=1,10%,0)</f>
        <v/>
      </c>
      <c r="AH63" s="258">
        <f>IF(MONTH(AH$6)=1,10%,0)</f>
        <v/>
      </c>
      <c r="AI63" s="258">
        <f>IF(MONTH(AI$6)=1,10%,0)</f>
        <v/>
      </c>
      <c r="AJ63" s="258">
        <f>IF(MONTH(AJ$6)=1,10%,0)</f>
        <v/>
      </c>
      <c r="AK63" s="258">
        <f>IF(MONTH(AK$6)=1,10%,0)</f>
        <v/>
      </c>
      <c r="AL63" s="258">
        <f>IF(MONTH(AL$6)=1,10%,0)</f>
        <v/>
      </c>
      <c r="AM63" s="258">
        <f>IF(MONTH(AM$6)=1,10%,0)</f>
        <v/>
      </c>
      <c r="AN63" s="258">
        <f>IF(MONTH(AN$6)=1,10%,0)</f>
        <v/>
      </c>
      <c r="AO63" s="258">
        <f>IF(MONTH(AO$6)=1,10%,0)</f>
        <v/>
      </c>
      <c r="AP63" s="258">
        <f>IF(MONTH(AP$6)=1,10%,0)</f>
        <v/>
      </c>
      <c r="AQ63" s="258">
        <f>IF(MONTH(AQ$6)=1,10%,0)</f>
        <v/>
      </c>
      <c r="AR63" s="258">
        <f>IF(MONTH(AR$6)=1,10%,0)</f>
        <v/>
      </c>
      <c r="AS63" s="258">
        <f>IF(MONTH(AS$6)=1,10%,0)</f>
        <v/>
      </c>
      <c r="AT63" s="258">
        <f>IF(MONTH(AT$6)=1,10%,0)</f>
        <v/>
      </c>
      <c r="AU63" s="258">
        <f>IF(MONTH(AU$6)=1,10%,0)</f>
        <v/>
      </c>
      <c r="AV63" s="258">
        <f>IF(MONTH(AV$6)=1,10%,0)</f>
        <v/>
      </c>
      <c r="AW63" s="258">
        <f>IF(MONTH(AW$6)=1,10%,0)</f>
        <v/>
      </c>
    </row>
    <row r="65">
      <c r="B65" s="22" t="inlineStr">
        <is>
          <t>Pre Operating Expenses</t>
        </is>
      </c>
      <c r="C65" s="422">
        <f>SUM(C66:C69)</f>
        <v/>
      </c>
    </row>
    <row r="66">
      <c r="B66" s="11" t="inlineStr">
        <is>
          <t>Expense 1</t>
        </is>
      </c>
      <c r="C66" s="368" t="n">
        <v>-50000</v>
      </c>
    </row>
    <row r="67">
      <c r="B67" s="11" t="inlineStr">
        <is>
          <t>Expense 2</t>
        </is>
      </c>
      <c r="C67" s="368" t="n">
        <v>0</v>
      </c>
    </row>
    <row r="68">
      <c r="B68" s="11" t="inlineStr">
        <is>
          <t>Expense 3</t>
        </is>
      </c>
      <c r="C68" s="368" t="n">
        <v>0</v>
      </c>
    </row>
    <row r="69">
      <c r="B69" s="11" t="inlineStr">
        <is>
          <t>Expense 4</t>
        </is>
      </c>
      <c r="C69" s="368" t="n">
        <v>0</v>
      </c>
    </row>
  </sheetData>
  <mergeCells count="6">
    <mergeCell ref="G5:G6"/>
    <mergeCell ref="E5:E6"/>
    <mergeCell ref="F5:F6"/>
    <mergeCell ref="D5:D6"/>
    <mergeCell ref="B5:B6"/>
    <mergeCell ref="C5:C6"/>
  </mergeCells>
  <pageMargins left="0.7" right="0.7" top="0.75" bottom="0.75" header="0.3" footer="0.3"/>
  <pageSetup orientation="portrait" scale="14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Y120"/>
  <sheetViews>
    <sheetView showGridLines="0" tabSelected="1" view="pageBreakPreview" zoomScaleNormal="10" zoomScaleSheetLayoutView="100" workbookViewId="0">
      <pane xSplit="3" ySplit="6" topLeftCell="D88" activePane="bottomRight" state="frozen"/>
      <selection pane="topRight" activeCell="D1" sqref="D1"/>
      <selection pane="bottomLeft" activeCell="A7" sqref="A7"/>
      <selection pane="bottomRight" activeCell="D102" sqref="D102"/>
    </sheetView>
  </sheetViews>
  <sheetFormatPr baseColWidth="10" defaultColWidth="12.5" defaultRowHeight="13"/>
  <cols>
    <col width="4" customWidth="1" style="1" min="1" max="1"/>
    <col width="35" bestFit="1" customWidth="1" style="1" min="2" max="2"/>
    <col width="12.5" customWidth="1" style="1" min="3" max="3"/>
    <col width="12.5" customWidth="1" style="1" min="4" max="7"/>
    <col width="6" customWidth="1" style="1" min="8" max="8"/>
    <col width="12.5" customWidth="1" style="1" min="9" max="16384"/>
  </cols>
  <sheetData>
    <row r="2">
      <c r="B2" s="2">
        <f>DCF!B2</f>
        <v/>
      </c>
    </row>
    <row r="3">
      <c r="B3" s="2" t="inlineStr">
        <is>
          <t>Manpower Expenses</t>
        </is>
      </c>
    </row>
    <row r="5">
      <c r="B5" s="305">
        <f t="array" ref="B5:B6">'Revenue Driver'!B5:B6</f>
        <v/>
      </c>
      <c r="C5" s="305" t="n"/>
      <c r="D5" s="295">
        <f t="array" ref="D5:D6">'Revenue Driver'!C5:C6</f>
        <v/>
      </c>
      <c r="E5" s="295">
        <f t="array" ref="E5:E6">'Revenue Driver'!D5:D6</f>
        <v/>
      </c>
      <c r="F5" s="295">
        <f t="array" ref="F5:F6">'Revenue Driver'!E5:E6</f>
        <v/>
      </c>
      <c r="G5" s="295">
        <f t="array" ref="G5:G6">'Revenue Driver'!F5:F6</f>
        <v/>
      </c>
      <c r="H5" s="261" t="n"/>
      <c r="I5" s="7">
        <f t="array" ref="I5:I6">'Revenue Driver'!H5:H6</f>
        <v/>
      </c>
      <c r="J5" s="7">
        <f t="array" ref="J5:J6">'Revenue Driver'!I5:I6</f>
        <v/>
      </c>
      <c r="K5" s="7">
        <f t="array" ref="K5:K6">'Revenue Driver'!J5:J6</f>
        <v/>
      </c>
      <c r="L5" s="7">
        <f t="array" ref="L5:L6">'Revenue Driver'!K5:K6</f>
        <v/>
      </c>
      <c r="M5" s="7">
        <f t="array" ref="M5:M6">'Revenue Driver'!L5:L6</f>
        <v/>
      </c>
      <c r="N5" s="7">
        <f t="array" ref="N5:N6">'Revenue Driver'!M5:M6</f>
        <v/>
      </c>
      <c r="O5" s="7">
        <f t="array" ref="O5:O6">'Revenue Driver'!N5:N6</f>
        <v/>
      </c>
      <c r="P5" s="7">
        <f t="array" ref="P5:P6">'Revenue Driver'!O5:O6</f>
        <v/>
      </c>
      <c r="Q5" s="7">
        <f t="array" ref="Q5:Q6">'Revenue Driver'!P5:P6</f>
        <v/>
      </c>
      <c r="R5" s="7">
        <f t="array" ref="R5:R6">'Revenue Driver'!Q5:Q6</f>
        <v/>
      </c>
      <c r="S5" s="7">
        <f t="array" ref="S5:S6">'Revenue Driver'!R5:R6</f>
        <v/>
      </c>
      <c r="T5" s="7">
        <f t="array" ref="T5:T6">'Revenue Driver'!S5:S6</f>
        <v/>
      </c>
      <c r="U5" s="7">
        <f t="array" ref="U5:U6">'Revenue Driver'!T5:T6</f>
        <v/>
      </c>
      <c r="V5" s="7">
        <f t="array" ref="V5:V6">'Revenue Driver'!U5:U6</f>
        <v/>
      </c>
      <c r="W5" s="7">
        <f t="array" ref="W5:W6">'Revenue Driver'!V5:V6</f>
        <v/>
      </c>
      <c r="X5" s="7">
        <f t="array" ref="X5:X6">'Revenue Driver'!W5:W6</f>
        <v/>
      </c>
      <c r="Y5" s="7">
        <f t="array" ref="Y5:Y6">'Revenue Driver'!X5:X6</f>
        <v/>
      </c>
      <c r="Z5" s="7">
        <f t="array" ref="Z5:Z6">'Revenue Driver'!Y5:Y6</f>
        <v/>
      </c>
      <c r="AA5" s="7">
        <f t="array" ref="AA5:AA6">'Revenue Driver'!Z5:Z6</f>
        <v/>
      </c>
      <c r="AB5" s="7">
        <f t="array" ref="AB5:AB6">'Revenue Driver'!AA5:AA6</f>
        <v/>
      </c>
      <c r="AC5" s="7">
        <f t="array" ref="AC5:AC6">'Revenue Driver'!AB5:AB6</f>
        <v/>
      </c>
      <c r="AD5" s="7">
        <f t="array" ref="AD5:AD6">'Revenue Driver'!AC5:AC6</f>
        <v/>
      </c>
      <c r="AE5" s="7">
        <f t="array" ref="AE5:AE6">'Revenue Driver'!AD5:AD6</f>
        <v/>
      </c>
      <c r="AF5" s="7">
        <f t="array" ref="AF5:AF6">'Revenue Driver'!AE5:AE6</f>
        <v/>
      </c>
      <c r="AG5" s="7">
        <f t="array" ref="AG5:AG6">'Revenue Driver'!AF5:AF6</f>
        <v/>
      </c>
      <c r="AH5" s="7">
        <f t="array" ref="AH5:AH6">'Revenue Driver'!AG5:AG6</f>
        <v/>
      </c>
      <c r="AI5" s="7">
        <f t="array" ref="AI5:AI6">'Revenue Driver'!AH5:AH6</f>
        <v/>
      </c>
      <c r="AJ5" s="7">
        <f t="array" ref="AJ5:AJ6">'Revenue Driver'!AI5:AI6</f>
        <v/>
      </c>
      <c r="AK5" s="7">
        <f t="array" ref="AK5:AK6">'Revenue Driver'!AJ5:AJ6</f>
        <v/>
      </c>
      <c r="AL5" s="7">
        <f t="array" ref="AL5:AL6">'Revenue Driver'!AK5:AK6</f>
        <v/>
      </c>
      <c r="AM5" s="7">
        <f t="array" ref="AM5:AM6">'Revenue Driver'!AL5:AL6</f>
        <v/>
      </c>
      <c r="AN5" s="7">
        <f t="array" ref="AN5:AN6">'Revenue Driver'!AM5:AM6</f>
        <v/>
      </c>
      <c r="AO5" s="7">
        <f t="array" ref="AO5:AO6">'Revenue Driver'!AN5:AN6</f>
        <v/>
      </c>
      <c r="AP5" s="7">
        <f t="array" ref="AP5:AP6">'Revenue Driver'!AO5:AO6</f>
        <v/>
      </c>
      <c r="AQ5" s="7">
        <f t="array" ref="AQ5:AQ6">'Revenue Driver'!AP5:AP6</f>
        <v/>
      </c>
      <c r="AR5" s="7">
        <f t="array" ref="AR5:AR6">'Revenue Driver'!AQ5:AQ6</f>
        <v/>
      </c>
      <c r="AS5" s="7">
        <f t="array" ref="AS5:AS6">'Revenue Driver'!AR5:AR6</f>
        <v/>
      </c>
      <c r="AT5" s="7">
        <f t="array" ref="AT5:AT6">'Revenue Driver'!AS5:AS6</f>
        <v/>
      </c>
      <c r="AU5" s="7">
        <f t="array" ref="AU5:AU6">'Revenue Driver'!AT5:AT6</f>
        <v/>
      </c>
      <c r="AV5" s="7">
        <f t="array" ref="AV5:AV6">'Revenue Driver'!AU5:AU6</f>
        <v/>
      </c>
      <c r="AW5" s="7">
        <f t="array" ref="AW5:AW6">'Revenue Driver'!AV5:AV6</f>
        <v/>
      </c>
      <c r="AX5" s="7">
        <f t="array" ref="AX5:AX6">'Revenue Driver'!AW5:AW6</f>
        <v/>
      </c>
    </row>
    <row r="6">
      <c r="H6" s="262" t="n"/>
      <c r="I6" s="8" t="n">
        <v>45497</v>
      </c>
      <c r="J6" s="8" t="n">
        <v>45535</v>
      </c>
      <c r="K6" s="8" t="n">
        <v>45565</v>
      </c>
      <c r="L6" s="8" t="n">
        <v>45596</v>
      </c>
      <c r="M6" s="8" t="n">
        <v>45626</v>
      </c>
      <c r="N6" s="8" t="n">
        <v>45657</v>
      </c>
      <c r="O6" s="8" t="n">
        <v>45688</v>
      </c>
      <c r="P6" s="8" t="n">
        <v>45716</v>
      </c>
      <c r="Q6" s="8" t="n">
        <v>45747</v>
      </c>
      <c r="R6" s="8" t="n">
        <v>45777</v>
      </c>
      <c r="S6" s="8" t="n">
        <v>45808</v>
      </c>
      <c r="T6" s="8" t="n">
        <v>45838</v>
      </c>
      <c r="U6" s="8" t="n">
        <v>45869</v>
      </c>
      <c r="V6" s="8" t="n">
        <v>45900</v>
      </c>
      <c r="W6" s="8" t="n">
        <v>45930</v>
      </c>
      <c r="X6" s="8" t="n">
        <v>45961</v>
      </c>
      <c r="Y6" s="8" t="n">
        <v>45991</v>
      </c>
      <c r="Z6" s="8" t="n">
        <v>46022</v>
      </c>
      <c r="AA6" s="8" t="n">
        <v>46053</v>
      </c>
      <c r="AB6" s="8" t="n">
        <v>46081</v>
      </c>
      <c r="AC6" s="8" t="n">
        <v>46112</v>
      </c>
      <c r="AD6" s="8" t="n">
        <v>46142</v>
      </c>
      <c r="AE6" s="8" t="n">
        <v>46173</v>
      </c>
      <c r="AF6" s="8" t="n">
        <v>46203</v>
      </c>
      <c r="AG6" s="8" t="n">
        <v>46234</v>
      </c>
      <c r="AH6" s="8" t="n">
        <v>46265</v>
      </c>
      <c r="AI6" s="8" t="n">
        <v>46295</v>
      </c>
      <c r="AJ6" s="8" t="n">
        <v>46326</v>
      </c>
      <c r="AK6" s="8" t="n">
        <v>46356</v>
      </c>
      <c r="AL6" s="8" t="n">
        <v>46387</v>
      </c>
      <c r="AM6" s="8" t="n">
        <v>46418</v>
      </c>
      <c r="AN6" s="8" t="n">
        <v>46446</v>
      </c>
      <c r="AO6" s="8" t="n">
        <v>46477</v>
      </c>
      <c r="AP6" s="8" t="n">
        <v>46507</v>
      </c>
      <c r="AQ6" s="8" t="n">
        <v>46538</v>
      </c>
      <c r="AR6" s="8" t="n">
        <v>46568</v>
      </c>
      <c r="AS6" s="8" t="n">
        <v>46599</v>
      </c>
      <c r="AT6" s="8" t="n">
        <v>46630</v>
      </c>
      <c r="AU6" s="8" t="n">
        <v>46660</v>
      </c>
      <c r="AV6" s="8" t="n">
        <v>46691</v>
      </c>
      <c r="AW6" s="8" t="n">
        <v>46721</v>
      </c>
      <c r="AX6" s="8" t="n">
        <v>46752</v>
      </c>
    </row>
    <row r="8">
      <c r="B8" s="263" t="inlineStr">
        <is>
          <t>Positions</t>
        </is>
      </c>
      <c r="C8" s="299" t="inlineStr">
        <is>
          <t>Additions</t>
        </is>
      </c>
    </row>
    <row r="9">
      <c r="B9" s="1" t="inlineStr">
        <is>
          <t>Product Owner</t>
        </is>
      </c>
      <c r="C9" s="207" t="inlineStr">
        <is>
          <t>Numbers</t>
        </is>
      </c>
      <c r="D9" s="252">
        <f>SUMIF($I$5:$AX$5,D$5,$I9:$AX9)</f>
        <v/>
      </c>
      <c r="E9" s="252">
        <f>SUMIF($I$5:$AX$5,E$5,$I9:$AX9)</f>
        <v/>
      </c>
      <c r="F9" s="252">
        <f>SUMIF($I$5:$AX$5,F$5,$I9:$AX9)</f>
        <v/>
      </c>
      <c r="G9" s="252">
        <f>SUMIF($I$5:$AX$5,G$5,$I9:$AX9)</f>
        <v/>
      </c>
      <c r="H9" s="252" t="n"/>
      <c r="I9" s="264" t="n">
        <v>1</v>
      </c>
      <c r="J9" s="264" t="n">
        <v>0</v>
      </c>
      <c r="K9" s="264" t="n">
        <v>0</v>
      </c>
      <c r="L9" s="264" t="n">
        <v>0</v>
      </c>
      <c r="M9" s="264" t="n">
        <v>0</v>
      </c>
      <c r="N9" s="264" t="n">
        <v>0</v>
      </c>
      <c r="O9" s="264" t="n"/>
      <c r="P9" s="264" t="n">
        <v>0</v>
      </c>
      <c r="Q9" s="264" t="n">
        <v>0</v>
      </c>
      <c r="R9" s="264" t="n">
        <v>0</v>
      </c>
      <c r="S9" s="264" t="n">
        <v>0</v>
      </c>
      <c r="T9" s="264" t="n">
        <v>0</v>
      </c>
      <c r="U9" s="264" t="n">
        <v>0</v>
      </c>
      <c r="V9" s="264" t="n">
        <v>0</v>
      </c>
      <c r="W9" s="264" t="n">
        <v>0</v>
      </c>
      <c r="X9" s="264" t="n">
        <v>0</v>
      </c>
      <c r="Y9" s="264" t="n">
        <v>0</v>
      </c>
      <c r="Z9" s="264" t="n">
        <v>0</v>
      </c>
      <c r="AA9" s="264" t="n">
        <v>1</v>
      </c>
      <c r="AB9" s="264" t="n">
        <v>0</v>
      </c>
      <c r="AC9" s="264" t="n">
        <v>0</v>
      </c>
      <c r="AD9" s="264" t="n">
        <v>0</v>
      </c>
      <c r="AE9" s="264" t="n">
        <v>0</v>
      </c>
      <c r="AF9" s="264" t="n">
        <v>0</v>
      </c>
      <c r="AG9" s="264" t="n">
        <v>0</v>
      </c>
      <c r="AH9" s="264" t="n">
        <v>0</v>
      </c>
      <c r="AI9" s="264" t="n">
        <v>0</v>
      </c>
      <c r="AJ9" s="264" t="n">
        <v>0</v>
      </c>
      <c r="AK9" s="264" t="n">
        <v>0</v>
      </c>
      <c r="AL9" s="264" t="n">
        <v>0</v>
      </c>
      <c r="AM9" s="264" t="n">
        <v>1</v>
      </c>
      <c r="AN9" s="264" t="n">
        <v>0</v>
      </c>
      <c r="AO9" s="264" t="n">
        <v>0</v>
      </c>
      <c r="AP9" s="264" t="n">
        <v>0</v>
      </c>
      <c r="AQ9" s="264" t="n">
        <v>0</v>
      </c>
      <c r="AR9" s="264" t="n">
        <v>0</v>
      </c>
      <c r="AS9" s="264" t="n">
        <v>0</v>
      </c>
      <c r="AT9" s="264" t="n">
        <v>0</v>
      </c>
      <c r="AU9" s="264" t="n">
        <v>0</v>
      </c>
      <c r="AV9" s="264" t="n">
        <v>0</v>
      </c>
      <c r="AW9" s="264" t="n">
        <v>0</v>
      </c>
      <c r="AX9" s="264" t="n">
        <v>0</v>
      </c>
      <c r="AY9" s="19" t="n"/>
    </row>
    <row r="10">
      <c r="B10" s="1" t="inlineStr">
        <is>
          <t>Techno Business Analyst</t>
        </is>
      </c>
      <c r="C10" s="207" t="inlineStr">
        <is>
          <t>Numbers</t>
        </is>
      </c>
      <c r="D10" s="252">
        <f>SUMIF($I$5:$AX$5,D$5,$I10:$AX10)</f>
        <v/>
      </c>
      <c r="E10" s="252">
        <f>SUMIF($I$5:$AX$5,E$5,$I10:$AX10)</f>
        <v/>
      </c>
      <c r="F10" s="252">
        <f>SUMIF($I$5:$AX$5,F$5,$I10:$AX10)</f>
        <v/>
      </c>
      <c r="G10" s="252">
        <f>SUMIF($I$5:$AX$5,G$5,$I10:$AX10)</f>
        <v/>
      </c>
      <c r="H10" s="252" t="n"/>
      <c r="I10" s="264" t="n">
        <v>1</v>
      </c>
      <c r="J10" s="264" t="n">
        <v>0</v>
      </c>
      <c r="K10" s="264" t="n">
        <v>0</v>
      </c>
      <c r="L10" s="264" t="n">
        <v>0</v>
      </c>
      <c r="M10" s="264" t="n">
        <v>0</v>
      </c>
      <c r="N10" s="264" t="n">
        <v>0</v>
      </c>
      <c r="O10" s="264" t="n"/>
      <c r="P10" s="264" t="n">
        <v>0</v>
      </c>
      <c r="Q10" s="264" t="n">
        <v>0</v>
      </c>
      <c r="R10" s="264" t="n">
        <v>0</v>
      </c>
      <c r="S10" s="264" t="n">
        <v>0</v>
      </c>
      <c r="T10" s="264" t="n">
        <v>0</v>
      </c>
      <c r="U10" s="264" t="n">
        <v>0</v>
      </c>
      <c r="V10" s="264" t="n">
        <v>0</v>
      </c>
      <c r="W10" s="264" t="n">
        <v>0</v>
      </c>
      <c r="X10" s="264" t="n">
        <v>0</v>
      </c>
      <c r="Y10" s="264" t="n">
        <v>0</v>
      </c>
      <c r="Z10" s="264" t="n">
        <v>0</v>
      </c>
      <c r="AA10" s="264" t="n">
        <v>1</v>
      </c>
      <c r="AB10" s="264" t="n">
        <v>0</v>
      </c>
      <c r="AC10" s="264" t="n">
        <v>0</v>
      </c>
      <c r="AD10" s="264" t="n">
        <v>0</v>
      </c>
      <c r="AE10" s="264" t="n">
        <v>0</v>
      </c>
      <c r="AF10" s="264" t="n">
        <v>0</v>
      </c>
      <c r="AG10" s="264" t="n">
        <v>0</v>
      </c>
      <c r="AH10" s="264" t="n">
        <v>0</v>
      </c>
      <c r="AI10" s="264" t="n">
        <v>0</v>
      </c>
      <c r="AJ10" s="264" t="n">
        <v>0</v>
      </c>
      <c r="AK10" s="264" t="n">
        <v>0</v>
      </c>
      <c r="AL10" s="264" t="n">
        <v>0</v>
      </c>
      <c r="AM10" s="264" t="n">
        <v>1</v>
      </c>
      <c r="AN10" s="264" t="n">
        <v>0</v>
      </c>
      <c r="AO10" s="264" t="n">
        <v>0</v>
      </c>
      <c r="AP10" s="264" t="n">
        <v>0</v>
      </c>
      <c r="AQ10" s="264" t="n">
        <v>0</v>
      </c>
      <c r="AR10" s="264" t="n">
        <v>0</v>
      </c>
      <c r="AS10" s="264" t="n">
        <v>0</v>
      </c>
      <c r="AT10" s="264" t="n">
        <v>0</v>
      </c>
      <c r="AU10" s="264" t="n">
        <v>0</v>
      </c>
      <c r="AV10" s="264" t="n">
        <v>0</v>
      </c>
      <c r="AW10" s="264" t="n">
        <v>0</v>
      </c>
      <c r="AX10" s="264" t="n">
        <v>0</v>
      </c>
      <c r="AY10" s="19" t="n"/>
    </row>
    <row r="11">
      <c r="B11" s="1" t="inlineStr">
        <is>
          <t>Product Designer</t>
        </is>
      </c>
      <c r="C11" s="207" t="inlineStr">
        <is>
          <t>Numbers</t>
        </is>
      </c>
      <c r="D11" s="252">
        <f>SUMIF($I$5:$AX$5,D$5,$I11:$AX11)</f>
        <v/>
      </c>
      <c r="E11" s="252">
        <f>SUMIF($I$5:$AX$5,E$5,$I11:$AX11)</f>
        <v/>
      </c>
      <c r="F11" s="252">
        <f>SUMIF($I$5:$AX$5,F$5,$I11:$AX11)</f>
        <v/>
      </c>
      <c r="G11" s="252">
        <f>SUMIF($I$5:$AX$5,G$5,$I11:$AX11)</f>
        <v/>
      </c>
      <c r="H11" s="252" t="n"/>
      <c r="I11" s="264" t="n">
        <v>1</v>
      </c>
      <c r="J11" s="264" t="n">
        <v>0</v>
      </c>
      <c r="K11" s="264" t="n">
        <v>0</v>
      </c>
      <c r="L11" s="264" t="n">
        <v>0</v>
      </c>
      <c r="M11" s="264" t="n">
        <v>0</v>
      </c>
      <c r="N11" s="264" t="n">
        <v>0</v>
      </c>
      <c r="O11" s="264" t="n"/>
      <c r="P11" s="264" t="n">
        <v>0</v>
      </c>
      <c r="Q11" s="264" t="n">
        <v>0</v>
      </c>
      <c r="R11" s="264" t="n">
        <v>0</v>
      </c>
      <c r="S11" s="264" t="n">
        <v>0</v>
      </c>
      <c r="T11" s="264" t="n">
        <v>0</v>
      </c>
      <c r="U11" s="264" t="n">
        <v>0</v>
      </c>
      <c r="V11" s="264" t="n">
        <v>0</v>
      </c>
      <c r="W11" s="264" t="n">
        <v>0</v>
      </c>
      <c r="X11" s="264" t="n">
        <v>0</v>
      </c>
      <c r="Y11" s="264" t="n">
        <v>0</v>
      </c>
      <c r="Z11" s="264" t="n">
        <v>0</v>
      </c>
      <c r="AA11" s="264" t="n">
        <v>1</v>
      </c>
      <c r="AB11" s="264" t="n">
        <v>0</v>
      </c>
      <c r="AC11" s="264" t="n">
        <v>0</v>
      </c>
      <c r="AD11" s="264" t="n">
        <v>0</v>
      </c>
      <c r="AE11" s="264" t="n">
        <v>0</v>
      </c>
      <c r="AF11" s="264" t="n">
        <v>0</v>
      </c>
      <c r="AG11" s="264" t="n">
        <v>0</v>
      </c>
      <c r="AH11" s="264" t="n">
        <v>0</v>
      </c>
      <c r="AI11" s="264" t="n">
        <v>0</v>
      </c>
      <c r="AJ11" s="264" t="n">
        <v>0</v>
      </c>
      <c r="AK11" s="264" t="n">
        <v>0</v>
      </c>
      <c r="AL11" s="264" t="n">
        <v>0</v>
      </c>
      <c r="AM11" s="264" t="n">
        <v>1</v>
      </c>
      <c r="AN11" s="264" t="n">
        <v>0</v>
      </c>
      <c r="AO11" s="264" t="n">
        <v>0</v>
      </c>
      <c r="AP11" s="264" t="n">
        <v>0</v>
      </c>
      <c r="AQ11" s="264" t="n">
        <v>0</v>
      </c>
      <c r="AR11" s="264" t="n">
        <v>0</v>
      </c>
      <c r="AS11" s="264" t="n">
        <v>0</v>
      </c>
      <c r="AT11" s="264" t="n">
        <v>0</v>
      </c>
      <c r="AU11" s="264" t="n">
        <v>0</v>
      </c>
      <c r="AV11" s="264" t="n">
        <v>0</v>
      </c>
      <c r="AW11" s="264" t="n">
        <v>0</v>
      </c>
      <c r="AX11" s="264" t="n">
        <v>0</v>
      </c>
      <c r="AY11" s="19" t="n"/>
    </row>
    <row r="12">
      <c r="B12" s="1" t="inlineStr">
        <is>
          <t>CTO / Head of Architecture</t>
        </is>
      </c>
      <c r="C12" s="207" t="inlineStr">
        <is>
          <t>Numbers</t>
        </is>
      </c>
      <c r="D12" s="252">
        <f>SUMIF($I$5:$AX$5,D$5,$I12:$AX12)</f>
        <v/>
      </c>
      <c r="E12" s="252">
        <f>SUMIF($I$5:$AX$5,E$5,$I12:$AX12)</f>
        <v/>
      </c>
      <c r="F12" s="252">
        <f>SUMIF($I$5:$AX$5,F$5,$I12:$AX12)</f>
        <v/>
      </c>
      <c r="G12" s="252">
        <f>SUMIF($I$5:$AX$5,G$5,$I12:$AX12)</f>
        <v/>
      </c>
      <c r="H12" s="252" t="n"/>
      <c r="I12" s="264" t="n">
        <v>1</v>
      </c>
      <c r="J12" s="264" t="n">
        <v>0</v>
      </c>
      <c r="K12" s="264" t="n">
        <v>0</v>
      </c>
      <c r="L12" s="264" t="n">
        <v>0</v>
      </c>
      <c r="M12" s="264" t="n">
        <v>0</v>
      </c>
      <c r="N12" s="264" t="n">
        <v>0</v>
      </c>
      <c r="O12" s="264" t="n"/>
      <c r="P12" s="264" t="n">
        <v>0</v>
      </c>
      <c r="Q12" s="264" t="n">
        <v>0</v>
      </c>
      <c r="R12" s="264" t="n">
        <v>0</v>
      </c>
      <c r="S12" s="264" t="n">
        <v>0</v>
      </c>
      <c r="T12" s="264" t="n">
        <v>0</v>
      </c>
      <c r="U12" s="264" t="n">
        <v>0</v>
      </c>
      <c r="V12" s="264" t="n">
        <v>0</v>
      </c>
      <c r="W12" s="264" t="n">
        <v>0</v>
      </c>
      <c r="X12" s="264" t="n">
        <v>0</v>
      </c>
      <c r="Y12" s="264" t="n">
        <v>0</v>
      </c>
      <c r="Z12" s="264" t="n">
        <v>0</v>
      </c>
      <c r="AA12" s="264" t="n">
        <v>1</v>
      </c>
      <c r="AB12" s="264" t="n">
        <v>0</v>
      </c>
      <c r="AC12" s="264" t="n">
        <v>0</v>
      </c>
      <c r="AD12" s="264" t="n">
        <v>0</v>
      </c>
      <c r="AE12" s="264" t="n">
        <v>0</v>
      </c>
      <c r="AF12" s="264" t="n">
        <v>0</v>
      </c>
      <c r="AG12" s="264" t="n">
        <v>0</v>
      </c>
      <c r="AH12" s="264" t="n">
        <v>0</v>
      </c>
      <c r="AI12" s="264" t="n">
        <v>0</v>
      </c>
      <c r="AJ12" s="264" t="n">
        <v>0</v>
      </c>
      <c r="AK12" s="264" t="n">
        <v>0</v>
      </c>
      <c r="AL12" s="264" t="n">
        <v>0</v>
      </c>
      <c r="AM12" s="264" t="n">
        <v>1</v>
      </c>
      <c r="AN12" s="264" t="n">
        <v>0</v>
      </c>
      <c r="AO12" s="264" t="n">
        <v>0</v>
      </c>
      <c r="AP12" s="264" t="n">
        <v>0</v>
      </c>
      <c r="AQ12" s="264" t="n">
        <v>0</v>
      </c>
      <c r="AR12" s="264" t="n">
        <v>0</v>
      </c>
      <c r="AS12" s="264" t="n">
        <v>0</v>
      </c>
      <c r="AT12" s="264" t="n">
        <v>0</v>
      </c>
      <c r="AU12" s="264" t="n">
        <v>0</v>
      </c>
      <c r="AV12" s="264" t="n">
        <v>0</v>
      </c>
      <c r="AW12" s="264" t="n">
        <v>0</v>
      </c>
      <c r="AX12" s="264" t="n">
        <v>0</v>
      </c>
      <c r="AY12" s="19" t="n"/>
    </row>
    <row r="13">
      <c r="B13" s="1" t="inlineStr">
        <is>
          <t>Accountant</t>
        </is>
      </c>
      <c r="C13" s="207" t="inlineStr">
        <is>
          <t>Numbers</t>
        </is>
      </c>
      <c r="D13" s="252">
        <f>SUMIF($I$5:$AX$5,D$5,$I13:$AX13)</f>
        <v/>
      </c>
      <c r="E13" s="252">
        <f>SUMIF($I$5:$AX$5,E$5,$I13:$AX13)</f>
        <v/>
      </c>
      <c r="F13" s="252">
        <f>SUMIF($I$5:$AX$5,F$5,$I13:$AX13)</f>
        <v/>
      </c>
      <c r="G13" s="252">
        <f>SUMIF($I$5:$AX$5,G$5,$I13:$AX13)</f>
        <v/>
      </c>
      <c r="H13" s="252" t="n"/>
      <c r="I13" s="264" t="n">
        <v>1</v>
      </c>
      <c r="J13" s="264" t="n">
        <v>0</v>
      </c>
      <c r="K13" s="264" t="n">
        <v>0</v>
      </c>
      <c r="L13" s="264" t="n">
        <v>0</v>
      </c>
      <c r="M13" s="264" t="n">
        <v>0</v>
      </c>
      <c r="N13" s="264" t="n">
        <v>0</v>
      </c>
      <c r="O13" s="264" t="n"/>
      <c r="P13" s="264" t="n">
        <v>0</v>
      </c>
      <c r="Q13" s="264" t="n">
        <v>0</v>
      </c>
      <c r="R13" s="264" t="n">
        <v>0</v>
      </c>
      <c r="S13" s="264" t="n">
        <v>0</v>
      </c>
      <c r="T13" s="264" t="n">
        <v>0</v>
      </c>
      <c r="U13" s="264" t="n">
        <v>0</v>
      </c>
      <c r="V13" s="264" t="n">
        <v>0</v>
      </c>
      <c r="W13" s="264" t="n">
        <v>0</v>
      </c>
      <c r="X13" s="264" t="n">
        <v>0</v>
      </c>
      <c r="Y13" s="264" t="n">
        <v>0</v>
      </c>
      <c r="Z13" s="264" t="n">
        <v>0</v>
      </c>
      <c r="AA13" s="264" t="n">
        <v>1</v>
      </c>
      <c r="AB13" s="264" t="n">
        <v>0</v>
      </c>
      <c r="AC13" s="264" t="n">
        <v>0</v>
      </c>
      <c r="AD13" s="264" t="n">
        <v>0</v>
      </c>
      <c r="AE13" s="264" t="n">
        <v>0</v>
      </c>
      <c r="AF13" s="264" t="n">
        <v>0</v>
      </c>
      <c r="AG13" s="264" t="n">
        <v>0</v>
      </c>
      <c r="AH13" s="264" t="n">
        <v>0</v>
      </c>
      <c r="AI13" s="264" t="n">
        <v>0</v>
      </c>
      <c r="AJ13" s="264" t="n">
        <v>0</v>
      </c>
      <c r="AK13" s="264" t="n">
        <v>0</v>
      </c>
      <c r="AL13" s="264" t="n">
        <v>0</v>
      </c>
      <c r="AM13" s="264" t="n">
        <v>1</v>
      </c>
      <c r="AN13" s="264" t="n">
        <v>0</v>
      </c>
      <c r="AO13" s="264" t="n">
        <v>0</v>
      </c>
      <c r="AP13" s="264" t="n">
        <v>0</v>
      </c>
      <c r="AQ13" s="264" t="n">
        <v>0</v>
      </c>
      <c r="AR13" s="264" t="n">
        <v>0</v>
      </c>
      <c r="AS13" s="264" t="n">
        <v>0</v>
      </c>
      <c r="AT13" s="264" t="n">
        <v>0</v>
      </c>
      <c r="AU13" s="264" t="n">
        <v>0</v>
      </c>
      <c r="AV13" s="264" t="n">
        <v>0</v>
      </c>
      <c r="AW13" s="264" t="n">
        <v>0</v>
      </c>
      <c r="AX13" s="264" t="n">
        <v>0</v>
      </c>
      <c r="AY13" s="19" t="n"/>
    </row>
    <row r="14">
      <c r="B14" s="1" t="inlineStr">
        <is>
          <t>Head of Finance</t>
        </is>
      </c>
      <c r="C14" s="207" t="inlineStr">
        <is>
          <t>Numbers</t>
        </is>
      </c>
      <c r="D14" s="252">
        <f>SUMIF($I$5:$AX$5,D$5,$I14:$AX14)</f>
        <v/>
      </c>
      <c r="E14" s="252">
        <f>SUMIF($I$5:$AX$5,E$5,$I14:$AX14)</f>
        <v/>
      </c>
      <c r="F14" s="252">
        <f>SUMIF($I$5:$AX$5,F$5,$I14:$AX14)</f>
        <v/>
      </c>
      <c r="G14" s="252">
        <f>SUMIF($I$5:$AX$5,G$5,$I14:$AX14)</f>
        <v/>
      </c>
      <c r="H14" s="252" t="n"/>
      <c r="I14" s="264" t="n">
        <v>0</v>
      </c>
      <c r="J14" s="264" t="n">
        <v>0</v>
      </c>
      <c r="K14" s="264" t="n">
        <v>0</v>
      </c>
      <c r="L14" s="264" t="n">
        <v>0</v>
      </c>
      <c r="M14" s="264" t="n">
        <v>0</v>
      </c>
      <c r="N14" s="264" t="n">
        <v>0</v>
      </c>
      <c r="O14" s="264" t="n">
        <v>1</v>
      </c>
      <c r="P14" s="264" t="n">
        <v>0</v>
      </c>
      <c r="Q14" s="264" t="n">
        <v>0</v>
      </c>
      <c r="R14" s="264" t="n">
        <v>0</v>
      </c>
      <c r="S14" s="264" t="n">
        <v>0</v>
      </c>
      <c r="T14" s="264" t="n">
        <v>0</v>
      </c>
      <c r="U14" s="264" t="n">
        <v>0</v>
      </c>
      <c r="V14" s="264" t="n">
        <v>0</v>
      </c>
      <c r="W14" s="264" t="n">
        <v>0</v>
      </c>
      <c r="X14" s="264" t="n">
        <v>0</v>
      </c>
      <c r="Y14" s="264" t="n">
        <v>0</v>
      </c>
      <c r="Z14" s="264" t="n">
        <v>0</v>
      </c>
      <c r="AA14" s="264" t="n">
        <v>1</v>
      </c>
      <c r="AB14" s="264" t="n">
        <v>0</v>
      </c>
      <c r="AC14" s="264" t="n">
        <v>0</v>
      </c>
      <c r="AD14" s="264" t="n">
        <v>0</v>
      </c>
      <c r="AE14" s="264" t="n">
        <v>0</v>
      </c>
      <c r="AF14" s="264" t="n">
        <v>0</v>
      </c>
      <c r="AG14" s="264" t="n">
        <v>0</v>
      </c>
      <c r="AH14" s="264" t="n">
        <v>0</v>
      </c>
      <c r="AI14" s="264" t="n">
        <v>0</v>
      </c>
      <c r="AJ14" s="264" t="n">
        <v>0</v>
      </c>
      <c r="AK14" s="264" t="n">
        <v>0</v>
      </c>
      <c r="AL14" s="264" t="n">
        <v>0</v>
      </c>
      <c r="AM14" s="264" t="n">
        <v>1</v>
      </c>
      <c r="AN14" s="264" t="n">
        <v>0</v>
      </c>
      <c r="AO14" s="264" t="n">
        <v>0</v>
      </c>
      <c r="AP14" s="264" t="n">
        <v>0</v>
      </c>
      <c r="AQ14" s="264" t="n">
        <v>0</v>
      </c>
      <c r="AR14" s="264" t="n">
        <v>0</v>
      </c>
      <c r="AS14" s="264" t="n">
        <v>0</v>
      </c>
      <c r="AT14" s="264" t="n">
        <v>0</v>
      </c>
      <c r="AU14" s="264" t="n">
        <v>0</v>
      </c>
      <c r="AV14" s="264" t="n">
        <v>0</v>
      </c>
      <c r="AW14" s="264" t="n">
        <v>0</v>
      </c>
      <c r="AX14" s="264" t="n">
        <v>0</v>
      </c>
      <c r="AY14" s="19" t="n"/>
    </row>
    <row r="15">
      <c r="B15" s="1" t="inlineStr">
        <is>
          <t>Head of Fintech &amp; Payments Operations</t>
        </is>
      </c>
      <c r="C15" s="207" t="inlineStr">
        <is>
          <t>Numbers</t>
        </is>
      </c>
      <c r="D15" s="252">
        <f>SUMIF($I$5:$AX$5,D$5,$I15:$AX15)</f>
        <v/>
      </c>
      <c r="E15" s="252">
        <f>SUMIF($I$5:$AX$5,E$5,$I15:$AX15)</f>
        <v/>
      </c>
      <c r="F15" s="252">
        <f>SUMIF($I$5:$AX$5,F$5,$I15:$AX15)</f>
        <v/>
      </c>
      <c r="G15" s="252">
        <f>SUMIF($I$5:$AX$5,G$5,$I15:$AX15)</f>
        <v/>
      </c>
      <c r="H15" s="252" t="n"/>
      <c r="I15" s="264" t="n">
        <v>0</v>
      </c>
      <c r="J15" s="264" t="n">
        <v>0</v>
      </c>
      <c r="K15" s="264" t="n">
        <v>0</v>
      </c>
      <c r="L15" s="264" t="n">
        <v>0</v>
      </c>
      <c r="M15" s="264" t="n">
        <v>0</v>
      </c>
      <c r="N15" s="264" t="n">
        <v>0</v>
      </c>
      <c r="O15" s="264" t="n">
        <v>1</v>
      </c>
      <c r="P15" s="264" t="n">
        <v>0</v>
      </c>
      <c r="Q15" s="264" t="n">
        <v>0</v>
      </c>
      <c r="R15" s="264" t="n">
        <v>0</v>
      </c>
      <c r="S15" s="264" t="n">
        <v>0</v>
      </c>
      <c r="T15" s="264" t="n">
        <v>0</v>
      </c>
      <c r="U15" s="264" t="n">
        <v>0</v>
      </c>
      <c r="V15" s="264" t="n">
        <v>0</v>
      </c>
      <c r="W15" s="264" t="n">
        <v>0</v>
      </c>
      <c r="X15" s="264" t="n">
        <v>0</v>
      </c>
      <c r="Y15" s="264" t="n">
        <v>0</v>
      </c>
      <c r="Z15" s="264" t="n">
        <v>0</v>
      </c>
      <c r="AA15" s="264" t="n">
        <v>1</v>
      </c>
      <c r="AB15" s="264" t="n">
        <v>0</v>
      </c>
      <c r="AC15" s="264" t="n">
        <v>0</v>
      </c>
      <c r="AD15" s="264" t="n">
        <v>0</v>
      </c>
      <c r="AE15" s="264" t="n">
        <v>0</v>
      </c>
      <c r="AF15" s="264" t="n">
        <v>0</v>
      </c>
      <c r="AG15" s="264" t="n">
        <v>0</v>
      </c>
      <c r="AH15" s="264" t="n">
        <v>0</v>
      </c>
      <c r="AI15" s="264" t="n">
        <v>0</v>
      </c>
      <c r="AJ15" s="264" t="n">
        <v>0</v>
      </c>
      <c r="AK15" s="264" t="n">
        <v>0</v>
      </c>
      <c r="AL15" s="264" t="n">
        <v>0</v>
      </c>
      <c r="AM15" s="264" t="n">
        <v>1</v>
      </c>
      <c r="AN15" s="264" t="n">
        <v>0</v>
      </c>
      <c r="AO15" s="264" t="n">
        <v>0</v>
      </c>
      <c r="AP15" s="264" t="n">
        <v>0</v>
      </c>
      <c r="AQ15" s="264" t="n">
        <v>0</v>
      </c>
      <c r="AR15" s="264" t="n">
        <v>0</v>
      </c>
      <c r="AS15" s="264" t="n">
        <v>0</v>
      </c>
      <c r="AT15" s="264" t="n">
        <v>0</v>
      </c>
      <c r="AU15" s="264" t="n">
        <v>0</v>
      </c>
      <c r="AV15" s="264" t="n">
        <v>0</v>
      </c>
      <c r="AW15" s="264" t="n">
        <v>0</v>
      </c>
      <c r="AX15" s="264" t="n">
        <v>0</v>
      </c>
      <c r="AY15" s="19" t="n"/>
    </row>
    <row r="16">
      <c r="B16" s="1" t="inlineStr">
        <is>
          <t>Admin Support</t>
        </is>
      </c>
      <c r="C16" s="207" t="inlineStr">
        <is>
          <t>Numbers</t>
        </is>
      </c>
      <c r="D16" s="252">
        <f>SUMIF($I$5:$AX$5,D$5,$I16:$AX16)</f>
        <v/>
      </c>
      <c r="E16" s="252">
        <f>SUMIF($I$5:$AX$5,E$5,$I16:$AX16)</f>
        <v/>
      </c>
      <c r="F16" s="252">
        <f>SUMIF($I$5:$AX$5,F$5,$I16:$AX16)</f>
        <v/>
      </c>
      <c r="G16" s="252">
        <f>SUMIF($I$5:$AX$5,G$5,$I16:$AX16)</f>
        <v/>
      </c>
      <c r="H16" s="252" t="n"/>
      <c r="I16" s="264" t="n">
        <v>0</v>
      </c>
      <c r="J16" s="264" t="n">
        <v>0</v>
      </c>
      <c r="K16" s="264" t="n">
        <v>0</v>
      </c>
      <c r="L16" s="264" t="n">
        <v>0</v>
      </c>
      <c r="M16" s="264" t="n">
        <v>0</v>
      </c>
      <c r="N16" s="264" t="n">
        <v>0</v>
      </c>
      <c r="O16" s="264" t="n">
        <v>2</v>
      </c>
      <c r="P16" s="264" t="n">
        <v>0</v>
      </c>
      <c r="Q16" s="264" t="n">
        <v>0</v>
      </c>
      <c r="R16" s="264" t="n">
        <v>0</v>
      </c>
      <c r="S16" s="264" t="n">
        <v>0</v>
      </c>
      <c r="T16" s="264" t="n">
        <v>0</v>
      </c>
      <c r="U16" s="264" t="n">
        <v>0</v>
      </c>
      <c r="V16" s="264" t="n">
        <v>0</v>
      </c>
      <c r="W16" s="264" t="n">
        <v>0</v>
      </c>
      <c r="X16" s="264" t="n">
        <v>0</v>
      </c>
      <c r="Y16" s="264" t="n">
        <v>0</v>
      </c>
      <c r="Z16" s="264" t="n">
        <v>0</v>
      </c>
      <c r="AA16" s="264" t="n">
        <v>1</v>
      </c>
      <c r="AB16" s="264" t="n">
        <v>0</v>
      </c>
      <c r="AC16" s="264" t="n">
        <v>0</v>
      </c>
      <c r="AD16" s="264" t="n">
        <v>0</v>
      </c>
      <c r="AE16" s="264" t="n">
        <v>0</v>
      </c>
      <c r="AF16" s="264" t="n">
        <v>0</v>
      </c>
      <c r="AG16" s="264" t="n">
        <v>0</v>
      </c>
      <c r="AH16" s="264" t="n">
        <v>0</v>
      </c>
      <c r="AI16" s="264" t="n">
        <v>0</v>
      </c>
      <c r="AJ16" s="264" t="n">
        <v>0</v>
      </c>
      <c r="AK16" s="264" t="n">
        <v>0</v>
      </c>
      <c r="AL16" s="264" t="n">
        <v>0</v>
      </c>
      <c r="AM16" s="264" t="n">
        <v>1</v>
      </c>
      <c r="AN16" s="264" t="n">
        <v>0</v>
      </c>
      <c r="AO16" s="264" t="n">
        <v>0</v>
      </c>
      <c r="AP16" s="264" t="n">
        <v>0</v>
      </c>
      <c r="AQ16" s="264" t="n">
        <v>0</v>
      </c>
      <c r="AR16" s="264" t="n">
        <v>0</v>
      </c>
      <c r="AS16" s="264" t="n">
        <v>0</v>
      </c>
      <c r="AT16" s="264" t="n">
        <v>0</v>
      </c>
      <c r="AU16" s="264" t="n">
        <v>0</v>
      </c>
      <c r="AV16" s="264" t="n">
        <v>0</v>
      </c>
      <c r="AW16" s="264" t="n">
        <v>0</v>
      </c>
      <c r="AX16" s="264" t="n">
        <v>0</v>
      </c>
      <c r="AY16" s="19" t="n"/>
    </row>
    <row r="17">
      <c r="B17" s="1" t="inlineStr">
        <is>
          <t>HR Manager</t>
        </is>
      </c>
      <c r="C17" s="207" t="inlineStr">
        <is>
          <t>Numbers</t>
        </is>
      </c>
      <c r="D17" s="252">
        <f>SUMIF($I$5:$AX$5,D$5,$I17:$AX17)</f>
        <v/>
      </c>
      <c r="E17" s="252">
        <f>SUMIF($I$5:$AX$5,E$5,$I17:$AX17)</f>
        <v/>
      </c>
      <c r="F17" s="252">
        <f>SUMIF($I$5:$AX$5,F$5,$I17:$AX17)</f>
        <v/>
      </c>
      <c r="G17" s="252">
        <f>SUMIF($I$5:$AX$5,G$5,$I17:$AX17)</f>
        <v/>
      </c>
      <c r="H17" s="252" t="n"/>
      <c r="I17" s="264" t="n">
        <v>0</v>
      </c>
      <c r="J17" s="264" t="n">
        <v>0</v>
      </c>
      <c r="K17" s="264" t="n">
        <v>0</v>
      </c>
      <c r="L17" s="264" t="n">
        <v>0</v>
      </c>
      <c r="M17" s="264" t="n">
        <v>0</v>
      </c>
      <c r="N17" s="264" t="n">
        <v>0</v>
      </c>
      <c r="O17" s="264" t="n">
        <v>1</v>
      </c>
      <c r="P17" s="264" t="n">
        <v>0</v>
      </c>
      <c r="Q17" s="264" t="n">
        <v>0</v>
      </c>
      <c r="R17" s="264" t="n">
        <v>0</v>
      </c>
      <c r="S17" s="264" t="n">
        <v>0</v>
      </c>
      <c r="T17" s="264" t="n">
        <v>0</v>
      </c>
      <c r="U17" s="264" t="n">
        <v>0</v>
      </c>
      <c r="V17" s="264" t="n">
        <v>0</v>
      </c>
      <c r="W17" s="264" t="n">
        <v>0</v>
      </c>
      <c r="X17" s="264" t="n">
        <v>0</v>
      </c>
      <c r="Y17" s="264" t="n">
        <v>0</v>
      </c>
      <c r="Z17" s="264" t="n">
        <v>0</v>
      </c>
      <c r="AA17" s="264" t="n">
        <v>1</v>
      </c>
      <c r="AB17" s="264" t="n">
        <v>0</v>
      </c>
      <c r="AC17" s="264" t="n">
        <v>0</v>
      </c>
      <c r="AD17" s="264" t="n">
        <v>0</v>
      </c>
      <c r="AE17" s="264" t="n">
        <v>0</v>
      </c>
      <c r="AF17" s="264" t="n">
        <v>0</v>
      </c>
      <c r="AG17" s="264" t="n">
        <v>0</v>
      </c>
      <c r="AH17" s="264" t="n">
        <v>0</v>
      </c>
      <c r="AI17" s="264" t="n">
        <v>0</v>
      </c>
      <c r="AJ17" s="264" t="n">
        <v>0</v>
      </c>
      <c r="AK17" s="264" t="n">
        <v>0</v>
      </c>
      <c r="AL17" s="264" t="n">
        <v>0</v>
      </c>
      <c r="AM17" s="264" t="n">
        <v>1</v>
      </c>
      <c r="AN17" s="264" t="n">
        <v>0</v>
      </c>
      <c r="AO17" s="264" t="n">
        <v>0</v>
      </c>
      <c r="AP17" s="264" t="n">
        <v>0</v>
      </c>
      <c r="AQ17" s="264" t="n">
        <v>0</v>
      </c>
      <c r="AR17" s="264" t="n">
        <v>0</v>
      </c>
      <c r="AS17" s="264" t="n">
        <v>0</v>
      </c>
      <c r="AT17" s="264" t="n">
        <v>0</v>
      </c>
      <c r="AU17" s="264" t="n">
        <v>0</v>
      </c>
      <c r="AV17" s="264" t="n">
        <v>0</v>
      </c>
      <c r="AW17" s="264" t="n">
        <v>0</v>
      </c>
      <c r="AX17" s="264" t="n">
        <v>0</v>
      </c>
      <c r="AY17" s="19" t="n"/>
    </row>
    <row r="18">
      <c r="B18" s="1" t="inlineStr">
        <is>
          <t>COO</t>
        </is>
      </c>
      <c r="C18" s="207" t="inlineStr">
        <is>
          <t>Numbers</t>
        </is>
      </c>
      <c r="D18" s="252">
        <f>SUMIF($I$5:$AX$5,D$5,$I18:$AX18)</f>
        <v/>
      </c>
      <c r="E18" s="252">
        <f>SUMIF($I$5:$AX$5,E$5,$I18:$AX18)</f>
        <v/>
      </c>
      <c r="F18" s="252">
        <f>SUMIF($I$5:$AX$5,F$5,$I18:$AX18)</f>
        <v/>
      </c>
      <c r="G18" s="252">
        <f>SUMIF($I$5:$AX$5,G$5,$I18:$AX18)</f>
        <v/>
      </c>
      <c r="H18" s="252" t="n"/>
      <c r="I18" s="264" t="n">
        <v>0</v>
      </c>
      <c r="J18" s="264" t="n">
        <v>0</v>
      </c>
      <c r="K18" s="264" t="n">
        <v>0</v>
      </c>
      <c r="L18" s="264" t="n">
        <v>0</v>
      </c>
      <c r="M18" s="264" t="n">
        <v>0</v>
      </c>
      <c r="N18" s="264" t="n">
        <v>0</v>
      </c>
      <c r="O18" s="264" t="n">
        <v>1</v>
      </c>
      <c r="P18" s="264" t="n">
        <v>0</v>
      </c>
      <c r="Q18" s="264" t="n">
        <v>0</v>
      </c>
      <c r="R18" s="264" t="n">
        <v>0</v>
      </c>
      <c r="S18" s="264" t="n">
        <v>0</v>
      </c>
      <c r="T18" s="264" t="n">
        <v>0</v>
      </c>
      <c r="U18" s="264" t="n">
        <v>0</v>
      </c>
      <c r="V18" s="264" t="n">
        <v>0</v>
      </c>
      <c r="W18" s="264" t="n">
        <v>0</v>
      </c>
      <c r="X18" s="264" t="n">
        <v>0</v>
      </c>
      <c r="Y18" s="264" t="n">
        <v>0</v>
      </c>
      <c r="Z18" s="264" t="n">
        <v>0</v>
      </c>
      <c r="AA18" s="264" t="n">
        <v>1</v>
      </c>
      <c r="AB18" s="264" t="n">
        <v>0</v>
      </c>
      <c r="AC18" s="264" t="n">
        <v>0</v>
      </c>
      <c r="AD18" s="264" t="n">
        <v>0</v>
      </c>
      <c r="AE18" s="264" t="n">
        <v>0</v>
      </c>
      <c r="AF18" s="264" t="n">
        <v>0</v>
      </c>
      <c r="AG18" s="264" t="n">
        <v>0</v>
      </c>
      <c r="AH18" s="264" t="n">
        <v>0</v>
      </c>
      <c r="AI18" s="264" t="n">
        <v>0</v>
      </c>
      <c r="AJ18" s="264" t="n">
        <v>0</v>
      </c>
      <c r="AK18" s="264" t="n">
        <v>0</v>
      </c>
      <c r="AL18" s="264" t="n">
        <v>0</v>
      </c>
      <c r="AM18" s="264" t="n">
        <v>1</v>
      </c>
      <c r="AN18" s="264" t="n">
        <v>0</v>
      </c>
      <c r="AO18" s="264" t="n">
        <v>0</v>
      </c>
      <c r="AP18" s="264" t="n">
        <v>0</v>
      </c>
      <c r="AQ18" s="264" t="n">
        <v>0</v>
      </c>
      <c r="AR18" s="264" t="n">
        <v>0</v>
      </c>
      <c r="AS18" s="264" t="n">
        <v>0</v>
      </c>
      <c r="AT18" s="264" t="n">
        <v>0</v>
      </c>
      <c r="AU18" s="264" t="n">
        <v>0</v>
      </c>
      <c r="AV18" s="264" t="n">
        <v>0</v>
      </c>
      <c r="AW18" s="264" t="n">
        <v>0</v>
      </c>
      <c r="AX18" s="264" t="n">
        <v>0</v>
      </c>
      <c r="AY18" s="19" t="n"/>
    </row>
    <row r="19">
      <c r="B19" s="1" t="inlineStr">
        <is>
          <t>Brand &amp; Digital Marketing Generalist</t>
        </is>
      </c>
      <c r="C19" s="207" t="inlineStr">
        <is>
          <t>Numbers</t>
        </is>
      </c>
      <c r="D19" s="252">
        <f>SUMIF($I$5:$AX$5,D$5,$I19:$AX19)</f>
        <v/>
      </c>
      <c r="E19" s="252">
        <f>SUMIF($I$5:$AX$5,E$5,$I19:$AX19)</f>
        <v/>
      </c>
      <c r="F19" s="252">
        <f>SUMIF($I$5:$AX$5,F$5,$I19:$AX19)</f>
        <v/>
      </c>
      <c r="G19" s="252">
        <f>SUMIF($I$5:$AX$5,G$5,$I19:$AX19)</f>
        <v/>
      </c>
      <c r="H19" s="252" t="n"/>
      <c r="I19" s="264" t="n">
        <v>0</v>
      </c>
      <c r="J19" s="264" t="n">
        <v>0</v>
      </c>
      <c r="K19" s="264" t="n">
        <v>0</v>
      </c>
      <c r="L19" s="264" t="n">
        <v>0</v>
      </c>
      <c r="M19" s="264" t="n">
        <v>0</v>
      </c>
      <c r="N19" s="264" t="n">
        <v>0</v>
      </c>
      <c r="O19" s="264" t="n">
        <v>1</v>
      </c>
      <c r="P19" s="264" t="n">
        <v>0</v>
      </c>
      <c r="Q19" s="264" t="n">
        <v>0</v>
      </c>
      <c r="R19" s="264" t="n">
        <v>0</v>
      </c>
      <c r="S19" s="264" t="n">
        <v>0</v>
      </c>
      <c r="T19" s="264" t="n">
        <v>0</v>
      </c>
      <c r="U19" s="264" t="n">
        <v>0</v>
      </c>
      <c r="V19" s="264" t="n">
        <v>0</v>
      </c>
      <c r="W19" s="264" t="n">
        <v>0</v>
      </c>
      <c r="X19" s="264" t="n">
        <v>0</v>
      </c>
      <c r="Y19" s="264" t="n">
        <v>0</v>
      </c>
      <c r="Z19" s="264" t="n">
        <v>0</v>
      </c>
      <c r="AA19" s="264" t="n">
        <v>1</v>
      </c>
      <c r="AB19" s="264" t="n">
        <v>0</v>
      </c>
      <c r="AC19" s="264" t="n">
        <v>0</v>
      </c>
      <c r="AD19" s="264" t="n">
        <v>0</v>
      </c>
      <c r="AE19" s="264" t="n">
        <v>0</v>
      </c>
      <c r="AF19" s="264" t="n">
        <v>0</v>
      </c>
      <c r="AG19" s="264" t="n">
        <v>0</v>
      </c>
      <c r="AH19" s="264" t="n">
        <v>0</v>
      </c>
      <c r="AI19" s="264" t="n">
        <v>0</v>
      </c>
      <c r="AJ19" s="264" t="n">
        <v>0</v>
      </c>
      <c r="AK19" s="264" t="n">
        <v>0</v>
      </c>
      <c r="AL19" s="264" t="n">
        <v>0</v>
      </c>
      <c r="AM19" s="264" t="n">
        <v>1</v>
      </c>
      <c r="AN19" s="264" t="n">
        <v>0</v>
      </c>
      <c r="AO19" s="264" t="n">
        <v>0</v>
      </c>
      <c r="AP19" s="264" t="n">
        <v>0</v>
      </c>
      <c r="AQ19" s="264" t="n">
        <v>0</v>
      </c>
      <c r="AR19" s="264" t="n">
        <v>0</v>
      </c>
      <c r="AS19" s="264" t="n">
        <v>0</v>
      </c>
      <c r="AT19" s="264" t="n">
        <v>0</v>
      </c>
      <c r="AU19" s="264" t="n">
        <v>0</v>
      </c>
      <c r="AV19" s="264" t="n">
        <v>0</v>
      </c>
      <c r="AW19" s="264" t="n">
        <v>0</v>
      </c>
      <c r="AX19" s="264" t="n">
        <v>0</v>
      </c>
      <c r="AY19" s="19" t="n"/>
    </row>
    <row r="20">
      <c r="B20" s="1" t="inlineStr">
        <is>
          <t>Program Manager</t>
        </is>
      </c>
      <c r="C20" s="207" t="inlineStr">
        <is>
          <t>Numbers</t>
        </is>
      </c>
      <c r="D20" s="252">
        <f>SUMIF($I$5:$AX$5,D$5,$I20:$AX20)</f>
        <v/>
      </c>
      <c r="E20" s="252">
        <f>SUMIF($I$5:$AX$5,E$5,$I20:$AX20)</f>
        <v/>
      </c>
      <c r="F20" s="252">
        <f>SUMIF($I$5:$AX$5,F$5,$I20:$AX20)</f>
        <v/>
      </c>
      <c r="G20" s="252">
        <f>SUMIF($I$5:$AX$5,G$5,$I20:$AX20)</f>
        <v/>
      </c>
      <c r="H20" s="252" t="n"/>
      <c r="I20" s="264" t="n">
        <v>0</v>
      </c>
      <c r="J20" s="264" t="n">
        <v>0</v>
      </c>
      <c r="K20" s="264" t="n">
        <v>0</v>
      </c>
      <c r="L20" s="264" t="n">
        <v>0</v>
      </c>
      <c r="M20" s="264" t="n">
        <v>0</v>
      </c>
      <c r="N20" s="264" t="n">
        <v>0</v>
      </c>
      <c r="O20" s="264" t="n">
        <v>1</v>
      </c>
      <c r="P20" s="264" t="n">
        <v>0</v>
      </c>
      <c r="Q20" s="264" t="n">
        <v>0</v>
      </c>
      <c r="R20" s="264" t="n">
        <v>0</v>
      </c>
      <c r="S20" s="264" t="n">
        <v>0</v>
      </c>
      <c r="T20" s="264" t="n">
        <v>0</v>
      </c>
      <c r="U20" s="264" t="n">
        <v>0</v>
      </c>
      <c r="V20" s="264" t="n">
        <v>0</v>
      </c>
      <c r="W20" s="264" t="n">
        <v>0</v>
      </c>
      <c r="X20" s="264" t="n">
        <v>0</v>
      </c>
      <c r="Y20" s="264" t="n">
        <v>0</v>
      </c>
      <c r="Z20" s="264" t="n">
        <v>0</v>
      </c>
      <c r="AA20" s="264" t="n">
        <v>1</v>
      </c>
      <c r="AB20" s="264" t="n">
        <v>0</v>
      </c>
      <c r="AC20" s="264" t="n">
        <v>0</v>
      </c>
      <c r="AD20" s="264" t="n">
        <v>0</v>
      </c>
      <c r="AE20" s="264" t="n">
        <v>0</v>
      </c>
      <c r="AF20" s="264" t="n">
        <v>0</v>
      </c>
      <c r="AG20" s="264" t="n">
        <v>0</v>
      </c>
      <c r="AH20" s="264" t="n">
        <v>0</v>
      </c>
      <c r="AI20" s="264" t="n">
        <v>0</v>
      </c>
      <c r="AJ20" s="264" t="n">
        <v>0</v>
      </c>
      <c r="AK20" s="264" t="n">
        <v>0</v>
      </c>
      <c r="AL20" s="264" t="n">
        <v>0</v>
      </c>
      <c r="AM20" s="264" t="n">
        <v>1</v>
      </c>
      <c r="AN20" s="264" t="n">
        <v>0</v>
      </c>
      <c r="AO20" s="264" t="n">
        <v>0</v>
      </c>
      <c r="AP20" s="264" t="n">
        <v>0</v>
      </c>
      <c r="AQ20" s="264" t="n">
        <v>0</v>
      </c>
      <c r="AR20" s="264" t="n">
        <v>0</v>
      </c>
      <c r="AS20" s="264" t="n">
        <v>0</v>
      </c>
      <c r="AT20" s="264" t="n">
        <v>0</v>
      </c>
      <c r="AU20" s="264" t="n">
        <v>0</v>
      </c>
      <c r="AV20" s="264" t="n">
        <v>0</v>
      </c>
      <c r="AW20" s="264" t="n">
        <v>0</v>
      </c>
      <c r="AX20" s="264" t="n">
        <v>0</v>
      </c>
      <c r="AY20" s="19" t="n"/>
    </row>
    <row r="21">
      <c r="C21" s="207" t="n"/>
      <c r="D21" s="252" t="n"/>
      <c r="E21" s="252" t="n"/>
      <c r="F21" s="252" t="n"/>
      <c r="G21" s="252" t="n"/>
      <c r="H21" s="252" t="n"/>
      <c r="I21" s="265" t="n"/>
      <c r="J21" s="265" t="n"/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I21" s="265" t="n"/>
      <c r="AJ21" s="265" t="n"/>
      <c r="AK21" s="265" t="n"/>
      <c r="AL21" s="265" t="n"/>
      <c r="AM21" s="265" t="n"/>
      <c r="AN21" s="265" t="n"/>
      <c r="AO21" s="265" t="n"/>
      <c r="AP21" s="265" t="n"/>
      <c r="AQ21" s="265" t="n"/>
      <c r="AR21" s="265" t="n"/>
      <c r="AS21" s="265" t="n"/>
      <c r="AT21" s="265" t="n"/>
      <c r="AU21" s="265" t="n"/>
      <c r="AV21" s="265" t="n"/>
      <c r="AW21" s="265" t="n"/>
      <c r="AX21" s="265" t="n"/>
      <c r="AY21" s="19" t="n"/>
    </row>
    <row r="22">
      <c r="B22" s="128" t="inlineStr">
        <is>
          <t>Total Addition in Number of Employees</t>
        </is>
      </c>
      <c r="C22" s="266" t="n"/>
      <c r="D22" s="267">
        <f>SUMIF($I$5:$AX$5,D$5,$I22:$AX22)</f>
        <v/>
      </c>
      <c r="E22" s="267">
        <f>SUMIF($I$5:$AX$5,E$5,$I22:$AX22)</f>
        <v/>
      </c>
      <c r="F22" s="267">
        <f>SUMIF($I$5:$AX$5,F$5,$I22:$AX22)</f>
        <v/>
      </c>
      <c r="G22" s="267">
        <f>SUMIF($I$5:$AX$5,G$5,$I22:$AX22)</f>
        <v/>
      </c>
      <c r="H22" s="268" t="n"/>
      <c r="I22" s="267">
        <f>SUM(I9:I20)</f>
        <v/>
      </c>
      <c r="J22" s="267">
        <f>SUM(J9:J20)</f>
        <v/>
      </c>
      <c r="K22" s="267">
        <f>SUM(K9:K20)</f>
        <v/>
      </c>
      <c r="L22" s="267">
        <f>SUM(L9:L20)</f>
        <v/>
      </c>
      <c r="M22" s="267">
        <f>SUM(M9:M20)</f>
        <v/>
      </c>
      <c r="N22" s="267">
        <f>SUM(N9:N20)</f>
        <v/>
      </c>
      <c r="O22" s="267">
        <f>SUM(O9:O20)</f>
        <v/>
      </c>
      <c r="P22" s="267">
        <f>SUM(P9:P20)</f>
        <v/>
      </c>
      <c r="Q22" s="267">
        <f>SUM(Q9:Q20)</f>
        <v/>
      </c>
      <c r="R22" s="267">
        <f>SUM(R9:R20)</f>
        <v/>
      </c>
      <c r="S22" s="267">
        <f>SUM(S9:S20)</f>
        <v/>
      </c>
      <c r="T22" s="267">
        <f>SUM(T9:T20)</f>
        <v/>
      </c>
      <c r="U22" s="267">
        <f>SUM(U9:U20)</f>
        <v/>
      </c>
      <c r="V22" s="267">
        <f>SUM(V9:V20)</f>
        <v/>
      </c>
      <c r="W22" s="267">
        <f>SUM(W9:W20)</f>
        <v/>
      </c>
      <c r="X22" s="267">
        <f>SUM(X9:X20)</f>
        <v/>
      </c>
      <c r="Y22" s="267">
        <f>SUM(Y9:Y20)</f>
        <v/>
      </c>
      <c r="Z22" s="267">
        <f>SUM(Z9:Z20)</f>
        <v/>
      </c>
      <c r="AA22" s="267">
        <f>SUM(AA9:AA20)</f>
        <v/>
      </c>
      <c r="AB22" s="267">
        <f>SUM(AB9:AB20)</f>
        <v/>
      </c>
      <c r="AC22" s="267">
        <f>SUM(AC9:AC20)</f>
        <v/>
      </c>
      <c r="AD22" s="267">
        <f>SUM(AD9:AD20)</f>
        <v/>
      </c>
      <c r="AE22" s="267">
        <f>SUM(AE9:AE20)</f>
        <v/>
      </c>
      <c r="AF22" s="267">
        <f>SUM(AF9:AF20)</f>
        <v/>
      </c>
      <c r="AG22" s="267">
        <f>SUM(AG9:AG20)</f>
        <v/>
      </c>
      <c r="AH22" s="267">
        <f>SUM(AH9:AH20)</f>
        <v/>
      </c>
      <c r="AI22" s="267">
        <f>SUM(AI9:AI20)</f>
        <v/>
      </c>
      <c r="AJ22" s="267">
        <f>SUM(AJ9:AJ20)</f>
        <v/>
      </c>
      <c r="AK22" s="267">
        <f>SUM(AK9:AK20)</f>
        <v/>
      </c>
      <c r="AL22" s="267">
        <f>SUM(AL9:AL20)</f>
        <v/>
      </c>
      <c r="AM22" s="267">
        <f>SUM(AM9:AM20)</f>
        <v/>
      </c>
      <c r="AN22" s="267">
        <f>SUM(AN9:AN20)</f>
        <v/>
      </c>
      <c r="AO22" s="267">
        <f>SUM(AO9:AO20)</f>
        <v/>
      </c>
      <c r="AP22" s="267">
        <f>SUM(AP9:AP20)</f>
        <v/>
      </c>
      <c r="AQ22" s="267">
        <f>SUM(AQ9:AQ20)</f>
        <v/>
      </c>
      <c r="AR22" s="267">
        <f>SUM(AR9:AR20)</f>
        <v/>
      </c>
      <c r="AS22" s="267">
        <f>SUM(AS9:AS20)</f>
        <v/>
      </c>
      <c r="AT22" s="267">
        <f>SUM(AT9:AT20)</f>
        <v/>
      </c>
      <c r="AU22" s="267">
        <f>SUM(AU9:AU20)</f>
        <v/>
      </c>
      <c r="AV22" s="267">
        <f>SUM(AV9:AV20)</f>
        <v/>
      </c>
      <c r="AW22" s="267">
        <f>SUM(AW9:AW20)</f>
        <v/>
      </c>
      <c r="AX22" s="267">
        <f>SUM(AX9:AX20)</f>
        <v/>
      </c>
      <c r="AY22" s="19" t="n"/>
    </row>
    <row r="23"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</row>
    <row r="24">
      <c r="B24" s="263" t="inlineStr">
        <is>
          <t>Positions</t>
        </is>
      </c>
      <c r="C24" s="207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</row>
    <row r="25">
      <c r="B25" s="1" t="inlineStr">
        <is>
          <t>Product Owner</t>
        </is>
      </c>
      <c r="C25" s="207" t="inlineStr">
        <is>
          <t>Numbers</t>
        </is>
      </c>
      <c r="D25" s="327">
        <f>IFERROR(INDEX($I25:$AX25,MATCH(DATE(D$5,12,31),$I$6:$AX$6,0)),0)</f>
        <v/>
      </c>
      <c r="E25" s="327">
        <f>IFERROR(INDEX($I25:$AX25,MATCH(DATE(E$5,12,31),$I$6:$AX$6,0)),0)</f>
        <v/>
      </c>
      <c r="F25" s="327">
        <f>IFERROR(INDEX($I25:$AX25,MATCH(DATE(F$5,12,31),$I$6:$AX$6,0)),0)</f>
        <v/>
      </c>
      <c r="G25" s="327">
        <f>IFERROR(INDEX($I25:$AX25,MATCH(DATE(G$5,12,31),$I$6:$AX$6,0)),0)</f>
        <v/>
      </c>
      <c r="H25" s="252" t="n"/>
      <c r="I25" s="19">
        <f>I9</f>
        <v/>
      </c>
      <c r="J25" s="19">
        <f>I25+J9</f>
        <v/>
      </c>
      <c r="K25" s="19">
        <f>J25+K9</f>
        <v/>
      </c>
      <c r="L25" s="19">
        <f>K25+L9</f>
        <v/>
      </c>
      <c r="M25" s="19">
        <f>L25+M9</f>
        <v/>
      </c>
      <c r="N25" s="19">
        <f>M25+N9</f>
        <v/>
      </c>
      <c r="O25" s="19">
        <f>N25+O9</f>
        <v/>
      </c>
      <c r="P25" s="19">
        <f>O25+P9</f>
        <v/>
      </c>
      <c r="Q25" s="19">
        <f>P25+Q9</f>
        <v/>
      </c>
      <c r="R25" s="19">
        <f>Q25+R9</f>
        <v/>
      </c>
      <c r="S25" s="19">
        <f>R25+S9</f>
        <v/>
      </c>
      <c r="T25" s="19">
        <f>S25+T9</f>
        <v/>
      </c>
      <c r="U25" s="19">
        <f>T25+U9</f>
        <v/>
      </c>
      <c r="V25" s="19">
        <f>U25+V9</f>
        <v/>
      </c>
      <c r="W25" s="19">
        <f>V25+W9</f>
        <v/>
      </c>
      <c r="X25" s="19">
        <f>W25+X9</f>
        <v/>
      </c>
      <c r="Y25" s="19">
        <f>X25+Y9</f>
        <v/>
      </c>
      <c r="Z25" s="19">
        <f>Y25+Z9</f>
        <v/>
      </c>
      <c r="AA25" s="19">
        <f>Z25+AA9</f>
        <v/>
      </c>
      <c r="AB25" s="19">
        <f>AA25+AB9</f>
        <v/>
      </c>
      <c r="AC25" s="19">
        <f>AB25+AC9</f>
        <v/>
      </c>
      <c r="AD25" s="19">
        <f>AC25+AD9</f>
        <v/>
      </c>
      <c r="AE25" s="19">
        <f>AD25+AE9</f>
        <v/>
      </c>
      <c r="AF25" s="19">
        <f>AE25+AF9</f>
        <v/>
      </c>
      <c r="AG25" s="19">
        <f>AF25+AG9</f>
        <v/>
      </c>
      <c r="AH25" s="19">
        <f>AG25+AH9</f>
        <v/>
      </c>
      <c r="AI25" s="19">
        <f>AH25+AI9</f>
        <v/>
      </c>
      <c r="AJ25" s="19">
        <f>AI25+AJ9</f>
        <v/>
      </c>
      <c r="AK25" s="19">
        <f>AJ25+AK9</f>
        <v/>
      </c>
      <c r="AL25" s="19">
        <f>AK25+AL9</f>
        <v/>
      </c>
      <c r="AM25" s="19">
        <f>AL25+AM9</f>
        <v/>
      </c>
      <c r="AN25" s="19">
        <f>AM25+AN9</f>
        <v/>
      </c>
      <c r="AO25" s="19">
        <f>AN25+AO9</f>
        <v/>
      </c>
      <c r="AP25" s="19">
        <f>AO25+AP9</f>
        <v/>
      </c>
      <c r="AQ25" s="19">
        <f>AP25+AQ9</f>
        <v/>
      </c>
      <c r="AR25" s="19">
        <f>AQ25+AR9</f>
        <v/>
      </c>
      <c r="AS25" s="19">
        <f>AR25+AS9</f>
        <v/>
      </c>
      <c r="AT25" s="19">
        <f>AS25+AT9</f>
        <v/>
      </c>
      <c r="AU25" s="19">
        <f>AT25+AU9</f>
        <v/>
      </c>
      <c r="AV25" s="19">
        <f>AU25+AV9</f>
        <v/>
      </c>
      <c r="AW25" s="19">
        <f>AV25+AW9</f>
        <v/>
      </c>
      <c r="AX25" s="19">
        <f>AW25+AX9</f>
        <v/>
      </c>
      <c r="AY25" s="19" t="n"/>
    </row>
    <row r="26">
      <c r="B26" s="1" t="inlineStr">
        <is>
          <t>Techno Business Analyst</t>
        </is>
      </c>
      <c r="C26" s="207" t="inlineStr">
        <is>
          <t>Numbers</t>
        </is>
      </c>
      <c r="D26" s="327">
        <f>IFERROR(INDEX($I26:$AX26,MATCH(DATE(D$5,12,31),$I$6:$AX$6,0)),0)</f>
        <v/>
      </c>
      <c r="E26" s="327">
        <f>IFERROR(INDEX($I26:$AX26,MATCH(DATE(E$5,12,31),$I$6:$AX$6,0)),0)</f>
        <v/>
      </c>
      <c r="F26" s="327">
        <f>IFERROR(INDEX($I26:$AX26,MATCH(DATE(F$5,12,31),$I$6:$AX$6,0)),0)</f>
        <v/>
      </c>
      <c r="G26" s="327">
        <f>IFERROR(INDEX($I26:$AX26,MATCH(DATE(G$5,12,31),$I$6:$AX$6,0)),0)</f>
        <v/>
      </c>
      <c r="H26" s="252" t="n"/>
      <c r="I26" s="19">
        <f>I10</f>
        <v/>
      </c>
      <c r="J26" s="19">
        <f>I26+J10</f>
        <v/>
      </c>
      <c r="K26" s="19">
        <f>J26+K10</f>
        <v/>
      </c>
      <c r="L26" s="19">
        <f>K26+L10</f>
        <v/>
      </c>
      <c r="M26" s="19">
        <f>L26+M10</f>
        <v/>
      </c>
      <c r="N26" s="19">
        <f>M26+N10</f>
        <v/>
      </c>
      <c r="O26" s="19">
        <f>N26+O10</f>
        <v/>
      </c>
      <c r="P26" s="19">
        <f>O26+P10</f>
        <v/>
      </c>
      <c r="Q26" s="19">
        <f>P26+Q10</f>
        <v/>
      </c>
      <c r="R26" s="19">
        <f>Q26+R10</f>
        <v/>
      </c>
      <c r="S26" s="19">
        <f>R26+S10</f>
        <v/>
      </c>
      <c r="T26" s="19">
        <f>S26+T10</f>
        <v/>
      </c>
      <c r="U26" s="19">
        <f>T26+U10</f>
        <v/>
      </c>
      <c r="V26" s="19">
        <f>U26+V10</f>
        <v/>
      </c>
      <c r="W26" s="19">
        <f>V26+W10</f>
        <v/>
      </c>
      <c r="X26" s="19">
        <f>W26+X10</f>
        <v/>
      </c>
      <c r="Y26" s="19">
        <f>X26+Y10</f>
        <v/>
      </c>
      <c r="Z26" s="19">
        <f>Y26+Z10</f>
        <v/>
      </c>
      <c r="AA26" s="19">
        <f>Z26+AA10</f>
        <v/>
      </c>
      <c r="AB26" s="19">
        <f>AA26+AB10</f>
        <v/>
      </c>
      <c r="AC26" s="19">
        <f>AB26+AC10</f>
        <v/>
      </c>
      <c r="AD26" s="19">
        <f>AC26+AD10</f>
        <v/>
      </c>
      <c r="AE26" s="19">
        <f>AD26+AE10</f>
        <v/>
      </c>
      <c r="AF26" s="19">
        <f>AE26+AF10</f>
        <v/>
      </c>
      <c r="AG26" s="19">
        <f>AF26+AG10</f>
        <v/>
      </c>
      <c r="AH26" s="19">
        <f>AG26+AH10</f>
        <v/>
      </c>
      <c r="AI26" s="19">
        <f>AH26+AI10</f>
        <v/>
      </c>
      <c r="AJ26" s="19">
        <f>AI26+AJ10</f>
        <v/>
      </c>
      <c r="AK26" s="19">
        <f>AJ26+AK10</f>
        <v/>
      </c>
      <c r="AL26" s="19">
        <f>AK26+AL10</f>
        <v/>
      </c>
      <c r="AM26" s="19">
        <f>AL26+AM10</f>
        <v/>
      </c>
      <c r="AN26" s="19">
        <f>AM26+AN10</f>
        <v/>
      </c>
      <c r="AO26" s="19">
        <f>AN26+AO10</f>
        <v/>
      </c>
      <c r="AP26" s="19">
        <f>AO26+AP10</f>
        <v/>
      </c>
      <c r="AQ26" s="19">
        <f>AP26+AQ10</f>
        <v/>
      </c>
      <c r="AR26" s="19">
        <f>AQ26+AR10</f>
        <v/>
      </c>
      <c r="AS26" s="19">
        <f>AR26+AS10</f>
        <v/>
      </c>
      <c r="AT26" s="19">
        <f>AS26+AT10</f>
        <v/>
      </c>
      <c r="AU26" s="19">
        <f>AT26+AU10</f>
        <v/>
      </c>
      <c r="AV26" s="19">
        <f>AU26+AV10</f>
        <v/>
      </c>
      <c r="AW26" s="19">
        <f>AV26+AW10</f>
        <v/>
      </c>
      <c r="AX26" s="19">
        <f>AW26+AX10</f>
        <v/>
      </c>
      <c r="AY26" s="19" t="n"/>
    </row>
    <row r="27">
      <c r="B27" s="1" t="inlineStr">
        <is>
          <t>Product Designer</t>
        </is>
      </c>
      <c r="C27" s="207" t="inlineStr">
        <is>
          <t>Numbers</t>
        </is>
      </c>
      <c r="D27" s="327">
        <f>IFERROR(INDEX($I27:$AX27,MATCH(DATE(D$5,12,31),$I$6:$AX$6,0)),0)</f>
        <v/>
      </c>
      <c r="E27" s="327">
        <f>IFERROR(INDEX($I27:$AX27,MATCH(DATE(E$5,12,31),$I$6:$AX$6,0)),0)</f>
        <v/>
      </c>
      <c r="F27" s="327">
        <f>IFERROR(INDEX($I27:$AX27,MATCH(DATE(F$5,12,31),$I$6:$AX$6,0)),0)</f>
        <v/>
      </c>
      <c r="G27" s="327">
        <f>IFERROR(INDEX($I27:$AX27,MATCH(DATE(G$5,12,31),$I$6:$AX$6,0)),0)</f>
        <v/>
      </c>
      <c r="H27" s="252" t="n"/>
      <c r="I27" s="19">
        <f>I11</f>
        <v/>
      </c>
      <c r="J27" s="19">
        <f>I27+J11</f>
        <v/>
      </c>
      <c r="K27" s="19">
        <f>J27+K11</f>
        <v/>
      </c>
      <c r="L27" s="19">
        <f>K27+L11</f>
        <v/>
      </c>
      <c r="M27" s="19">
        <f>L27+M11</f>
        <v/>
      </c>
      <c r="N27" s="19">
        <f>M27+N11</f>
        <v/>
      </c>
      <c r="O27" s="19">
        <f>N27+O11</f>
        <v/>
      </c>
      <c r="P27" s="19">
        <f>O27+P11</f>
        <v/>
      </c>
      <c r="Q27" s="19">
        <f>P27+Q11</f>
        <v/>
      </c>
      <c r="R27" s="19">
        <f>Q27+R11</f>
        <v/>
      </c>
      <c r="S27" s="19">
        <f>R27+S11</f>
        <v/>
      </c>
      <c r="T27" s="19">
        <f>S27+T11</f>
        <v/>
      </c>
      <c r="U27" s="19">
        <f>T27+U11</f>
        <v/>
      </c>
      <c r="V27" s="19">
        <f>U27+V11</f>
        <v/>
      </c>
      <c r="W27" s="19">
        <f>V27+W11</f>
        <v/>
      </c>
      <c r="X27" s="19">
        <f>W27+X11</f>
        <v/>
      </c>
      <c r="Y27" s="19">
        <f>X27+Y11</f>
        <v/>
      </c>
      <c r="Z27" s="19">
        <f>Y27+Z11</f>
        <v/>
      </c>
      <c r="AA27" s="19">
        <f>Z27+AA11</f>
        <v/>
      </c>
      <c r="AB27" s="19">
        <f>AA27+AB11</f>
        <v/>
      </c>
      <c r="AC27" s="19">
        <f>AB27+AC11</f>
        <v/>
      </c>
      <c r="AD27" s="19">
        <f>AC27+AD11</f>
        <v/>
      </c>
      <c r="AE27" s="19">
        <f>AD27+AE11</f>
        <v/>
      </c>
      <c r="AF27" s="19">
        <f>AE27+AF11</f>
        <v/>
      </c>
      <c r="AG27" s="19">
        <f>AF27+AG11</f>
        <v/>
      </c>
      <c r="AH27" s="19">
        <f>AG27+AH11</f>
        <v/>
      </c>
      <c r="AI27" s="19">
        <f>AH27+AI11</f>
        <v/>
      </c>
      <c r="AJ27" s="19">
        <f>AI27+AJ11</f>
        <v/>
      </c>
      <c r="AK27" s="19">
        <f>AJ27+AK11</f>
        <v/>
      </c>
      <c r="AL27" s="19">
        <f>AK27+AL11</f>
        <v/>
      </c>
      <c r="AM27" s="19">
        <f>AL27+AM11</f>
        <v/>
      </c>
      <c r="AN27" s="19">
        <f>AM27+AN11</f>
        <v/>
      </c>
      <c r="AO27" s="19">
        <f>AN27+AO11</f>
        <v/>
      </c>
      <c r="AP27" s="19">
        <f>AO27+AP11</f>
        <v/>
      </c>
      <c r="AQ27" s="19">
        <f>AP27+AQ11</f>
        <v/>
      </c>
      <c r="AR27" s="19">
        <f>AQ27+AR11</f>
        <v/>
      </c>
      <c r="AS27" s="19">
        <f>AR27+AS11</f>
        <v/>
      </c>
      <c r="AT27" s="19">
        <f>AS27+AT11</f>
        <v/>
      </c>
      <c r="AU27" s="19">
        <f>AT27+AU11</f>
        <v/>
      </c>
      <c r="AV27" s="19">
        <f>AU27+AV11</f>
        <v/>
      </c>
      <c r="AW27" s="19">
        <f>AV27+AW11</f>
        <v/>
      </c>
      <c r="AX27" s="19">
        <f>AW27+AX11</f>
        <v/>
      </c>
      <c r="AY27" s="19" t="n"/>
    </row>
    <row r="28">
      <c r="B28" s="1" t="inlineStr">
        <is>
          <t>CTO / Head of Architecture</t>
        </is>
      </c>
      <c r="C28" s="207" t="inlineStr">
        <is>
          <t>Numbers</t>
        </is>
      </c>
      <c r="D28" s="327">
        <f>IFERROR(INDEX($I28:$AX28,MATCH(DATE(D$5,12,31),$I$6:$AX$6,0)),0)</f>
        <v/>
      </c>
      <c r="E28" s="327">
        <f>IFERROR(INDEX($I28:$AX28,MATCH(DATE(E$5,12,31),$I$6:$AX$6,0)),0)</f>
        <v/>
      </c>
      <c r="F28" s="327">
        <f>IFERROR(INDEX($I28:$AX28,MATCH(DATE(F$5,12,31),$I$6:$AX$6,0)),0)</f>
        <v/>
      </c>
      <c r="G28" s="327">
        <f>IFERROR(INDEX($I28:$AX28,MATCH(DATE(G$5,12,31),$I$6:$AX$6,0)),0)</f>
        <v/>
      </c>
      <c r="H28" s="252" t="n"/>
      <c r="I28" s="19">
        <f>I12</f>
        <v/>
      </c>
      <c r="J28" s="19">
        <f>I28+J12</f>
        <v/>
      </c>
      <c r="K28" s="19">
        <f>J28+K12</f>
        <v/>
      </c>
      <c r="L28" s="19">
        <f>K28+L12</f>
        <v/>
      </c>
      <c r="M28" s="19">
        <f>L28+M12</f>
        <v/>
      </c>
      <c r="N28" s="19">
        <f>M28+N12</f>
        <v/>
      </c>
      <c r="O28" s="19">
        <f>N28+O12</f>
        <v/>
      </c>
      <c r="P28" s="19">
        <f>O28+P12</f>
        <v/>
      </c>
      <c r="Q28" s="19">
        <f>P28+Q12</f>
        <v/>
      </c>
      <c r="R28" s="19">
        <f>Q28+R12</f>
        <v/>
      </c>
      <c r="S28" s="19">
        <f>R28+S12</f>
        <v/>
      </c>
      <c r="T28" s="19">
        <f>S28+T12</f>
        <v/>
      </c>
      <c r="U28" s="19">
        <f>T28+U12</f>
        <v/>
      </c>
      <c r="V28" s="19">
        <f>U28+V12</f>
        <v/>
      </c>
      <c r="W28" s="19">
        <f>V28+W12</f>
        <v/>
      </c>
      <c r="X28" s="19">
        <f>W28+X12</f>
        <v/>
      </c>
      <c r="Y28" s="19">
        <f>X28+Y12</f>
        <v/>
      </c>
      <c r="Z28" s="19">
        <f>Y28+Z12</f>
        <v/>
      </c>
      <c r="AA28" s="19">
        <f>Z28+AA12</f>
        <v/>
      </c>
      <c r="AB28" s="19">
        <f>AA28+AB12</f>
        <v/>
      </c>
      <c r="AC28" s="19">
        <f>AB28+AC12</f>
        <v/>
      </c>
      <c r="AD28" s="19">
        <f>AC28+AD12</f>
        <v/>
      </c>
      <c r="AE28" s="19">
        <f>AD28+AE12</f>
        <v/>
      </c>
      <c r="AF28" s="19">
        <f>AE28+AF12</f>
        <v/>
      </c>
      <c r="AG28" s="19">
        <f>AF28+AG12</f>
        <v/>
      </c>
      <c r="AH28" s="19">
        <f>AG28+AH12</f>
        <v/>
      </c>
      <c r="AI28" s="19">
        <f>AH28+AI12</f>
        <v/>
      </c>
      <c r="AJ28" s="19">
        <f>AI28+AJ12</f>
        <v/>
      </c>
      <c r="AK28" s="19">
        <f>AJ28+AK12</f>
        <v/>
      </c>
      <c r="AL28" s="19">
        <f>AK28+AL12</f>
        <v/>
      </c>
      <c r="AM28" s="19">
        <f>AL28+AM12</f>
        <v/>
      </c>
      <c r="AN28" s="19">
        <f>AM28+AN12</f>
        <v/>
      </c>
      <c r="AO28" s="19">
        <f>AN28+AO12</f>
        <v/>
      </c>
      <c r="AP28" s="19">
        <f>AO28+AP12</f>
        <v/>
      </c>
      <c r="AQ28" s="19">
        <f>AP28+AQ12</f>
        <v/>
      </c>
      <c r="AR28" s="19">
        <f>AQ28+AR12</f>
        <v/>
      </c>
      <c r="AS28" s="19">
        <f>AR28+AS12</f>
        <v/>
      </c>
      <c r="AT28" s="19">
        <f>AS28+AT12</f>
        <v/>
      </c>
      <c r="AU28" s="19">
        <f>AT28+AU12</f>
        <v/>
      </c>
      <c r="AV28" s="19">
        <f>AU28+AV12</f>
        <v/>
      </c>
      <c r="AW28" s="19">
        <f>AV28+AW12</f>
        <v/>
      </c>
      <c r="AX28" s="19">
        <f>AW28+AX12</f>
        <v/>
      </c>
      <c r="AY28" s="19" t="n"/>
    </row>
    <row r="29">
      <c r="B29" s="1" t="inlineStr">
        <is>
          <t>Accountant</t>
        </is>
      </c>
      <c r="C29" s="207" t="inlineStr">
        <is>
          <t>Numbers</t>
        </is>
      </c>
      <c r="D29" s="327">
        <f>IFERROR(INDEX($I29:$AX29,MATCH(DATE(D$5,12,31),$I$6:$AX$6,0)),0)</f>
        <v/>
      </c>
      <c r="E29" s="327">
        <f>IFERROR(INDEX($I29:$AX29,MATCH(DATE(E$5,12,31),$I$6:$AX$6,0)),0)</f>
        <v/>
      </c>
      <c r="F29" s="327">
        <f>IFERROR(INDEX($I29:$AX29,MATCH(DATE(F$5,12,31),$I$6:$AX$6,0)),0)</f>
        <v/>
      </c>
      <c r="G29" s="327">
        <f>IFERROR(INDEX($I29:$AX29,MATCH(DATE(G$5,12,31),$I$6:$AX$6,0)),0)</f>
        <v/>
      </c>
      <c r="H29" s="252" t="n"/>
      <c r="I29" s="19">
        <f>I13</f>
        <v/>
      </c>
      <c r="J29" s="19">
        <f>I29+J13</f>
        <v/>
      </c>
      <c r="K29" s="19">
        <f>J29+K13</f>
        <v/>
      </c>
      <c r="L29" s="19">
        <f>K29+L13</f>
        <v/>
      </c>
      <c r="M29" s="19">
        <f>L29+M13</f>
        <v/>
      </c>
      <c r="N29" s="19">
        <f>M29+N13</f>
        <v/>
      </c>
      <c r="O29" s="19">
        <f>N29+O13</f>
        <v/>
      </c>
      <c r="P29" s="19">
        <f>O29+P13</f>
        <v/>
      </c>
      <c r="Q29" s="19">
        <f>P29+Q13</f>
        <v/>
      </c>
      <c r="R29" s="19">
        <f>Q29+R13</f>
        <v/>
      </c>
      <c r="S29" s="19">
        <f>R29+S13</f>
        <v/>
      </c>
      <c r="T29" s="19">
        <f>S29+T13</f>
        <v/>
      </c>
      <c r="U29" s="19">
        <f>T29+U13</f>
        <v/>
      </c>
      <c r="V29" s="19">
        <f>U29+V13</f>
        <v/>
      </c>
      <c r="W29" s="19">
        <f>V29+W13</f>
        <v/>
      </c>
      <c r="X29" s="19">
        <f>W29+X13</f>
        <v/>
      </c>
      <c r="Y29" s="19">
        <f>X29+Y13</f>
        <v/>
      </c>
      <c r="Z29" s="19">
        <f>Y29+Z13</f>
        <v/>
      </c>
      <c r="AA29" s="19">
        <f>Z29+AA13</f>
        <v/>
      </c>
      <c r="AB29" s="19">
        <f>AA29+AB13</f>
        <v/>
      </c>
      <c r="AC29" s="19">
        <f>AB29+AC13</f>
        <v/>
      </c>
      <c r="AD29" s="19">
        <f>AC29+AD13</f>
        <v/>
      </c>
      <c r="AE29" s="19">
        <f>AD29+AE13</f>
        <v/>
      </c>
      <c r="AF29" s="19">
        <f>AE29+AF13</f>
        <v/>
      </c>
      <c r="AG29" s="19">
        <f>AF29+AG13</f>
        <v/>
      </c>
      <c r="AH29" s="19">
        <f>AG29+AH13</f>
        <v/>
      </c>
      <c r="AI29" s="19">
        <f>AH29+AI13</f>
        <v/>
      </c>
      <c r="AJ29" s="19">
        <f>AI29+AJ13</f>
        <v/>
      </c>
      <c r="AK29" s="19">
        <f>AJ29+AK13</f>
        <v/>
      </c>
      <c r="AL29" s="19">
        <f>AK29+AL13</f>
        <v/>
      </c>
      <c r="AM29" s="19">
        <f>AL29+AM13</f>
        <v/>
      </c>
      <c r="AN29" s="19">
        <f>AM29+AN13</f>
        <v/>
      </c>
      <c r="AO29" s="19">
        <f>AN29+AO13</f>
        <v/>
      </c>
      <c r="AP29" s="19">
        <f>AO29+AP13</f>
        <v/>
      </c>
      <c r="AQ29" s="19">
        <f>AP29+AQ13</f>
        <v/>
      </c>
      <c r="AR29" s="19">
        <f>AQ29+AR13</f>
        <v/>
      </c>
      <c r="AS29" s="19">
        <f>AR29+AS13</f>
        <v/>
      </c>
      <c r="AT29" s="19">
        <f>AS29+AT13</f>
        <v/>
      </c>
      <c r="AU29" s="19">
        <f>AT29+AU13</f>
        <v/>
      </c>
      <c r="AV29" s="19">
        <f>AU29+AV13</f>
        <v/>
      </c>
      <c r="AW29" s="19">
        <f>AV29+AW13</f>
        <v/>
      </c>
      <c r="AX29" s="19">
        <f>AW29+AX13</f>
        <v/>
      </c>
      <c r="AY29" s="19" t="n"/>
    </row>
    <row r="30">
      <c r="B30" s="1" t="inlineStr">
        <is>
          <t>Head of Finance</t>
        </is>
      </c>
      <c r="C30" s="207" t="inlineStr">
        <is>
          <t>Numbers</t>
        </is>
      </c>
      <c r="D30" s="327">
        <f>IFERROR(INDEX($I30:$AX30,MATCH(DATE(D$5,12,31),$I$6:$AX$6,0)),0)</f>
        <v/>
      </c>
      <c r="E30" s="327">
        <f>IFERROR(INDEX($I30:$AX30,MATCH(DATE(E$5,12,31),$I$6:$AX$6,0)),0)</f>
        <v/>
      </c>
      <c r="F30" s="327">
        <f>IFERROR(INDEX($I30:$AX30,MATCH(DATE(F$5,12,31),$I$6:$AX$6,0)),0)</f>
        <v/>
      </c>
      <c r="G30" s="327">
        <f>IFERROR(INDEX($I30:$AX30,MATCH(DATE(G$5,12,31),$I$6:$AX$6,0)),0)</f>
        <v/>
      </c>
      <c r="H30" s="252" t="n"/>
      <c r="I30" s="19">
        <f>I14</f>
        <v/>
      </c>
      <c r="J30" s="19">
        <f>I30+J14</f>
        <v/>
      </c>
      <c r="K30" s="19">
        <f>J30+K14</f>
        <v/>
      </c>
      <c r="L30" s="19">
        <f>K30+L14</f>
        <v/>
      </c>
      <c r="M30" s="19">
        <f>L30+M14</f>
        <v/>
      </c>
      <c r="N30" s="19">
        <f>M30+N14</f>
        <v/>
      </c>
      <c r="O30" s="19">
        <f>N30+O14</f>
        <v/>
      </c>
      <c r="P30" s="19">
        <f>O30+P14</f>
        <v/>
      </c>
      <c r="Q30" s="19">
        <f>P30+Q14</f>
        <v/>
      </c>
      <c r="R30" s="19">
        <f>Q30+R14</f>
        <v/>
      </c>
      <c r="S30" s="19">
        <f>R30+S14</f>
        <v/>
      </c>
      <c r="T30" s="19">
        <f>S30+T14</f>
        <v/>
      </c>
      <c r="U30" s="19">
        <f>T30+U14</f>
        <v/>
      </c>
      <c r="V30" s="19">
        <f>U30+V14</f>
        <v/>
      </c>
      <c r="W30" s="19">
        <f>V30+W14</f>
        <v/>
      </c>
      <c r="X30" s="19">
        <f>W30+X14</f>
        <v/>
      </c>
      <c r="Y30" s="19">
        <f>X30+Y14</f>
        <v/>
      </c>
      <c r="Z30" s="19">
        <f>Y30+Z14</f>
        <v/>
      </c>
      <c r="AA30" s="19">
        <f>Z30+AA14</f>
        <v/>
      </c>
      <c r="AB30" s="19">
        <f>AA30+AB14</f>
        <v/>
      </c>
      <c r="AC30" s="19">
        <f>AB30+AC14</f>
        <v/>
      </c>
      <c r="AD30" s="19">
        <f>AC30+AD14</f>
        <v/>
      </c>
      <c r="AE30" s="19">
        <f>AD30+AE14</f>
        <v/>
      </c>
      <c r="AF30" s="19">
        <f>AE30+AF14</f>
        <v/>
      </c>
      <c r="AG30" s="19">
        <f>AF30+AG14</f>
        <v/>
      </c>
      <c r="AH30" s="19">
        <f>AG30+AH14</f>
        <v/>
      </c>
      <c r="AI30" s="19">
        <f>AH30+AI14</f>
        <v/>
      </c>
      <c r="AJ30" s="19">
        <f>AI30+AJ14</f>
        <v/>
      </c>
      <c r="AK30" s="19">
        <f>AJ30+AK14</f>
        <v/>
      </c>
      <c r="AL30" s="19">
        <f>AK30+AL14</f>
        <v/>
      </c>
      <c r="AM30" s="19">
        <f>AL30+AM14</f>
        <v/>
      </c>
      <c r="AN30" s="19">
        <f>AM30+AN14</f>
        <v/>
      </c>
      <c r="AO30" s="19">
        <f>AN30+AO14</f>
        <v/>
      </c>
      <c r="AP30" s="19">
        <f>AO30+AP14</f>
        <v/>
      </c>
      <c r="AQ30" s="19">
        <f>AP30+AQ14</f>
        <v/>
      </c>
      <c r="AR30" s="19">
        <f>AQ30+AR14</f>
        <v/>
      </c>
      <c r="AS30" s="19">
        <f>AR30+AS14</f>
        <v/>
      </c>
      <c r="AT30" s="19">
        <f>AS30+AT14</f>
        <v/>
      </c>
      <c r="AU30" s="19">
        <f>AT30+AU14</f>
        <v/>
      </c>
      <c r="AV30" s="19">
        <f>AU30+AV14</f>
        <v/>
      </c>
      <c r="AW30" s="19">
        <f>AV30+AW14</f>
        <v/>
      </c>
      <c r="AX30" s="19">
        <f>AW30+AX14</f>
        <v/>
      </c>
      <c r="AY30" s="19" t="n"/>
    </row>
    <row r="31">
      <c r="B31" s="1" t="inlineStr">
        <is>
          <t>Head of Fintech &amp; Payments Operations</t>
        </is>
      </c>
      <c r="C31" s="207" t="inlineStr">
        <is>
          <t>Numbers</t>
        </is>
      </c>
      <c r="D31" s="327">
        <f>IFERROR(INDEX($I31:$AX31,MATCH(DATE(D$5,12,31),$I$6:$AX$6,0)),0)</f>
        <v/>
      </c>
      <c r="E31" s="327">
        <f>IFERROR(INDEX($I31:$AX31,MATCH(DATE(E$5,12,31),$I$6:$AX$6,0)),0)</f>
        <v/>
      </c>
      <c r="F31" s="327">
        <f>IFERROR(INDEX($I31:$AX31,MATCH(DATE(F$5,12,31),$I$6:$AX$6,0)),0)</f>
        <v/>
      </c>
      <c r="G31" s="327">
        <f>IFERROR(INDEX($I31:$AX31,MATCH(DATE(G$5,12,31),$I$6:$AX$6,0)),0)</f>
        <v/>
      </c>
      <c r="H31" s="252" t="n"/>
      <c r="I31" s="19">
        <f>I15</f>
        <v/>
      </c>
      <c r="J31" s="19">
        <f>I31+J15</f>
        <v/>
      </c>
      <c r="K31" s="19">
        <f>J31+K15</f>
        <v/>
      </c>
      <c r="L31" s="19">
        <f>K31+L15</f>
        <v/>
      </c>
      <c r="M31" s="19">
        <f>L31+M15</f>
        <v/>
      </c>
      <c r="N31" s="19">
        <f>M31+N15</f>
        <v/>
      </c>
      <c r="O31" s="19">
        <f>N31+O15</f>
        <v/>
      </c>
      <c r="P31" s="19">
        <f>O31+P15</f>
        <v/>
      </c>
      <c r="Q31" s="19">
        <f>P31+Q15</f>
        <v/>
      </c>
      <c r="R31" s="19">
        <f>Q31+R15</f>
        <v/>
      </c>
      <c r="S31" s="19">
        <f>R31+S15</f>
        <v/>
      </c>
      <c r="T31" s="19">
        <f>S31+T15</f>
        <v/>
      </c>
      <c r="U31" s="19">
        <f>T31+U15</f>
        <v/>
      </c>
      <c r="V31" s="19">
        <f>U31+V15</f>
        <v/>
      </c>
      <c r="W31" s="19">
        <f>V31+W15</f>
        <v/>
      </c>
      <c r="X31" s="19">
        <f>W31+X15</f>
        <v/>
      </c>
      <c r="Y31" s="19">
        <f>X31+Y15</f>
        <v/>
      </c>
      <c r="Z31" s="19">
        <f>Y31+Z15</f>
        <v/>
      </c>
      <c r="AA31" s="19">
        <f>Z31+AA15</f>
        <v/>
      </c>
      <c r="AB31" s="19">
        <f>AA31+AB15</f>
        <v/>
      </c>
      <c r="AC31" s="19">
        <f>AB31+AC15</f>
        <v/>
      </c>
      <c r="AD31" s="19">
        <f>AC31+AD15</f>
        <v/>
      </c>
      <c r="AE31" s="19">
        <f>AD31+AE15</f>
        <v/>
      </c>
      <c r="AF31" s="19">
        <f>AE31+AF15</f>
        <v/>
      </c>
      <c r="AG31" s="19">
        <f>AF31+AG15</f>
        <v/>
      </c>
      <c r="AH31" s="19">
        <f>AG31+AH15</f>
        <v/>
      </c>
      <c r="AI31" s="19">
        <f>AH31+AI15</f>
        <v/>
      </c>
      <c r="AJ31" s="19">
        <f>AI31+AJ15</f>
        <v/>
      </c>
      <c r="AK31" s="19">
        <f>AJ31+AK15</f>
        <v/>
      </c>
      <c r="AL31" s="19">
        <f>AK31+AL15</f>
        <v/>
      </c>
      <c r="AM31" s="19">
        <f>AL31+AM15</f>
        <v/>
      </c>
      <c r="AN31" s="19">
        <f>AM31+AN15</f>
        <v/>
      </c>
      <c r="AO31" s="19">
        <f>AN31+AO15</f>
        <v/>
      </c>
      <c r="AP31" s="19">
        <f>AO31+AP15</f>
        <v/>
      </c>
      <c r="AQ31" s="19">
        <f>AP31+AQ15</f>
        <v/>
      </c>
      <c r="AR31" s="19">
        <f>AQ31+AR15</f>
        <v/>
      </c>
      <c r="AS31" s="19">
        <f>AR31+AS15</f>
        <v/>
      </c>
      <c r="AT31" s="19">
        <f>AS31+AT15</f>
        <v/>
      </c>
      <c r="AU31" s="19">
        <f>AT31+AU15</f>
        <v/>
      </c>
      <c r="AV31" s="19">
        <f>AU31+AV15</f>
        <v/>
      </c>
      <c r="AW31" s="19">
        <f>AV31+AW15</f>
        <v/>
      </c>
      <c r="AX31" s="19">
        <f>AW31+AX15</f>
        <v/>
      </c>
      <c r="AY31" s="19" t="n"/>
    </row>
    <row r="32">
      <c r="B32" s="1" t="inlineStr">
        <is>
          <t>Admin Support</t>
        </is>
      </c>
      <c r="C32" s="207" t="inlineStr">
        <is>
          <t>Numbers</t>
        </is>
      </c>
      <c r="D32" s="327">
        <f>IFERROR(INDEX($I32:$AX32,MATCH(DATE(D$5,12,31),$I$6:$AX$6,0)),0)</f>
        <v/>
      </c>
      <c r="E32" s="327">
        <f>IFERROR(INDEX($I32:$AX32,MATCH(DATE(E$5,12,31),$I$6:$AX$6,0)),0)</f>
        <v/>
      </c>
      <c r="F32" s="327">
        <f>IFERROR(INDEX($I32:$AX32,MATCH(DATE(F$5,12,31),$I$6:$AX$6,0)),0)</f>
        <v/>
      </c>
      <c r="G32" s="327">
        <f>IFERROR(INDEX($I32:$AX32,MATCH(DATE(G$5,12,31),$I$6:$AX$6,0)),0)</f>
        <v/>
      </c>
      <c r="H32" s="252" t="n"/>
      <c r="I32" s="19">
        <f>I16</f>
        <v/>
      </c>
      <c r="J32" s="19">
        <f>I32+J16</f>
        <v/>
      </c>
      <c r="K32" s="19">
        <f>J32+K16</f>
        <v/>
      </c>
      <c r="L32" s="19">
        <f>K32+L16</f>
        <v/>
      </c>
      <c r="M32" s="19">
        <f>L32+M16</f>
        <v/>
      </c>
      <c r="N32" s="19">
        <f>M32+N16</f>
        <v/>
      </c>
      <c r="O32" s="19">
        <f>N32+O16</f>
        <v/>
      </c>
      <c r="P32" s="19">
        <f>O32+P16</f>
        <v/>
      </c>
      <c r="Q32" s="19">
        <f>P32+Q16</f>
        <v/>
      </c>
      <c r="R32" s="19">
        <f>Q32+R16</f>
        <v/>
      </c>
      <c r="S32" s="19">
        <f>R32+S16</f>
        <v/>
      </c>
      <c r="T32" s="19">
        <f>S32+T16</f>
        <v/>
      </c>
      <c r="U32" s="19">
        <f>T32+U16</f>
        <v/>
      </c>
      <c r="V32" s="19">
        <f>U32+V16</f>
        <v/>
      </c>
      <c r="W32" s="19">
        <f>V32+W16</f>
        <v/>
      </c>
      <c r="X32" s="19">
        <f>W32+X16</f>
        <v/>
      </c>
      <c r="Y32" s="19">
        <f>X32+Y16</f>
        <v/>
      </c>
      <c r="Z32" s="19">
        <f>Y32+Z16</f>
        <v/>
      </c>
      <c r="AA32" s="19">
        <f>Z32+AA16</f>
        <v/>
      </c>
      <c r="AB32" s="19">
        <f>AA32+AB16</f>
        <v/>
      </c>
      <c r="AC32" s="19">
        <f>AB32+AC16</f>
        <v/>
      </c>
      <c r="AD32" s="19">
        <f>AC32+AD16</f>
        <v/>
      </c>
      <c r="AE32" s="19">
        <f>AD32+AE16</f>
        <v/>
      </c>
      <c r="AF32" s="19">
        <f>AE32+AF16</f>
        <v/>
      </c>
      <c r="AG32" s="19">
        <f>AF32+AG16</f>
        <v/>
      </c>
      <c r="AH32" s="19">
        <f>AG32+AH16</f>
        <v/>
      </c>
      <c r="AI32" s="19">
        <f>AH32+AI16</f>
        <v/>
      </c>
      <c r="AJ32" s="19">
        <f>AI32+AJ16</f>
        <v/>
      </c>
      <c r="AK32" s="19">
        <f>AJ32+AK16</f>
        <v/>
      </c>
      <c r="AL32" s="19">
        <f>AK32+AL16</f>
        <v/>
      </c>
      <c r="AM32" s="19">
        <f>AL32+AM16</f>
        <v/>
      </c>
      <c r="AN32" s="19">
        <f>AM32+AN16</f>
        <v/>
      </c>
      <c r="AO32" s="19">
        <f>AN32+AO16</f>
        <v/>
      </c>
      <c r="AP32" s="19">
        <f>AO32+AP16</f>
        <v/>
      </c>
      <c r="AQ32" s="19">
        <f>AP32+AQ16</f>
        <v/>
      </c>
      <c r="AR32" s="19">
        <f>AQ32+AR16</f>
        <v/>
      </c>
      <c r="AS32" s="19">
        <f>AR32+AS16</f>
        <v/>
      </c>
      <c r="AT32" s="19">
        <f>AS32+AT16</f>
        <v/>
      </c>
      <c r="AU32" s="19">
        <f>AT32+AU16</f>
        <v/>
      </c>
      <c r="AV32" s="19">
        <f>AU32+AV16</f>
        <v/>
      </c>
      <c r="AW32" s="19">
        <f>AV32+AW16</f>
        <v/>
      </c>
      <c r="AX32" s="19">
        <f>AW32+AX16</f>
        <v/>
      </c>
      <c r="AY32" s="19" t="n"/>
    </row>
    <row r="33">
      <c r="B33" s="1" t="inlineStr">
        <is>
          <t>HR Manager</t>
        </is>
      </c>
      <c r="C33" s="207" t="inlineStr">
        <is>
          <t>Numbers</t>
        </is>
      </c>
      <c r="D33" s="327">
        <f>IFERROR(INDEX($I33:$AX33,MATCH(DATE(D$5,12,31),$I$6:$AX$6,0)),0)</f>
        <v/>
      </c>
      <c r="E33" s="327">
        <f>IFERROR(INDEX($I33:$AX33,MATCH(DATE(E$5,12,31),$I$6:$AX$6,0)),0)</f>
        <v/>
      </c>
      <c r="F33" s="327">
        <f>IFERROR(INDEX($I33:$AX33,MATCH(DATE(F$5,12,31),$I$6:$AX$6,0)),0)</f>
        <v/>
      </c>
      <c r="G33" s="327">
        <f>IFERROR(INDEX($I33:$AX33,MATCH(DATE(G$5,12,31),$I$6:$AX$6,0)),0)</f>
        <v/>
      </c>
      <c r="H33" s="252" t="n"/>
      <c r="I33" s="19">
        <f>I17</f>
        <v/>
      </c>
      <c r="J33" s="19">
        <f>I33+J17</f>
        <v/>
      </c>
      <c r="K33" s="19">
        <f>J33+K17</f>
        <v/>
      </c>
      <c r="L33" s="19">
        <f>K33+L17</f>
        <v/>
      </c>
      <c r="M33" s="19">
        <f>L33+M17</f>
        <v/>
      </c>
      <c r="N33" s="19">
        <f>M33+N17</f>
        <v/>
      </c>
      <c r="O33" s="19">
        <f>N33+O17</f>
        <v/>
      </c>
      <c r="P33" s="19">
        <f>O33+P17</f>
        <v/>
      </c>
      <c r="Q33" s="19">
        <f>P33+Q17</f>
        <v/>
      </c>
      <c r="R33" s="19">
        <f>Q33+R17</f>
        <v/>
      </c>
      <c r="S33" s="19">
        <f>R33+S17</f>
        <v/>
      </c>
      <c r="T33" s="19">
        <f>S33+T17</f>
        <v/>
      </c>
      <c r="U33" s="19">
        <f>T33+U17</f>
        <v/>
      </c>
      <c r="V33" s="19">
        <f>U33+V17</f>
        <v/>
      </c>
      <c r="W33" s="19">
        <f>V33+W17</f>
        <v/>
      </c>
      <c r="X33" s="19">
        <f>W33+X17</f>
        <v/>
      </c>
      <c r="Y33" s="19">
        <f>X33+Y17</f>
        <v/>
      </c>
      <c r="Z33" s="19">
        <f>Y33+Z17</f>
        <v/>
      </c>
      <c r="AA33" s="19">
        <f>Z33+AA17</f>
        <v/>
      </c>
      <c r="AB33" s="19">
        <f>AA33+AB17</f>
        <v/>
      </c>
      <c r="AC33" s="19">
        <f>AB33+AC17</f>
        <v/>
      </c>
      <c r="AD33" s="19">
        <f>AC33+AD17</f>
        <v/>
      </c>
      <c r="AE33" s="19">
        <f>AD33+AE17</f>
        <v/>
      </c>
      <c r="AF33" s="19">
        <f>AE33+AF17</f>
        <v/>
      </c>
      <c r="AG33" s="19">
        <f>AF33+AG17</f>
        <v/>
      </c>
      <c r="AH33" s="19">
        <f>AG33+AH17</f>
        <v/>
      </c>
      <c r="AI33" s="19">
        <f>AH33+AI17</f>
        <v/>
      </c>
      <c r="AJ33" s="19">
        <f>AI33+AJ17</f>
        <v/>
      </c>
      <c r="AK33" s="19">
        <f>AJ33+AK17</f>
        <v/>
      </c>
      <c r="AL33" s="19">
        <f>AK33+AL17</f>
        <v/>
      </c>
      <c r="AM33" s="19">
        <f>AL33+AM17</f>
        <v/>
      </c>
      <c r="AN33" s="19">
        <f>AM33+AN17</f>
        <v/>
      </c>
      <c r="AO33" s="19">
        <f>AN33+AO17</f>
        <v/>
      </c>
      <c r="AP33" s="19">
        <f>AO33+AP17</f>
        <v/>
      </c>
      <c r="AQ33" s="19">
        <f>AP33+AQ17</f>
        <v/>
      </c>
      <c r="AR33" s="19">
        <f>AQ33+AR17</f>
        <v/>
      </c>
      <c r="AS33" s="19">
        <f>AR33+AS17</f>
        <v/>
      </c>
      <c r="AT33" s="19">
        <f>AS33+AT17</f>
        <v/>
      </c>
      <c r="AU33" s="19">
        <f>AT33+AU17</f>
        <v/>
      </c>
      <c r="AV33" s="19">
        <f>AU33+AV17</f>
        <v/>
      </c>
      <c r="AW33" s="19">
        <f>AV33+AW17</f>
        <v/>
      </c>
      <c r="AX33" s="19">
        <f>AW33+AX17</f>
        <v/>
      </c>
      <c r="AY33" s="19" t="n"/>
    </row>
    <row r="34">
      <c r="B34" s="1" t="inlineStr">
        <is>
          <t>COO</t>
        </is>
      </c>
      <c r="C34" s="207" t="inlineStr">
        <is>
          <t>Numbers</t>
        </is>
      </c>
      <c r="D34" s="327">
        <f>IFERROR(INDEX($I34:$AX34,MATCH(DATE(D$5,12,31),$I$6:$AX$6,0)),0)</f>
        <v/>
      </c>
      <c r="E34" s="327">
        <f>IFERROR(INDEX($I34:$AX34,MATCH(DATE(E$5,12,31),$I$6:$AX$6,0)),0)</f>
        <v/>
      </c>
      <c r="F34" s="327">
        <f>IFERROR(INDEX($I34:$AX34,MATCH(DATE(F$5,12,31),$I$6:$AX$6,0)),0)</f>
        <v/>
      </c>
      <c r="G34" s="327">
        <f>IFERROR(INDEX($I34:$AX34,MATCH(DATE(G$5,12,31),$I$6:$AX$6,0)),0)</f>
        <v/>
      </c>
      <c r="H34" s="252" t="n"/>
      <c r="I34" s="19">
        <f>I18</f>
        <v/>
      </c>
      <c r="J34" s="19">
        <f>I34+J18</f>
        <v/>
      </c>
      <c r="K34" s="19">
        <f>J34+K18</f>
        <v/>
      </c>
      <c r="L34" s="19">
        <f>K34+L18</f>
        <v/>
      </c>
      <c r="M34" s="19">
        <f>L34+M18</f>
        <v/>
      </c>
      <c r="N34" s="19">
        <f>M34+N18</f>
        <v/>
      </c>
      <c r="O34" s="19">
        <f>N34+O18</f>
        <v/>
      </c>
      <c r="P34" s="19">
        <f>O34+P18</f>
        <v/>
      </c>
      <c r="Q34" s="19">
        <f>P34+Q18</f>
        <v/>
      </c>
      <c r="R34" s="19">
        <f>Q34+R18</f>
        <v/>
      </c>
      <c r="S34" s="19">
        <f>R34+S18</f>
        <v/>
      </c>
      <c r="T34" s="19">
        <f>S34+T18</f>
        <v/>
      </c>
      <c r="U34" s="19">
        <f>T34+U18</f>
        <v/>
      </c>
      <c r="V34" s="19">
        <f>U34+V18</f>
        <v/>
      </c>
      <c r="W34" s="19">
        <f>V34+W18</f>
        <v/>
      </c>
      <c r="X34" s="19">
        <f>W34+X18</f>
        <v/>
      </c>
      <c r="Y34" s="19">
        <f>X34+Y18</f>
        <v/>
      </c>
      <c r="Z34" s="19">
        <f>Y34+Z18</f>
        <v/>
      </c>
      <c r="AA34" s="19">
        <f>Z34+AA18</f>
        <v/>
      </c>
      <c r="AB34" s="19">
        <f>AA34+AB18</f>
        <v/>
      </c>
      <c r="AC34" s="19">
        <f>AB34+AC18</f>
        <v/>
      </c>
      <c r="AD34" s="19">
        <f>AC34+AD18</f>
        <v/>
      </c>
      <c r="AE34" s="19">
        <f>AD34+AE18</f>
        <v/>
      </c>
      <c r="AF34" s="19">
        <f>AE34+AF18</f>
        <v/>
      </c>
      <c r="AG34" s="19">
        <f>AF34+AG18</f>
        <v/>
      </c>
      <c r="AH34" s="19">
        <f>AG34+AH18</f>
        <v/>
      </c>
      <c r="AI34" s="19">
        <f>AH34+AI18</f>
        <v/>
      </c>
      <c r="AJ34" s="19">
        <f>AI34+AJ18</f>
        <v/>
      </c>
      <c r="AK34" s="19">
        <f>AJ34+AK18</f>
        <v/>
      </c>
      <c r="AL34" s="19">
        <f>AK34+AL18</f>
        <v/>
      </c>
      <c r="AM34" s="19">
        <f>AL34+AM18</f>
        <v/>
      </c>
      <c r="AN34" s="19">
        <f>AM34+AN18</f>
        <v/>
      </c>
      <c r="AO34" s="19">
        <f>AN34+AO18</f>
        <v/>
      </c>
      <c r="AP34" s="19">
        <f>AO34+AP18</f>
        <v/>
      </c>
      <c r="AQ34" s="19">
        <f>AP34+AQ18</f>
        <v/>
      </c>
      <c r="AR34" s="19">
        <f>AQ34+AR18</f>
        <v/>
      </c>
      <c r="AS34" s="19">
        <f>AR34+AS18</f>
        <v/>
      </c>
      <c r="AT34" s="19">
        <f>AS34+AT18</f>
        <v/>
      </c>
      <c r="AU34" s="19">
        <f>AT34+AU18</f>
        <v/>
      </c>
      <c r="AV34" s="19">
        <f>AU34+AV18</f>
        <v/>
      </c>
      <c r="AW34" s="19">
        <f>AV34+AW18</f>
        <v/>
      </c>
      <c r="AX34" s="19">
        <f>AW34+AX18</f>
        <v/>
      </c>
      <c r="AY34" s="19" t="n"/>
    </row>
    <row r="35">
      <c r="B35" s="1" t="inlineStr">
        <is>
          <t>Brand &amp; Digital Marketing Generalist</t>
        </is>
      </c>
      <c r="C35" s="207" t="inlineStr">
        <is>
          <t>Numbers</t>
        </is>
      </c>
      <c r="D35" s="327">
        <f>IFERROR(INDEX($I35:$AX35,MATCH(DATE(D$5,12,31),$I$6:$AX$6,0)),0)</f>
        <v/>
      </c>
      <c r="E35" s="327">
        <f>IFERROR(INDEX($I35:$AX35,MATCH(DATE(E$5,12,31),$I$6:$AX$6,0)),0)</f>
        <v/>
      </c>
      <c r="F35" s="327">
        <f>IFERROR(INDEX($I35:$AX35,MATCH(DATE(F$5,12,31),$I$6:$AX$6,0)),0)</f>
        <v/>
      </c>
      <c r="G35" s="327">
        <f>IFERROR(INDEX($I35:$AX35,MATCH(DATE(G$5,12,31),$I$6:$AX$6,0)),0)</f>
        <v/>
      </c>
      <c r="H35" s="252" t="n"/>
      <c r="I35" s="19">
        <f>I19</f>
        <v/>
      </c>
      <c r="J35" s="19">
        <f>I35+J19</f>
        <v/>
      </c>
      <c r="K35" s="19">
        <f>J35+K19</f>
        <v/>
      </c>
      <c r="L35" s="19">
        <f>K35+L19</f>
        <v/>
      </c>
      <c r="M35" s="19">
        <f>L35+M19</f>
        <v/>
      </c>
      <c r="N35" s="19">
        <f>M35+N19</f>
        <v/>
      </c>
      <c r="O35" s="19">
        <f>N35+O19</f>
        <v/>
      </c>
      <c r="P35" s="19">
        <f>O35+P19</f>
        <v/>
      </c>
      <c r="Q35" s="19">
        <f>P35+Q19</f>
        <v/>
      </c>
      <c r="R35" s="19">
        <f>Q35+R19</f>
        <v/>
      </c>
      <c r="S35" s="19">
        <f>R35+S19</f>
        <v/>
      </c>
      <c r="T35" s="19">
        <f>S35+T19</f>
        <v/>
      </c>
      <c r="U35" s="19">
        <f>T35+U19</f>
        <v/>
      </c>
      <c r="V35" s="19">
        <f>U35+V19</f>
        <v/>
      </c>
      <c r="W35" s="19">
        <f>V35+W19</f>
        <v/>
      </c>
      <c r="X35" s="19">
        <f>W35+X19</f>
        <v/>
      </c>
      <c r="Y35" s="19">
        <f>X35+Y19</f>
        <v/>
      </c>
      <c r="Z35" s="19">
        <f>Y35+Z19</f>
        <v/>
      </c>
      <c r="AA35" s="19">
        <f>Z35+AA19</f>
        <v/>
      </c>
      <c r="AB35" s="19">
        <f>AA35+AB19</f>
        <v/>
      </c>
      <c r="AC35" s="19">
        <f>AB35+AC19</f>
        <v/>
      </c>
      <c r="AD35" s="19">
        <f>AC35+AD19</f>
        <v/>
      </c>
      <c r="AE35" s="19">
        <f>AD35+AE19</f>
        <v/>
      </c>
      <c r="AF35" s="19">
        <f>AE35+AF19</f>
        <v/>
      </c>
      <c r="AG35" s="19">
        <f>AF35+AG19</f>
        <v/>
      </c>
      <c r="AH35" s="19">
        <f>AG35+AH19</f>
        <v/>
      </c>
      <c r="AI35" s="19">
        <f>AH35+AI19</f>
        <v/>
      </c>
      <c r="AJ35" s="19">
        <f>AI35+AJ19</f>
        <v/>
      </c>
      <c r="AK35" s="19">
        <f>AJ35+AK19</f>
        <v/>
      </c>
      <c r="AL35" s="19">
        <f>AK35+AL19</f>
        <v/>
      </c>
      <c r="AM35" s="19">
        <f>AL35+AM19</f>
        <v/>
      </c>
      <c r="AN35" s="19">
        <f>AM35+AN19</f>
        <v/>
      </c>
      <c r="AO35" s="19">
        <f>AN35+AO19</f>
        <v/>
      </c>
      <c r="AP35" s="19">
        <f>AO35+AP19</f>
        <v/>
      </c>
      <c r="AQ35" s="19">
        <f>AP35+AQ19</f>
        <v/>
      </c>
      <c r="AR35" s="19">
        <f>AQ35+AR19</f>
        <v/>
      </c>
      <c r="AS35" s="19">
        <f>AR35+AS19</f>
        <v/>
      </c>
      <c r="AT35" s="19">
        <f>AS35+AT19</f>
        <v/>
      </c>
      <c r="AU35" s="19">
        <f>AT35+AU19</f>
        <v/>
      </c>
      <c r="AV35" s="19">
        <f>AU35+AV19</f>
        <v/>
      </c>
      <c r="AW35" s="19">
        <f>AV35+AW19</f>
        <v/>
      </c>
      <c r="AX35" s="19">
        <f>AW35+AX19</f>
        <v/>
      </c>
      <c r="AY35" s="19" t="n"/>
    </row>
    <row r="36">
      <c r="B36" s="1" t="inlineStr">
        <is>
          <t>Program Manager</t>
        </is>
      </c>
      <c r="C36" s="207" t="inlineStr">
        <is>
          <t>Numbers</t>
        </is>
      </c>
      <c r="D36" s="327">
        <f>IFERROR(INDEX($I36:$AX36,MATCH(DATE(D$5,12,31),$I$6:$AX$6,0)),0)</f>
        <v/>
      </c>
      <c r="E36" s="327">
        <f>IFERROR(INDEX($I36:$AX36,MATCH(DATE(E$5,12,31),$I$6:$AX$6,0)),0)</f>
        <v/>
      </c>
      <c r="F36" s="327">
        <f>IFERROR(INDEX($I36:$AX36,MATCH(DATE(F$5,12,31),$I$6:$AX$6,0)),0)</f>
        <v/>
      </c>
      <c r="G36" s="327">
        <f>IFERROR(INDEX($I36:$AX36,MATCH(DATE(G$5,12,31),$I$6:$AX$6,0)),0)</f>
        <v/>
      </c>
      <c r="H36" s="252" t="n"/>
      <c r="I36" s="19">
        <f>I20</f>
        <v/>
      </c>
      <c r="J36" s="19">
        <f>I36+J20</f>
        <v/>
      </c>
      <c r="K36" s="19">
        <f>J36+K20</f>
        <v/>
      </c>
      <c r="L36" s="19">
        <f>K36+L20</f>
        <v/>
      </c>
      <c r="M36" s="19">
        <f>L36+M20</f>
        <v/>
      </c>
      <c r="N36" s="19">
        <f>M36+N20</f>
        <v/>
      </c>
      <c r="O36" s="19">
        <f>N36+O20</f>
        <v/>
      </c>
      <c r="P36" s="19">
        <f>O36+P20</f>
        <v/>
      </c>
      <c r="Q36" s="19">
        <f>P36+Q20</f>
        <v/>
      </c>
      <c r="R36" s="19">
        <f>Q36+R20</f>
        <v/>
      </c>
      <c r="S36" s="19">
        <f>R36+S20</f>
        <v/>
      </c>
      <c r="T36" s="19">
        <f>S36+T20</f>
        <v/>
      </c>
      <c r="U36" s="19">
        <f>T36+U20</f>
        <v/>
      </c>
      <c r="V36" s="19">
        <f>U36+V20</f>
        <v/>
      </c>
      <c r="W36" s="19">
        <f>V36+W20</f>
        <v/>
      </c>
      <c r="X36" s="19">
        <f>W36+X20</f>
        <v/>
      </c>
      <c r="Y36" s="19">
        <f>X36+Y20</f>
        <v/>
      </c>
      <c r="Z36" s="19">
        <f>Y36+Z20</f>
        <v/>
      </c>
      <c r="AA36" s="19">
        <f>Z36+AA20</f>
        <v/>
      </c>
      <c r="AB36" s="19">
        <f>AA36+AB20</f>
        <v/>
      </c>
      <c r="AC36" s="19">
        <f>AB36+AC20</f>
        <v/>
      </c>
      <c r="AD36" s="19">
        <f>AC36+AD20</f>
        <v/>
      </c>
      <c r="AE36" s="19">
        <f>AD36+AE20</f>
        <v/>
      </c>
      <c r="AF36" s="19">
        <f>AE36+AF20</f>
        <v/>
      </c>
      <c r="AG36" s="19">
        <f>AF36+AG20</f>
        <v/>
      </c>
      <c r="AH36" s="19">
        <f>AG36+AH20</f>
        <v/>
      </c>
      <c r="AI36" s="19">
        <f>AH36+AI20</f>
        <v/>
      </c>
      <c r="AJ36" s="19">
        <f>AI36+AJ20</f>
        <v/>
      </c>
      <c r="AK36" s="19">
        <f>AJ36+AK20</f>
        <v/>
      </c>
      <c r="AL36" s="19">
        <f>AK36+AL20</f>
        <v/>
      </c>
      <c r="AM36" s="19">
        <f>AL36+AM20</f>
        <v/>
      </c>
      <c r="AN36" s="19">
        <f>AM36+AN20</f>
        <v/>
      </c>
      <c r="AO36" s="19">
        <f>AN36+AO20</f>
        <v/>
      </c>
      <c r="AP36" s="19">
        <f>AO36+AP20</f>
        <v/>
      </c>
      <c r="AQ36" s="19">
        <f>AP36+AQ20</f>
        <v/>
      </c>
      <c r="AR36" s="19">
        <f>AQ36+AR20</f>
        <v/>
      </c>
      <c r="AS36" s="19">
        <f>AR36+AS20</f>
        <v/>
      </c>
      <c r="AT36" s="19">
        <f>AS36+AT20</f>
        <v/>
      </c>
      <c r="AU36" s="19">
        <f>AT36+AU20</f>
        <v/>
      </c>
      <c r="AV36" s="19">
        <f>AU36+AV20</f>
        <v/>
      </c>
      <c r="AW36" s="19">
        <f>AV36+AW20</f>
        <v/>
      </c>
      <c r="AX36" s="19">
        <f>AW36+AX20</f>
        <v/>
      </c>
      <c r="AY36" s="19" t="n"/>
    </row>
    <row r="37"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</row>
    <row r="38">
      <c r="B38" s="128" t="inlineStr">
        <is>
          <t>Total Number of Employees</t>
        </is>
      </c>
      <c r="C38" s="269" t="n"/>
      <c r="D38" s="267">
        <f>IFERROR(INDEX($I38:$AX38,MATCH(DATE(D$5,12,31),$I$6:$AX$6,0)),0)</f>
        <v/>
      </c>
      <c r="E38" s="267">
        <f>IFERROR(INDEX($I38:$AX38,MATCH(DATE(E$5,12,31),$I$6:$AX$6,0)),0)</f>
        <v/>
      </c>
      <c r="F38" s="267">
        <f>IFERROR(INDEX($I38:$AX38,MATCH(DATE(F$5,12,31),$I$6:$AX$6,0)),0)</f>
        <v/>
      </c>
      <c r="G38" s="267">
        <f>IFERROR(INDEX($I38:$AX38,MATCH(DATE(G$5,12,31),$I$6:$AX$6,0)),0)</f>
        <v/>
      </c>
      <c r="H38" s="252" t="n"/>
      <c r="I38" s="267">
        <f>SUM(I25:I36)</f>
        <v/>
      </c>
      <c r="J38" s="267">
        <f>SUM(J25:J36)</f>
        <v/>
      </c>
      <c r="K38" s="267">
        <f>SUM(K25:K36)</f>
        <v/>
      </c>
      <c r="L38" s="267">
        <f>SUM(L25:L36)</f>
        <v/>
      </c>
      <c r="M38" s="267">
        <f>SUM(M25:M36)</f>
        <v/>
      </c>
      <c r="N38" s="267">
        <f>SUM(N25:N36)</f>
        <v/>
      </c>
      <c r="O38" s="267">
        <f>SUM(O25:O36)</f>
        <v/>
      </c>
      <c r="P38" s="267">
        <f>SUM(P25:P36)</f>
        <v/>
      </c>
      <c r="Q38" s="267">
        <f>SUM(Q25:Q36)</f>
        <v/>
      </c>
      <c r="R38" s="267">
        <f>SUM(R25:R36)</f>
        <v/>
      </c>
      <c r="S38" s="267">
        <f>SUM(S25:S36)</f>
        <v/>
      </c>
      <c r="T38" s="267">
        <f>SUM(T25:T36)</f>
        <v/>
      </c>
      <c r="U38" s="267">
        <f>SUM(U25:U36)</f>
        <v/>
      </c>
      <c r="V38" s="267">
        <f>SUM(V25:V36)</f>
        <v/>
      </c>
      <c r="W38" s="267">
        <f>SUM(W25:W36)</f>
        <v/>
      </c>
      <c r="X38" s="267">
        <f>SUM(X25:X36)</f>
        <v/>
      </c>
      <c r="Y38" s="267">
        <f>SUM(Y25:Y36)</f>
        <v/>
      </c>
      <c r="Z38" s="267">
        <f>SUM(Z25:Z36)</f>
        <v/>
      </c>
      <c r="AA38" s="267">
        <f>SUM(AA25:AA36)</f>
        <v/>
      </c>
      <c r="AB38" s="267">
        <f>SUM(AB25:AB36)</f>
        <v/>
      </c>
      <c r="AC38" s="267">
        <f>SUM(AC25:AC36)</f>
        <v/>
      </c>
      <c r="AD38" s="267">
        <f>SUM(AD25:AD36)</f>
        <v/>
      </c>
      <c r="AE38" s="267">
        <f>SUM(AE25:AE36)</f>
        <v/>
      </c>
      <c r="AF38" s="267">
        <f>SUM(AF25:AF36)</f>
        <v/>
      </c>
      <c r="AG38" s="267">
        <f>SUM(AG25:AG36)</f>
        <v/>
      </c>
      <c r="AH38" s="267">
        <f>SUM(AH25:AH36)</f>
        <v/>
      </c>
      <c r="AI38" s="267">
        <f>SUM(AI25:AI36)</f>
        <v/>
      </c>
      <c r="AJ38" s="267">
        <f>SUM(AJ25:AJ36)</f>
        <v/>
      </c>
      <c r="AK38" s="267">
        <f>SUM(AK25:AK36)</f>
        <v/>
      </c>
      <c r="AL38" s="267">
        <f>SUM(AL25:AL36)</f>
        <v/>
      </c>
      <c r="AM38" s="267">
        <f>SUM(AM25:AM36)</f>
        <v/>
      </c>
      <c r="AN38" s="267">
        <f>SUM(AN25:AN36)</f>
        <v/>
      </c>
      <c r="AO38" s="267">
        <f>SUM(AO25:AO36)</f>
        <v/>
      </c>
      <c r="AP38" s="267">
        <f>SUM(AP25:AP36)</f>
        <v/>
      </c>
      <c r="AQ38" s="267">
        <f>SUM(AQ25:AQ36)</f>
        <v/>
      </c>
      <c r="AR38" s="267">
        <f>SUM(AR25:AR36)</f>
        <v/>
      </c>
      <c r="AS38" s="267">
        <f>SUM(AS25:AS36)</f>
        <v/>
      </c>
      <c r="AT38" s="267">
        <f>SUM(AT25:AT36)</f>
        <v/>
      </c>
      <c r="AU38" s="267">
        <f>SUM(AU25:AU36)</f>
        <v/>
      </c>
      <c r="AV38" s="267">
        <f>SUM(AV25:AV36)</f>
        <v/>
      </c>
      <c r="AW38" s="267">
        <f>SUM(AW25:AW36)</f>
        <v/>
      </c>
      <c r="AX38" s="267">
        <f>SUM(AX25:AX36)</f>
        <v/>
      </c>
      <c r="AY38" s="19" t="n"/>
    </row>
    <row r="39"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</row>
    <row r="40">
      <c r="B40" s="263" t="inlineStr">
        <is>
          <t>Salary per Month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</row>
    <row r="41">
      <c r="B41" s="1" t="inlineStr">
        <is>
          <t>Product Owner</t>
        </is>
      </c>
      <c r="C41" s="235" t="n">
        <v>4000</v>
      </c>
      <c r="D41" s="252">
        <f>SUMIF($I$5:$AX$5,D$5,$I41:$AX41)</f>
        <v/>
      </c>
      <c r="E41" s="252">
        <f>SUMIF($I$5:$AX$5,E$5,$I41:$AX41)</f>
        <v/>
      </c>
      <c r="F41" s="252">
        <f>SUMIF($I$5:$AX$5,F$5,$I41:$AX41)</f>
        <v/>
      </c>
      <c r="G41" s="252">
        <f>SUMIF($I$5:$AX$5,G$5,$I41:$AX41)</f>
        <v/>
      </c>
      <c r="H41" s="252" t="n"/>
      <c r="I41" s="19">
        <f>C41</f>
        <v/>
      </c>
      <c r="J41" s="19">
        <f>IF(MONTH(J$6)=1,(I41*(1+DCF!$C$52)),('Manpower Expenses'!I41))</f>
        <v/>
      </c>
      <c r="K41" s="19">
        <f>IF(MONTH(K$6)=1,(J41*(1+DCF!$C$52)),('Manpower Expenses'!J41))</f>
        <v/>
      </c>
      <c r="L41" s="19">
        <f>IF(MONTH(L$6)=1,(K41*(1+DCF!$C$52)),('Manpower Expenses'!K41))</f>
        <v/>
      </c>
      <c r="M41" s="19">
        <f>IF(MONTH(M$6)=1,(L41*(1+DCF!$C$52)),('Manpower Expenses'!L41))</f>
        <v/>
      </c>
      <c r="N41" s="19">
        <f>IF(MONTH(N$6)=1,(M41*(1+DCF!$C$52)),('Manpower Expenses'!M41))</f>
        <v/>
      </c>
      <c r="O41" s="19">
        <f>IF(MONTH(O$6)=1,(N41*(1+DCF!$C$52)),('Manpower Expenses'!N41))</f>
        <v/>
      </c>
      <c r="P41" s="19">
        <f>IF(MONTH(P$6)=1,(O41*(1+DCF!$C$52)),('Manpower Expenses'!O41))</f>
        <v/>
      </c>
      <c r="Q41" s="19">
        <f>IF(MONTH(Q$6)=1,(P41*(1+DCF!$C$52)),('Manpower Expenses'!P41))</f>
        <v/>
      </c>
      <c r="R41" s="19">
        <f>IF(MONTH(R$6)=1,(Q41*(1+DCF!$C$52)),('Manpower Expenses'!Q41))</f>
        <v/>
      </c>
      <c r="S41" s="19">
        <f>IF(MONTH(S$6)=1,(R41*(1+DCF!$C$52)),('Manpower Expenses'!R41))</f>
        <v/>
      </c>
      <c r="T41" s="19">
        <f>IF(MONTH(T$6)=1,(S41*(1+DCF!$C$52)),('Manpower Expenses'!S41))</f>
        <v/>
      </c>
      <c r="U41" s="19">
        <f>IF(MONTH(U$6)=1,(T41*(1+DCF!$C$52)),('Manpower Expenses'!T41))</f>
        <v/>
      </c>
      <c r="V41" s="19">
        <f>IF(MONTH(V$6)=1,(U41*(1+DCF!$C$52)),('Manpower Expenses'!U41))</f>
        <v/>
      </c>
      <c r="W41" s="19">
        <f>IF(MONTH(W$6)=1,(V41*(1+DCF!$C$52)),('Manpower Expenses'!V41))</f>
        <v/>
      </c>
      <c r="X41" s="19">
        <f>IF(MONTH(X$6)=1,(W41*(1+DCF!$C$52)),('Manpower Expenses'!W41))</f>
        <v/>
      </c>
      <c r="Y41" s="19">
        <f>IF(MONTH(Y$6)=1,(X41*(1+DCF!$C$52)),('Manpower Expenses'!X41))</f>
        <v/>
      </c>
      <c r="Z41" s="19">
        <f>IF(MONTH(Z$6)=1,(Y41*(1+DCF!$C$52)),('Manpower Expenses'!Y41))</f>
        <v/>
      </c>
      <c r="AA41" s="19">
        <f>IF(MONTH(AA$6)=1,(Z41*(1+DCF!$C$52)),('Manpower Expenses'!Z41))</f>
        <v/>
      </c>
      <c r="AB41" s="19">
        <f>IF(MONTH(AB$6)=1,(AA41*(1+DCF!$C$52)),('Manpower Expenses'!AA41))</f>
        <v/>
      </c>
      <c r="AC41" s="19">
        <f>IF(MONTH(AC$6)=1,(AB41*(1+DCF!$C$52)),('Manpower Expenses'!AB41))</f>
        <v/>
      </c>
      <c r="AD41" s="19">
        <f>IF(MONTH(AD$6)=1,(AC41*(1+DCF!$C$52)),('Manpower Expenses'!AC41))</f>
        <v/>
      </c>
      <c r="AE41" s="19">
        <f>IF(MONTH(AE$6)=1,(AD41*(1+DCF!$C$52)),('Manpower Expenses'!AD41))</f>
        <v/>
      </c>
      <c r="AF41" s="19">
        <f>IF(MONTH(AF$6)=1,(AE41*(1+DCF!$C$52)),('Manpower Expenses'!AE41))</f>
        <v/>
      </c>
      <c r="AG41" s="19">
        <f>IF(MONTH(AG$6)=1,(AF41*(1+DCF!$C$52)),('Manpower Expenses'!AF41))</f>
        <v/>
      </c>
      <c r="AH41" s="19">
        <f>IF(MONTH(AH$6)=1,(AG41*(1+DCF!$C$52)),('Manpower Expenses'!AG41))</f>
        <v/>
      </c>
      <c r="AI41" s="19">
        <f>IF(MONTH(AI$6)=1,(AH41*(1+DCF!$C$52)),('Manpower Expenses'!AH41))</f>
        <v/>
      </c>
      <c r="AJ41" s="19">
        <f>IF(MONTH(AJ$6)=1,(AI41*(1+DCF!$C$52)),('Manpower Expenses'!AI41))</f>
        <v/>
      </c>
      <c r="AK41" s="19">
        <f>IF(MONTH(AK$6)=1,(AJ41*(1+DCF!$C$52)),('Manpower Expenses'!AJ41))</f>
        <v/>
      </c>
      <c r="AL41" s="19">
        <f>IF(MONTH(AL$6)=1,(AK41*(1+DCF!$C$52)),('Manpower Expenses'!AK41))</f>
        <v/>
      </c>
      <c r="AM41" s="19">
        <f>IF(MONTH(AM$6)=1,(AL41*(1+DCF!$C$52)),('Manpower Expenses'!AL41))</f>
        <v/>
      </c>
      <c r="AN41" s="19">
        <f>IF(MONTH(AN$6)=1,(AM41*(1+DCF!$C$52)),('Manpower Expenses'!AM41))</f>
        <v/>
      </c>
      <c r="AO41" s="19">
        <f>IF(MONTH(AO$6)=1,(AN41*(1+DCF!$C$52)),('Manpower Expenses'!AN41))</f>
        <v/>
      </c>
      <c r="AP41" s="19">
        <f>IF(MONTH(AP$6)=1,(AO41*(1+DCF!$C$52)),('Manpower Expenses'!AO41))</f>
        <v/>
      </c>
      <c r="AQ41" s="19">
        <f>IF(MONTH(AQ$6)=1,(AP41*(1+DCF!$C$52)),('Manpower Expenses'!AP41))</f>
        <v/>
      </c>
      <c r="AR41" s="19">
        <f>IF(MONTH(AR$6)=1,(AQ41*(1+DCF!$C$52)),('Manpower Expenses'!AQ41))</f>
        <v/>
      </c>
      <c r="AS41" s="19">
        <f>IF(MONTH(AS$6)=1,(AR41*(1+DCF!$C$52)),('Manpower Expenses'!AR41))</f>
        <v/>
      </c>
      <c r="AT41" s="19">
        <f>IF(MONTH(AT$6)=1,(AS41*(1+DCF!$C$52)),('Manpower Expenses'!AS41))</f>
        <v/>
      </c>
      <c r="AU41" s="19">
        <f>IF(MONTH(AU$6)=1,(AT41*(1+DCF!$C$52)),('Manpower Expenses'!AT41))</f>
        <v/>
      </c>
      <c r="AV41" s="19">
        <f>IF(MONTH(AV$6)=1,(AU41*(1+DCF!$C$52)),('Manpower Expenses'!AU41))</f>
        <v/>
      </c>
      <c r="AW41" s="19">
        <f>IF(MONTH(AW$6)=1,(AV41*(1+DCF!$C$52)),('Manpower Expenses'!AV41))</f>
        <v/>
      </c>
      <c r="AX41" s="19">
        <f>IF(MONTH(AX$6)=1,(AW41*(1+DCF!$C$52)),('Manpower Expenses'!AW41))</f>
        <v/>
      </c>
      <c r="AY41" s="19" t="n"/>
    </row>
    <row r="42">
      <c r="B42" s="1" t="inlineStr">
        <is>
          <t>Techno Business Analyst</t>
        </is>
      </c>
      <c r="C42" s="235" t="n">
        <v>2000</v>
      </c>
      <c r="D42" s="252">
        <f>SUMIF($I$5:$AX$5,D$5,$I42:$AX42)</f>
        <v/>
      </c>
      <c r="E42" s="252">
        <f>SUMIF($I$5:$AX$5,E$5,$I42:$AX42)</f>
        <v/>
      </c>
      <c r="F42" s="252">
        <f>SUMIF($I$5:$AX$5,F$5,$I42:$AX42)</f>
        <v/>
      </c>
      <c r="G42" s="252">
        <f>SUMIF($I$5:$AX$5,G$5,$I42:$AX42)</f>
        <v/>
      </c>
      <c r="H42" s="252" t="n"/>
      <c r="I42" s="19">
        <f>C42</f>
        <v/>
      </c>
      <c r="J42" s="19">
        <f>IF(MONTH(J$6)=1,(I42*(1+DCF!$C$52)),('Manpower Expenses'!I42))</f>
        <v/>
      </c>
      <c r="K42" s="19">
        <f>IF(MONTH(K$6)=1,(J42*(1+DCF!$C$52)),('Manpower Expenses'!J42))</f>
        <v/>
      </c>
      <c r="L42" s="19">
        <f>IF(MONTH(L$6)=1,(K42*(1+DCF!$C$52)),('Manpower Expenses'!K42))</f>
        <v/>
      </c>
      <c r="M42" s="19">
        <f>IF(MONTH(M$6)=1,(L42*(1+DCF!$C$52)),('Manpower Expenses'!L42))</f>
        <v/>
      </c>
      <c r="N42" s="19">
        <f>IF(MONTH(N$6)=1,(M42*(1+DCF!$C$52)),('Manpower Expenses'!M42))</f>
        <v/>
      </c>
      <c r="O42" s="19">
        <f>IF(MONTH(O$6)=1,(N42*(1+DCF!$C$52)),('Manpower Expenses'!N42))</f>
        <v/>
      </c>
      <c r="P42" s="19">
        <f>IF(MONTH(P$6)=1,(O42*(1+DCF!$C$52)),('Manpower Expenses'!O42))</f>
        <v/>
      </c>
      <c r="Q42" s="19">
        <f>IF(MONTH(Q$6)=1,(P42*(1+DCF!$C$52)),('Manpower Expenses'!P42))</f>
        <v/>
      </c>
      <c r="R42" s="19">
        <f>IF(MONTH(R$6)=1,(Q42*(1+DCF!$C$52)),('Manpower Expenses'!Q42))</f>
        <v/>
      </c>
      <c r="S42" s="19">
        <f>IF(MONTH(S$6)=1,(R42*(1+DCF!$C$52)),('Manpower Expenses'!R42))</f>
        <v/>
      </c>
      <c r="T42" s="19">
        <f>IF(MONTH(T$6)=1,(S42*(1+DCF!$C$52)),('Manpower Expenses'!S42))</f>
        <v/>
      </c>
      <c r="U42" s="19">
        <f>IF(MONTH(U$6)=1,(T42*(1+DCF!$C$52)),('Manpower Expenses'!T42))</f>
        <v/>
      </c>
      <c r="V42" s="19">
        <f>IF(MONTH(V$6)=1,(U42*(1+DCF!$C$52)),('Manpower Expenses'!U42))</f>
        <v/>
      </c>
      <c r="W42" s="19">
        <f>IF(MONTH(W$6)=1,(V42*(1+DCF!$C$52)),('Manpower Expenses'!V42))</f>
        <v/>
      </c>
      <c r="X42" s="19">
        <f>IF(MONTH(X$6)=1,(W42*(1+DCF!$C$52)),('Manpower Expenses'!W42))</f>
        <v/>
      </c>
      <c r="Y42" s="19">
        <f>IF(MONTH(Y$6)=1,(X42*(1+DCF!$C$52)),('Manpower Expenses'!X42))</f>
        <v/>
      </c>
      <c r="Z42" s="19">
        <f>IF(MONTH(Z$6)=1,(Y42*(1+DCF!$C$52)),('Manpower Expenses'!Y42))</f>
        <v/>
      </c>
      <c r="AA42" s="19">
        <f>IF(MONTH(AA$6)=1,(Z42*(1+DCF!$C$52)),('Manpower Expenses'!Z42))</f>
        <v/>
      </c>
      <c r="AB42" s="19">
        <f>IF(MONTH(AB$6)=1,(AA42*(1+DCF!$C$52)),('Manpower Expenses'!AA42))</f>
        <v/>
      </c>
      <c r="AC42" s="19">
        <f>IF(MONTH(AC$6)=1,(AB42*(1+DCF!$C$52)),('Manpower Expenses'!AB42))</f>
        <v/>
      </c>
      <c r="AD42" s="19">
        <f>IF(MONTH(AD$6)=1,(AC42*(1+DCF!$C$52)),('Manpower Expenses'!AC42))</f>
        <v/>
      </c>
      <c r="AE42" s="19">
        <f>IF(MONTH(AE$6)=1,(AD42*(1+DCF!$C$52)),('Manpower Expenses'!AD42))</f>
        <v/>
      </c>
      <c r="AF42" s="19">
        <f>IF(MONTH(AF$6)=1,(AE42*(1+DCF!$C$52)),('Manpower Expenses'!AE42))</f>
        <v/>
      </c>
      <c r="AG42" s="19">
        <f>IF(MONTH(AG$6)=1,(AF42*(1+DCF!$C$52)),('Manpower Expenses'!AF42))</f>
        <v/>
      </c>
      <c r="AH42" s="19">
        <f>IF(MONTH(AH$6)=1,(AG42*(1+DCF!$C$52)),('Manpower Expenses'!AG42))</f>
        <v/>
      </c>
      <c r="AI42" s="19">
        <f>IF(MONTH(AI$6)=1,(AH42*(1+DCF!$C$52)),('Manpower Expenses'!AH42))</f>
        <v/>
      </c>
      <c r="AJ42" s="19">
        <f>IF(MONTH(AJ$6)=1,(AI42*(1+DCF!$C$52)),('Manpower Expenses'!AI42))</f>
        <v/>
      </c>
      <c r="AK42" s="19">
        <f>IF(MONTH(AK$6)=1,(AJ42*(1+DCF!$C$52)),('Manpower Expenses'!AJ42))</f>
        <v/>
      </c>
      <c r="AL42" s="19">
        <f>IF(MONTH(AL$6)=1,(AK42*(1+DCF!$C$52)),('Manpower Expenses'!AK42))</f>
        <v/>
      </c>
      <c r="AM42" s="19">
        <f>IF(MONTH(AM$6)=1,(AL42*(1+DCF!$C$52)),('Manpower Expenses'!AL42))</f>
        <v/>
      </c>
      <c r="AN42" s="19">
        <f>IF(MONTH(AN$6)=1,(AM42*(1+DCF!$C$52)),('Manpower Expenses'!AM42))</f>
        <v/>
      </c>
      <c r="AO42" s="19">
        <f>IF(MONTH(AO$6)=1,(AN42*(1+DCF!$C$52)),('Manpower Expenses'!AN42))</f>
        <v/>
      </c>
      <c r="AP42" s="19">
        <f>IF(MONTH(AP$6)=1,(AO42*(1+DCF!$C$52)),('Manpower Expenses'!AO42))</f>
        <v/>
      </c>
      <c r="AQ42" s="19">
        <f>IF(MONTH(AQ$6)=1,(AP42*(1+DCF!$C$52)),('Manpower Expenses'!AP42))</f>
        <v/>
      </c>
      <c r="AR42" s="19">
        <f>IF(MONTH(AR$6)=1,(AQ42*(1+DCF!$C$52)),('Manpower Expenses'!AQ42))</f>
        <v/>
      </c>
      <c r="AS42" s="19">
        <f>IF(MONTH(AS$6)=1,(AR42*(1+DCF!$C$52)),('Manpower Expenses'!AR42))</f>
        <v/>
      </c>
      <c r="AT42" s="19">
        <f>IF(MONTH(AT$6)=1,(AS42*(1+DCF!$C$52)),('Manpower Expenses'!AS42))</f>
        <v/>
      </c>
      <c r="AU42" s="19">
        <f>IF(MONTH(AU$6)=1,(AT42*(1+DCF!$C$52)),('Manpower Expenses'!AT42))</f>
        <v/>
      </c>
      <c r="AV42" s="19">
        <f>IF(MONTH(AV$6)=1,(AU42*(1+DCF!$C$52)),('Manpower Expenses'!AU42))</f>
        <v/>
      </c>
      <c r="AW42" s="19">
        <f>IF(MONTH(AW$6)=1,(AV42*(1+DCF!$C$52)),('Manpower Expenses'!AV42))</f>
        <v/>
      </c>
      <c r="AX42" s="19">
        <f>IF(MONTH(AX$6)=1,(AW42*(1+DCF!$C$52)),('Manpower Expenses'!AW42))</f>
        <v/>
      </c>
      <c r="AY42" s="19" t="n"/>
    </row>
    <row r="43">
      <c r="B43" s="1" t="inlineStr">
        <is>
          <t>Product Designer</t>
        </is>
      </c>
      <c r="C43" s="235" t="n">
        <v>2500</v>
      </c>
      <c r="D43" s="252">
        <f>SUMIF($I$5:$AX$5,D$5,$I43:$AX43)</f>
        <v/>
      </c>
      <c r="E43" s="252">
        <f>SUMIF($I$5:$AX$5,E$5,$I43:$AX43)</f>
        <v/>
      </c>
      <c r="F43" s="252">
        <f>SUMIF($I$5:$AX$5,F$5,$I43:$AX43)</f>
        <v/>
      </c>
      <c r="G43" s="252">
        <f>SUMIF($I$5:$AX$5,G$5,$I43:$AX43)</f>
        <v/>
      </c>
      <c r="H43" s="252" t="n"/>
      <c r="I43" s="19">
        <f>C43</f>
        <v/>
      </c>
      <c r="J43" s="19">
        <f>IF(MONTH(J$6)=1,(I43*(1+DCF!$C$52)),('Manpower Expenses'!I43))</f>
        <v/>
      </c>
      <c r="K43" s="19">
        <f>IF(MONTH(K$6)=1,(J43*(1+DCF!$C$52)),('Manpower Expenses'!J43))</f>
        <v/>
      </c>
      <c r="L43" s="19">
        <f>IF(MONTH(L$6)=1,(K43*(1+DCF!$C$52)),('Manpower Expenses'!K43))</f>
        <v/>
      </c>
      <c r="M43" s="19">
        <f>IF(MONTH(M$6)=1,(L43*(1+DCF!$C$52)),('Manpower Expenses'!L43))</f>
        <v/>
      </c>
      <c r="N43" s="19">
        <f>IF(MONTH(N$6)=1,(M43*(1+DCF!$C$52)),('Manpower Expenses'!M43))</f>
        <v/>
      </c>
      <c r="O43" s="19">
        <f>IF(MONTH(O$6)=1,(N43*(1+DCF!$C$52)),('Manpower Expenses'!N43))</f>
        <v/>
      </c>
      <c r="P43" s="19">
        <f>IF(MONTH(P$6)=1,(O43*(1+DCF!$C$52)),('Manpower Expenses'!O43))</f>
        <v/>
      </c>
      <c r="Q43" s="19">
        <f>IF(MONTH(Q$6)=1,(P43*(1+DCF!$C$52)),('Manpower Expenses'!P43))</f>
        <v/>
      </c>
      <c r="R43" s="19">
        <f>IF(MONTH(R$6)=1,(Q43*(1+DCF!$C$52)),('Manpower Expenses'!Q43))</f>
        <v/>
      </c>
      <c r="S43" s="19">
        <f>IF(MONTH(S$6)=1,(R43*(1+DCF!$C$52)),('Manpower Expenses'!R43))</f>
        <v/>
      </c>
      <c r="T43" s="19">
        <f>IF(MONTH(T$6)=1,(S43*(1+DCF!$C$52)),('Manpower Expenses'!S43))</f>
        <v/>
      </c>
      <c r="U43" s="19">
        <f>IF(MONTH(U$6)=1,(T43*(1+DCF!$C$52)),('Manpower Expenses'!T43))</f>
        <v/>
      </c>
      <c r="V43" s="19">
        <f>IF(MONTH(V$6)=1,(U43*(1+DCF!$C$52)),('Manpower Expenses'!U43))</f>
        <v/>
      </c>
      <c r="W43" s="19">
        <f>IF(MONTH(W$6)=1,(V43*(1+DCF!$C$52)),('Manpower Expenses'!V43))</f>
        <v/>
      </c>
      <c r="X43" s="19">
        <f>IF(MONTH(X$6)=1,(W43*(1+DCF!$C$52)),('Manpower Expenses'!W43))</f>
        <v/>
      </c>
      <c r="Y43" s="19">
        <f>IF(MONTH(Y$6)=1,(X43*(1+DCF!$C$52)),('Manpower Expenses'!X43))</f>
        <v/>
      </c>
      <c r="Z43" s="19">
        <f>IF(MONTH(Z$6)=1,(Y43*(1+DCF!$C$52)),('Manpower Expenses'!Y43))</f>
        <v/>
      </c>
      <c r="AA43" s="19">
        <f>IF(MONTH(AA$6)=1,(Z43*(1+DCF!$C$52)),('Manpower Expenses'!Z43))</f>
        <v/>
      </c>
      <c r="AB43" s="19">
        <f>IF(MONTH(AB$6)=1,(AA43*(1+DCF!$C$52)),('Manpower Expenses'!AA43))</f>
        <v/>
      </c>
      <c r="AC43" s="19">
        <f>IF(MONTH(AC$6)=1,(AB43*(1+DCF!$C$52)),('Manpower Expenses'!AB43))</f>
        <v/>
      </c>
      <c r="AD43" s="19">
        <f>IF(MONTH(AD$6)=1,(AC43*(1+DCF!$C$52)),('Manpower Expenses'!AC43))</f>
        <v/>
      </c>
      <c r="AE43" s="19">
        <f>IF(MONTH(AE$6)=1,(AD43*(1+DCF!$C$52)),('Manpower Expenses'!AD43))</f>
        <v/>
      </c>
      <c r="AF43" s="19">
        <f>IF(MONTH(AF$6)=1,(AE43*(1+DCF!$C$52)),('Manpower Expenses'!AE43))</f>
        <v/>
      </c>
      <c r="AG43" s="19">
        <f>IF(MONTH(AG$6)=1,(AF43*(1+DCF!$C$52)),('Manpower Expenses'!AF43))</f>
        <v/>
      </c>
      <c r="AH43" s="19">
        <f>IF(MONTH(AH$6)=1,(AG43*(1+DCF!$C$52)),('Manpower Expenses'!AG43))</f>
        <v/>
      </c>
      <c r="AI43" s="19">
        <f>IF(MONTH(AI$6)=1,(AH43*(1+DCF!$C$52)),('Manpower Expenses'!AH43))</f>
        <v/>
      </c>
      <c r="AJ43" s="19">
        <f>IF(MONTH(AJ$6)=1,(AI43*(1+DCF!$C$52)),('Manpower Expenses'!AI43))</f>
        <v/>
      </c>
      <c r="AK43" s="19">
        <f>IF(MONTH(AK$6)=1,(AJ43*(1+DCF!$C$52)),('Manpower Expenses'!AJ43))</f>
        <v/>
      </c>
      <c r="AL43" s="19">
        <f>IF(MONTH(AL$6)=1,(AK43*(1+DCF!$C$52)),('Manpower Expenses'!AK43))</f>
        <v/>
      </c>
      <c r="AM43" s="19">
        <f>IF(MONTH(AM$6)=1,(AL43*(1+DCF!$C$52)),('Manpower Expenses'!AL43))</f>
        <v/>
      </c>
      <c r="AN43" s="19">
        <f>IF(MONTH(AN$6)=1,(AM43*(1+DCF!$C$52)),('Manpower Expenses'!AM43))</f>
        <v/>
      </c>
      <c r="AO43" s="19">
        <f>IF(MONTH(AO$6)=1,(AN43*(1+DCF!$C$52)),('Manpower Expenses'!AN43))</f>
        <v/>
      </c>
      <c r="AP43" s="19">
        <f>IF(MONTH(AP$6)=1,(AO43*(1+DCF!$C$52)),('Manpower Expenses'!AO43))</f>
        <v/>
      </c>
      <c r="AQ43" s="19">
        <f>IF(MONTH(AQ$6)=1,(AP43*(1+DCF!$C$52)),('Manpower Expenses'!AP43))</f>
        <v/>
      </c>
      <c r="AR43" s="19">
        <f>IF(MONTH(AR$6)=1,(AQ43*(1+DCF!$C$52)),('Manpower Expenses'!AQ43))</f>
        <v/>
      </c>
      <c r="AS43" s="19">
        <f>IF(MONTH(AS$6)=1,(AR43*(1+DCF!$C$52)),('Manpower Expenses'!AR43))</f>
        <v/>
      </c>
      <c r="AT43" s="19">
        <f>IF(MONTH(AT$6)=1,(AS43*(1+DCF!$C$52)),('Manpower Expenses'!AS43))</f>
        <v/>
      </c>
      <c r="AU43" s="19">
        <f>IF(MONTH(AU$6)=1,(AT43*(1+DCF!$C$52)),('Manpower Expenses'!AT43))</f>
        <v/>
      </c>
      <c r="AV43" s="19">
        <f>IF(MONTH(AV$6)=1,(AU43*(1+DCF!$C$52)),('Manpower Expenses'!AU43))</f>
        <v/>
      </c>
      <c r="AW43" s="19">
        <f>IF(MONTH(AW$6)=1,(AV43*(1+DCF!$C$52)),('Manpower Expenses'!AV43))</f>
        <v/>
      </c>
      <c r="AX43" s="19">
        <f>IF(MONTH(AX$6)=1,(AW43*(1+DCF!$C$52)),('Manpower Expenses'!AW43))</f>
        <v/>
      </c>
      <c r="AY43" s="19" t="n"/>
    </row>
    <row r="44">
      <c r="B44" s="1" t="inlineStr">
        <is>
          <t>CTO / Head of Architecture</t>
        </is>
      </c>
      <c r="C44" s="235" t="n">
        <v>3000</v>
      </c>
      <c r="D44" s="252">
        <f>SUMIF($I$5:$AX$5,D$5,$I44:$AX44)</f>
        <v/>
      </c>
      <c r="E44" s="252">
        <f>SUMIF($I$5:$AX$5,E$5,$I44:$AX44)</f>
        <v/>
      </c>
      <c r="F44" s="252">
        <f>SUMIF($I$5:$AX$5,F$5,$I44:$AX44)</f>
        <v/>
      </c>
      <c r="G44" s="252">
        <f>SUMIF($I$5:$AX$5,G$5,$I44:$AX44)</f>
        <v/>
      </c>
      <c r="H44" s="252" t="n"/>
      <c r="I44" s="19">
        <f>C44</f>
        <v/>
      </c>
      <c r="J44" s="19">
        <f>IF(MONTH(J$6)=1,(I44*(1+DCF!$C$52)),('Manpower Expenses'!I44))</f>
        <v/>
      </c>
      <c r="K44" s="19">
        <f>IF(MONTH(K$6)=1,(J44*(1+DCF!$C$52)),('Manpower Expenses'!J44))</f>
        <v/>
      </c>
      <c r="L44" s="19">
        <f>IF(MONTH(L$6)=1,(K44*(1+DCF!$C$52)),('Manpower Expenses'!K44))</f>
        <v/>
      </c>
      <c r="M44" s="19">
        <f>IF(MONTH(M$6)=1,(L44*(1+DCF!$C$52)),('Manpower Expenses'!L44))</f>
        <v/>
      </c>
      <c r="N44" s="19">
        <f>IF(MONTH(N$6)=1,(M44*(1+DCF!$C$52)),('Manpower Expenses'!M44))</f>
        <v/>
      </c>
      <c r="O44" s="19">
        <f>IF(MONTH(O$6)=1,(N44*(1+DCF!$C$52)),('Manpower Expenses'!N44))</f>
        <v/>
      </c>
      <c r="P44" s="19">
        <f>IF(MONTH(P$6)=1,(O44*(1+DCF!$C$52)),('Manpower Expenses'!O44))</f>
        <v/>
      </c>
      <c r="Q44" s="19">
        <f>IF(MONTH(Q$6)=1,(P44*(1+DCF!$C$52)),('Manpower Expenses'!P44))</f>
        <v/>
      </c>
      <c r="R44" s="19">
        <f>IF(MONTH(R$6)=1,(Q44*(1+DCF!$C$52)),('Manpower Expenses'!Q44))</f>
        <v/>
      </c>
      <c r="S44" s="19">
        <f>IF(MONTH(S$6)=1,(R44*(1+DCF!$C$52)),('Manpower Expenses'!R44))</f>
        <v/>
      </c>
      <c r="T44" s="19">
        <f>IF(MONTH(T$6)=1,(S44*(1+DCF!$C$52)),('Manpower Expenses'!S44))</f>
        <v/>
      </c>
      <c r="U44" s="19">
        <f>IF(MONTH(U$6)=1,(T44*(1+DCF!$C$52)),('Manpower Expenses'!T44))</f>
        <v/>
      </c>
      <c r="V44" s="19">
        <f>IF(MONTH(V$6)=1,(U44*(1+DCF!$C$52)),('Manpower Expenses'!U44))</f>
        <v/>
      </c>
      <c r="W44" s="19">
        <f>IF(MONTH(W$6)=1,(V44*(1+DCF!$C$52)),('Manpower Expenses'!V44))</f>
        <v/>
      </c>
      <c r="X44" s="19">
        <f>IF(MONTH(X$6)=1,(W44*(1+DCF!$C$52)),('Manpower Expenses'!W44))</f>
        <v/>
      </c>
      <c r="Y44" s="19">
        <f>IF(MONTH(Y$6)=1,(X44*(1+DCF!$C$52)),('Manpower Expenses'!X44))</f>
        <v/>
      </c>
      <c r="Z44" s="19">
        <f>IF(MONTH(Z$6)=1,(Y44*(1+DCF!$C$52)),('Manpower Expenses'!Y44))</f>
        <v/>
      </c>
      <c r="AA44" s="19">
        <f>IF(MONTH(AA$6)=1,(Z44*(1+DCF!$C$52)),('Manpower Expenses'!Z44))</f>
        <v/>
      </c>
      <c r="AB44" s="19">
        <f>IF(MONTH(AB$6)=1,(AA44*(1+DCF!$C$52)),('Manpower Expenses'!AA44))</f>
        <v/>
      </c>
      <c r="AC44" s="19">
        <f>IF(MONTH(AC$6)=1,(AB44*(1+DCF!$C$52)),('Manpower Expenses'!AB44))</f>
        <v/>
      </c>
      <c r="AD44" s="19">
        <f>IF(MONTH(AD$6)=1,(AC44*(1+DCF!$C$52)),('Manpower Expenses'!AC44))</f>
        <v/>
      </c>
      <c r="AE44" s="19">
        <f>IF(MONTH(AE$6)=1,(AD44*(1+DCF!$C$52)),('Manpower Expenses'!AD44))</f>
        <v/>
      </c>
      <c r="AF44" s="19">
        <f>IF(MONTH(AF$6)=1,(AE44*(1+DCF!$C$52)),('Manpower Expenses'!AE44))</f>
        <v/>
      </c>
      <c r="AG44" s="19">
        <f>IF(MONTH(AG$6)=1,(AF44*(1+DCF!$C$52)),('Manpower Expenses'!AF44))</f>
        <v/>
      </c>
      <c r="AH44" s="19">
        <f>IF(MONTH(AH$6)=1,(AG44*(1+DCF!$C$52)),('Manpower Expenses'!AG44))</f>
        <v/>
      </c>
      <c r="AI44" s="19">
        <f>IF(MONTH(AI$6)=1,(AH44*(1+DCF!$C$52)),('Manpower Expenses'!AH44))</f>
        <v/>
      </c>
      <c r="AJ44" s="19">
        <f>IF(MONTH(AJ$6)=1,(AI44*(1+DCF!$C$52)),('Manpower Expenses'!AI44))</f>
        <v/>
      </c>
      <c r="AK44" s="19">
        <f>IF(MONTH(AK$6)=1,(AJ44*(1+DCF!$C$52)),('Manpower Expenses'!AJ44))</f>
        <v/>
      </c>
      <c r="AL44" s="19">
        <f>IF(MONTH(AL$6)=1,(AK44*(1+DCF!$C$52)),('Manpower Expenses'!AK44))</f>
        <v/>
      </c>
      <c r="AM44" s="19">
        <f>IF(MONTH(AM$6)=1,(AL44*(1+DCF!$C$52)),('Manpower Expenses'!AL44))</f>
        <v/>
      </c>
      <c r="AN44" s="19">
        <f>IF(MONTH(AN$6)=1,(AM44*(1+DCF!$C$52)),('Manpower Expenses'!AM44))</f>
        <v/>
      </c>
      <c r="AO44" s="19">
        <f>IF(MONTH(AO$6)=1,(AN44*(1+DCF!$C$52)),('Manpower Expenses'!AN44))</f>
        <v/>
      </c>
      <c r="AP44" s="19">
        <f>IF(MONTH(AP$6)=1,(AO44*(1+DCF!$C$52)),('Manpower Expenses'!AO44))</f>
        <v/>
      </c>
      <c r="AQ44" s="19">
        <f>IF(MONTH(AQ$6)=1,(AP44*(1+DCF!$C$52)),('Manpower Expenses'!AP44))</f>
        <v/>
      </c>
      <c r="AR44" s="19">
        <f>IF(MONTH(AR$6)=1,(AQ44*(1+DCF!$C$52)),('Manpower Expenses'!AQ44))</f>
        <v/>
      </c>
      <c r="AS44" s="19">
        <f>IF(MONTH(AS$6)=1,(AR44*(1+DCF!$C$52)),('Manpower Expenses'!AR44))</f>
        <v/>
      </c>
      <c r="AT44" s="19">
        <f>IF(MONTH(AT$6)=1,(AS44*(1+DCF!$C$52)),('Manpower Expenses'!AS44))</f>
        <v/>
      </c>
      <c r="AU44" s="19">
        <f>IF(MONTH(AU$6)=1,(AT44*(1+DCF!$C$52)),('Manpower Expenses'!AT44))</f>
        <v/>
      </c>
      <c r="AV44" s="19">
        <f>IF(MONTH(AV$6)=1,(AU44*(1+DCF!$C$52)),('Manpower Expenses'!AU44))</f>
        <v/>
      </c>
      <c r="AW44" s="19">
        <f>IF(MONTH(AW$6)=1,(AV44*(1+DCF!$C$52)),('Manpower Expenses'!AV44))</f>
        <v/>
      </c>
      <c r="AX44" s="19">
        <f>IF(MONTH(AX$6)=1,(AW44*(1+DCF!$C$52)),('Manpower Expenses'!AW44))</f>
        <v/>
      </c>
      <c r="AY44" s="19" t="n"/>
    </row>
    <row r="45">
      <c r="B45" s="1" t="inlineStr">
        <is>
          <t>Accountant</t>
        </is>
      </c>
      <c r="C45" s="235" t="n">
        <v>3000</v>
      </c>
      <c r="D45" s="252">
        <f>SUMIF($I$5:$AX$5,D$5,$I45:$AX45)</f>
        <v/>
      </c>
      <c r="E45" s="252">
        <f>SUMIF($I$5:$AX$5,E$5,$I45:$AX45)</f>
        <v/>
      </c>
      <c r="F45" s="252">
        <f>SUMIF($I$5:$AX$5,F$5,$I45:$AX45)</f>
        <v/>
      </c>
      <c r="G45" s="252">
        <f>SUMIF($I$5:$AX$5,G$5,$I45:$AX45)</f>
        <v/>
      </c>
      <c r="H45" s="252" t="n"/>
      <c r="I45" s="19">
        <f>C45</f>
        <v/>
      </c>
      <c r="J45" s="19">
        <f>IF(MONTH(J$6)=1,(I45*(1+DCF!$C$52)),('Manpower Expenses'!I45))</f>
        <v/>
      </c>
      <c r="K45" s="19">
        <f>IF(MONTH(K$6)=1,(J45*(1+DCF!$C$52)),('Manpower Expenses'!J45))</f>
        <v/>
      </c>
      <c r="L45" s="19">
        <f>IF(MONTH(L$6)=1,(K45*(1+DCF!$C$52)),('Manpower Expenses'!K45))</f>
        <v/>
      </c>
      <c r="M45" s="19">
        <f>IF(MONTH(M$6)=1,(L45*(1+DCF!$C$52)),('Manpower Expenses'!L45))</f>
        <v/>
      </c>
      <c r="N45" s="19">
        <f>IF(MONTH(N$6)=1,(M45*(1+DCF!$C$52)),('Manpower Expenses'!M45))</f>
        <v/>
      </c>
      <c r="O45" s="19">
        <f>IF(MONTH(O$6)=1,(N45*(1+DCF!$C$52)),('Manpower Expenses'!N45))</f>
        <v/>
      </c>
      <c r="P45" s="19">
        <f>IF(MONTH(P$6)=1,(O45*(1+DCF!$C$52)),('Manpower Expenses'!O45))</f>
        <v/>
      </c>
      <c r="Q45" s="19">
        <f>IF(MONTH(Q$6)=1,(P45*(1+DCF!$C$52)),('Manpower Expenses'!P45))</f>
        <v/>
      </c>
      <c r="R45" s="19">
        <f>IF(MONTH(R$6)=1,(Q45*(1+DCF!$C$52)),('Manpower Expenses'!Q45))</f>
        <v/>
      </c>
      <c r="S45" s="19">
        <f>IF(MONTH(S$6)=1,(R45*(1+DCF!$C$52)),('Manpower Expenses'!R45))</f>
        <v/>
      </c>
      <c r="T45" s="19">
        <f>IF(MONTH(T$6)=1,(S45*(1+DCF!$C$52)),('Manpower Expenses'!S45))</f>
        <v/>
      </c>
      <c r="U45" s="19">
        <f>IF(MONTH(U$6)=1,(T45*(1+DCF!$C$52)),('Manpower Expenses'!T45))</f>
        <v/>
      </c>
      <c r="V45" s="19">
        <f>IF(MONTH(V$6)=1,(U45*(1+DCF!$C$52)),('Manpower Expenses'!U45))</f>
        <v/>
      </c>
      <c r="W45" s="19">
        <f>IF(MONTH(W$6)=1,(V45*(1+DCF!$C$52)),('Manpower Expenses'!V45))</f>
        <v/>
      </c>
      <c r="X45" s="19">
        <f>IF(MONTH(X$6)=1,(W45*(1+DCF!$C$52)),('Manpower Expenses'!W45))</f>
        <v/>
      </c>
      <c r="Y45" s="19">
        <f>IF(MONTH(Y$6)=1,(X45*(1+DCF!$C$52)),('Manpower Expenses'!X45))</f>
        <v/>
      </c>
      <c r="Z45" s="19">
        <f>IF(MONTH(Z$6)=1,(Y45*(1+DCF!$C$52)),('Manpower Expenses'!Y45))</f>
        <v/>
      </c>
      <c r="AA45" s="19">
        <f>IF(MONTH(AA$6)=1,(Z45*(1+DCF!$C$52)),('Manpower Expenses'!Z45))</f>
        <v/>
      </c>
      <c r="AB45" s="19">
        <f>IF(MONTH(AB$6)=1,(AA45*(1+DCF!$C$52)),('Manpower Expenses'!AA45))</f>
        <v/>
      </c>
      <c r="AC45" s="19">
        <f>IF(MONTH(AC$6)=1,(AB45*(1+DCF!$C$52)),('Manpower Expenses'!AB45))</f>
        <v/>
      </c>
      <c r="AD45" s="19">
        <f>IF(MONTH(AD$6)=1,(AC45*(1+DCF!$C$52)),('Manpower Expenses'!AC45))</f>
        <v/>
      </c>
      <c r="AE45" s="19">
        <f>IF(MONTH(AE$6)=1,(AD45*(1+DCF!$C$52)),('Manpower Expenses'!AD45))</f>
        <v/>
      </c>
      <c r="AF45" s="19">
        <f>IF(MONTH(AF$6)=1,(AE45*(1+DCF!$C$52)),('Manpower Expenses'!AE45))</f>
        <v/>
      </c>
      <c r="AG45" s="19">
        <f>IF(MONTH(AG$6)=1,(AF45*(1+DCF!$C$52)),('Manpower Expenses'!AF45))</f>
        <v/>
      </c>
      <c r="AH45" s="19">
        <f>IF(MONTH(AH$6)=1,(AG45*(1+DCF!$C$52)),('Manpower Expenses'!AG45))</f>
        <v/>
      </c>
      <c r="AI45" s="19">
        <f>IF(MONTH(AI$6)=1,(AH45*(1+DCF!$C$52)),('Manpower Expenses'!AH45))</f>
        <v/>
      </c>
      <c r="AJ45" s="19">
        <f>IF(MONTH(AJ$6)=1,(AI45*(1+DCF!$C$52)),('Manpower Expenses'!AI45))</f>
        <v/>
      </c>
      <c r="AK45" s="19">
        <f>IF(MONTH(AK$6)=1,(AJ45*(1+DCF!$C$52)),('Manpower Expenses'!AJ45))</f>
        <v/>
      </c>
      <c r="AL45" s="19">
        <f>IF(MONTH(AL$6)=1,(AK45*(1+DCF!$C$52)),('Manpower Expenses'!AK45))</f>
        <v/>
      </c>
      <c r="AM45" s="19">
        <f>IF(MONTH(AM$6)=1,(AL45*(1+DCF!$C$52)),('Manpower Expenses'!AL45))</f>
        <v/>
      </c>
      <c r="AN45" s="19">
        <f>IF(MONTH(AN$6)=1,(AM45*(1+DCF!$C$52)),('Manpower Expenses'!AM45))</f>
        <v/>
      </c>
      <c r="AO45" s="19">
        <f>IF(MONTH(AO$6)=1,(AN45*(1+DCF!$C$52)),('Manpower Expenses'!AN45))</f>
        <v/>
      </c>
      <c r="AP45" s="19">
        <f>IF(MONTH(AP$6)=1,(AO45*(1+DCF!$C$52)),('Manpower Expenses'!AO45))</f>
        <v/>
      </c>
      <c r="AQ45" s="19">
        <f>IF(MONTH(AQ$6)=1,(AP45*(1+DCF!$C$52)),('Manpower Expenses'!AP45))</f>
        <v/>
      </c>
      <c r="AR45" s="19">
        <f>IF(MONTH(AR$6)=1,(AQ45*(1+DCF!$C$52)),('Manpower Expenses'!AQ45))</f>
        <v/>
      </c>
      <c r="AS45" s="19">
        <f>IF(MONTH(AS$6)=1,(AR45*(1+DCF!$C$52)),('Manpower Expenses'!AR45))</f>
        <v/>
      </c>
      <c r="AT45" s="19">
        <f>IF(MONTH(AT$6)=1,(AS45*(1+DCF!$C$52)),('Manpower Expenses'!AS45))</f>
        <v/>
      </c>
      <c r="AU45" s="19">
        <f>IF(MONTH(AU$6)=1,(AT45*(1+DCF!$C$52)),('Manpower Expenses'!AT45))</f>
        <v/>
      </c>
      <c r="AV45" s="19">
        <f>IF(MONTH(AV$6)=1,(AU45*(1+DCF!$C$52)),('Manpower Expenses'!AU45))</f>
        <v/>
      </c>
      <c r="AW45" s="19">
        <f>IF(MONTH(AW$6)=1,(AV45*(1+DCF!$C$52)),('Manpower Expenses'!AV45))</f>
        <v/>
      </c>
      <c r="AX45" s="19">
        <f>IF(MONTH(AX$6)=1,(AW45*(1+DCF!$C$52)),('Manpower Expenses'!AW45))</f>
        <v/>
      </c>
      <c r="AY45" s="19" t="n"/>
    </row>
    <row r="46">
      <c r="B46" s="1" t="inlineStr">
        <is>
          <t>Head of Finance</t>
        </is>
      </c>
      <c r="C46" s="235" t="n">
        <v>3500</v>
      </c>
      <c r="D46" s="252">
        <f>SUMIF($I$5:$AX$5,D$5,$I46:$AX46)</f>
        <v/>
      </c>
      <c r="E46" s="252">
        <f>SUMIF($I$5:$AX$5,E$5,$I46:$AX46)</f>
        <v/>
      </c>
      <c r="F46" s="252">
        <f>SUMIF($I$5:$AX$5,F$5,$I46:$AX46)</f>
        <v/>
      </c>
      <c r="G46" s="252">
        <f>SUMIF($I$5:$AX$5,G$5,$I46:$AX46)</f>
        <v/>
      </c>
      <c r="H46" s="252" t="n"/>
      <c r="I46" s="19">
        <f>C46</f>
        <v/>
      </c>
      <c r="J46" s="19">
        <f>IF(MONTH(J$6)=1,(I46*(1+DCF!$C$52)),('Manpower Expenses'!I46))</f>
        <v/>
      </c>
      <c r="K46" s="19">
        <f>IF(MONTH(K$6)=1,(J46*(1+DCF!$C$52)),('Manpower Expenses'!J46))</f>
        <v/>
      </c>
      <c r="L46" s="19">
        <f>IF(MONTH(L$6)=1,(K46*(1+DCF!$C$52)),('Manpower Expenses'!K46))</f>
        <v/>
      </c>
      <c r="M46" s="19">
        <f>IF(MONTH(M$6)=1,(L46*(1+DCF!$C$52)),('Manpower Expenses'!L46))</f>
        <v/>
      </c>
      <c r="N46" s="19">
        <f>IF(MONTH(N$6)=1,(M46*(1+DCF!$C$52)),('Manpower Expenses'!M46))</f>
        <v/>
      </c>
      <c r="O46" s="19">
        <f>IF(MONTH(O$6)=1,(N46*(1+DCF!$C$52)),('Manpower Expenses'!N46))</f>
        <v/>
      </c>
      <c r="P46" s="19">
        <f>IF(MONTH(P$6)=1,(O46*(1+DCF!$C$52)),('Manpower Expenses'!O46))</f>
        <v/>
      </c>
      <c r="Q46" s="19">
        <f>IF(MONTH(Q$6)=1,(P46*(1+DCF!$C$52)),('Manpower Expenses'!P46))</f>
        <v/>
      </c>
      <c r="R46" s="19">
        <f>IF(MONTH(R$6)=1,(Q46*(1+DCF!$C$52)),('Manpower Expenses'!Q46))</f>
        <v/>
      </c>
      <c r="S46" s="19">
        <f>IF(MONTH(S$6)=1,(R46*(1+DCF!$C$52)),('Manpower Expenses'!R46))</f>
        <v/>
      </c>
      <c r="T46" s="19">
        <f>IF(MONTH(T$6)=1,(S46*(1+DCF!$C$52)),('Manpower Expenses'!S46))</f>
        <v/>
      </c>
      <c r="U46" s="19">
        <f>IF(MONTH(U$6)=1,(T46*(1+DCF!$C$52)),('Manpower Expenses'!T46))</f>
        <v/>
      </c>
      <c r="V46" s="19">
        <f>IF(MONTH(V$6)=1,(U46*(1+DCF!$C$52)),('Manpower Expenses'!U46))</f>
        <v/>
      </c>
      <c r="W46" s="19">
        <f>IF(MONTH(W$6)=1,(V46*(1+DCF!$C$52)),('Manpower Expenses'!V46))</f>
        <v/>
      </c>
      <c r="X46" s="19">
        <f>IF(MONTH(X$6)=1,(W46*(1+DCF!$C$52)),('Manpower Expenses'!W46))</f>
        <v/>
      </c>
      <c r="Y46" s="19">
        <f>IF(MONTH(Y$6)=1,(X46*(1+DCF!$C$52)),('Manpower Expenses'!X46))</f>
        <v/>
      </c>
      <c r="Z46" s="19">
        <f>IF(MONTH(Z$6)=1,(Y46*(1+DCF!$C$52)),('Manpower Expenses'!Y46))</f>
        <v/>
      </c>
      <c r="AA46" s="19">
        <f>IF(MONTH(AA$6)=1,(Z46*(1+DCF!$C$52)),('Manpower Expenses'!Z46))</f>
        <v/>
      </c>
      <c r="AB46" s="19">
        <f>IF(MONTH(AB$6)=1,(AA46*(1+DCF!$C$52)),('Manpower Expenses'!AA46))</f>
        <v/>
      </c>
      <c r="AC46" s="19">
        <f>IF(MONTH(AC$6)=1,(AB46*(1+DCF!$C$52)),('Manpower Expenses'!AB46))</f>
        <v/>
      </c>
      <c r="AD46" s="19">
        <f>IF(MONTH(AD$6)=1,(AC46*(1+DCF!$C$52)),('Manpower Expenses'!AC46))</f>
        <v/>
      </c>
      <c r="AE46" s="19">
        <f>IF(MONTH(AE$6)=1,(AD46*(1+DCF!$C$52)),('Manpower Expenses'!AD46))</f>
        <v/>
      </c>
      <c r="AF46" s="19">
        <f>IF(MONTH(AF$6)=1,(AE46*(1+DCF!$C$52)),('Manpower Expenses'!AE46))</f>
        <v/>
      </c>
      <c r="AG46" s="19">
        <f>IF(MONTH(AG$6)=1,(AF46*(1+DCF!$C$52)),('Manpower Expenses'!AF46))</f>
        <v/>
      </c>
      <c r="AH46" s="19">
        <f>IF(MONTH(AH$6)=1,(AG46*(1+DCF!$C$52)),('Manpower Expenses'!AG46))</f>
        <v/>
      </c>
      <c r="AI46" s="19">
        <f>IF(MONTH(AI$6)=1,(AH46*(1+DCF!$C$52)),('Manpower Expenses'!AH46))</f>
        <v/>
      </c>
      <c r="AJ46" s="19">
        <f>IF(MONTH(AJ$6)=1,(AI46*(1+DCF!$C$52)),('Manpower Expenses'!AI46))</f>
        <v/>
      </c>
      <c r="AK46" s="19">
        <f>IF(MONTH(AK$6)=1,(AJ46*(1+DCF!$C$52)),('Manpower Expenses'!AJ46))</f>
        <v/>
      </c>
      <c r="AL46" s="19">
        <f>IF(MONTH(AL$6)=1,(AK46*(1+DCF!$C$52)),('Manpower Expenses'!AK46))</f>
        <v/>
      </c>
      <c r="AM46" s="19">
        <f>IF(MONTH(AM$6)=1,(AL46*(1+DCF!$C$52)),('Manpower Expenses'!AL46))</f>
        <v/>
      </c>
      <c r="AN46" s="19">
        <f>IF(MONTH(AN$6)=1,(AM46*(1+DCF!$C$52)),('Manpower Expenses'!AM46))</f>
        <v/>
      </c>
      <c r="AO46" s="19">
        <f>IF(MONTH(AO$6)=1,(AN46*(1+DCF!$C$52)),('Manpower Expenses'!AN46))</f>
        <v/>
      </c>
      <c r="AP46" s="19">
        <f>IF(MONTH(AP$6)=1,(AO46*(1+DCF!$C$52)),('Manpower Expenses'!AO46))</f>
        <v/>
      </c>
      <c r="AQ46" s="19">
        <f>IF(MONTH(AQ$6)=1,(AP46*(1+DCF!$C$52)),('Manpower Expenses'!AP46))</f>
        <v/>
      </c>
      <c r="AR46" s="19">
        <f>IF(MONTH(AR$6)=1,(AQ46*(1+DCF!$C$52)),('Manpower Expenses'!AQ46))</f>
        <v/>
      </c>
      <c r="AS46" s="19">
        <f>IF(MONTH(AS$6)=1,(AR46*(1+DCF!$C$52)),('Manpower Expenses'!AR46))</f>
        <v/>
      </c>
      <c r="AT46" s="19">
        <f>IF(MONTH(AT$6)=1,(AS46*(1+DCF!$C$52)),('Manpower Expenses'!AS46))</f>
        <v/>
      </c>
      <c r="AU46" s="19">
        <f>IF(MONTH(AU$6)=1,(AT46*(1+DCF!$C$52)),('Manpower Expenses'!AT46))</f>
        <v/>
      </c>
      <c r="AV46" s="19">
        <f>IF(MONTH(AV$6)=1,(AU46*(1+DCF!$C$52)),('Manpower Expenses'!AU46))</f>
        <v/>
      </c>
      <c r="AW46" s="19">
        <f>IF(MONTH(AW$6)=1,(AV46*(1+DCF!$C$52)),('Manpower Expenses'!AV46))</f>
        <v/>
      </c>
      <c r="AX46" s="19">
        <f>IF(MONTH(AX$6)=1,(AW46*(1+DCF!$C$52)),('Manpower Expenses'!AW46))</f>
        <v/>
      </c>
      <c r="AY46" s="19" t="n"/>
    </row>
    <row r="47">
      <c r="B47" s="1" t="inlineStr">
        <is>
          <t>Head of Fintech &amp; Payments Operations</t>
        </is>
      </c>
      <c r="C47" s="235" t="n">
        <v>4000</v>
      </c>
      <c r="D47" s="252">
        <f>SUMIF($I$5:$AX$5,D$5,$I47:$AX47)</f>
        <v/>
      </c>
      <c r="E47" s="252">
        <f>SUMIF($I$5:$AX$5,E$5,$I47:$AX47)</f>
        <v/>
      </c>
      <c r="F47" s="252">
        <f>SUMIF($I$5:$AX$5,F$5,$I47:$AX47)</f>
        <v/>
      </c>
      <c r="G47" s="252">
        <f>SUMIF($I$5:$AX$5,G$5,$I47:$AX47)</f>
        <v/>
      </c>
      <c r="H47" s="252" t="n"/>
      <c r="I47" s="19">
        <f>C47</f>
        <v/>
      </c>
      <c r="J47" s="19">
        <f>IF(MONTH(J$6)=1,(I47*(1+DCF!$C$52)),('Manpower Expenses'!I47))</f>
        <v/>
      </c>
      <c r="K47" s="19">
        <f>IF(MONTH(K$6)=1,(J47*(1+DCF!$C$52)),('Manpower Expenses'!J47))</f>
        <v/>
      </c>
      <c r="L47" s="19">
        <f>IF(MONTH(L$6)=1,(K47*(1+DCF!$C$52)),('Manpower Expenses'!K47))</f>
        <v/>
      </c>
      <c r="M47" s="19">
        <f>IF(MONTH(M$6)=1,(L47*(1+DCF!$C$52)),('Manpower Expenses'!L47))</f>
        <v/>
      </c>
      <c r="N47" s="19">
        <f>IF(MONTH(N$6)=1,(M47*(1+DCF!$C$52)),('Manpower Expenses'!M47))</f>
        <v/>
      </c>
      <c r="O47" s="19">
        <f>IF(MONTH(O$6)=1,(N47*(1+DCF!$C$52)),('Manpower Expenses'!N47))</f>
        <v/>
      </c>
      <c r="P47" s="19">
        <f>IF(MONTH(P$6)=1,(O47*(1+DCF!$C$52)),('Manpower Expenses'!O47))</f>
        <v/>
      </c>
      <c r="Q47" s="19">
        <f>IF(MONTH(Q$6)=1,(P47*(1+DCF!$C$52)),('Manpower Expenses'!P47))</f>
        <v/>
      </c>
      <c r="R47" s="19">
        <f>IF(MONTH(R$6)=1,(Q47*(1+DCF!$C$52)),('Manpower Expenses'!Q47))</f>
        <v/>
      </c>
      <c r="S47" s="19">
        <f>IF(MONTH(S$6)=1,(R47*(1+DCF!$C$52)),('Manpower Expenses'!R47))</f>
        <v/>
      </c>
      <c r="T47" s="19">
        <f>IF(MONTH(T$6)=1,(S47*(1+DCF!$C$52)),('Manpower Expenses'!S47))</f>
        <v/>
      </c>
      <c r="U47" s="19">
        <f>IF(MONTH(U$6)=1,(T47*(1+DCF!$C$52)),('Manpower Expenses'!T47))</f>
        <v/>
      </c>
      <c r="V47" s="19">
        <f>IF(MONTH(V$6)=1,(U47*(1+DCF!$C$52)),('Manpower Expenses'!U47))</f>
        <v/>
      </c>
      <c r="W47" s="19">
        <f>IF(MONTH(W$6)=1,(V47*(1+DCF!$C$52)),('Manpower Expenses'!V47))</f>
        <v/>
      </c>
      <c r="X47" s="19">
        <f>IF(MONTH(X$6)=1,(W47*(1+DCF!$C$52)),('Manpower Expenses'!W47))</f>
        <v/>
      </c>
      <c r="Y47" s="19">
        <f>IF(MONTH(Y$6)=1,(X47*(1+DCF!$C$52)),('Manpower Expenses'!X47))</f>
        <v/>
      </c>
      <c r="Z47" s="19">
        <f>IF(MONTH(Z$6)=1,(Y47*(1+DCF!$C$52)),('Manpower Expenses'!Y47))</f>
        <v/>
      </c>
      <c r="AA47" s="19">
        <f>IF(MONTH(AA$6)=1,(Z47*(1+DCF!$C$52)),('Manpower Expenses'!Z47))</f>
        <v/>
      </c>
      <c r="AB47" s="19">
        <f>IF(MONTH(AB$6)=1,(AA47*(1+DCF!$C$52)),('Manpower Expenses'!AA47))</f>
        <v/>
      </c>
      <c r="AC47" s="19">
        <f>IF(MONTH(AC$6)=1,(AB47*(1+DCF!$C$52)),('Manpower Expenses'!AB47))</f>
        <v/>
      </c>
      <c r="AD47" s="19">
        <f>IF(MONTH(AD$6)=1,(AC47*(1+DCF!$C$52)),('Manpower Expenses'!AC47))</f>
        <v/>
      </c>
      <c r="AE47" s="19">
        <f>IF(MONTH(AE$6)=1,(AD47*(1+DCF!$C$52)),('Manpower Expenses'!AD47))</f>
        <v/>
      </c>
      <c r="AF47" s="19">
        <f>IF(MONTH(AF$6)=1,(AE47*(1+DCF!$C$52)),('Manpower Expenses'!AE47))</f>
        <v/>
      </c>
      <c r="AG47" s="19">
        <f>IF(MONTH(AG$6)=1,(AF47*(1+DCF!$C$52)),('Manpower Expenses'!AF47))</f>
        <v/>
      </c>
      <c r="AH47" s="19">
        <f>IF(MONTH(AH$6)=1,(AG47*(1+DCF!$C$52)),('Manpower Expenses'!AG47))</f>
        <v/>
      </c>
      <c r="AI47" s="19">
        <f>IF(MONTH(AI$6)=1,(AH47*(1+DCF!$C$52)),('Manpower Expenses'!AH47))</f>
        <v/>
      </c>
      <c r="AJ47" s="19">
        <f>IF(MONTH(AJ$6)=1,(AI47*(1+DCF!$C$52)),('Manpower Expenses'!AI47))</f>
        <v/>
      </c>
      <c r="AK47" s="19">
        <f>IF(MONTH(AK$6)=1,(AJ47*(1+DCF!$C$52)),('Manpower Expenses'!AJ47))</f>
        <v/>
      </c>
      <c r="AL47" s="19">
        <f>IF(MONTH(AL$6)=1,(AK47*(1+DCF!$C$52)),('Manpower Expenses'!AK47))</f>
        <v/>
      </c>
      <c r="AM47" s="19">
        <f>IF(MONTH(AM$6)=1,(AL47*(1+DCF!$C$52)),('Manpower Expenses'!AL47))</f>
        <v/>
      </c>
      <c r="AN47" s="19">
        <f>IF(MONTH(AN$6)=1,(AM47*(1+DCF!$C$52)),('Manpower Expenses'!AM47))</f>
        <v/>
      </c>
      <c r="AO47" s="19">
        <f>IF(MONTH(AO$6)=1,(AN47*(1+DCF!$C$52)),('Manpower Expenses'!AN47))</f>
        <v/>
      </c>
      <c r="AP47" s="19">
        <f>IF(MONTH(AP$6)=1,(AO47*(1+DCF!$C$52)),('Manpower Expenses'!AO47))</f>
        <v/>
      </c>
      <c r="AQ47" s="19">
        <f>IF(MONTH(AQ$6)=1,(AP47*(1+DCF!$C$52)),('Manpower Expenses'!AP47))</f>
        <v/>
      </c>
      <c r="AR47" s="19">
        <f>IF(MONTH(AR$6)=1,(AQ47*(1+DCF!$C$52)),('Manpower Expenses'!AQ47))</f>
        <v/>
      </c>
      <c r="AS47" s="19">
        <f>IF(MONTH(AS$6)=1,(AR47*(1+DCF!$C$52)),('Manpower Expenses'!AR47))</f>
        <v/>
      </c>
      <c r="AT47" s="19">
        <f>IF(MONTH(AT$6)=1,(AS47*(1+DCF!$C$52)),('Manpower Expenses'!AS47))</f>
        <v/>
      </c>
      <c r="AU47" s="19">
        <f>IF(MONTH(AU$6)=1,(AT47*(1+DCF!$C$52)),('Manpower Expenses'!AT47))</f>
        <v/>
      </c>
      <c r="AV47" s="19">
        <f>IF(MONTH(AV$6)=1,(AU47*(1+DCF!$C$52)),('Manpower Expenses'!AU47))</f>
        <v/>
      </c>
      <c r="AW47" s="19">
        <f>IF(MONTH(AW$6)=1,(AV47*(1+DCF!$C$52)),('Manpower Expenses'!AV47))</f>
        <v/>
      </c>
      <c r="AX47" s="19">
        <f>IF(MONTH(AX$6)=1,(AW47*(1+DCF!$C$52)),('Manpower Expenses'!AW47))</f>
        <v/>
      </c>
      <c r="AY47" s="19" t="n"/>
    </row>
    <row r="48">
      <c r="B48" s="1" t="inlineStr">
        <is>
          <t>Admin Support</t>
        </is>
      </c>
      <c r="C48" s="235" t="n">
        <v>3000</v>
      </c>
      <c r="D48" s="252">
        <f>SUMIF($I$5:$AX$5,D$5,$I48:$AX48)</f>
        <v/>
      </c>
      <c r="E48" s="252">
        <f>SUMIF($I$5:$AX$5,E$5,$I48:$AX48)</f>
        <v/>
      </c>
      <c r="F48" s="252">
        <f>SUMIF($I$5:$AX$5,F$5,$I48:$AX48)</f>
        <v/>
      </c>
      <c r="G48" s="252">
        <f>SUMIF($I$5:$AX$5,G$5,$I48:$AX48)</f>
        <v/>
      </c>
      <c r="H48" s="252" t="n"/>
      <c r="I48" s="19">
        <f>C48</f>
        <v/>
      </c>
      <c r="J48" s="19">
        <f>IF(MONTH(J$6)=1,(I48*(1+DCF!$C$52)),('Manpower Expenses'!I48))</f>
        <v/>
      </c>
      <c r="K48" s="19">
        <f>IF(MONTH(K$6)=1,(J48*(1+DCF!$C$52)),('Manpower Expenses'!J48))</f>
        <v/>
      </c>
      <c r="L48" s="19">
        <f>IF(MONTH(L$6)=1,(K48*(1+DCF!$C$52)),('Manpower Expenses'!K48))</f>
        <v/>
      </c>
      <c r="M48" s="19">
        <f>IF(MONTH(M$6)=1,(L48*(1+DCF!$C$52)),('Manpower Expenses'!L48))</f>
        <v/>
      </c>
      <c r="N48" s="19">
        <f>IF(MONTH(N$6)=1,(M48*(1+DCF!$C$52)),('Manpower Expenses'!M48))</f>
        <v/>
      </c>
      <c r="O48" s="19">
        <f>IF(MONTH(O$6)=1,(N48*(1+DCF!$C$52)),('Manpower Expenses'!N48))</f>
        <v/>
      </c>
      <c r="P48" s="19">
        <f>IF(MONTH(P$6)=1,(O48*(1+DCF!$C$52)),('Manpower Expenses'!O48))</f>
        <v/>
      </c>
      <c r="Q48" s="19">
        <f>IF(MONTH(Q$6)=1,(P48*(1+DCF!$C$52)),('Manpower Expenses'!P48))</f>
        <v/>
      </c>
      <c r="R48" s="19">
        <f>IF(MONTH(R$6)=1,(Q48*(1+DCF!$C$52)),('Manpower Expenses'!Q48))</f>
        <v/>
      </c>
      <c r="S48" s="19">
        <f>IF(MONTH(S$6)=1,(R48*(1+DCF!$C$52)),('Manpower Expenses'!R48))</f>
        <v/>
      </c>
      <c r="T48" s="19">
        <f>IF(MONTH(T$6)=1,(S48*(1+DCF!$C$52)),('Manpower Expenses'!S48))</f>
        <v/>
      </c>
      <c r="U48" s="19">
        <f>IF(MONTH(U$6)=1,(T48*(1+DCF!$C$52)),('Manpower Expenses'!T48))</f>
        <v/>
      </c>
      <c r="V48" s="19">
        <f>IF(MONTH(V$6)=1,(U48*(1+DCF!$C$52)),('Manpower Expenses'!U48))</f>
        <v/>
      </c>
      <c r="W48" s="19">
        <f>IF(MONTH(W$6)=1,(V48*(1+DCF!$C$52)),('Manpower Expenses'!V48))</f>
        <v/>
      </c>
      <c r="X48" s="19">
        <f>IF(MONTH(X$6)=1,(W48*(1+DCF!$C$52)),('Manpower Expenses'!W48))</f>
        <v/>
      </c>
      <c r="Y48" s="19">
        <f>IF(MONTH(Y$6)=1,(X48*(1+DCF!$C$52)),('Manpower Expenses'!X48))</f>
        <v/>
      </c>
      <c r="Z48" s="19">
        <f>IF(MONTH(Z$6)=1,(Y48*(1+DCF!$C$52)),('Manpower Expenses'!Y48))</f>
        <v/>
      </c>
      <c r="AA48" s="19">
        <f>IF(MONTH(AA$6)=1,(Z48*(1+DCF!$C$52)),('Manpower Expenses'!Z48))</f>
        <v/>
      </c>
      <c r="AB48" s="19">
        <f>IF(MONTH(AB$6)=1,(AA48*(1+DCF!$C$52)),('Manpower Expenses'!AA48))</f>
        <v/>
      </c>
      <c r="AC48" s="19">
        <f>IF(MONTH(AC$6)=1,(AB48*(1+DCF!$C$52)),('Manpower Expenses'!AB48))</f>
        <v/>
      </c>
      <c r="AD48" s="19">
        <f>IF(MONTH(AD$6)=1,(AC48*(1+DCF!$C$52)),('Manpower Expenses'!AC48))</f>
        <v/>
      </c>
      <c r="AE48" s="19">
        <f>IF(MONTH(AE$6)=1,(AD48*(1+DCF!$C$52)),('Manpower Expenses'!AD48))</f>
        <v/>
      </c>
      <c r="AF48" s="19">
        <f>IF(MONTH(AF$6)=1,(AE48*(1+DCF!$C$52)),('Manpower Expenses'!AE48))</f>
        <v/>
      </c>
      <c r="AG48" s="19">
        <f>IF(MONTH(AG$6)=1,(AF48*(1+DCF!$C$52)),('Manpower Expenses'!AF48))</f>
        <v/>
      </c>
      <c r="AH48" s="19">
        <f>IF(MONTH(AH$6)=1,(AG48*(1+DCF!$C$52)),('Manpower Expenses'!AG48))</f>
        <v/>
      </c>
      <c r="AI48" s="19">
        <f>IF(MONTH(AI$6)=1,(AH48*(1+DCF!$C$52)),('Manpower Expenses'!AH48))</f>
        <v/>
      </c>
      <c r="AJ48" s="19">
        <f>IF(MONTH(AJ$6)=1,(AI48*(1+DCF!$C$52)),('Manpower Expenses'!AI48))</f>
        <v/>
      </c>
      <c r="AK48" s="19">
        <f>IF(MONTH(AK$6)=1,(AJ48*(1+DCF!$C$52)),('Manpower Expenses'!AJ48))</f>
        <v/>
      </c>
      <c r="AL48" s="19">
        <f>IF(MONTH(AL$6)=1,(AK48*(1+DCF!$C$52)),('Manpower Expenses'!AK48))</f>
        <v/>
      </c>
      <c r="AM48" s="19">
        <f>IF(MONTH(AM$6)=1,(AL48*(1+DCF!$C$52)),('Manpower Expenses'!AL48))</f>
        <v/>
      </c>
      <c r="AN48" s="19">
        <f>IF(MONTH(AN$6)=1,(AM48*(1+DCF!$C$52)),('Manpower Expenses'!AM48))</f>
        <v/>
      </c>
      <c r="AO48" s="19">
        <f>IF(MONTH(AO$6)=1,(AN48*(1+DCF!$C$52)),('Manpower Expenses'!AN48))</f>
        <v/>
      </c>
      <c r="AP48" s="19">
        <f>IF(MONTH(AP$6)=1,(AO48*(1+DCF!$C$52)),('Manpower Expenses'!AO48))</f>
        <v/>
      </c>
      <c r="AQ48" s="19">
        <f>IF(MONTH(AQ$6)=1,(AP48*(1+DCF!$C$52)),('Manpower Expenses'!AP48))</f>
        <v/>
      </c>
      <c r="AR48" s="19">
        <f>IF(MONTH(AR$6)=1,(AQ48*(1+DCF!$C$52)),('Manpower Expenses'!AQ48))</f>
        <v/>
      </c>
      <c r="AS48" s="19">
        <f>IF(MONTH(AS$6)=1,(AR48*(1+DCF!$C$52)),('Manpower Expenses'!AR48))</f>
        <v/>
      </c>
      <c r="AT48" s="19">
        <f>IF(MONTH(AT$6)=1,(AS48*(1+DCF!$C$52)),('Manpower Expenses'!AS48))</f>
        <v/>
      </c>
      <c r="AU48" s="19">
        <f>IF(MONTH(AU$6)=1,(AT48*(1+DCF!$C$52)),('Manpower Expenses'!AT48))</f>
        <v/>
      </c>
      <c r="AV48" s="19">
        <f>IF(MONTH(AV$6)=1,(AU48*(1+DCF!$C$52)),('Manpower Expenses'!AU48))</f>
        <v/>
      </c>
      <c r="AW48" s="19">
        <f>IF(MONTH(AW$6)=1,(AV48*(1+DCF!$C$52)),('Manpower Expenses'!AV48))</f>
        <v/>
      </c>
      <c r="AX48" s="19">
        <f>IF(MONTH(AX$6)=1,(AW48*(1+DCF!$C$52)),('Manpower Expenses'!AW48))</f>
        <v/>
      </c>
      <c r="AY48" s="19" t="n"/>
    </row>
    <row r="49">
      <c r="B49" s="1" t="inlineStr">
        <is>
          <t>HR Manager</t>
        </is>
      </c>
      <c r="C49" s="235" t="n">
        <v>3000</v>
      </c>
      <c r="D49" s="252">
        <f>SUMIF($I$5:$AX$5,D$5,$I49:$AX49)</f>
        <v/>
      </c>
      <c r="E49" s="252">
        <f>SUMIF($I$5:$AX$5,E$5,$I49:$AX49)</f>
        <v/>
      </c>
      <c r="F49" s="252">
        <f>SUMIF($I$5:$AX$5,F$5,$I49:$AX49)</f>
        <v/>
      </c>
      <c r="G49" s="252">
        <f>SUMIF($I$5:$AX$5,G$5,$I49:$AX49)</f>
        <v/>
      </c>
      <c r="H49" s="252" t="n"/>
      <c r="I49" s="19">
        <f>C49</f>
        <v/>
      </c>
      <c r="J49" s="19">
        <f>IF(MONTH(J$6)=1,(I49*(1+DCF!$C$52)),('Manpower Expenses'!I49))</f>
        <v/>
      </c>
      <c r="K49" s="19">
        <f>IF(MONTH(K$6)=1,(J49*(1+DCF!$C$52)),('Manpower Expenses'!J49))</f>
        <v/>
      </c>
      <c r="L49" s="19">
        <f>IF(MONTH(L$6)=1,(K49*(1+DCF!$C$52)),('Manpower Expenses'!K49))</f>
        <v/>
      </c>
      <c r="M49" s="19">
        <f>IF(MONTH(M$6)=1,(L49*(1+DCF!$C$52)),('Manpower Expenses'!L49))</f>
        <v/>
      </c>
      <c r="N49" s="19">
        <f>IF(MONTH(N$6)=1,(M49*(1+DCF!$C$52)),('Manpower Expenses'!M49))</f>
        <v/>
      </c>
      <c r="O49" s="19">
        <f>IF(MONTH(O$6)=1,(N49*(1+DCF!$C$52)),('Manpower Expenses'!N49))</f>
        <v/>
      </c>
      <c r="P49" s="19">
        <f>IF(MONTH(P$6)=1,(O49*(1+DCF!$C$52)),('Manpower Expenses'!O49))</f>
        <v/>
      </c>
      <c r="Q49" s="19">
        <f>IF(MONTH(Q$6)=1,(P49*(1+DCF!$C$52)),('Manpower Expenses'!P49))</f>
        <v/>
      </c>
      <c r="R49" s="19">
        <f>IF(MONTH(R$6)=1,(Q49*(1+DCF!$C$52)),('Manpower Expenses'!Q49))</f>
        <v/>
      </c>
      <c r="S49" s="19">
        <f>IF(MONTH(S$6)=1,(R49*(1+DCF!$C$52)),('Manpower Expenses'!R49))</f>
        <v/>
      </c>
      <c r="T49" s="19">
        <f>IF(MONTH(T$6)=1,(S49*(1+DCF!$C$52)),('Manpower Expenses'!S49))</f>
        <v/>
      </c>
      <c r="U49" s="19">
        <f>IF(MONTH(U$6)=1,(T49*(1+DCF!$C$52)),('Manpower Expenses'!T49))</f>
        <v/>
      </c>
      <c r="V49" s="19">
        <f>IF(MONTH(V$6)=1,(U49*(1+DCF!$C$52)),('Manpower Expenses'!U49))</f>
        <v/>
      </c>
      <c r="W49" s="19">
        <f>IF(MONTH(W$6)=1,(V49*(1+DCF!$C$52)),('Manpower Expenses'!V49))</f>
        <v/>
      </c>
      <c r="X49" s="19">
        <f>IF(MONTH(X$6)=1,(W49*(1+DCF!$C$52)),('Manpower Expenses'!W49))</f>
        <v/>
      </c>
      <c r="Y49" s="19">
        <f>IF(MONTH(Y$6)=1,(X49*(1+DCF!$C$52)),('Manpower Expenses'!X49))</f>
        <v/>
      </c>
      <c r="Z49" s="19">
        <f>IF(MONTH(Z$6)=1,(Y49*(1+DCF!$C$52)),('Manpower Expenses'!Y49))</f>
        <v/>
      </c>
      <c r="AA49" s="19">
        <f>IF(MONTH(AA$6)=1,(Z49*(1+DCF!$C$52)),('Manpower Expenses'!Z49))</f>
        <v/>
      </c>
      <c r="AB49" s="19">
        <f>IF(MONTH(AB$6)=1,(AA49*(1+DCF!$C$52)),('Manpower Expenses'!AA49))</f>
        <v/>
      </c>
      <c r="AC49" s="19">
        <f>IF(MONTH(AC$6)=1,(AB49*(1+DCF!$C$52)),('Manpower Expenses'!AB49))</f>
        <v/>
      </c>
      <c r="AD49" s="19">
        <f>IF(MONTH(AD$6)=1,(AC49*(1+DCF!$C$52)),('Manpower Expenses'!AC49))</f>
        <v/>
      </c>
      <c r="AE49" s="19">
        <f>IF(MONTH(AE$6)=1,(AD49*(1+DCF!$C$52)),('Manpower Expenses'!AD49))</f>
        <v/>
      </c>
      <c r="AF49" s="19">
        <f>IF(MONTH(AF$6)=1,(AE49*(1+DCF!$C$52)),('Manpower Expenses'!AE49))</f>
        <v/>
      </c>
      <c r="AG49" s="19">
        <f>IF(MONTH(AG$6)=1,(AF49*(1+DCF!$C$52)),('Manpower Expenses'!AF49))</f>
        <v/>
      </c>
      <c r="AH49" s="19">
        <f>IF(MONTH(AH$6)=1,(AG49*(1+DCF!$C$52)),('Manpower Expenses'!AG49))</f>
        <v/>
      </c>
      <c r="AI49" s="19">
        <f>IF(MONTH(AI$6)=1,(AH49*(1+DCF!$C$52)),('Manpower Expenses'!AH49))</f>
        <v/>
      </c>
      <c r="AJ49" s="19">
        <f>IF(MONTH(AJ$6)=1,(AI49*(1+DCF!$C$52)),('Manpower Expenses'!AI49))</f>
        <v/>
      </c>
      <c r="AK49" s="19">
        <f>IF(MONTH(AK$6)=1,(AJ49*(1+DCF!$C$52)),('Manpower Expenses'!AJ49))</f>
        <v/>
      </c>
      <c r="AL49" s="19">
        <f>IF(MONTH(AL$6)=1,(AK49*(1+DCF!$C$52)),('Manpower Expenses'!AK49))</f>
        <v/>
      </c>
      <c r="AM49" s="19">
        <f>IF(MONTH(AM$6)=1,(AL49*(1+DCF!$C$52)),('Manpower Expenses'!AL49))</f>
        <v/>
      </c>
      <c r="AN49" s="19">
        <f>IF(MONTH(AN$6)=1,(AM49*(1+DCF!$C$52)),('Manpower Expenses'!AM49))</f>
        <v/>
      </c>
      <c r="AO49" s="19">
        <f>IF(MONTH(AO$6)=1,(AN49*(1+DCF!$C$52)),('Manpower Expenses'!AN49))</f>
        <v/>
      </c>
      <c r="AP49" s="19">
        <f>IF(MONTH(AP$6)=1,(AO49*(1+DCF!$C$52)),('Manpower Expenses'!AO49))</f>
        <v/>
      </c>
      <c r="AQ49" s="19">
        <f>IF(MONTH(AQ$6)=1,(AP49*(1+DCF!$C$52)),('Manpower Expenses'!AP49))</f>
        <v/>
      </c>
      <c r="AR49" s="19">
        <f>IF(MONTH(AR$6)=1,(AQ49*(1+DCF!$C$52)),('Manpower Expenses'!AQ49))</f>
        <v/>
      </c>
      <c r="AS49" s="19">
        <f>IF(MONTH(AS$6)=1,(AR49*(1+DCF!$C$52)),('Manpower Expenses'!AR49))</f>
        <v/>
      </c>
      <c r="AT49" s="19">
        <f>IF(MONTH(AT$6)=1,(AS49*(1+DCF!$C$52)),('Manpower Expenses'!AS49))</f>
        <v/>
      </c>
      <c r="AU49" s="19">
        <f>IF(MONTH(AU$6)=1,(AT49*(1+DCF!$C$52)),('Manpower Expenses'!AT49))</f>
        <v/>
      </c>
      <c r="AV49" s="19">
        <f>IF(MONTH(AV$6)=1,(AU49*(1+DCF!$C$52)),('Manpower Expenses'!AU49))</f>
        <v/>
      </c>
      <c r="AW49" s="19">
        <f>IF(MONTH(AW$6)=1,(AV49*(1+DCF!$C$52)),('Manpower Expenses'!AV49))</f>
        <v/>
      </c>
      <c r="AX49" s="19">
        <f>IF(MONTH(AX$6)=1,(AW49*(1+DCF!$C$52)),('Manpower Expenses'!AW49))</f>
        <v/>
      </c>
      <c r="AY49" s="19" t="n"/>
    </row>
    <row r="50">
      <c r="B50" s="1" t="inlineStr">
        <is>
          <t>COO</t>
        </is>
      </c>
      <c r="C50" s="235" t="n">
        <v>5000</v>
      </c>
      <c r="D50" s="252">
        <f>SUMIF($I$5:$AX$5,D$5,$I50:$AX50)</f>
        <v/>
      </c>
      <c r="E50" s="252">
        <f>SUMIF($I$5:$AX$5,E$5,$I50:$AX50)</f>
        <v/>
      </c>
      <c r="F50" s="252">
        <f>SUMIF($I$5:$AX$5,F$5,$I50:$AX50)</f>
        <v/>
      </c>
      <c r="G50" s="252">
        <f>SUMIF($I$5:$AX$5,G$5,$I50:$AX50)</f>
        <v/>
      </c>
      <c r="H50" s="252" t="n"/>
      <c r="I50" s="19">
        <f>C50</f>
        <v/>
      </c>
      <c r="J50" s="19">
        <f>IF(MONTH(J$6)=1,(I50*(1+DCF!$C$52)),('Manpower Expenses'!I50))</f>
        <v/>
      </c>
      <c r="K50" s="19">
        <f>IF(MONTH(K$6)=1,(J50*(1+DCF!$C$52)),('Manpower Expenses'!J50))</f>
        <v/>
      </c>
      <c r="L50" s="19">
        <f>IF(MONTH(L$6)=1,(K50*(1+DCF!$C$52)),('Manpower Expenses'!K50))</f>
        <v/>
      </c>
      <c r="M50" s="19">
        <f>IF(MONTH(M$6)=1,(L50*(1+DCF!$C$52)),('Manpower Expenses'!L50))</f>
        <v/>
      </c>
      <c r="N50" s="19">
        <f>IF(MONTH(N$6)=1,(M50*(1+DCF!$C$52)),('Manpower Expenses'!M50))</f>
        <v/>
      </c>
      <c r="O50" s="19">
        <f>IF(MONTH(O$6)=1,(N50*(1+DCF!$C$52)),('Manpower Expenses'!N50))</f>
        <v/>
      </c>
      <c r="P50" s="19">
        <f>IF(MONTH(P$6)=1,(O50*(1+DCF!$C$52)),('Manpower Expenses'!O50))</f>
        <v/>
      </c>
      <c r="Q50" s="19">
        <f>IF(MONTH(Q$6)=1,(P50*(1+DCF!$C$52)),('Manpower Expenses'!P50))</f>
        <v/>
      </c>
      <c r="R50" s="19">
        <f>IF(MONTH(R$6)=1,(Q50*(1+DCF!$C$52)),('Manpower Expenses'!Q50))</f>
        <v/>
      </c>
      <c r="S50" s="19">
        <f>IF(MONTH(S$6)=1,(R50*(1+DCF!$C$52)),('Manpower Expenses'!R50))</f>
        <v/>
      </c>
      <c r="T50" s="19">
        <f>IF(MONTH(T$6)=1,(S50*(1+DCF!$C$52)),('Manpower Expenses'!S50))</f>
        <v/>
      </c>
      <c r="U50" s="19">
        <f>IF(MONTH(U$6)=1,(T50*(1+DCF!$C$52)),('Manpower Expenses'!T50))</f>
        <v/>
      </c>
      <c r="V50" s="19">
        <f>IF(MONTH(V$6)=1,(U50*(1+DCF!$C$52)),('Manpower Expenses'!U50))</f>
        <v/>
      </c>
      <c r="W50" s="19">
        <f>IF(MONTH(W$6)=1,(V50*(1+DCF!$C$52)),('Manpower Expenses'!V50))</f>
        <v/>
      </c>
      <c r="X50" s="19">
        <f>IF(MONTH(X$6)=1,(W50*(1+DCF!$C$52)),('Manpower Expenses'!W50))</f>
        <v/>
      </c>
      <c r="Y50" s="19">
        <f>IF(MONTH(Y$6)=1,(X50*(1+DCF!$C$52)),('Manpower Expenses'!X50))</f>
        <v/>
      </c>
      <c r="Z50" s="19">
        <f>IF(MONTH(Z$6)=1,(Y50*(1+DCF!$C$52)),('Manpower Expenses'!Y50))</f>
        <v/>
      </c>
      <c r="AA50" s="19">
        <f>IF(MONTH(AA$6)=1,(Z50*(1+DCF!$C$52)),('Manpower Expenses'!Z50))</f>
        <v/>
      </c>
      <c r="AB50" s="19">
        <f>IF(MONTH(AB$6)=1,(AA50*(1+DCF!$C$52)),('Manpower Expenses'!AA50))</f>
        <v/>
      </c>
      <c r="AC50" s="19">
        <f>IF(MONTH(AC$6)=1,(AB50*(1+DCF!$C$52)),('Manpower Expenses'!AB50))</f>
        <v/>
      </c>
      <c r="AD50" s="19">
        <f>IF(MONTH(AD$6)=1,(AC50*(1+DCF!$C$52)),('Manpower Expenses'!AC50))</f>
        <v/>
      </c>
      <c r="AE50" s="19">
        <f>IF(MONTH(AE$6)=1,(AD50*(1+DCF!$C$52)),('Manpower Expenses'!AD50))</f>
        <v/>
      </c>
      <c r="AF50" s="19">
        <f>IF(MONTH(AF$6)=1,(AE50*(1+DCF!$C$52)),('Manpower Expenses'!AE50))</f>
        <v/>
      </c>
      <c r="AG50" s="19">
        <f>IF(MONTH(AG$6)=1,(AF50*(1+DCF!$C$52)),('Manpower Expenses'!AF50))</f>
        <v/>
      </c>
      <c r="AH50" s="19">
        <f>IF(MONTH(AH$6)=1,(AG50*(1+DCF!$C$52)),('Manpower Expenses'!AG50))</f>
        <v/>
      </c>
      <c r="AI50" s="19">
        <f>IF(MONTH(AI$6)=1,(AH50*(1+DCF!$C$52)),('Manpower Expenses'!AH50))</f>
        <v/>
      </c>
      <c r="AJ50" s="19">
        <f>IF(MONTH(AJ$6)=1,(AI50*(1+DCF!$C$52)),('Manpower Expenses'!AI50))</f>
        <v/>
      </c>
      <c r="AK50" s="19">
        <f>IF(MONTH(AK$6)=1,(AJ50*(1+DCF!$C$52)),('Manpower Expenses'!AJ50))</f>
        <v/>
      </c>
      <c r="AL50" s="19">
        <f>IF(MONTH(AL$6)=1,(AK50*(1+DCF!$C$52)),('Manpower Expenses'!AK50))</f>
        <v/>
      </c>
      <c r="AM50" s="19">
        <f>IF(MONTH(AM$6)=1,(AL50*(1+DCF!$C$52)),('Manpower Expenses'!AL50))</f>
        <v/>
      </c>
      <c r="AN50" s="19">
        <f>IF(MONTH(AN$6)=1,(AM50*(1+DCF!$C$52)),('Manpower Expenses'!AM50))</f>
        <v/>
      </c>
      <c r="AO50" s="19">
        <f>IF(MONTH(AO$6)=1,(AN50*(1+DCF!$C$52)),('Manpower Expenses'!AN50))</f>
        <v/>
      </c>
      <c r="AP50" s="19">
        <f>IF(MONTH(AP$6)=1,(AO50*(1+DCF!$C$52)),('Manpower Expenses'!AO50))</f>
        <v/>
      </c>
      <c r="AQ50" s="19">
        <f>IF(MONTH(AQ$6)=1,(AP50*(1+DCF!$C$52)),('Manpower Expenses'!AP50))</f>
        <v/>
      </c>
      <c r="AR50" s="19">
        <f>IF(MONTH(AR$6)=1,(AQ50*(1+DCF!$C$52)),('Manpower Expenses'!AQ50))</f>
        <v/>
      </c>
      <c r="AS50" s="19">
        <f>IF(MONTH(AS$6)=1,(AR50*(1+DCF!$C$52)),('Manpower Expenses'!AR50))</f>
        <v/>
      </c>
      <c r="AT50" s="19">
        <f>IF(MONTH(AT$6)=1,(AS50*(1+DCF!$C$52)),('Manpower Expenses'!AS50))</f>
        <v/>
      </c>
      <c r="AU50" s="19">
        <f>IF(MONTH(AU$6)=1,(AT50*(1+DCF!$C$52)),('Manpower Expenses'!AT50))</f>
        <v/>
      </c>
      <c r="AV50" s="19">
        <f>IF(MONTH(AV$6)=1,(AU50*(1+DCF!$C$52)),('Manpower Expenses'!AU50))</f>
        <v/>
      </c>
      <c r="AW50" s="19">
        <f>IF(MONTH(AW$6)=1,(AV50*(1+DCF!$C$52)),('Manpower Expenses'!AV50))</f>
        <v/>
      </c>
      <c r="AX50" s="19">
        <f>IF(MONTH(AX$6)=1,(AW50*(1+DCF!$C$52)),('Manpower Expenses'!AW50))</f>
        <v/>
      </c>
      <c r="AY50" s="19" t="n"/>
    </row>
    <row r="51">
      <c r="B51" s="1" t="inlineStr">
        <is>
          <t>Brand &amp; Digital Marketing Generalist</t>
        </is>
      </c>
      <c r="C51" s="235" t="n">
        <v>4000</v>
      </c>
      <c r="D51" s="252">
        <f>SUMIF($I$5:$AX$5,D$5,$I51:$AX51)</f>
        <v/>
      </c>
      <c r="E51" s="252">
        <f>SUMIF($I$5:$AX$5,E$5,$I51:$AX51)</f>
        <v/>
      </c>
      <c r="F51" s="252">
        <f>SUMIF($I$5:$AX$5,F$5,$I51:$AX51)</f>
        <v/>
      </c>
      <c r="G51" s="252">
        <f>SUMIF($I$5:$AX$5,G$5,$I51:$AX51)</f>
        <v/>
      </c>
      <c r="H51" s="252" t="n"/>
      <c r="I51" s="19">
        <f>C51</f>
        <v/>
      </c>
      <c r="J51" s="19">
        <f>IF(MONTH(J$6)=1,(I51*(1+DCF!$C$52)),('Manpower Expenses'!I51))</f>
        <v/>
      </c>
      <c r="K51" s="19">
        <f>IF(MONTH(K$6)=1,(J51*(1+DCF!$C$52)),('Manpower Expenses'!J51))</f>
        <v/>
      </c>
      <c r="L51" s="19">
        <f>IF(MONTH(L$6)=1,(K51*(1+DCF!$C$52)),('Manpower Expenses'!K51))</f>
        <v/>
      </c>
      <c r="M51" s="19">
        <f>IF(MONTH(M$6)=1,(L51*(1+DCF!$C$52)),('Manpower Expenses'!L51))</f>
        <v/>
      </c>
      <c r="N51" s="19">
        <f>IF(MONTH(N$6)=1,(M51*(1+DCF!$C$52)),('Manpower Expenses'!M51))</f>
        <v/>
      </c>
      <c r="O51" s="19">
        <f>IF(MONTH(O$6)=1,(N51*(1+DCF!$C$52)),('Manpower Expenses'!N51))</f>
        <v/>
      </c>
      <c r="P51" s="19">
        <f>IF(MONTH(P$6)=1,(O51*(1+DCF!$C$52)),('Manpower Expenses'!O51))</f>
        <v/>
      </c>
      <c r="Q51" s="19">
        <f>IF(MONTH(Q$6)=1,(P51*(1+DCF!$C$52)),('Manpower Expenses'!P51))</f>
        <v/>
      </c>
      <c r="R51" s="19">
        <f>IF(MONTH(R$6)=1,(Q51*(1+DCF!$C$52)),('Manpower Expenses'!Q51))</f>
        <v/>
      </c>
      <c r="S51" s="19">
        <f>IF(MONTH(S$6)=1,(R51*(1+DCF!$C$52)),('Manpower Expenses'!R51))</f>
        <v/>
      </c>
      <c r="T51" s="19">
        <f>IF(MONTH(T$6)=1,(S51*(1+DCF!$C$52)),('Manpower Expenses'!S51))</f>
        <v/>
      </c>
      <c r="U51" s="19">
        <f>IF(MONTH(U$6)=1,(T51*(1+DCF!$C$52)),('Manpower Expenses'!T51))</f>
        <v/>
      </c>
      <c r="V51" s="19">
        <f>IF(MONTH(V$6)=1,(U51*(1+DCF!$C$52)),('Manpower Expenses'!U51))</f>
        <v/>
      </c>
      <c r="W51" s="19">
        <f>IF(MONTH(W$6)=1,(V51*(1+DCF!$C$52)),('Manpower Expenses'!V51))</f>
        <v/>
      </c>
      <c r="X51" s="19">
        <f>IF(MONTH(X$6)=1,(W51*(1+DCF!$C$52)),('Manpower Expenses'!W51))</f>
        <v/>
      </c>
      <c r="Y51" s="19">
        <f>IF(MONTH(Y$6)=1,(X51*(1+DCF!$C$52)),('Manpower Expenses'!X51))</f>
        <v/>
      </c>
      <c r="Z51" s="19">
        <f>IF(MONTH(Z$6)=1,(Y51*(1+DCF!$C$52)),('Manpower Expenses'!Y51))</f>
        <v/>
      </c>
      <c r="AA51" s="19">
        <f>IF(MONTH(AA$6)=1,(Z51*(1+DCF!$C$52)),('Manpower Expenses'!Z51))</f>
        <v/>
      </c>
      <c r="AB51" s="19">
        <f>IF(MONTH(AB$6)=1,(AA51*(1+DCF!$C$52)),('Manpower Expenses'!AA51))</f>
        <v/>
      </c>
      <c r="AC51" s="19">
        <f>IF(MONTH(AC$6)=1,(AB51*(1+DCF!$C$52)),('Manpower Expenses'!AB51))</f>
        <v/>
      </c>
      <c r="AD51" s="19">
        <f>IF(MONTH(AD$6)=1,(AC51*(1+DCF!$C$52)),('Manpower Expenses'!AC51))</f>
        <v/>
      </c>
      <c r="AE51" s="19">
        <f>IF(MONTH(AE$6)=1,(AD51*(1+DCF!$C$52)),('Manpower Expenses'!AD51))</f>
        <v/>
      </c>
      <c r="AF51" s="19">
        <f>IF(MONTH(AF$6)=1,(AE51*(1+DCF!$C$52)),('Manpower Expenses'!AE51))</f>
        <v/>
      </c>
      <c r="AG51" s="19">
        <f>IF(MONTH(AG$6)=1,(AF51*(1+DCF!$C$52)),('Manpower Expenses'!AF51))</f>
        <v/>
      </c>
      <c r="AH51" s="19">
        <f>IF(MONTH(AH$6)=1,(AG51*(1+DCF!$C$52)),('Manpower Expenses'!AG51))</f>
        <v/>
      </c>
      <c r="AI51" s="19">
        <f>IF(MONTH(AI$6)=1,(AH51*(1+DCF!$C$52)),('Manpower Expenses'!AH51))</f>
        <v/>
      </c>
      <c r="AJ51" s="19">
        <f>IF(MONTH(AJ$6)=1,(AI51*(1+DCF!$C$52)),('Manpower Expenses'!AI51))</f>
        <v/>
      </c>
      <c r="AK51" s="19">
        <f>IF(MONTH(AK$6)=1,(AJ51*(1+DCF!$C$52)),('Manpower Expenses'!AJ51))</f>
        <v/>
      </c>
      <c r="AL51" s="19">
        <f>IF(MONTH(AL$6)=1,(AK51*(1+DCF!$C$52)),('Manpower Expenses'!AK51))</f>
        <v/>
      </c>
      <c r="AM51" s="19">
        <f>IF(MONTH(AM$6)=1,(AL51*(1+DCF!$C$52)),('Manpower Expenses'!AL51))</f>
        <v/>
      </c>
      <c r="AN51" s="19">
        <f>IF(MONTH(AN$6)=1,(AM51*(1+DCF!$C$52)),('Manpower Expenses'!AM51))</f>
        <v/>
      </c>
      <c r="AO51" s="19">
        <f>IF(MONTH(AO$6)=1,(AN51*(1+DCF!$C$52)),('Manpower Expenses'!AN51))</f>
        <v/>
      </c>
      <c r="AP51" s="19">
        <f>IF(MONTH(AP$6)=1,(AO51*(1+DCF!$C$52)),('Manpower Expenses'!AO51))</f>
        <v/>
      </c>
      <c r="AQ51" s="19">
        <f>IF(MONTH(AQ$6)=1,(AP51*(1+DCF!$C$52)),('Manpower Expenses'!AP51))</f>
        <v/>
      </c>
      <c r="AR51" s="19">
        <f>IF(MONTH(AR$6)=1,(AQ51*(1+DCF!$C$52)),('Manpower Expenses'!AQ51))</f>
        <v/>
      </c>
      <c r="AS51" s="19">
        <f>IF(MONTH(AS$6)=1,(AR51*(1+DCF!$C$52)),('Manpower Expenses'!AR51))</f>
        <v/>
      </c>
      <c r="AT51" s="19">
        <f>IF(MONTH(AT$6)=1,(AS51*(1+DCF!$C$52)),('Manpower Expenses'!AS51))</f>
        <v/>
      </c>
      <c r="AU51" s="19">
        <f>IF(MONTH(AU$6)=1,(AT51*(1+DCF!$C$52)),('Manpower Expenses'!AT51))</f>
        <v/>
      </c>
      <c r="AV51" s="19">
        <f>IF(MONTH(AV$6)=1,(AU51*(1+DCF!$C$52)),('Manpower Expenses'!AU51))</f>
        <v/>
      </c>
      <c r="AW51" s="19">
        <f>IF(MONTH(AW$6)=1,(AV51*(1+DCF!$C$52)),('Manpower Expenses'!AV51))</f>
        <v/>
      </c>
      <c r="AX51" s="19">
        <f>IF(MONTH(AX$6)=1,(AW51*(1+DCF!$C$52)),('Manpower Expenses'!AW51))</f>
        <v/>
      </c>
      <c r="AY51" s="19" t="n"/>
    </row>
    <row r="52">
      <c r="B52" s="1" t="inlineStr">
        <is>
          <t>Program Manager</t>
        </is>
      </c>
      <c r="C52" s="235" t="n">
        <v>4500</v>
      </c>
      <c r="D52" s="252">
        <f>SUMIF($I$5:$AX$5,D$5,$I52:$AX52)</f>
        <v/>
      </c>
      <c r="E52" s="252">
        <f>SUMIF($I$5:$AX$5,E$5,$I52:$AX52)</f>
        <v/>
      </c>
      <c r="F52" s="252">
        <f>SUMIF($I$5:$AX$5,F$5,$I52:$AX52)</f>
        <v/>
      </c>
      <c r="G52" s="252">
        <f>SUMIF($I$5:$AX$5,G$5,$I52:$AX52)</f>
        <v/>
      </c>
      <c r="H52" s="252" t="n"/>
      <c r="I52" s="19">
        <f>C52</f>
        <v/>
      </c>
      <c r="J52" s="19">
        <f>IF(MONTH(J$6)=1,(I52*(1+DCF!$C$52)),('Manpower Expenses'!I52))</f>
        <v/>
      </c>
      <c r="K52" s="19">
        <f>IF(MONTH(K$6)=1,(J52*(1+DCF!$C$52)),('Manpower Expenses'!J52))</f>
        <v/>
      </c>
      <c r="L52" s="19">
        <f>IF(MONTH(L$6)=1,(K52*(1+DCF!$C$52)),('Manpower Expenses'!K52))</f>
        <v/>
      </c>
      <c r="M52" s="19">
        <f>IF(MONTH(M$6)=1,(L52*(1+DCF!$C$52)),('Manpower Expenses'!L52))</f>
        <v/>
      </c>
      <c r="N52" s="19">
        <f>IF(MONTH(N$6)=1,(M52*(1+DCF!$C$52)),('Manpower Expenses'!M52))</f>
        <v/>
      </c>
      <c r="O52" s="19">
        <f>IF(MONTH(O$6)=1,(N52*(1+DCF!$C$52)),('Manpower Expenses'!N52))</f>
        <v/>
      </c>
      <c r="P52" s="19">
        <f>IF(MONTH(P$6)=1,(O52*(1+DCF!$C$52)),('Manpower Expenses'!O52))</f>
        <v/>
      </c>
      <c r="Q52" s="19">
        <f>IF(MONTH(Q$6)=1,(P52*(1+DCF!$C$52)),('Manpower Expenses'!P52))</f>
        <v/>
      </c>
      <c r="R52" s="19">
        <f>IF(MONTH(R$6)=1,(Q52*(1+DCF!$C$52)),('Manpower Expenses'!Q52))</f>
        <v/>
      </c>
      <c r="S52" s="19">
        <f>IF(MONTH(S$6)=1,(R52*(1+DCF!$C$52)),('Manpower Expenses'!R52))</f>
        <v/>
      </c>
      <c r="T52" s="19">
        <f>IF(MONTH(T$6)=1,(S52*(1+DCF!$C$52)),('Manpower Expenses'!S52))</f>
        <v/>
      </c>
      <c r="U52" s="19">
        <f>IF(MONTH(U$6)=1,(T52*(1+DCF!$C$52)),('Manpower Expenses'!T52))</f>
        <v/>
      </c>
      <c r="V52" s="19">
        <f>IF(MONTH(V$6)=1,(U52*(1+DCF!$C$52)),('Manpower Expenses'!U52))</f>
        <v/>
      </c>
      <c r="W52" s="19">
        <f>IF(MONTH(W$6)=1,(V52*(1+DCF!$C$52)),('Manpower Expenses'!V52))</f>
        <v/>
      </c>
      <c r="X52" s="19">
        <f>IF(MONTH(X$6)=1,(W52*(1+DCF!$C$52)),('Manpower Expenses'!W52))</f>
        <v/>
      </c>
      <c r="Y52" s="19">
        <f>IF(MONTH(Y$6)=1,(X52*(1+DCF!$C$52)),('Manpower Expenses'!X52))</f>
        <v/>
      </c>
      <c r="Z52" s="19">
        <f>IF(MONTH(Z$6)=1,(Y52*(1+DCF!$C$52)),('Manpower Expenses'!Y52))</f>
        <v/>
      </c>
      <c r="AA52" s="19">
        <f>IF(MONTH(AA$6)=1,(Z52*(1+DCF!$C$52)),('Manpower Expenses'!Z52))</f>
        <v/>
      </c>
      <c r="AB52" s="19">
        <f>IF(MONTH(AB$6)=1,(AA52*(1+DCF!$C$52)),('Manpower Expenses'!AA52))</f>
        <v/>
      </c>
      <c r="AC52" s="19">
        <f>IF(MONTH(AC$6)=1,(AB52*(1+DCF!$C$52)),('Manpower Expenses'!AB52))</f>
        <v/>
      </c>
      <c r="AD52" s="19">
        <f>IF(MONTH(AD$6)=1,(AC52*(1+DCF!$C$52)),('Manpower Expenses'!AC52))</f>
        <v/>
      </c>
      <c r="AE52" s="19">
        <f>IF(MONTH(AE$6)=1,(AD52*(1+DCF!$C$52)),('Manpower Expenses'!AD52))</f>
        <v/>
      </c>
      <c r="AF52" s="19">
        <f>IF(MONTH(AF$6)=1,(AE52*(1+DCF!$C$52)),('Manpower Expenses'!AE52))</f>
        <v/>
      </c>
      <c r="AG52" s="19">
        <f>IF(MONTH(AG$6)=1,(AF52*(1+DCF!$C$52)),('Manpower Expenses'!AF52))</f>
        <v/>
      </c>
      <c r="AH52" s="19">
        <f>IF(MONTH(AH$6)=1,(AG52*(1+DCF!$C$52)),('Manpower Expenses'!AG52))</f>
        <v/>
      </c>
      <c r="AI52" s="19">
        <f>IF(MONTH(AI$6)=1,(AH52*(1+DCF!$C$52)),('Manpower Expenses'!AH52))</f>
        <v/>
      </c>
      <c r="AJ52" s="19">
        <f>IF(MONTH(AJ$6)=1,(AI52*(1+DCF!$C$52)),('Manpower Expenses'!AI52))</f>
        <v/>
      </c>
      <c r="AK52" s="19">
        <f>IF(MONTH(AK$6)=1,(AJ52*(1+DCF!$C$52)),('Manpower Expenses'!AJ52))</f>
        <v/>
      </c>
      <c r="AL52" s="19">
        <f>IF(MONTH(AL$6)=1,(AK52*(1+DCF!$C$52)),('Manpower Expenses'!AK52))</f>
        <v/>
      </c>
      <c r="AM52" s="19">
        <f>IF(MONTH(AM$6)=1,(AL52*(1+DCF!$C$52)),('Manpower Expenses'!AL52))</f>
        <v/>
      </c>
      <c r="AN52" s="19">
        <f>IF(MONTH(AN$6)=1,(AM52*(1+DCF!$C$52)),('Manpower Expenses'!AM52))</f>
        <v/>
      </c>
      <c r="AO52" s="19">
        <f>IF(MONTH(AO$6)=1,(AN52*(1+DCF!$C$52)),('Manpower Expenses'!AN52))</f>
        <v/>
      </c>
      <c r="AP52" s="19">
        <f>IF(MONTH(AP$6)=1,(AO52*(1+DCF!$C$52)),('Manpower Expenses'!AO52))</f>
        <v/>
      </c>
      <c r="AQ52" s="19">
        <f>IF(MONTH(AQ$6)=1,(AP52*(1+DCF!$C$52)),('Manpower Expenses'!AP52))</f>
        <v/>
      </c>
      <c r="AR52" s="19">
        <f>IF(MONTH(AR$6)=1,(AQ52*(1+DCF!$C$52)),('Manpower Expenses'!AQ52))</f>
        <v/>
      </c>
      <c r="AS52" s="19">
        <f>IF(MONTH(AS$6)=1,(AR52*(1+DCF!$C$52)),('Manpower Expenses'!AR52))</f>
        <v/>
      </c>
      <c r="AT52" s="19">
        <f>IF(MONTH(AT$6)=1,(AS52*(1+DCF!$C$52)),('Manpower Expenses'!AS52))</f>
        <v/>
      </c>
      <c r="AU52" s="19">
        <f>IF(MONTH(AU$6)=1,(AT52*(1+DCF!$C$52)),('Manpower Expenses'!AT52))</f>
        <v/>
      </c>
      <c r="AV52" s="19">
        <f>IF(MONTH(AV$6)=1,(AU52*(1+DCF!$C$52)),('Manpower Expenses'!AU52))</f>
        <v/>
      </c>
      <c r="AW52" s="19">
        <f>IF(MONTH(AW$6)=1,(AV52*(1+DCF!$C$52)),('Manpower Expenses'!AV52))</f>
        <v/>
      </c>
      <c r="AX52" s="19">
        <f>IF(MONTH(AX$6)=1,(AW52*(1+DCF!$C$52)),('Manpower Expenses'!AW52))</f>
        <v/>
      </c>
      <c r="AY52" s="19" t="n"/>
    </row>
    <row r="53"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</row>
    <row r="54">
      <c r="B54" s="2" t="inlineStr">
        <is>
          <t>Salary Cost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</row>
    <row r="55">
      <c r="B55" s="1" t="inlineStr">
        <is>
          <t>Product Owner</t>
        </is>
      </c>
      <c r="D55" s="252">
        <f>SUMIF($I$5:$AX$5,D$5,$I55:$AX55)</f>
        <v/>
      </c>
      <c r="E55" s="252">
        <f>SUMIF($I$5:$AX$5,E$5,$I55:$AX55)</f>
        <v/>
      </c>
      <c r="F55" s="252">
        <f>SUMIF($I$5:$AX$5,F$5,$I55:$AX55)</f>
        <v/>
      </c>
      <c r="G55" s="252">
        <f>SUMIF($I$5:$AX$5,G$5,$I55:$AX55)</f>
        <v/>
      </c>
      <c r="H55" s="252" t="n"/>
      <c r="I55" s="19">
        <f>I41*I25</f>
        <v/>
      </c>
      <c r="J55" s="19">
        <f>J41*J25</f>
        <v/>
      </c>
      <c r="K55" s="19">
        <f>K41*K25</f>
        <v/>
      </c>
      <c r="L55" s="19">
        <f>L41*L25</f>
        <v/>
      </c>
      <c r="M55" s="19">
        <f>M41*M25</f>
        <v/>
      </c>
      <c r="N55" s="19">
        <f>N41*N25</f>
        <v/>
      </c>
      <c r="O55" s="19">
        <f>O41*O25</f>
        <v/>
      </c>
      <c r="P55" s="19">
        <f>P41*P25</f>
        <v/>
      </c>
      <c r="Q55" s="19">
        <f>Q41*Q25</f>
        <v/>
      </c>
      <c r="R55" s="19">
        <f>R41*R25</f>
        <v/>
      </c>
      <c r="S55" s="19">
        <f>S41*S25</f>
        <v/>
      </c>
      <c r="T55" s="19">
        <f>T41*T25</f>
        <v/>
      </c>
      <c r="U55" s="19">
        <f>U41*U25</f>
        <v/>
      </c>
      <c r="V55" s="19">
        <f>V41*V25</f>
        <v/>
      </c>
      <c r="W55" s="19">
        <f>W41*W25</f>
        <v/>
      </c>
      <c r="X55" s="19">
        <f>X41*X25</f>
        <v/>
      </c>
      <c r="Y55" s="19">
        <f>Y41*Y25</f>
        <v/>
      </c>
      <c r="Z55" s="19">
        <f>Z41*Z25</f>
        <v/>
      </c>
      <c r="AA55" s="19">
        <f>AA41*AA25</f>
        <v/>
      </c>
      <c r="AB55" s="19">
        <f>AB41*AB25</f>
        <v/>
      </c>
      <c r="AC55" s="19">
        <f>AC41*AC25</f>
        <v/>
      </c>
      <c r="AD55" s="19">
        <f>AD41*AD25</f>
        <v/>
      </c>
      <c r="AE55" s="19">
        <f>AE41*AE25</f>
        <v/>
      </c>
      <c r="AF55" s="19">
        <f>AF41*AF25</f>
        <v/>
      </c>
      <c r="AG55" s="19">
        <f>AG41*AG25</f>
        <v/>
      </c>
      <c r="AH55" s="19">
        <f>AH41*AH25</f>
        <v/>
      </c>
      <c r="AI55" s="19">
        <f>AI41*AI25</f>
        <v/>
      </c>
      <c r="AJ55" s="19">
        <f>AJ41*AJ25</f>
        <v/>
      </c>
      <c r="AK55" s="19">
        <f>AK41*AK25</f>
        <v/>
      </c>
      <c r="AL55" s="19">
        <f>AL41*AL25</f>
        <v/>
      </c>
      <c r="AM55" s="19">
        <f>AM41*AM25</f>
        <v/>
      </c>
      <c r="AN55" s="19">
        <f>AN41*AN25</f>
        <v/>
      </c>
      <c r="AO55" s="19">
        <f>AO41*AO25</f>
        <v/>
      </c>
      <c r="AP55" s="19">
        <f>AP41*AP25</f>
        <v/>
      </c>
      <c r="AQ55" s="19">
        <f>AQ41*AQ25</f>
        <v/>
      </c>
      <c r="AR55" s="19">
        <f>AR41*AR25</f>
        <v/>
      </c>
      <c r="AS55" s="19">
        <f>AS41*AS25</f>
        <v/>
      </c>
      <c r="AT55" s="19">
        <f>AT41*AT25</f>
        <v/>
      </c>
      <c r="AU55" s="19">
        <f>AU41*AU25</f>
        <v/>
      </c>
      <c r="AV55" s="19">
        <f>AV41*AV25</f>
        <v/>
      </c>
      <c r="AW55" s="19">
        <f>AW41*AW25</f>
        <v/>
      </c>
      <c r="AX55" s="19">
        <f>AX41*AX25</f>
        <v/>
      </c>
      <c r="AY55" s="19" t="n"/>
    </row>
    <row r="56">
      <c r="B56" s="1" t="inlineStr">
        <is>
          <t>Techno Business Analyst</t>
        </is>
      </c>
      <c r="D56" s="252">
        <f>SUMIF($I$5:$AX$5,D$5,$I56:$AX56)</f>
        <v/>
      </c>
      <c r="E56" s="252">
        <f>SUMIF($I$5:$AX$5,E$5,$I56:$AX56)</f>
        <v/>
      </c>
      <c r="F56" s="252">
        <f>SUMIF($I$5:$AX$5,F$5,$I56:$AX56)</f>
        <v/>
      </c>
      <c r="G56" s="252">
        <f>SUMIF($I$5:$AX$5,G$5,$I56:$AX56)</f>
        <v/>
      </c>
      <c r="H56" s="252" t="n"/>
      <c r="I56" s="19">
        <f>I42*I26</f>
        <v/>
      </c>
      <c r="J56" s="19">
        <f>J42*J26</f>
        <v/>
      </c>
      <c r="K56" s="19">
        <f>K42*K26</f>
        <v/>
      </c>
      <c r="L56" s="19">
        <f>L42*L26</f>
        <v/>
      </c>
      <c r="M56" s="19">
        <f>M42*M26</f>
        <v/>
      </c>
      <c r="N56" s="19">
        <f>N42*N26</f>
        <v/>
      </c>
      <c r="O56" s="19">
        <f>O42*O26</f>
        <v/>
      </c>
      <c r="P56" s="19">
        <f>P42*P26</f>
        <v/>
      </c>
      <c r="Q56" s="19">
        <f>Q42*Q26</f>
        <v/>
      </c>
      <c r="R56" s="19">
        <f>R42*R26</f>
        <v/>
      </c>
      <c r="S56" s="19">
        <f>S42*S26</f>
        <v/>
      </c>
      <c r="T56" s="19">
        <f>T42*T26</f>
        <v/>
      </c>
      <c r="U56" s="19">
        <f>U42*U26</f>
        <v/>
      </c>
      <c r="V56" s="19">
        <f>V42*V26</f>
        <v/>
      </c>
      <c r="W56" s="19">
        <f>W42*W26</f>
        <v/>
      </c>
      <c r="X56" s="19">
        <f>X42*X26</f>
        <v/>
      </c>
      <c r="Y56" s="19">
        <f>Y42*Y26</f>
        <v/>
      </c>
      <c r="Z56" s="19">
        <f>Z42*Z26</f>
        <v/>
      </c>
      <c r="AA56" s="19">
        <f>AA42*AA26</f>
        <v/>
      </c>
      <c r="AB56" s="19">
        <f>AB42*AB26</f>
        <v/>
      </c>
      <c r="AC56" s="19">
        <f>AC42*AC26</f>
        <v/>
      </c>
      <c r="AD56" s="19">
        <f>AD42*AD26</f>
        <v/>
      </c>
      <c r="AE56" s="19">
        <f>AE42*AE26</f>
        <v/>
      </c>
      <c r="AF56" s="19">
        <f>AF42*AF26</f>
        <v/>
      </c>
      <c r="AG56" s="19">
        <f>AG42*AG26</f>
        <v/>
      </c>
      <c r="AH56" s="19">
        <f>AH42*AH26</f>
        <v/>
      </c>
      <c r="AI56" s="19">
        <f>AI42*AI26</f>
        <v/>
      </c>
      <c r="AJ56" s="19">
        <f>AJ42*AJ26</f>
        <v/>
      </c>
      <c r="AK56" s="19">
        <f>AK42*AK26</f>
        <v/>
      </c>
      <c r="AL56" s="19">
        <f>AL42*AL26</f>
        <v/>
      </c>
      <c r="AM56" s="19">
        <f>AM42*AM26</f>
        <v/>
      </c>
      <c r="AN56" s="19">
        <f>AN42*AN26</f>
        <v/>
      </c>
      <c r="AO56" s="19">
        <f>AO42*AO26</f>
        <v/>
      </c>
      <c r="AP56" s="19">
        <f>AP42*AP26</f>
        <v/>
      </c>
      <c r="AQ56" s="19">
        <f>AQ42*AQ26</f>
        <v/>
      </c>
      <c r="AR56" s="19">
        <f>AR42*AR26</f>
        <v/>
      </c>
      <c r="AS56" s="19">
        <f>AS42*AS26</f>
        <v/>
      </c>
      <c r="AT56" s="19">
        <f>AT42*AT26</f>
        <v/>
      </c>
      <c r="AU56" s="19">
        <f>AU42*AU26</f>
        <v/>
      </c>
      <c r="AV56" s="19">
        <f>AV42*AV26</f>
        <v/>
      </c>
      <c r="AW56" s="19">
        <f>AW42*AW26</f>
        <v/>
      </c>
      <c r="AX56" s="19">
        <f>AX42*AX26</f>
        <v/>
      </c>
      <c r="AY56" s="19" t="n"/>
    </row>
    <row r="57">
      <c r="B57" s="1" t="inlineStr">
        <is>
          <t>Product Designer</t>
        </is>
      </c>
      <c r="D57" s="252">
        <f>SUMIF($I$5:$AX$5,D$5,$I57:$AX57)</f>
        <v/>
      </c>
      <c r="E57" s="252">
        <f>SUMIF($I$5:$AX$5,E$5,$I57:$AX57)</f>
        <v/>
      </c>
      <c r="F57" s="252">
        <f>SUMIF($I$5:$AX$5,F$5,$I57:$AX57)</f>
        <v/>
      </c>
      <c r="G57" s="252">
        <f>SUMIF($I$5:$AX$5,G$5,$I57:$AX57)</f>
        <v/>
      </c>
      <c r="H57" s="252" t="n"/>
      <c r="I57" s="19">
        <f>I43*I27</f>
        <v/>
      </c>
      <c r="J57" s="19">
        <f>J43*J27</f>
        <v/>
      </c>
      <c r="K57" s="19">
        <f>K43*K27</f>
        <v/>
      </c>
      <c r="L57" s="19">
        <f>L43*L27</f>
        <v/>
      </c>
      <c r="M57" s="19">
        <f>M43*M27</f>
        <v/>
      </c>
      <c r="N57" s="19">
        <f>N43*N27</f>
        <v/>
      </c>
      <c r="O57" s="19">
        <f>O43*O27</f>
        <v/>
      </c>
      <c r="P57" s="19">
        <f>P43*P27</f>
        <v/>
      </c>
      <c r="Q57" s="19">
        <f>Q43*Q27</f>
        <v/>
      </c>
      <c r="R57" s="19">
        <f>R43*R27</f>
        <v/>
      </c>
      <c r="S57" s="19">
        <f>S43*S27</f>
        <v/>
      </c>
      <c r="T57" s="19">
        <f>T43*T27</f>
        <v/>
      </c>
      <c r="U57" s="19">
        <f>U43*U27</f>
        <v/>
      </c>
      <c r="V57" s="19">
        <f>V43*V27</f>
        <v/>
      </c>
      <c r="W57" s="19">
        <f>W43*W27</f>
        <v/>
      </c>
      <c r="X57" s="19">
        <f>X43*X27</f>
        <v/>
      </c>
      <c r="Y57" s="19">
        <f>Y43*Y27</f>
        <v/>
      </c>
      <c r="Z57" s="19">
        <f>Z43*Z27</f>
        <v/>
      </c>
      <c r="AA57" s="19">
        <f>AA43*AA27</f>
        <v/>
      </c>
      <c r="AB57" s="19">
        <f>AB43*AB27</f>
        <v/>
      </c>
      <c r="AC57" s="19">
        <f>AC43*AC27</f>
        <v/>
      </c>
      <c r="AD57" s="19">
        <f>AD43*AD27</f>
        <v/>
      </c>
      <c r="AE57" s="19">
        <f>AE43*AE27</f>
        <v/>
      </c>
      <c r="AF57" s="19">
        <f>AF43*AF27</f>
        <v/>
      </c>
      <c r="AG57" s="19">
        <f>AG43*AG27</f>
        <v/>
      </c>
      <c r="AH57" s="19">
        <f>AH43*AH27</f>
        <v/>
      </c>
      <c r="AI57" s="19">
        <f>AI43*AI27</f>
        <v/>
      </c>
      <c r="AJ57" s="19">
        <f>AJ43*AJ27</f>
        <v/>
      </c>
      <c r="AK57" s="19">
        <f>AK43*AK27</f>
        <v/>
      </c>
      <c r="AL57" s="19">
        <f>AL43*AL27</f>
        <v/>
      </c>
      <c r="AM57" s="19">
        <f>AM43*AM27</f>
        <v/>
      </c>
      <c r="AN57" s="19">
        <f>AN43*AN27</f>
        <v/>
      </c>
      <c r="AO57" s="19">
        <f>AO43*AO27</f>
        <v/>
      </c>
      <c r="AP57" s="19">
        <f>AP43*AP27</f>
        <v/>
      </c>
      <c r="AQ57" s="19">
        <f>AQ43*AQ27</f>
        <v/>
      </c>
      <c r="AR57" s="19">
        <f>AR43*AR27</f>
        <v/>
      </c>
      <c r="AS57" s="19">
        <f>AS43*AS27</f>
        <v/>
      </c>
      <c r="AT57" s="19">
        <f>AT43*AT27</f>
        <v/>
      </c>
      <c r="AU57" s="19">
        <f>AU43*AU27</f>
        <v/>
      </c>
      <c r="AV57" s="19">
        <f>AV43*AV27</f>
        <v/>
      </c>
      <c r="AW57" s="19">
        <f>AW43*AW27</f>
        <v/>
      </c>
      <c r="AX57" s="19">
        <f>AX43*AX27</f>
        <v/>
      </c>
      <c r="AY57" s="19" t="n"/>
    </row>
    <row r="58">
      <c r="B58" s="1" t="inlineStr">
        <is>
          <t>CTO / Head of Architecture</t>
        </is>
      </c>
      <c r="D58" s="252">
        <f>SUMIF($I$5:$AX$5,D$5,$I58:$AX58)</f>
        <v/>
      </c>
      <c r="E58" s="252">
        <f>SUMIF($I$5:$AX$5,E$5,$I58:$AX58)</f>
        <v/>
      </c>
      <c r="F58" s="252">
        <f>SUMIF($I$5:$AX$5,F$5,$I58:$AX58)</f>
        <v/>
      </c>
      <c r="G58" s="252">
        <f>SUMIF($I$5:$AX$5,G$5,$I58:$AX58)</f>
        <v/>
      </c>
      <c r="H58" s="252" t="n"/>
      <c r="I58" s="19">
        <f>I44*I28</f>
        <v/>
      </c>
      <c r="J58" s="19">
        <f>J44*J28</f>
        <v/>
      </c>
      <c r="K58" s="19">
        <f>K44*K28</f>
        <v/>
      </c>
      <c r="L58" s="19">
        <f>L44*L28</f>
        <v/>
      </c>
      <c r="M58" s="19">
        <f>M44*M28</f>
        <v/>
      </c>
      <c r="N58" s="19">
        <f>N44*N28</f>
        <v/>
      </c>
      <c r="O58" s="19">
        <f>O44*O28</f>
        <v/>
      </c>
      <c r="P58" s="19">
        <f>P44*P28</f>
        <v/>
      </c>
      <c r="Q58" s="19">
        <f>Q44*Q28</f>
        <v/>
      </c>
      <c r="R58" s="19">
        <f>R44*R28</f>
        <v/>
      </c>
      <c r="S58" s="19">
        <f>S44*S28</f>
        <v/>
      </c>
      <c r="T58" s="19">
        <f>T44*T28</f>
        <v/>
      </c>
      <c r="U58" s="19">
        <f>U44*U28</f>
        <v/>
      </c>
      <c r="V58" s="19">
        <f>V44*V28</f>
        <v/>
      </c>
      <c r="W58" s="19">
        <f>W44*W28</f>
        <v/>
      </c>
      <c r="X58" s="19">
        <f>X44*X28</f>
        <v/>
      </c>
      <c r="Y58" s="19">
        <f>Y44*Y28</f>
        <v/>
      </c>
      <c r="Z58" s="19">
        <f>Z44*Z28</f>
        <v/>
      </c>
      <c r="AA58" s="19">
        <f>AA44*AA28</f>
        <v/>
      </c>
      <c r="AB58" s="19">
        <f>AB44*AB28</f>
        <v/>
      </c>
      <c r="AC58" s="19">
        <f>AC44*AC28</f>
        <v/>
      </c>
      <c r="AD58" s="19">
        <f>AD44*AD28</f>
        <v/>
      </c>
      <c r="AE58" s="19">
        <f>AE44*AE28</f>
        <v/>
      </c>
      <c r="AF58" s="19">
        <f>AF44*AF28</f>
        <v/>
      </c>
      <c r="AG58" s="19">
        <f>AG44*AG28</f>
        <v/>
      </c>
      <c r="AH58" s="19">
        <f>AH44*AH28</f>
        <v/>
      </c>
      <c r="AI58" s="19">
        <f>AI44*AI28</f>
        <v/>
      </c>
      <c r="AJ58" s="19">
        <f>AJ44*AJ28</f>
        <v/>
      </c>
      <c r="AK58" s="19">
        <f>AK44*AK28</f>
        <v/>
      </c>
      <c r="AL58" s="19">
        <f>AL44*AL28</f>
        <v/>
      </c>
      <c r="AM58" s="19">
        <f>AM44*AM28</f>
        <v/>
      </c>
      <c r="AN58" s="19">
        <f>AN44*AN28</f>
        <v/>
      </c>
      <c r="AO58" s="19">
        <f>AO44*AO28</f>
        <v/>
      </c>
      <c r="AP58" s="19">
        <f>AP44*AP28</f>
        <v/>
      </c>
      <c r="AQ58" s="19">
        <f>AQ44*AQ28</f>
        <v/>
      </c>
      <c r="AR58" s="19">
        <f>AR44*AR28</f>
        <v/>
      </c>
      <c r="AS58" s="19">
        <f>AS44*AS28</f>
        <v/>
      </c>
      <c r="AT58" s="19">
        <f>AT44*AT28</f>
        <v/>
      </c>
      <c r="AU58" s="19">
        <f>AU44*AU28</f>
        <v/>
      </c>
      <c r="AV58" s="19">
        <f>AV44*AV28</f>
        <v/>
      </c>
      <c r="AW58" s="19">
        <f>AW44*AW28</f>
        <v/>
      </c>
      <c r="AX58" s="19">
        <f>AX44*AX28</f>
        <v/>
      </c>
      <c r="AY58" s="19" t="n"/>
    </row>
    <row r="59">
      <c r="B59" s="1" t="inlineStr">
        <is>
          <t>Accountant</t>
        </is>
      </c>
      <c r="D59" s="252">
        <f>SUMIF($I$5:$AX$5,D$5,$I59:$AX59)</f>
        <v/>
      </c>
      <c r="E59" s="252">
        <f>SUMIF($I$5:$AX$5,E$5,$I59:$AX59)</f>
        <v/>
      </c>
      <c r="F59" s="252">
        <f>SUMIF($I$5:$AX$5,F$5,$I59:$AX59)</f>
        <v/>
      </c>
      <c r="G59" s="252">
        <f>SUMIF($I$5:$AX$5,G$5,$I59:$AX59)</f>
        <v/>
      </c>
      <c r="H59" s="252" t="n"/>
      <c r="I59" s="19">
        <f>I45*I29</f>
        <v/>
      </c>
      <c r="J59" s="19">
        <f>J45*J29</f>
        <v/>
      </c>
      <c r="K59" s="19">
        <f>K45*K29</f>
        <v/>
      </c>
      <c r="L59" s="19">
        <f>L45*L29</f>
        <v/>
      </c>
      <c r="M59" s="19">
        <f>M45*M29</f>
        <v/>
      </c>
      <c r="N59" s="19">
        <f>N45*N29</f>
        <v/>
      </c>
      <c r="O59" s="19">
        <f>O45*O29</f>
        <v/>
      </c>
      <c r="P59" s="19">
        <f>P45*P29</f>
        <v/>
      </c>
      <c r="Q59" s="19">
        <f>Q45*Q29</f>
        <v/>
      </c>
      <c r="R59" s="19">
        <f>R45*R29</f>
        <v/>
      </c>
      <c r="S59" s="19">
        <f>S45*S29</f>
        <v/>
      </c>
      <c r="T59" s="19">
        <f>T45*T29</f>
        <v/>
      </c>
      <c r="U59" s="19">
        <f>U45*U29</f>
        <v/>
      </c>
      <c r="V59" s="19">
        <f>V45*V29</f>
        <v/>
      </c>
      <c r="W59" s="19">
        <f>W45*W29</f>
        <v/>
      </c>
      <c r="X59" s="19">
        <f>X45*X29</f>
        <v/>
      </c>
      <c r="Y59" s="19">
        <f>Y45*Y29</f>
        <v/>
      </c>
      <c r="Z59" s="19">
        <f>Z45*Z29</f>
        <v/>
      </c>
      <c r="AA59" s="19">
        <f>AA45*AA29</f>
        <v/>
      </c>
      <c r="AB59" s="19">
        <f>AB45*AB29</f>
        <v/>
      </c>
      <c r="AC59" s="19">
        <f>AC45*AC29</f>
        <v/>
      </c>
      <c r="AD59" s="19">
        <f>AD45*AD29</f>
        <v/>
      </c>
      <c r="AE59" s="19">
        <f>AE45*AE29</f>
        <v/>
      </c>
      <c r="AF59" s="19">
        <f>AF45*AF29</f>
        <v/>
      </c>
      <c r="AG59" s="19">
        <f>AG45*AG29</f>
        <v/>
      </c>
      <c r="AH59" s="19">
        <f>AH45*AH29</f>
        <v/>
      </c>
      <c r="AI59" s="19">
        <f>AI45*AI29</f>
        <v/>
      </c>
      <c r="AJ59" s="19">
        <f>AJ45*AJ29</f>
        <v/>
      </c>
      <c r="AK59" s="19">
        <f>AK45*AK29</f>
        <v/>
      </c>
      <c r="AL59" s="19">
        <f>AL45*AL29</f>
        <v/>
      </c>
      <c r="AM59" s="19">
        <f>AM45*AM29</f>
        <v/>
      </c>
      <c r="AN59" s="19">
        <f>AN45*AN29</f>
        <v/>
      </c>
      <c r="AO59" s="19">
        <f>AO45*AO29</f>
        <v/>
      </c>
      <c r="AP59" s="19">
        <f>AP45*AP29</f>
        <v/>
      </c>
      <c r="AQ59" s="19">
        <f>AQ45*AQ29</f>
        <v/>
      </c>
      <c r="AR59" s="19">
        <f>AR45*AR29</f>
        <v/>
      </c>
      <c r="AS59" s="19">
        <f>AS45*AS29</f>
        <v/>
      </c>
      <c r="AT59" s="19">
        <f>AT45*AT29</f>
        <v/>
      </c>
      <c r="AU59" s="19">
        <f>AU45*AU29</f>
        <v/>
      </c>
      <c r="AV59" s="19">
        <f>AV45*AV29</f>
        <v/>
      </c>
      <c r="AW59" s="19">
        <f>AW45*AW29</f>
        <v/>
      </c>
      <c r="AX59" s="19">
        <f>AX45*AX29</f>
        <v/>
      </c>
      <c r="AY59" s="19" t="n"/>
    </row>
    <row r="60">
      <c r="B60" s="1" t="inlineStr">
        <is>
          <t>Head of Finance</t>
        </is>
      </c>
      <c r="D60" s="252">
        <f>SUMIF($I$5:$AX$5,D$5,$I60:$AX60)</f>
        <v/>
      </c>
      <c r="E60" s="252">
        <f>SUMIF($I$5:$AX$5,E$5,$I60:$AX60)</f>
        <v/>
      </c>
      <c r="F60" s="252">
        <f>SUMIF($I$5:$AX$5,F$5,$I60:$AX60)</f>
        <v/>
      </c>
      <c r="G60" s="252">
        <f>SUMIF($I$5:$AX$5,G$5,$I60:$AX60)</f>
        <v/>
      </c>
      <c r="H60" s="252" t="n"/>
      <c r="I60" s="19">
        <f>I46*I30</f>
        <v/>
      </c>
      <c r="J60" s="19">
        <f>J46*J30</f>
        <v/>
      </c>
      <c r="K60" s="19">
        <f>K46*K30</f>
        <v/>
      </c>
      <c r="L60" s="19">
        <f>L46*L30</f>
        <v/>
      </c>
      <c r="M60" s="19">
        <f>M46*M30</f>
        <v/>
      </c>
      <c r="N60" s="19">
        <f>N46*N30</f>
        <v/>
      </c>
      <c r="O60" s="19">
        <f>O46*O30</f>
        <v/>
      </c>
      <c r="P60" s="19">
        <f>P46*P30</f>
        <v/>
      </c>
      <c r="Q60" s="19">
        <f>Q46*Q30</f>
        <v/>
      </c>
      <c r="R60" s="19">
        <f>R46*R30</f>
        <v/>
      </c>
      <c r="S60" s="19">
        <f>S46*S30</f>
        <v/>
      </c>
      <c r="T60" s="19">
        <f>T46*T30</f>
        <v/>
      </c>
      <c r="U60" s="19">
        <f>U46*U30</f>
        <v/>
      </c>
      <c r="V60" s="19">
        <f>V46*V30</f>
        <v/>
      </c>
      <c r="W60" s="19">
        <f>W46*W30</f>
        <v/>
      </c>
      <c r="X60" s="19">
        <f>X46*X30</f>
        <v/>
      </c>
      <c r="Y60" s="19">
        <f>Y46*Y30</f>
        <v/>
      </c>
      <c r="Z60" s="19">
        <f>Z46*Z30</f>
        <v/>
      </c>
      <c r="AA60" s="19">
        <f>AA46*AA30</f>
        <v/>
      </c>
      <c r="AB60" s="19">
        <f>AB46*AB30</f>
        <v/>
      </c>
      <c r="AC60" s="19">
        <f>AC46*AC30</f>
        <v/>
      </c>
      <c r="AD60" s="19">
        <f>AD46*AD30</f>
        <v/>
      </c>
      <c r="AE60" s="19">
        <f>AE46*AE30</f>
        <v/>
      </c>
      <c r="AF60" s="19">
        <f>AF46*AF30</f>
        <v/>
      </c>
      <c r="AG60" s="19">
        <f>AG46*AG30</f>
        <v/>
      </c>
      <c r="AH60" s="19">
        <f>AH46*AH30</f>
        <v/>
      </c>
      <c r="AI60" s="19">
        <f>AI46*AI30</f>
        <v/>
      </c>
      <c r="AJ60" s="19">
        <f>AJ46*AJ30</f>
        <v/>
      </c>
      <c r="AK60" s="19">
        <f>AK46*AK30</f>
        <v/>
      </c>
      <c r="AL60" s="19">
        <f>AL46*AL30</f>
        <v/>
      </c>
      <c r="AM60" s="19">
        <f>AM46*AM30</f>
        <v/>
      </c>
      <c r="AN60" s="19">
        <f>AN46*AN30</f>
        <v/>
      </c>
      <c r="AO60" s="19">
        <f>AO46*AO30</f>
        <v/>
      </c>
      <c r="AP60" s="19">
        <f>AP46*AP30</f>
        <v/>
      </c>
      <c r="AQ60" s="19">
        <f>AQ46*AQ30</f>
        <v/>
      </c>
      <c r="AR60" s="19">
        <f>AR46*AR30</f>
        <v/>
      </c>
      <c r="AS60" s="19">
        <f>AS46*AS30</f>
        <v/>
      </c>
      <c r="AT60" s="19">
        <f>AT46*AT30</f>
        <v/>
      </c>
      <c r="AU60" s="19">
        <f>AU46*AU30</f>
        <v/>
      </c>
      <c r="AV60" s="19">
        <f>AV46*AV30</f>
        <v/>
      </c>
      <c r="AW60" s="19">
        <f>AW46*AW30</f>
        <v/>
      </c>
      <c r="AX60" s="19">
        <f>AX46*AX30</f>
        <v/>
      </c>
      <c r="AY60" s="19" t="n"/>
    </row>
    <row r="61">
      <c r="B61" s="1" t="inlineStr">
        <is>
          <t>Head of Fintech &amp; Payments Operations</t>
        </is>
      </c>
      <c r="D61" s="252">
        <f>SUMIF($I$5:$AX$5,D$5,$I61:$AX61)</f>
        <v/>
      </c>
      <c r="E61" s="252">
        <f>SUMIF($I$5:$AX$5,E$5,$I61:$AX61)</f>
        <v/>
      </c>
      <c r="F61" s="252">
        <f>SUMIF($I$5:$AX$5,F$5,$I61:$AX61)</f>
        <v/>
      </c>
      <c r="G61" s="252">
        <f>SUMIF($I$5:$AX$5,G$5,$I61:$AX61)</f>
        <v/>
      </c>
      <c r="H61" s="252" t="n"/>
      <c r="I61" s="19">
        <f>I47*I31</f>
        <v/>
      </c>
      <c r="J61" s="19">
        <f>J47*J31</f>
        <v/>
      </c>
      <c r="K61" s="19">
        <f>K47*K31</f>
        <v/>
      </c>
      <c r="L61" s="19">
        <f>L47*L31</f>
        <v/>
      </c>
      <c r="M61" s="19">
        <f>M47*M31</f>
        <v/>
      </c>
      <c r="N61" s="19">
        <f>N47*N31</f>
        <v/>
      </c>
      <c r="O61" s="19">
        <f>O47*O31</f>
        <v/>
      </c>
      <c r="P61" s="19">
        <f>P47*P31</f>
        <v/>
      </c>
      <c r="Q61" s="19">
        <f>Q47*Q31</f>
        <v/>
      </c>
      <c r="R61" s="19">
        <f>R47*R31</f>
        <v/>
      </c>
      <c r="S61" s="19">
        <f>S47*S31</f>
        <v/>
      </c>
      <c r="T61" s="19">
        <f>T47*T31</f>
        <v/>
      </c>
      <c r="U61" s="19">
        <f>U47*U31</f>
        <v/>
      </c>
      <c r="V61" s="19">
        <f>V47*V31</f>
        <v/>
      </c>
      <c r="W61" s="19">
        <f>W47*W31</f>
        <v/>
      </c>
      <c r="X61" s="19">
        <f>X47*X31</f>
        <v/>
      </c>
      <c r="Y61" s="19">
        <f>Y47*Y31</f>
        <v/>
      </c>
      <c r="Z61" s="19">
        <f>Z47*Z31</f>
        <v/>
      </c>
      <c r="AA61" s="19">
        <f>AA47*AA31</f>
        <v/>
      </c>
      <c r="AB61" s="19">
        <f>AB47*AB31</f>
        <v/>
      </c>
      <c r="AC61" s="19">
        <f>AC47*AC31</f>
        <v/>
      </c>
      <c r="AD61" s="19">
        <f>AD47*AD31</f>
        <v/>
      </c>
      <c r="AE61" s="19">
        <f>AE47*AE31</f>
        <v/>
      </c>
      <c r="AF61" s="19">
        <f>AF47*AF31</f>
        <v/>
      </c>
      <c r="AG61" s="19">
        <f>AG47*AG31</f>
        <v/>
      </c>
      <c r="AH61" s="19">
        <f>AH47*AH31</f>
        <v/>
      </c>
      <c r="AI61" s="19">
        <f>AI47*AI31</f>
        <v/>
      </c>
      <c r="AJ61" s="19">
        <f>AJ47*AJ31</f>
        <v/>
      </c>
      <c r="AK61" s="19">
        <f>AK47*AK31</f>
        <v/>
      </c>
      <c r="AL61" s="19">
        <f>AL47*AL31</f>
        <v/>
      </c>
      <c r="AM61" s="19">
        <f>AM47*AM31</f>
        <v/>
      </c>
      <c r="AN61" s="19">
        <f>AN47*AN31</f>
        <v/>
      </c>
      <c r="AO61" s="19">
        <f>AO47*AO31</f>
        <v/>
      </c>
      <c r="AP61" s="19">
        <f>AP47*AP31</f>
        <v/>
      </c>
      <c r="AQ61" s="19">
        <f>AQ47*AQ31</f>
        <v/>
      </c>
      <c r="AR61" s="19">
        <f>AR47*AR31</f>
        <v/>
      </c>
      <c r="AS61" s="19">
        <f>AS47*AS31</f>
        <v/>
      </c>
      <c r="AT61" s="19">
        <f>AT47*AT31</f>
        <v/>
      </c>
      <c r="AU61" s="19">
        <f>AU47*AU31</f>
        <v/>
      </c>
      <c r="AV61" s="19">
        <f>AV47*AV31</f>
        <v/>
      </c>
      <c r="AW61" s="19">
        <f>AW47*AW31</f>
        <v/>
      </c>
      <c r="AX61" s="19">
        <f>AX47*AX31</f>
        <v/>
      </c>
      <c r="AY61" s="19" t="n"/>
    </row>
    <row r="62">
      <c r="B62" s="1" t="inlineStr">
        <is>
          <t>Admin Support</t>
        </is>
      </c>
      <c r="D62" s="252">
        <f>SUMIF($I$5:$AX$5,D$5,$I62:$AX62)</f>
        <v/>
      </c>
      <c r="E62" s="252">
        <f>SUMIF($I$5:$AX$5,E$5,$I62:$AX62)</f>
        <v/>
      </c>
      <c r="F62" s="252">
        <f>SUMIF($I$5:$AX$5,F$5,$I62:$AX62)</f>
        <v/>
      </c>
      <c r="G62" s="252">
        <f>SUMIF($I$5:$AX$5,G$5,$I62:$AX62)</f>
        <v/>
      </c>
      <c r="H62" s="252" t="n"/>
      <c r="I62" s="19">
        <f>I48*I32</f>
        <v/>
      </c>
      <c r="J62" s="19">
        <f>J48*J32</f>
        <v/>
      </c>
      <c r="K62" s="19">
        <f>K48*K32</f>
        <v/>
      </c>
      <c r="L62" s="19">
        <f>L48*L32</f>
        <v/>
      </c>
      <c r="M62" s="19">
        <f>M48*M32</f>
        <v/>
      </c>
      <c r="N62" s="19">
        <f>N48*N32</f>
        <v/>
      </c>
      <c r="O62" s="19">
        <f>O48*O32</f>
        <v/>
      </c>
      <c r="P62" s="19">
        <f>P48*P32</f>
        <v/>
      </c>
      <c r="Q62" s="19">
        <f>Q48*Q32</f>
        <v/>
      </c>
      <c r="R62" s="19">
        <f>R48*R32</f>
        <v/>
      </c>
      <c r="S62" s="19">
        <f>S48*S32</f>
        <v/>
      </c>
      <c r="T62" s="19">
        <f>T48*T32</f>
        <v/>
      </c>
      <c r="U62" s="19">
        <f>U48*U32</f>
        <v/>
      </c>
      <c r="V62" s="19">
        <f>V48*V32</f>
        <v/>
      </c>
      <c r="W62" s="19">
        <f>W48*W32</f>
        <v/>
      </c>
      <c r="X62" s="19">
        <f>X48*X32</f>
        <v/>
      </c>
      <c r="Y62" s="19">
        <f>Y48*Y32</f>
        <v/>
      </c>
      <c r="Z62" s="19">
        <f>Z48*Z32</f>
        <v/>
      </c>
      <c r="AA62" s="19">
        <f>AA48*AA32</f>
        <v/>
      </c>
      <c r="AB62" s="19">
        <f>AB48*AB32</f>
        <v/>
      </c>
      <c r="AC62" s="19">
        <f>AC48*AC32</f>
        <v/>
      </c>
      <c r="AD62" s="19">
        <f>AD48*AD32</f>
        <v/>
      </c>
      <c r="AE62" s="19">
        <f>AE48*AE32</f>
        <v/>
      </c>
      <c r="AF62" s="19">
        <f>AF48*AF32</f>
        <v/>
      </c>
      <c r="AG62" s="19">
        <f>AG48*AG32</f>
        <v/>
      </c>
      <c r="AH62" s="19">
        <f>AH48*AH32</f>
        <v/>
      </c>
      <c r="AI62" s="19">
        <f>AI48*AI32</f>
        <v/>
      </c>
      <c r="AJ62" s="19">
        <f>AJ48*AJ32</f>
        <v/>
      </c>
      <c r="AK62" s="19">
        <f>AK48*AK32</f>
        <v/>
      </c>
      <c r="AL62" s="19">
        <f>AL48*AL32</f>
        <v/>
      </c>
      <c r="AM62" s="19">
        <f>AM48*AM32</f>
        <v/>
      </c>
      <c r="AN62" s="19">
        <f>AN48*AN32</f>
        <v/>
      </c>
      <c r="AO62" s="19">
        <f>AO48*AO32</f>
        <v/>
      </c>
      <c r="AP62" s="19">
        <f>AP48*AP32</f>
        <v/>
      </c>
      <c r="AQ62" s="19">
        <f>AQ48*AQ32</f>
        <v/>
      </c>
      <c r="AR62" s="19">
        <f>AR48*AR32</f>
        <v/>
      </c>
      <c r="AS62" s="19">
        <f>AS48*AS32</f>
        <v/>
      </c>
      <c r="AT62" s="19">
        <f>AT48*AT32</f>
        <v/>
      </c>
      <c r="AU62" s="19">
        <f>AU48*AU32</f>
        <v/>
      </c>
      <c r="AV62" s="19">
        <f>AV48*AV32</f>
        <v/>
      </c>
      <c r="AW62" s="19">
        <f>AW48*AW32</f>
        <v/>
      </c>
      <c r="AX62" s="19">
        <f>AX48*AX32</f>
        <v/>
      </c>
      <c r="AY62" s="19" t="n"/>
    </row>
    <row r="63">
      <c r="B63" s="1" t="inlineStr">
        <is>
          <t>HR Manager</t>
        </is>
      </c>
      <c r="D63" s="252">
        <f>SUMIF($I$5:$AX$5,D$5,$I63:$AX63)</f>
        <v/>
      </c>
      <c r="E63" s="252">
        <f>SUMIF($I$5:$AX$5,E$5,$I63:$AX63)</f>
        <v/>
      </c>
      <c r="F63" s="252">
        <f>SUMIF($I$5:$AX$5,F$5,$I63:$AX63)</f>
        <v/>
      </c>
      <c r="G63" s="252">
        <f>SUMIF($I$5:$AX$5,G$5,$I63:$AX63)</f>
        <v/>
      </c>
      <c r="H63" s="252" t="n"/>
      <c r="I63" s="19">
        <f>I49*I33</f>
        <v/>
      </c>
      <c r="J63" s="19">
        <f>J49*J33</f>
        <v/>
      </c>
      <c r="K63" s="19">
        <f>K49*K33</f>
        <v/>
      </c>
      <c r="L63" s="19">
        <f>L49*L33</f>
        <v/>
      </c>
      <c r="M63" s="19">
        <f>M49*M33</f>
        <v/>
      </c>
      <c r="N63" s="19">
        <f>N49*N33</f>
        <v/>
      </c>
      <c r="O63" s="19">
        <f>O49*O33</f>
        <v/>
      </c>
      <c r="P63" s="19">
        <f>P49*P33</f>
        <v/>
      </c>
      <c r="Q63" s="19">
        <f>Q49*Q33</f>
        <v/>
      </c>
      <c r="R63" s="19">
        <f>R49*R33</f>
        <v/>
      </c>
      <c r="S63" s="19">
        <f>S49*S33</f>
        <v/>
      </c>
      <c r="T63" s="19">
        <f>T49*T33</f>
        <v/>
      </c>
      <c r="U63" s="19">
        <f>U49*U33</f>
        <v/>
      </c>
      <c r="V63" s="19">
        <f>V49*V33</f>
        <v/>
      </c>
      <c r="W63" s="19">
        <f>W49*W33</f>
        <v/>
      </c>
      <c r="X63" s="19">
        <f>X49*X33</f>
        <v/>
      </c>
      <c r="Y63" s="19">
        <f>Y49*Y33</f>
        <v/>
      </c>
      <c r="Z63" s="19">
        <f>Z49*Z33</f>
        <v/>
      </c>
      <c r="AA63" s="19">
        <f>AA49*AA33</f>
        <v/>
      </c>
      <c r="AB63" s="19">
        <f>AB49*AB33</f>
        <v/>
      </c>
      <c r="AC63" s="19">
        <f>AC49*AC33</f>
        <v/>
      </c>
      <c r="AD63" s="19">
        <f>AD49*AD33</f>
        <v/>
      </c>
      <c r="AE63" s="19">
        <f>AE49*AE33</f>
        <v/>
      </c>
      <c r="AF63" s="19">
        <f>AF49*AF33</f>
        <v/>
      </c>
      <c r="AG63" s="19">
        <f>AG49*AG33</f>
        <v/>
      </c>
      <c r="AH63" s="19">
        <f>AH49*AH33</f>
        <v/>
      </c>
      <c r="AI63" s="19">
        <f>AI49*AI33</f>
        <v/>
      </c>
      <c r="AJ63" s="19">
        <f>AJ49*AJ33</f>
        <v/>
      </c>
      <c r="AK63" s="19">
        <f>AK49*AK33</f>
        <v/>
      </c>
      <c r="AL63" s="19">
        <f>AL49*AL33</f>
        <v/>
      </c>
      <c r="AM63" s="19">
        <f>AM49*AM33</f>
        <v/>
      </c>
      <c r="AN63" s="19">
        <f>AN49*AN33</f>
        <v/>
      </c>
      <c r="AO63" s="19">
        <f>AO49*AO33</f>
        <v/>
      </c>
      <c r="AP63" s="19">
        <f>AP49*AP33</f>
        <v/>
      </c>
      <c r="AQ63" s="19">
        <f>AQ49*AQ33</f>
        <v/>
      </c>
      <c r="AR63" s="19">
        <f>AR49*AR33</f>
        <v/>
      </c>
      <c r="AS63" s="19">
        <f>AS49*AS33</f>
        <v/>
      </c>
      <c r="AT63" s="19">
        <f>AT49*AT33</f>
        <v/>
      </c>
      <c r="AU63" s="19">
        <f>AU49*AU33</f>
        <v/>
      </c>
      <c r="AV63" s="19">
        <f>AV49*AV33</f>
        <v/>
      </c>
      <c r="AW63" s="19">
        <f>AW49*AW33</f>
        <v/>
      </c>
      <c r="AX63" s="19">
        <f>AX49*AX33</f>
        <v/>
      </c>
      <c r="AY63" s="19" t="n"/>
    </row>
    <row r="64">
      <c r="B64" s="1" t="inlineStr">
        <is>
          <t>COO</t>
        </is>
      </c>
      <c r="D64" s="252">
        <f>SUMIF($I$5:$AX$5,D$5,$I64:$AX64)</f>
        <v/>
      </c>
      <c r="E64" s="252">
        <f>SUMIF($I$5:$AX$5,E$5,$I64:$AX64)</f>
        <v/>
      </c>
      <c r="F64" s="252">
        <f>SUMIF($I$5:$AX$5,F$5,$I64:$AX64)</f>
        <v/>
      </c>
      <c r="G64" s="252">
        <f>SUMIF($I$5:$AX$5,G$5,$I64:$AX64)</f>
        <v/>
      </c>
      <c r="H64" s="252" t="n"/>
      <c r="I64" s="19">
        <f>I50*I34</f>
        <v/>
      </c>
      <c r="J64" s="19">
        <f>J50*J34</f>
        <v/>
      </c>
      <c r="K64" s="19">
        <f>K50*K34</f>
        <v/>
      </c>
      <c r="L64" s="19">
        <f>L50*L34</f>
        <v/>
      </c>
      <c r="M64" s="19">
        <f>M50*M34</f>
        <v/>
      </c>
      <c r="N64" s="19">
        <f>N50*N34</f>
        <v/>
      </c>
      <c r="O64" s="19">
        <f>O50*O34</f>
        <v/>
      </c>
      <c r="P64" s="19">
        <f>P50*P34</f>
        <v/>
      </c>
      <c r="Q64" s="19">
        <f>Q50*Q34</f>
        <v/>
      </c>
      <c r="R64" s="19">
        <f>R50*R34</f>
        <v/>
      </c>
      <c r="S64" s="19">
        <f>S50*S34</f>
        <v/>
      </c>
      <c r="T64" s="19">
        <f>T50*T34</f>
        <v/>
      </c>
      <c r="U64" s="19">
        <f>U50*U34</f>
        <v/>
      </c>
      <c r="V64" s="19">
        <f>V50*V34</f>
        <v/>
      </c>
      <c r="W64" s="19">
        <f>W50*W34</f>
        <v/>
      </c>
      <c r="X64" s="19">
        <f>X50*X34</f>
        <v/>
      </c>
      <c r="Y64" s="19">
        <f>Y50*Y34</f>
        <v/>
      </c>
      <c r="Z64" s="19">
        <f>Z50*Z34</f>
        <v/>
      </c>
      <c r="AA64" s="19">
        <f>AA50*AA34</f>
        <v/>
      </c>
      <c r="AB64" s="19">
        <f>AB50*AB34</f>
        <v/>
      </c>
      <c r="AC64" s="19">
        <f>AC50*AC34</f>
        <v/>
      </c>
      <c r="AD64" s="19">
        <f>AD50*AD34</f>
        <v/>
      </c>
      <c r="AE64" s="19">
        <f>AE50*AE34</f>
        <v/>
      </c>
      <c r="AF64" s="19">
        <f>AF50*AF34</f>
        <v/>
      </c>
      <c r="AG64" s="19">
        <f>AG50*AG34</f>
        <v/>
      </c>
      <c r="AH64" s="19">
        <f>AH50*AH34</f>
        <v/>
      </c>
      <c r="AI64" s="19">
        <f>AI50*AI34</f>
        <v/>
      </c>
      <c r="AJ64" s="19">
        <f>AJ50*AJ34</f>
        <v/>
      </c>
      <c r="AK64" s="19">
        <f>AK50*AK34</f>
        <v/>
      </c>
      <c r="AL64" s="19">
        <f>AL50*AL34</f>
        <v/>
      </c>
      <c r="AM64" s="19">
        <f>AM50*AM34</f>
        <v/>
      </c>
      <c r="AN64" s="19">
        <f>AN50*AN34</f>
        <v/>
      </c>
      <c r="AO64" s="19">
        <f>AO50*AO34</f>
        <v/>
      </c>
      <c r="AP64" s="19">
        <f>AP50*AP34</f>
        <v/>
      </c>
      <c r="AQ64" s="19">
        <f>AQ50*AQ34</f>
        <v/>
      </c>
      <c r="AR64" s="19">
        <f>AR50*AR34</f>
        <v/>
      </c>
      <c r="AS64" s="19">
        <f>AS50*AS34</f>
        <v/>
      </c>
      <c r="AT64" s="19">
        <f>AT50*AT34</f>
        <v/>
      </c>
      <c r="AU64" s="19">
        <f>AU50*AU34</f>
        <v/>
      </c>
      <c r="AV64" s="19">
        <f>AV50*AV34</f>
        <v/>
      </c>
      <c r="AW64" s="19">
        <f>AW50*AW34</f>
        <v/>
      </c>
      <c r="AX64" s="19">
        <f>AX50*AX34</f>
        <v/>
      </c>
      <c r="AY64" s="19" t="n"/>
    </row>
    <row r="65">
      <c r="B65" s="1" t="inlineStr">
        <is>
          <t>Brand &amp; Digital Marketing Generalist</t>
        </is>
      </c>
      <c r="D65" s="252">
        <f>SUMIF($I$5:$AX$5,D$5,$I65:$AX65)</f>
        <v/>
      </c>
      <c r="E65" s="252">
        <f>SUMIF($I$5:$AX$5,E$5,$I65:$AX65)</f>
        <v/>
      </c>
      <c r="F65" s="252">
        <f>SUMIF($I$5:$AX$5,F$5,$I65:$AX65)</f>
        <v/>
      </c>
      <c r="G65" s="252">
        <f>SUMIF($I$5:$AX$5,G$5,$I65:$AX65)</f>
        <v/>
      </c>
      <c r="H65" s="252" t="n"/>
      <c r="I65" s="19">
        <f>I51*I35</f>
        <v/>
      </c>
      <c r="J65" s="19">
        <f>J51*J35</f>
        <v/>
      </c>
      <c r="K65" s="19">
        <f>K51*K35</f>
        <v/>
      </c>
      <c r="L65" s="19">
        <f>L51*L35</f>
        <v/>
      </c>
      <c r="M65" s="19">
        <f>M51*M35</f>
        <v/>
      </c>
      <c r="N65" s="19">
        <f>N51*N35</f>
        <v/>
      </c>
      <c r="O65" s="19">
        <f>O51*O35</f>
        <v/>
      </c>
      <c r="P65" s="19">
        <f>P51*P35</f>
        <v/>
      </c>
      <c r="Q65" s="19">
        <f>Q51*Q35</f>
        <v/>
      </c>
      <c r="R65" s="19">
        <f>R51*R35</f>
        <v/>
      </c>
      <c r="S65" s="19">
        <f>S51*S35</f>
        <v/>
      </c>
      <c r="T65" s="19">
        <f>T51*T35</f>
        <v/>
      </c>
      <c r="U65" s="19">
        <f>U51*U35</f>
        <v/>
      </c>
      <c r="V65" s="19">
        <f>V51*V35</f>
        <v/>
      </c>
      <c r="W65" s="19">
        <f>W51*W35</f>
        <v/>
      </c>
      <c r="X65" s="19">
        <f>X51*X35</f>
        <v/>
      </c>
      <c r="Y65" s="19">
        <f>Y51*Y35</f>
        <v/>
      </c>
      <c r="Z65" s="19">
        <f>Z51*Z35</f>
        <v/>
      </c>
      <c r="AA65" s="19">
        <f>AA51*AA35</f>
        <v/>
      </c>
      <c r="AB65" s="19">
        <f>AB51*AB35</f>
        <v/>
      </c>
      <c r="AC65" s="19">
        <f>AC51*AC35</f>
        <v/>
      </c>
      <c r="AD65" s="19">
        <f>AD51*AD35</f>
        <v/>
      </c>
      <c r="AE65" s="19">
        <f>AE51*AE35</f>
        <v/>
      </c>
      <c r="AF65" s="19">
        <f>AF51*AF35</f>
        <v/>
      </c>
      <c r="AG65" s="19">
        <f>AG51*AG35</f>
        <v/>
      </c>
      <c r="AH65" s="19">
        <f>AH51*AH35</f>
        <v/>
      </c>
      <c r="AI65" s="19">
        <f>AI51*AI35</f>
        <v/>
      </c>
      <c r="AJ65" s="19">
        <f>AJ51*AJ35</f>
        <v/>
      </c>
      <c r="AK65" s="19">
        <f>AK51*AK35</f>
        <v/>
      </c>
      <c r="AL65" s="19">
        <f>AL51*AL35</f>
        <v/>
      </c>
      <c r="AM65" s="19">
        <f>AM51*AM35</f>
        <v/>
      </c>
      <c r="AN65" s="19">
        <f>AN51*AN35</f>
        <v/>
      </c>
      <c r="AO65" s="19">
        <f>AO51*AO35</f>
        <v/>
      </c>
      <c r="AP65" s="19">
        <f>AP51*AP35</f>
        <v/>
      </c>
      <c r="AQ65" s="19">
        <f>AQ51*AQ35</f>
        <v/>
      </c>
      <c r="AR65" s="19">
        <f>AR51*AR35</f>
        <v/>
      </c>
      <c r="AS65" s="19">
        <f>AS51*AS35</f>
        <v/>
      </c>
      <c r="AT65" s="19">
        <f>AT51*AT35</f>
        <v/>
      </c>
      <c r="AU65" s="19">
        <f>AU51*AU35</f>
        <v/>
      </c>
      <c r="AV65" s="19">
        <f>AV51*AV35</f>
        <v/>
      </c>
      <c r="AW65" s="19">
        <f>AW51*AW35</f>
        <v/>
      </c>
      <c r="AX65" s="19">
        <f>AX51*AX35</f>
        <v/>
      </c>
      <c r="AY65" s="19" t="n"/>
    </row>
    <row r="66">
      <c r="B66" s="1" t="inlineStr">
        <is>
          <t>Program Manager</t>
        </is>
      </c>
      <c r="D66" s="252">
        <f>SUMIF($I$5:$AX$5,D$5,$I66:$AX66)</f>
        <v/>
      </c>
      <c r="E66" s="252">
        <f>SUMIF($I$5:$AX$5,E$5,$I66:$AX66)</f>
        <v/>
      </c>
      <c r="F66" s="252">
        <f>SUMIF($I$5:$AX$5,F$5,$I66:$AX66)</f>
        <v/>
      </c>
      <c r="G66" s="252">
        <f>SUMIF($I$5:$AX$5,G$5,$I66:$AX66)</f>
        <v/>
      </c>
      <c r="H66" s="252" t="n"/>
      <c r="I66" s="19">
        <f>I52*I36</f>
        <v/>
      </c>
      <c r="J66" s="19">
        <f>J52*J36</f>
        <v/>
      </c>
      <c r="K66" s="19">
        <f>K52*K36</f>
        <v/>
      </c>
      <c r="L66" s="19">
        <f>L52*L36</f>
        <v/>
      </c>
      <c r="M66" s="19">
        <f>M52*M36</f>
        <v/>
      </c>
      <c r="N66" s="19">
        <f>N52*N36</f>
        <v/>
      </c>
      <c r="O66" s="19">
        <f>O52*O36</f>
        <v/>
      </c>
      <c r="P66" s="19">
        <f>P52*P36</f>
        <v/>
      </c>
      <c r="Q66" s="19">
        <f>Q52*Q36</f>
        <v/>
      </c>
      <c r="R66" s="19">
        <f>R52*R36</f>
        <v/>
      </c>
      <c r="S66" s="19">
        <f>S52*S36</f>
        <v/>
      </c>
      <c r="T66" s="19">
        <f>T52*T36</f>
        <v/>
      </c>
      <c r="U66" s="19">
        <f>U52*U36</f>
        <v/>
      </c>
      <c r="V66" s="19">
        <f>V52*V36</f>
        <v/>
      </c>
      <c r="W66" s="19">
        <f>W52*W36</f>
        <v/>
      </c>
      <c r="X66" s="19">
        <f>X52*X36</f>
        <v/>
      </c>
      <c r="Y66" s="19">
        <f>Y52*Y36</f>
        <v/>
      </c>
      <c r="Z66" s="19">
        <f>Z52*Z36</f>
        <v/>
      </c>
      <c r="AA66" s="19">
        <f>AA52*AA36</f>
        <v/>
      </c>
      <c r="AB66" s="19">
        <f>AB52*AB36</f>
        <v/>
      </c>
      <c r="AC66" s="19">
        <f>AC52*AC36</f>
        <v/>
      </c>
      <c r="AD66" s="19">
        <f>AD52*AD36</f>
        <v/>
      </c>
      <c r="AE66" s="19">
        <f>AE52*AE36</f>
        <v/>
      </c>
      <c r="AF66" s="19">
        <f>AF52*AF36</f>
        <v/>
      </c>
      <c r="AG66" s="19">
        <f>AG52*AG36</f>
        <v/>
      </c>
      <c r="AH66" s="19">
        <f>AH52*AH36</f>
        <v/>
      </c>
      <c r="AI66" s="19">
        <f>AI52*AI36</f>
        <v/>
      </c>
      <c r="AJ66" s="19">
        <f>AJ52*AJ36</f>
        <v/>
      </c>
      <c r="AK66" s="19">
        <f>AK52*AK36</f>
        <v/>
      </c>
      <c r="AL66" s="19">
        <f>AL52*AL36</f>
        <v/>
      </c>
      <c r="AM66" s="19">
        <f>AM52*AM36</f>
        <v/>
      </c>
      <c r="AN66" s="19">
        <f>AN52*AN36</f>
        <v/>
      </c>
      <c r="AO66" s="19">
        <f>AO52*AO36</f>
        <v/>
      </c>
      <c r="AP66" s="19">
        <f>AP52*AP36</f>
        <v/>
      </c>
      <c r="AQ66" s="19">
        <f>AQ52*AQ36</f>
        <v/>
      </c>
      <c r="AR66" s="19">
        <f>AR52*AR36</f>
        <v/>
      </c>
      <c r="AS66" s="19">
        <f>AS52*AS36</f>
        <v/>
      </c>
      <c r="AT66" s="19">
        <f>AT52*AT36</f>
        <v/>
      </c>
      <c r="AU66" s="19">
        <f>AU52*AU36</f>
        <v/>
      </c>
      <c r="AV66" s="19">
        <f>AV52*AV36</f>
        <v/>
      </c>
      <c r="AW66" s="19">
        <f>AW52*AW36</f>
        <v/>
      </c>
      <c r="AX66" s="19">
        <f>AX52*AX36</f>
        <v/>
      </c>
      <c r="AY66" s="19" t="n"/>
    </row>
    <row r="67"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</row>
    <row r="68" ht="14" customHeight="1" thickBot="1">
      <c r="B68" s="105" t="inlineStr">
        <is>
          <t>Total Salary Cost</t>
        </is>
      </c>
      <c r="C68" s="270" t="n"/>
      <c r="D68" s="271">
        <f>SUMIF($I$5:$AX$5,D$5,$I68:$AX68)</f>
        <v/>
      </c>
      <c r="E68" s="271">
        <f>SUMIF($I$5:$AX$5,E$5,$I68:$AX68)</f>
        <v/>
      </c>
      <c r="F68" s="271">
        <f>SUMIF($I$5:$AX$5,F$5,$I68:$AX68)</f>
        <v/>
      </c>
      <c r="G68" s="271">
        <f>SUMIF($I$5:$AX$5,G$5,$I68:$AX68)</f>
        <v/>
      </c>
      <c r="H68" s="27" t="n"/>
      <c r="I68" s="271">
        <f>SUM(I55:I66)</f>
        <v/>
      </c>
      <c r="J68" s="271">
        <f>SUM(J55:J66)</f>
        <v/>
      </c>
      <c r="K68" s="271">
        <f>SUM(K55:K66)</f>
        <v/>
      </c>
      <c r="L68" s="271">
        <f>SUM(L55:L66)</f>
        <v/>
      </c>
      <c r="M68" s="271">
        <f>SUM(M55:M66)</f>
        <v/>
      </c>
      <c r="N68" s="271">
        <f>SUM(N55:N66)</f>
        <v/>
      </c>
      <c r="O68" s="271">
        <f>SUM(O55:O66)</f>
        <v/>
      </c>
      <c r="P68" s="271">
        <f>SUM(P55:P66)</f>
        <v/>
      </c>
      <c r="Q68" s="271">
        <f>SUM(Q55:Q66)</f>
        <v/>
      </c>
      <c r="R68" s="271">
        <f>SUM(R55:R66)</f>
        <v/>
      </c>
      <c r="S68" s="271">
        <f>SUM(S55:S66)</f>
        <v/>
      </c>
      <c r="T68" s="271">
        <f>SUM(T55:T66)</f>
        <v/>
      </c>
      <c r="U68" s="271">
        <f>SUM(U55:U66)</f>
        <v/>
      </c>
      <c r="V68" s="271">
        <f>SUM(V55:V66)</f>
        <v/>
      </c>
      <c r="W68" s="271">
        <f>SUM(W55:W66)</f>
        <v/>
      </c>
      <c r="X68" s="271">
        <f>SUM(X55:X66)</f>
        <v/>
      </c>
      <c r="Y68" s="271">
        <f>SUM(Y55:Y66)</f>
        <v/>
      </c>
      <c r="Z68" s="271">
        <f>SUM(Z55:Z66)</f>
        <v/>
      </c>
      <c r="AA68" s="271">
        <f>SUM(AA55:AA66)</f>
        <v/>
      </c>
      <c r="AB68" s="271">
        <f>SUM(AB55:AB66)</f>
        <v/>
      </c>
      <c r="AC68" s="271">
        <f>SUM(AC55:AC66)</f>
        <v/>
      </c>
      <c r="AD68" s="271">
        <f>SUM(AD55:AD66)</f>
        <v/>
      </c>
      <c r="AE68" s="271">
        <f>SUM(AE55:AE66)</f>
        <v/>
      </c>
      <c r="AF68" s="271">
        <f>SUM(AF55:AF66)</f>
        <v/>
      </c>
      <c r="AG68" s="271">
        <f>SUM(AG55:AG66)</f>
        <v/>
      </c>
      <c r="AH68" s="271">
        <f>SUM(AH55:AH66)</f>
        <v/>
      </c>
      <c r="AI68" s="271">
        <f>SUM(AI55:AI66)</f>
        <v/>
      </c>
      <c r="AJ68" s="271">
        <f>SUM(AJ55:AJ66)</f>
        <v/>
      </c>
      <c r="AK68" s="271">
        <f>SUM(AK55:AK66)</f>
        <v/>
      </c>
      <c r="AL68" s="271">
        <f>SUM(AL55:AL66)</f>
        <v/>
      </c>
      <c r="AM68" s="271">
        <f>SUM(AM55:AM66)</f>
        <v/>
      </c>
      <c r="AN68" s="271">
        <f>SUM(AN55:AN66)</f>
        <v/>
      </c>
      <c r="AO68" s="271">
        <f>SUM(AO55:AO66)</f>
        <v/>
      </c>
      <c r="AP68" s="271">
        <f>SUM(AP55:AP66)</f>
        <v/>
      </c>
      <c r="AQ68" s="271">
        <f>SUM(AQ55:AQ66)</f>
        <v/>
      </c>
      <c r="AR68" s="271">
        <f>SUM(AR55:AR66)</f>
        <v/>
      </c>
      <c r="AS68" s="271">
        <f>SUM(AS55:AS66)</f>
        <v/>
      </c>
      <c r="AT68" s="271">
        <f>SUM(AT55:AT66)</f>
        <v/>
      </c>
      <c r="AU68" s="271">
        <f>SUM(AU55:AU66)</f>
        <v/>
      </c>
      <c r="AV68" s="271">
        <f>SUM(AV55:AV66)</f>
        <v/>
      </c>
      <c r="AW68" s="271">
        <f>SUM(AW55:AW66)</f>
        <v/>
      </c>
      <c r="AX68" s="271">
        <f>SUM(AX55:AX66)</f>
        <v/>
      </c>
      <c r="AY68" s="19" t="n"/>
    </row>
    <row r="70">
      <c r="B70" s="2" t="inlineStr">
        <is>
          <t>Basic Salary (%)</t>
        </is>
      </c>
      <c r="C70" s="107" t="n"/>
      <c r="I70" s="154" t="n">
        <v>0.6</v>
      </c>
      <c r="J70" s="154" t="n">
        <v>0.6</v>
      </c>
      <c r="K70" s="154" t="n">
        <v>0.6</v>
      </c>
      <c r="L70" s="154" t="n">
        <v>0.6</v>
      </c>
      <c r="M70" s="154" t="n">
        <v>0.6</v>
      </c>
      <c r="N70" s="154" t="n">
        <v>0.6</v>
      </c>
      <c r="O70" s="154" t="n">
        <v>0.6</v>
      </c>
      <c r="P70" s="154" t="n">
        <v>0.6</v>
      </c>
      <c r="Q70" s="154" t="n">
        <v>0.6</v>
      </c>
      <c r="R70" s="154" t="n">
        <v>0.6</v>
      </c>
      <c r="S70" s="154" t="n">
        <v>0.6</v>
      </c>
      <c r="T70" s="154" t="n">
        <v>0.6</v>
      </c>
      <c r="U70" s="154" t="n">
        <v>0.6</v>
      </c>
      <c r="V70" s="154" t="n">
        <v>0.6</v>
      </c>
      <c r="W70" s="154" t="n">
        <v>0.6</v>
      </c>
      <c r="X70" s="154" t="n">
        <v>0.6</v>
      </c>
      <c r="Y70" s="154" t="n">
        <v>0.6</v>
      </c>
      <c r="Z70" s="154" t="n">
        <v>0.6</v>
      </c>
      <c r="AA70" s="154" t="n">
        <v>0.6</v>
      </c>
      <c r="AB70" s="154" t="n">
        <v>0.6</v>
      </c>
      <c r="AC70" s="154" t="n">
        <v>0.6</v>
      </c>
      <c r="AD70" s="154" t="n">
        <v>0.6</v>
      </c>
      <c r="AE70" s="154" t="n">
        <v>0.6</v>
      </c>
      <c r="AF70" s="154" t="n">
        <v>0.6</v>
      </c>
      <c r="AG70" s="154" t="n">
        <v>0.6</v>
      </c>
      <c r="AH70" s="154" t="n">
        <v>0.6</v>
      </c>
      <c r="AI70" s="154" t="n">
        <v>0.6</v>
      </c>
      <c r="AJ70" s="154" t="n">
        <v>0.6</v>
      </c>
      <c r="AK70" s="154" t="n">
        <v>0.6</v>
      </c>
      <c r="AL70" s="154" t="n">
        <v>0.6</v>
      </c>
      <c r="AM70" s="154" t="n">
        <v>0.6</v>
      </c>
      <c r="AN70" s="154" t="n">
        <v>0.6</v>
      </c>
      <c r="AO70" s="154" t="n">
        <v>0.6</v>
      </c>
      <c r="AP70" s="154" t="n">
        <v>0.6</v>
      </c>
      <c r="AQ70" s="154" t="n">
        <v>0.6</v>
      </c>
      <c r="AR70" s="154" t="n">
        <v>0.6</v>
      </c>
      <c r="AS70" s="154" t="n">
        <v>0.6</v>
      </c>
      <c r="AT70" s="154" t="n">
        <v>0.6</v>
      </c>
      <c r="AU70" s="154" t="n">
        <v>0.6</v>
      </c>
      <c r="AV70" s="154" t="n">
        <v>0.6</v>
      </c>
      <c r="AW70" s="154" t="n">
        <v>0.6</v>
      </c>
      <c r="AX70" s="154" t="n">
        <v>0.6</v>
      </c>
    </row>
    <row r="72">
      <c r="B72" s="2" t="inlineStr">
        <is>
          <t>Medical Insurance</t>
        </is>
      </c>
      <c r="C72" s="235" t="n">
        <v>4000</v>
      </c>
      <c r="I72" s="382">
        <f>IF(MONTH(I6)=1,($C$72/12*(1+DCF!$C$52)),($C$72/12))</f>
        <v/>
      </c>
      <c r="J72" s="382">
        <f>IF(MONTH(J6)=1,(I72*(1+DCF!$C$52)),I72)</f>
        <v/>
      </c>
      <c r="K72" s="382">
        <f>IF(MONTH(K6)=1,(J72*(1+DCF!$C$52)),J72)</f>
        <v/>
      </c>
      <c r="L72" s="382">
        <f>IF(MONTH(L6)=1,(K72*(1+DCF!$C$52)),K72)</f>
        <v/>
      </c>
      <c r="M72" s="382">
        <f>IF(MONTH(M6)=1,(L72*(1+DCF!$C$52)),L72)</f>
        <v/>
      </c>
      <c r="N72" s="382">
        <f>IF(MONTH(N6)=1,(M72*(1+DCF!$C$52)),M72)</f>
        <v/>
      </c>
      <c r="O72" s="382">
        <f>IF(MONTH(O6)=1,(N72*(1+DCF!$C$52)),N72)</f>
        <v/>
      </c>
      <c r="P72" s="382">
        <f>IF(MONTH(P6)=1,(O72*(1+DCF!$C$52)),O72)</f>
        <v/>
      </c>
      <c r="Q72" s="382">
        <f>IF(MONTH(Q6)=1,(P72*(1+DCF!$C$52)),P72)</f>
        <v/>
      </c>
      <c r="R72" s="382">
        <f>IF(MONTH(R6)=1,(Q72*(1+DCF!$C$52)),Q72)</f>
        <v/>
      </c>
      <c r="S72" s="382">
        <f>IF(MONTH(S6)=1,(R72*(1+DCF!$C$52)),R72)</f>
        <v/>
      </c>
      <c r="T72" s="382">
        <f>IF(MONTH(T6)=1,(S72*(1+DCF!$C$52)),S72)</f>
        <v/>
      </c>
      <c r="U72" s="382">
        <f>IF(MONTH(U6)=1,(T72*(1+DCF!$C$52)),T72)</f>
        <v/>
      </c>
      <c r="V72" s="382">
        <f>IF(MONTH(V6)=1,(U72*(1+DCF!$C$52)),U72)</f>
        <v/>
      </c>
      <c r="W72" s="382">
        <f>IF(MONTH(W6)=1,(V72*(1+DCF!$C$52)),V72)</f>
        <v/>
      </c>
      <c r="X72" s="382">
        <f>IF(MONTH(X6)=1,(W72*(1+DCF!$C$52)),W72)</f>
        <v/>
      </c>
      <c r="Y72" s="382">
        <f>IF(MONTH(Y6)=1,(X72*(1+DCF!$C$52)),X72)</f>
        <v/>
      </c>
      <c r="Z72" s="382">
        <f>IF(MONTH(Z6)=1,(Y72*(1+DCF!$C$52)),Y72)</f>
        <v/>
      </c>
      <c r="AA72" s="382">
        <f>IF(MONTH(AA6)=1,(Z72*(1+DCF!$C$52)),Z72)</f>
        <v/>
      </c>
      <c r="AB72" s="382">
        <f>IF(MONTH(AB6)=1,(AA72*(1+DCF!$C$52)),AA72)</f>
        <v/>
      </c>
      <c r="AC72" s="382">
        <f>IF(MONTH(AC6)=1,(AB72*(1+DCF!$C$52)),AB72)</f>
        <v/>
      </c>
      <c r="AD72" s="382">
        <f>IF(MONTH(AD6)=1,(AC72*(1+DCF!$C$52)),AC72)</f>
        <v/>
      </c>
      <c r="AE72" s="382">
        <f>IF(MONTH(AE6)=1,(AD72*(1+DCF!$C$52)),AD72)</f>
        <v/>
      </c>
      <c r="AF72" s="382">
        <f>IF(MONTH(AF6)=1,(AE72*(1+DCF!$C$52)),AE72)</f>
        <v/>
      </c>
      <c r="AG72" s="382">
        <f>IF(MONTH(AG6)=1,(AF72*(1+DCF!$C$52)),AF72)</f>
        <v/>
      </c>
      <c r="AH72" s="382">
        <f>IF(MONTH(AH6)=1,(AG72*(1+DCF!$C$52)),AG72)</f>
        <v/>
      </c>
      <c r="AI72" s="382">
        <f>IF(MONTH(AI6)=1,(AH72*(1+DCF!$C$52)),AH72)</f>
        <v/>
      </c>
      <c r="AJ72" s="382">
        <f>IF(MONTH(AJ6)=1,(AI72*(1+DCF!$C$52)),AI72)</f>
        <v/>
      </c>
      <c r="AK72" s="382">
        <f>IF(MONTH(AK6)=1,(AJ72*(1+DCF!$C$52)),AJ72)</f>
        <v/>
      </c>
      <c r="AL72" s="382">
        <f>IF(MONTH(AL6)=1,(AK72*(1+DCF!$C$52)),AK72)</f>
        <v/>
      </c>
      <c r="AM72" s="382">
        <f>IF(MONTH(AM6)=1,(AL72*(1+DCF!$C$52)),AL72)</f>
        <v/>
      </c>
      <c r="AN72" s="382">
        <f>IF(MONTH(AN6)=1,(AM72*(1+DCF!$C$52)),AM72)</f>
        <v/>
      </c>
      <c r="AO72" s="382">
        <f>IF(MONTH(AO6)=1,(AN72*(1+DCF!$C$52)),AN72)</f>
        <v/>
      </c>
      <c r="AP72" s="382">
        <f>IF(MONTH(AP6)=1,(AO72*(1+DCF!$C$52)),AO72)</f>
        <v/>
      </c>
      <c r="AQ72" s="382">
        <f>IF(MONTH(AQ6)=1,(AP72*(1+DCF!$C$52)),AP72)</f>
        <v/>
      </c>
      <c r="AR72" s="382">
        <f>IF(MONTH(AR6)=1,(AQ72*(1+DCF!$C$52)),AQ72)</f>
        <v/>
      </c>
      <c r="AS72" s="382">
        <f>IF(MONTH(AS6)=1,(AR72*(1+DCF!$C$52)),AR72)</f>
        <v/>
      </c>
      <c r="AT72" s="382">
        <f>IF(MONTH(AT6)=1,(AS72*(1+DCF!$C$52)),AS72)</f>
        <v/>
      </c>
      <c r="AU72" s="382">
        <f>IF(MONTH(AU6)=1,(AT72*(1+DCF!$C$52)),AT72)</f>
        <v/>
      </c>
      <c r="AV72" s="382">
        <f>IF(MONTH(AV6)=1,(AU72*(1+DCF!$C$52)),AU72)</f>
        <v/>
      </c>
      <c r="AW72" s="382">
        <f>IF(MONTH(AW6)=1,(AV72*(1+DCF!$C$52)),AV72)</f>
        <v/>
      </c>
      <c r="AX72" s="382">
        <f>IF(MONTH(AX6)=1,(AW72*(1+DCF!$C$52)),AW72)</f>
        <v/>
      </c>
    </row>
    <row r="73">
      <c r="B73" s="1" t="inlineStr">
        <is>
          <t>Product Owner</t>
        </is>
      </c>
      <c r="C73" s="162" t="n"/>
      <c r="D73" s="252">
        <f>SUMIF($I$5:$AX$5,D$5,$I73:$AX73)</f>
        <v/>
      </c>
      <c r="E73" s="252">
        <f>SUMIF($I$5:$AX$5,E$5,$I73:$AX73)</f>
        <v/>
      </c>
      <c r="F73" s="252">
        <f>SUMIF($I$5:$AX$5,F$5,$I73:$AX73)</f>
        <v/>
      </c>
      <c r="G73" s="252">
        <f>SUMIF($I$5:$AX$5,G$5,$I73:$AX73)</f>
        <v/>
      </c>
      <c r="H73" s="252" t="n"/>
      <c r="I73" s="19">
        <f>I$72*I25</f>
        <v/>
      </c>
      <c r="J73" s="19">
        <f>J$72*J25</f>
        <v/>
      </c>
      <c r="K73" s="19">
        <f>K$72*K25</f>
        <v/>
      </c>
      <c r="L73" s="19">
        <f>L$72*L25</f>
        <v/>
      </c>
      <c r="M73" s="19">
        <f>M$72*M25</f>
        <v/>
      </c>
      <c r="N73" s="19">
        <f>N$72*N25</f>
        <v/>
      </c>
      <c r="O73" s="19">
        <f>O$72*O25</f>
        <v/>
      </c>
      <c r="P73" s="19">
        <f>P$72*P25</f>
        <v/>
      </c>
      <c r="Q73" s="19">
        <f>Q$72*Q25</f>
        <v/>
      </c>
      <c r="R73" s="19">
        <f>R$72*R25</f>
        <v/>
      </c>
      <c r="S73" s="19">
        <f>S$72*S25</f>
        <v/>
      </c>
      <c r="T73" s="19">
        <f>T$72*T25</f>
        <v/>
      </c>
      <c r="U73" s="19">
        <f>U$72*U25</f>
        <v/>
      </c>
      <c r="V73" s="19">
        <f>V$72*V25</f>
        <v/>
      </c>
      <c r="W73" s="19">
        <f>W$72*W25</f>
        <v/>
      </c>
      <c r="X73" s="19">
        <f>X$72*X25</f>
        <v/>
      </c>
      <c r="Y73" s="19">
        <f>Y$72*Y25</f>
        <v/>
      </c>
      <c r="Z73" s="19">
        <f>Z$72*Z25</f>
        <v/>
      </c>
      <c r="AA73" s="19">
        <f>AA$72*AA25</f>
        <v/>
      </c>
      <c r="AB73" s="19">
        <f>AB$72*AB25</f>
        <v/>
      </c>
      <c r="AC73" s="19">
        <f>AC$72*AC25</f>
        <v/>
      </c>
      <c r="AD73" s="19">
        <f>AD$72*AD25</f>
        <v/>
      </c>
      <c r="AE73" s="19">
        <f>AE$72*AE25</f>
        <v/>
      </c>
      <c r="AF73" s="19">
        <f>AF$72*AF25</f>
        <v/>
      </c>
      <c r="AG73" s="19">
        <f>AG$72*AG25</f>
        <v/>
      </c>
      <c r="AH73" s="19">
        <f>AH$72*AH25</f>
        <v/>
      </c>
      <c r="AI73" s="19">
        <f>AI$72*AI25</f>
        <v/>
      </c>
      <c r="AJ73" s="19">
        <f>AJ$72*AJ25</f>
        <v/>
      </c>
      <c r="AK73" s="19">
        <f>AK$72*AK25</f>
        <v/>
      </c>
      <c r="AL73" s="19">
        <f>AL$72*AL25</f>
        <v/>
      </c>
      <c r="AM73" s="19">
        <f>AM$72*AM25</f>
        <v/>
      </c>
      <c r="AN73" s="19">
        <f>AN$72*AN25</f>
        <v/>
      </c>
      <c r="AO73" s="19">
        <f>AO$72*AO25</f>
        <v/>
      </c>
      <c r="AP73" s="19">
        <f>AP$72*AP25</f>
        <v/>
      </c>
      <c r="AQ73" s="19">
        <f>AQ$72*AQ25</f>
        <v/>
      </c>
      <c r="AR73" s="19">
        <f>AR$72*AR25</f>
        <v/>
      </c>
      <c r="AS73" s="19">
        <f>AS$72*AS25</f>
        <v/>
      </c>
      <c r="AT73" s="19">
        <f>AT$72*AT25</f>
        <v/>
      </c>
      <c r="AU73" s="19">
        <f>AU$72*AU25</f>
        <v/>
      </c>
      <c r="AV73" s="19">
        <f>AV$72*AV25</f>
        <v/>
      </c>
      <c r="AW73" s="19">
        <f>AW$72*AW25</f>
        <v/>
      </c>
      <c r="AX73" s="19">
        <f>AX$72*AX25</f>
        <v/>
      </c>
      <c r="AY73" s="19" t="n"/>
    </row>
    <row r="74">
      <c r="B74" s="1" t="inlineStr">
        <is>
          <t>Techno Business Analyst</t>
        </is>
      </c>
      <c r="C74" s="162" t="n"/>
      <c r="D74" s="252">
        <f>SUMIF($I$5:$AX$5,D$5,$I74:$AX74)</f>
        <v/>
      </c>
      <c r="E74" s="252">
        <f>SUMIF($I$5:$AX$5,E$5,$I74:$AX74)</f>
        <v/>
      </c>
      <c r="F74" s="252">
        <f>SUMIF($I$5:$AX$5,F$5,$I74:$AX74)</f>
        <v/>
      </c>
      <c r="G74" s="252">
        <f>SUMIF($I$5:$AX$5,G$5,$I74:$AX74)</f>
        <v/>
      </c>
      <c r="H74" s="252" t="n"/>
      <c r="I74" s="19">
        <f>I$72*I26</f>
        <v/>
      </c>
      <c r="J74" s="19">
        <f>J$72*J26</f>
        <v/>
      </c>
      <c r="K74" s="19">
        <f>K$72*K26</f>
        <v/>
      </c>
      <c r="L74" s="19">
        <f>L$72*L26</f>
        <v/>
      </c>
      <c r="M74" s="19">
        <f>M$72*M26</f>
        <v/>
      </c>
      <c r="N74" s="19">
        <f>N$72*N26</f>
        <v/>
      </c>
      <c r="O74" s="19">
        <f>O$72*O26</f>
        <v/>
      </c>
      <c r="P74" s="19">
        <f>P$72*P26</f>
        <v/>
      </c>
      <c r="Q74" s="19">
        <f>Q$72*Q26</f>
        <v/>
      </c>
      <c r="R74" s="19">
        <f>R$72*R26</f>
        <v/>
      </c>
      <c r="S74" s="19">
        <f>S$72*S26</f>
        <v/>
      </c>
      <c r="T74" s="19">
        <f>T$72*T26</f>
        <v/>
      </c>
      <c r="U74" s="19">
        <f>U$72*U26</f>
        <v/>
      </c>
      <c r="V74" s="19">
        <f>V$72*V26</f>
        <v/>
      </c>
      <c r="W74" s="19">
        <f>W$72*W26</f>
        <v/>
      </c>
      <c r="X74" s="19">
        <f>X$72*X26</f>
        <v/>
      </c>
      <c r="Y74" s="19">
        <f>Y$72*Y26</f>
        <v/>
      </c>
      <c r="Z74" s="19">
        <f>Z$72*Z26</f>
        <v/>
      </c>
      <c r="AA74" s="19">
        <f>AA$72*AA26</f>
        <v/>
      </c>
      <c r="AB74" s="19">
        <f>AB$72*AB26</f>
        <v/>
      </c>
      <c r="AC74" s="19">
        <f>AC$72*AC26</f>
        <v/>
      </c>
      <c r="AD74" s="19">
        <f>AD$72*AD26</f>
        <v/>
      </c>
      <c r="AE74" s="19">
        <f>AE$72*AE26</f>
        <v/>
      </c>
      <c r="AF74" s="19">
        <f>AF$72*AF26</f>
        <v/>
      </c>
      <c r="AG74" s="19">
        <f>AG$72*AG26</f>
        <v/>
      </c>
      <c r="AH74" s="19">
        <f>AH$72*AH26</f>
        <v/>
      </c>
      <c r="AI74" s="19">
        <f>AI$72*AI26</f>
        <v/>
      </c>
      <c r="AJ74" s="19">
        <f>AJ$72*AJ26</f>
        <v/>
      </c>
      <c r="AK74" s="19">
        <f>AK$72*AK26</f>
        <v/>
      </c>
      <c r="AL74" s="19">
        <f>AL$72*AL26</f>
        <v/>
      </c>
      <c r="AM74" s="19">
        <f>AM$72*AM26</f>
        <v/>
      </c>
      <c r="AN74" s="19">
        <f>AN$72*AN26</f>
        <v/>
      </c>
      <c r="AO74" s="19">
        <f>AO$72*AO26</f>
        <v/>
      </c>
      <c r="AP74" s="19">
        <f>AP$72*AP26</f>
        <v/>
      </c>
      <c r="AQ74" s="19">
        <f>AQ$72*AQ26</f>
        <v/>
      </c>
      <c r="AR74" s="19">
        <f>AR$72*AR26</f>
        <v/>
      </c>
      <c r="AS74" s="19">
        <f>AS$72*AS26</f>
        <v/>
      </c>
      <c r="AT74" s="19">
        <f>AT$72*AT26</f>
        <v/>
      </c>
      <c r="AU74" s="19">
        <f>AU$72*AU26</f>
        <v/>
      </c>
      <c r="AV74" s="19">
        <f>AV$72*AV26</f>
        <v/>
      </c>
      <c r="AW74" s="19">
        <f>AW$72*AW26</f>
        <v/>
      </c>
      <c r="AX74" s="19">
        <f>AX$72*AX26</f>
        <v/>
      </c>
      <c r="AY74" s="19" t="n"/>
    </row>
    <row r="75">
      <c r="B75" s="1" t="inlineStr">
        <is>
          <t>Product Designer</t>
        </is>
      </c>
      <c r="C75" s="162" t="n"/>
      <c r="D75" s="252">
        <f>SUMIF($I$5:$AX$5,D$5,$I75:$AX75)</f>
        <v/>
      </c>
      <c r="E75" s="252">
        <f>SUMIF($I$5:$AX$5,E$5,$I75:$AX75)</f>
        <v/>
      </c>
      <c r="F75" s="252">
        <f>SUMIF($I$5:$AX$5,F$5,$I75:$AX75)</f>
        <v/>
      </c>
      <c r="G75" s="252">
        <f>SUMIF($I$5:$AX$5,G$5,$I75:$AX75)</f>
        <v/>
      </c>
      <c r="H75" s="252" t="n"/>
      <c r="I75" s="19">
        <f>I$72*I27</f>
        <v/>
      </c>
      <c r="J75" s="19">
        <f>J$72*J27</f>
        <v/>
      </c>
      <c r="K75" s="19">
        <f>K$72*K27</f>
        <v/>
      </c>
      <c r="L75" s="19">
        <f>L$72*L27</f>
        <v/>
      </c>
      <c r="M75" s="19">
        <f>M$72*M27</f>
        <v/>
      </c>
      <c r="N75" s="19">
        <f>N$72*N27</f>
        <v/>
      </c>
      <c r="O75" s="19">
        <f>O$72*O27</f>
        <v/>
      </c>
      <c r="P75" s="19">
        <f>P$72*P27</f>
        <v/>
      </c>
      <c r="Q75" s="19">
        <f>Q$72*Q27</f>
        <v/>
      </c>
      <c r="R75" s="19">
        <f>R$72*R27</f>
        <v/>
      </c>
      <c r="S75" s="19">
        <f>S$72*S27</f>
        <v/>
      </c>
      <c r="T75" s="19">
        <f>T$72*T27</f>
        <v/>
      </c>
      <c r="U75" s="19">
        <f>U$72*U27</f>
        <v/>
      </c>
      <c r="V75" s="19">
        <f>V$72*V27</f>
        <v/>
      </c>
      <c r="W75" s="19">
        <f>W$72*W27</f>
        <v/>
      </c>
      <c r="X75" s="19">
        <f>X$72*X27</f>
        <v/>
      </c>
      <c r="Y75" s="19">
        <f>Y$72*Y27</f>
        <v/>
      </c>
      <c r="Z75" s="19">
        <f>Z$72*Z27</f>
        <v/>
      </c>
      <c r="AA75" s="19">
        <f>AA$72*AA27</f>
        <v/>
      </c>
      <c r="AB75" s="19">
        <f>AB$72*AB27</f>
        <v/>
      </c>
      <c r="AC75" s="19">
        <f>AC$72*AC27</f>
        <v/>
      </c>
      <c r="AD75" s="19">
        <f>AD$72*AD27</f>
        <v/>
      </c>
      <c r="AE75" s="19">
        <f>AE$72*AE27</f>
        <v/>
      </c>
      <c r="AF75" s="19">
        <f>AF$72*AF27</f>
        <v/>
      </c>
      <c r="AG75" s="19">
        <f>AG$72*AG27</f>
        <v/>
      </c>
      <c r="AH75" s="19">
        <f>AH$72*AH27</f>
        <v/>
      </c>
      <c r="AI75" s="19">
        <f>AI$72*AI27</f>
        <v/>
      </c>
      <c r="AJ75" s="19">
        <f>AJ$72*AJ27</f>
        <v/>
      </c>
      <c r="AK75" s="19">
        <f>AK$72*AK27</f>
        <v/>
      </c>
      <c r="AL75" s="19">
        <f>AL$72*AL27</f>
        <v/>
      </c>
      <c r="AM75" s="19">
        <f>AM$72*AM27</f>
        <v/>
      </c>
      <c r="AN75" s="19">
        <f>AN$72*AN27</f>
        <v/>
      </c>
      <c r="AO75" s="19">
        <f>AO$72*AO27</f>
        <v/>
      </c>
      <c r="AP75" s="19">
        <f>AP$72*AP27</f>
        <v/>
      </c>
      <c r="AQ75" s="19">
        <f>AQ$72*AQ27</f>
        <v/>
      </c>
      <c r="AR75" s="19">
        <f>AR$72*AR27</f>
        <v/>
      </c>
      <c r="AS75" s="19">
        <f>AS$72*AS27</f>
        <v/>
      </c>
      <c r="AT75" s="19">
        <f>AT$72*AT27</f>
        <v/>
      </c>
      <c r="AU75" s="19">
        <f>AU$72*AU27</f>
        <v/>
      </c>
      <c r="AV75" s="19">
        <f>AV$72*AV27</f>
        <v/>
      </c>
      <c r="AW75" s="19">
        <f>AW$72*AW27</f>
        <v/>
      </c>
      <c r="AX75" s="19">
        <f>AX$72*AX27</f>
        <v/>
      </c>
      <c r="AY75" s="19" t="n"/>
    </row>
    <row r="76">
      <c r="B76" s="1" t="inlineStr">
        <is>
          <t>CTO / Head of Architecture</t>
        </is>
      </c>
      <c r="C76" s="162" t="n"/>
      <c r="D76" s="252">
        <f>SUMIF($I$5:$AX$5,D$5,$I76:$AX76)</f>
        <v/>
      </c>
      <c r="E76" s="252">
        <f>SUMIF($I$5:$AX$5,E$5,$I76:$AX76)</f>
        <v/>
      </c>
      <c r="F76" s="252">
        <f>SUMIF($I$5:$AX$5,F$5,$I76:$AX76)</f>
        <v/>
      </c>
      <c r="G76" s="252">
        <f>SUMIF($I$5:$AX$5,G$5,$I76:$AX76)</f>
        <v/>
      </c>
      <c r="H76" s="252" t="n"/>
      <c r="I76" s="19">
        <f>I$72*I28</f>
        <v/>
      </c>
      <c r="J76" s="19">
        <f>J$72*J28</f>
        <v/>
      </c>
      <c r="K76" s="19">
        <f>K$72*K28</f>
        <v/>
      </c>
      <c r="L76" s="19">
        <f>L$72*L28</f>
        <v/>
      </c>
      <c r="M76" s="19">
        <f>M$72*M28</f>
        <v/>
      </c>
      <c r="N76" s="19">
        <f>N$72*N28</f>
        <v/>
      </c>
      <c r="O76" s="19">
        <f>O$72*O28</f>
        <v/>
      </c>
      <c r="P76" s="19">
        <f>P$72*P28</f>
        <v/>
      </c>
      <c r="Q76" s="19">
        <f>Q$72*Q28</f>
        <v/>
      </c>
      <c r="R76" s="19">
        <f>R$72*R28</f>
        <v/>
      </c>
      <c r="S76" s="19">
        <f>S$72*S28</f>
        <v/>
      </c>
      <c r="T76" s="19">
        <f>T$72*T28</f>
        <v/>
      </c>
      <c r="U76" s="19">
        <f>U$72*U28</f>
        <v/>
      </c>
      <c r="V76" s="19">
        <f>V$72*V28</f>
        <v/>
      </c>
      <c r="W76" s="19">
        <f>W$72*W28</f>
        <v/>
      </c>
      <c r="X76" s="19">
        <f>X$72*X28</f>
        <v/>
      </c>
      <c r="Y76" s="19">
        <f>Y$72*Y28</f>
        <v/>
      </c>
      <c r="Z76" s="19">
        <f>Z$72*Z28</f>
        <v/>
      </c>
      <c r="AA76" s="19">
        <f>AA$72*AA28</f>
        <v/>
      </c>
      <c r="AB76" s="19">
        <f>AB$72*AB28</f>
        <v/>
      </c>
      <c r="AC76" s="19">
        <f>AC$72*AC28</f>
        <v/>
      </c>
      <c r="AD76" s="19">
        <f>AD$72*AD28</f>
        <v/>
      </c>
      <c r="AE76" s="19">
        <f>AE$72*AE28</f>
        <v/>
      </c>
      <c r="AF76" s="19">
        <f>AF$72*AF28</f>
        <v/>
      </c>
      <c r="AG76" s="19">
        <f>AG$72*AG28</f>
        <v/>
      </c>
      <c r="AH76" s="19">
        <f>AH$72*AH28</f>
        <v/>
      </c>
      <c r="AI76" s="19">
        <f>AI$72*AI28</f>
        <v/>
      </c>
      <c r="AJ76" s="19">
        <f>AJ$72*AJ28</f>
        <v/>
      </c>
      <c r="AK76" s="19">
        <f>AK$72*AK28</f>
        <v/>
      </c>
      <c r="AL76" s="19">
        <f>AL$72*AL28</f>
        <v/>
      </c>
      <c r="AM76" s="19">
        <f>AM$72*AM28</f>
        <v/>
      </c>
      <c r="AN76" s="19">
        <f>AN$72*AN28</f>
        <v/>
      </c>
      <c r="AO76" s="19">
        <f>AO$72*AO28</f>
        <v/>
      </c>
      <c r="AP76" s="19">
        <f>AP$72*AP28</f>
        <v/>
      </c>
      <c r="AQ76" s="19">
        <f>AQ$72*AQ28</f>
        <v/>
      </c>
      <c r="AR76" s="19">
        <f>AR$72*AR28</f>
        <v/>
      </c>
      <c r="AS76" s="19">
        <f>AS$72*AS28</f>
        <v/>
      </c>
      <c r="AT76" s="19">
        <f>AT$72*AT28</f>
        <v/>
      </c>
      <c r="AU76" s="19">
        <f>AU$72*AU28</f>
        <v/>
      </c>
      <c r="AV76" s="19">
        <f>AV$72*AV28</f>
        <v/>
      </c>
      <c r="AW76" s="19">
        <f>AW$72*AW28</f>
        <v/>
      </c>
      <c r="AX76" s="19">
        <f>AX$72*AX28</f>
        <v/>
      </c>
      <c r="AY76" s="19" t="n"/>
    </row>
    <row r="77">
      <c r="B77" s="1" t="inlineStr">
        <is>
          <t>Accountant</t>
        </is>
      </c>
      <c r="C77" s="162" t="n"/>
      <c r="D77" s="252">
        <f>SUMIF($I$5:$AX$5,D$5,$I77:$AX77)</f>
        <v/>
      </c>
      <c r="E77" s="252">
        <f>SUMIF($I$5:$AX$5,E$5,$I77:$AX77)</f>
        <v/>
      </c>
      <c r="F77" s="252">
        <f>SUMIF($I$5:$AX$5,F$5,$I77:$AX77)</f>
        <v/>
      </c>
      <c r="G77" s="252">
        <f>SUMIF($I$5:$AX$5,G$5,$I77:$AX77)</f>
        <v/>
      </c>
      <c r="H77" s="252" t="n"/>
      <c r="I77" s="19">
        <f>I$72*I29</f>
        <v/>
      </c>
      <c r="J77" s="19">
        <f>J$72*J29</f>
        <v/>
      </c>
      <c r="K77" s="19">
        <f>K$72*K29</f>
        <v/>
      </c>
      <c r="L77" s="19">
        <f>L$72*L29</f>
        <v/>
      </c>
      <c r="M77" s="19">
        <f>M$72*M29</f>
        <v/>
      </c>
      <c r="N77" s="19">
        <f>N$72*N29</f>
        <v/>
      </c>
      <c r="O77" s="19">
        <f>O$72*O29</f>
        <v/>
      </c>
      <c r="P77" s="19">
        <f>P$72*P29</f>
        <v/>
      </c>
      <c r="Q77" s="19">
        <f>Q$72*Q29</f>
        <v/>
      </c>
      <c r="R77" s="19">
        <f>R$72*R29</f>
        <v/>
      </c>
      <c r="S77" s="19">
        <f>S$72*S29</f>
        <v/>
      </c>
      <c r="T77" s="19">
        <f>T$72*T29</f>
        <v/>
      </c>
      <c r="U77" s="19">
        <f>U$72*U29</f>
        <v/>
      </c>
      <c r="V77" s="19">
        <f>V$72*V29</f>
        <v/>
      </c>
      <c r="W77" s="19">
        <f>W$72*W29</f>
        <v/>
      </c>
      <c r="X77" s="19">
        <f>X$72*X29</f>
        <v/>
      </c>
      <c r="Y77" s="19">
        <f>Y$72*Y29</f>
        <v/>
      </c>
      <c r="Z77" s="19">
        <f>Z$72*Z29</f>
        <v/>
      </c>
      <c r="AA77" s="19">
        <f>AA$72*AA29</f>
        <v/>
      </c>
      <c r="AB77" s="19">
        <f>AB$72*AB29</f>
        <v/>
      </c>
      <c r="AC77" s="19">
        <f>AC$72*AC29</f>
        <v/>
      </c>
      <c r="AD77" s="19">
        <f>AD$72*AD29</f>
        <v/>
      </c>
      <c r="AE77" s="19">
        <f>AE$72*AE29</f>
        <v/>
      </c>
      <c r="AF77" s="19">
        <f>AF$72*AF29</f>
        <v/>
      </c>
      <c r="AG77" s="19">
        <f>AG$72*AG29</f>
        <v/>
      </c>
      <c r="AH77" s="19">
        <f>AH$72*AH29</f>
        <v/>
      </c>
      <c r="AI77" s="19">
        <f>AI$72*AI29</f>
        <v/>
      </c>
      <c r="AJ77" s="19">
        <f>AJ$72*AJ29</f>
        <v/>
      </c>
      <c r="AK77" s="19">
        <f>AK$72*AK29</f>
        <v/>
      </c>
      <c r="AL77" s="19">
        <f>AL$72*AL29</f>
        <v/>
      </c>
      <c r="AM77" s="19">
        <f>AM$72*AM29</f>
        <v/>
      </c>
      <c r="AN77" s="19">
        <f>AN$72*AN29</f>
        <v/>
      </c>
      <c r="AO77" s="19">
        <f>AO$72*AO29</f>
        <v/>
      </c>
      <c r="AP77" s="19">
        <f>AP$72*AP29</f>
        <v/>
      </c>
      <c r="AQ77" s="19">
        <f>AQ$72*AQ29</f>
        <v/>
      </c>
      <c r="AR77" s="19">
        <f>AR$72*AR29</f>
        <v/>
      </c>
      <c r="AS77" s="19">
        <f>AS$72*AS29</f>
        <v/>
      </c>
      <c r="AT77" s="19">
        <f>AT$72*AT29</f>
        <v/>
      </c>
      <c r="AU77" s="19">
        <f>AU$72*AU29</f>
        <v/>
      </c>
      <c r="AV77" s="19">
        <f>AV$72*AV29</f>
        <v/>
      </c>
      <c r="AW77" s="19">
        <f>AW$72*AW29</f>
        <v/>
      </c>
      <c r="AX77" s="19">
        <f>AX$72*AX29</f>
        <v/>
      </c>
      <c r="AY77" s="19" t="n"/>
    </row>
    <row r="78">
      <c r="B78" s="1" t="inlineStr">
        <is>
          <t>Head of Finance</t>
        </is>
      </c>
      <c r="C78" s="162" t="n"/>
      <c r="D78" s="252">
        <f>SUMIF($I$5:$AX$5,D$5,$I78:$AX78)</f>
        <v/>
      </c>
      <c r="E78" s="252">
        <f>SUMIF($I$5:$AX$5,E$5,$I78:$AX78)</f>
        <v/>
      </c>
      <c r="F78" s="252">
        <f>SUMIF($I$5:$AX$5,F$5,$I78:$AX78)</f>
        <v/>
      </c>
      <c r="G78" s="252">
        <f>SUMIF($I$5:$AX$5,G$5,$I78:$AX78)</f>
        <v/>
      </c>
      <c r="H78" s="252" t="n"/>
      <c r="I78" s="19">
        <f>I$72*I30</f>
        <v/>
      </c>
      <c r="J78" s="19">
        <f>J$72*J30</f>
        <v/>
      </c>
      <c r="K78" s="19">
        <f>K$72*K30</f>
        <v/>
      </c>
      <c r="L78" s="19">
        <f>L$72*L30</f>
        <v/>
      </c>
      <c r="M78" s="19">
        <f>M$72*M30</f>
        <v/>
      </c>
      <c r="N78" s="19">
        <f>N$72*N30</f>
        <v/>
      </c>
      <c r="O78" s="19">
        <f>O$72*O30</f>
        <v/>
      </c>
      <c r="P78" s="19">
        <f>P$72*P30</f>
        <v/>
      </c>
      <c r="Q78" s="19">
        <f>Q$72*Q30</f>
        <v/>
      </c>
      <c r="R78" s="19">
        <f>R$72*R30</f>
        <v/>
      </c>
      <c r="S78" s="19">
        <f>S$72*S30</f>
        <v/>
      </c>
      <c r="T78" s="19">
        <f>T$72*T30</f>
        <v/>
      </c>
      <c r="U78" s="19">
        <f>U$72*U30</f>
        <v/>
      </c>
      <c r="V78" s="19">
        <f>V$72*V30</f>
        <v/>
      </c>
      <c r="W78" s="19">
        <f>W$72*W30</f>
        <v/>
      </c>
      <c r="X78" s="19">
        <f>X$72*X30</f>
        <v/>
      </c>
      <c r="Y78" s="19">
        <f>Y$72*Y30</f>
        <v/>
      </c>
      <c r="Z78" s="19">
        <f>Z$72*Z30</f>
        <v/>
      </c>
      <c r="AA78" s="19">
        <f>AA$72*AA30</f>
        <v/>
      </c>
      <c r="AB78" s="19">
        <f>AB$72*AB30</f>
        <v/>
      </c>
      <c r="AC78" s="19">
        <f>AC$72*AC30</f>
        <v/>
      </c>
      <c r="AD78" s="19">
        <f>AD$72*AD30</f>
        <v/>
      </c>
      <c r="AE78" s="19">
        <f>AE$72*AE30</f>
        <v/>
      </c>
      <c r="AF78" s="19">
        <f>AF$72*AF30</f>
        <v/>
      </c>
      <c r="AG78" s="19">
        <f>AG$72*AG30</f>
        <v/>
      </c>
      <c r="AH78" s="19">
        <f>AH$72*AH30</f>
        <v/>
      </c>
      <c r="AI78" s="19">
        <f>AI$72*AI30</f>
        <v/>
      </c>
      <c r="AJ78" s="19">
        <f>AJ$72*AJ30</f>
        <v/>
      </c>
      <c r="AK78" s="19">
        <f>AK$72*AK30</f>
        <v/>
      </c>
      <c r="AL78" s="19">
        <f>AL$72*AL30</f>
        <v/>
      </c>
      <c r="AM78" s="19">
        <f>AM$72*AM30</f>
        <v/>
      </c>
      <c r="AN78" s="19">
        <f>AN$72*AN30</f>
        <v/>
      </c>
      <c r="AO78" s="19">
        <f>AO$72*AO30</f>
        <v/>
      </c>
      <c r="AP78" s="19">
        <f>AP$72*AP30</f>
        <v/>
      </c>
      <c r="AQ78" s="19">
        <f>AQ$72*AQ30</f>
        <v/>
      </c>
      <c r="AR78" s="19">
        <f>AR$72*AR30</f>
        <v/>
      </c>
      <c r="AS78" s="19">
        <f>AS$72*AS30</f>
        <v/>
      </c>
      <c r="AT78" s="19">
        <f>AT$72*AT30</f>
        <v/>
      </c>
      <c r="AU78" s="19">
        <f>AU$72*AU30</f>
        <v/>
      </c>
      <c r="AV78" s="19">
        <f>AV$72*AV30</f>
        <v/>
      </c>
      <c r="AW78" s="19">
        <f>AW$72*AW30</f>
        <v/>
      </c>
      <c r="AX78" s="19">
        <f>AX$72*AX30</f>
        <v/>
      </c>
      <c r="AY78" s="19" t="n"/>
    </row>
    <row r="79">
      <c r="B79" s="1" t="inlineStr">
        <is>
          <t>Head of Fintech &amp; Payments Operations</t>
        </is>
      </c>
      <c r="C79" s="162" t="n"/>
      <c r="D79" s="252">
        <f>SUMIF($I$5:$AX$5,D$5,$I79:$AX79)</f>
        <v/>
      </c>
      <c r="E79" s="252">
        <f>SUMIF($I$5:$AX$5,E$5,$I79:$AX79)</f>
        <v/>
      </c>
      <c r="F79" s="252">
        <f>SUMIF($I$5:$AX$5,F$5,$I79:$AX79)</f>
        <v/>
      </c>
      <c r="G79" s="252">
        <f>SUMIF($I$5:$AX$5,G$5,$I79:$AX79)</f>
        <v/>
      </c>
      <c r="H79" s="252" t="n"/>
      <c r="I79" s="19">
        <f>I$72*I31</f>
        <v/>
      </c>
      <c r="J79" s="19">
        <f>J$72*J31</f>
        <v/>
      </c>
      <c r="K79" s="19">
        <f>K$72*K31</f>
        <v/>
      </c>
      <c r="L79" s="19">
        <f>L$72*L31</f>
        <v/>
      </c>
      <c r="M79" s="19">
        <f>M$72*M31</f>
        <v/>
      </c>
      <c r="N79" s="19">
        <f>N$72*N31</f>
        <v/>
      </c>
      <c r="O79" s="19">
        <f>O$72*O31</f>
        <v/>
      </c>
      <c r="P79" s="19">
        <f>P$72*P31</f>
        <v/>
      </c>
      <c r="Q79" s="19">
        <f>Q$72*Q31</f>
        <v/>
      </c>
      <c r="R79" s="19">
        <f>R$72*R31</f>
        <v/>
      </c>
      <c r="S79" s="19">
        <f>S$72*S31</f>
        <v/>
      </c>
      <c r="T79" s="19">
        <f>T$72*T31</f>
        <v/>
      </c>
      <c r="U79" s="19">
        <f>U$72*U31</f>
        <v/>
      </c>
      <c r="V79" s="19">
        <f>V$72*V31</f>
        <v/>
      </c>
      <c r="W79" s="19">
        <f>W$72*W31</f>
        <v/>
      </c>
      <c r="X79" s="19">
        <f>X$72*X31</f>
        <v/>
      </c>
      <c r="Y79" s="19">
        <f>Y$72*Y31</f>
        <v/>
      </c>
      <c r="Z79" s="19">
        <f>Z$72*Z31</f>
        <v/>
      </c>
      <c r="AA79" s="19">
        <f>AA$72*AA31</f>
        <v/>
      </c>
      <c r="AB79" s="19">
        <f>AB$72*AB31</f>
        <v/>
      </c>
      <c r="AC79" s="19">
        <f>AC$72*AC31</f>
        <v/>
      </c>
      <c r="AD79" s="19">
        <f>AD$72*AD31</f>
        <v/>
      </c>
      <c r="AE79" s="19">
        <f>AE$72*AE31</f>
        <v/>
      </c>
      <c r="AF79" s="19">
        <f>AF$72*AF31</f>
        <v/>
      </c>
      <c r="AG79" s="19">
        <f>AG$72*AG31</f>
        <v/>
      </c>
      <c r="AH79" s="19">
        <f>AH$72*AH31</f>
        <v/>
      </c>
      <c r="AI79" s="19">
        <f>AI$72*AI31</f>
        <v/>
      </c>
      <c r="AJ79" s="19">
        <f>AJ$72*AJ31</f>
        <v/>
      </c>
      <c r="AK79" s="19">
        <f>AK$72*AK31</f>
        <v/>
      </c>
      <c r="AL79" s="19">
        <f>AL$72*AL31</f>
        <v/>
      </c>
      <c r="AM79" s="19">
        <f>AM$72*AM31</f>
        <v/>
      </c>
      <c r="AN79" s="19">
        <f>AN$72*AN31</f>
        <v/>
      </c>
      <c r="AO79" s="19">
        <f>AO$72*AO31</f>
        <v/>
      </c>
      <c r="AP79" s="19">
        <f>AP$72*AP31</f>
        <v/>
      </c>
      <c r="AQ79" s="19">
        <f>AQ$72*AQ31</f>
        <v/>
      </c>
      <c r="AR79" s="19">
        <f>AR$72*AR31</f>
        <v/>
      </c>
      <c r="AS79" s="19">
        <f>AS$72*AS31</f>
        <v/>
      </c>
      <c r="AT79" s="19">
        <f>AT$72*AT31</f>
        <v/>
      </c>
      <c r="AU79" s="19">
        <f>AU$72*AU31</f>
        <v/>
      </c>
      <c r="AV79" s="19">
        <f>AV$72*AV31</f>
        <v/>
      </c>
      <c r="AW79" s="19">
        <f>AW$72*AW31</f>
        <v/>
      </c>
      <c r="AX79" s="19">
        <f>AX$72*AX31</f>
        <v/>
      </c>
      <c r="AY79" s="19" t="n"/>
    </row>
    <row r="80">
      <c r="B80" s="1" t="inlineStr">
        <is>
          <t>Admin Support</t>
        </is>
      </c>
      <c r="C80" s="162" t="n"/>
      <c r="D80" s="252">
        <f>SUMIF($I$5:$AX$5,D$5,$I80:$AX80)</f>
        <v/>
      </c>
      <c r="E80" s="252">
        <f>SUMIF($I$5:$AX$5,E$5,$I80:$AX80)</f>
        <v/>
      </c>
      <c r="F80" s="252">
        <f>SUMIF($I$5:$AX$5,F$5,$I80:$AX80)</f>
        <v/>
      </c>
      <c r="G80" s="252">
        <f>SUMIF($I$5:$AX$5,G$5,$I80:$AX80)</f>
        <v/>
      </c>
      <c r="H80" s="252" t="n"/>
      <c r="I80" s="19">
        <f>I$72*I32</f>
        <v/>
      </c>
      <c r="J80" s="19">
        <f>J$72*J32</f>
        <v/>
      </c>
      <c r="K80" s="19">
        <f>K$72*K32</f>
        <v/>
      </c>
      <c r="L80" s="19">
        <f>L$72*L32</f>
        <v/>
      </c>
      <c r="M80" s="19">
        <f>M$72*M32</f>
        <v/>
      </c>
      <c r="N80" s="19">
        <f>N$72*N32</f>
        <v/>
      </c>
      <c r="O80" s="19">
        <f>O$72*O32</f>
        <v/>
      </c>
      <c r="P80" s="19">
        <f>P$72*P32</f>
        <v/>
      </c>
      <c r="Q80" s="19">
        <f>Q$72*Q32</f>
        <v/>
      </c>
      <c r="R80" s="19">
        <f>R$72*R32</f>
        <v/>
      </c>
      <c r="S80" s="19">
        <f>S$72*S32</f>
        <v/>
      </c>
      <c r="T80" s="19">
        <f>T$72*T32</f>
        <v/>
      </c>
      <c r="U80" s="19">
        <f>U$72*U32</f>
        <v/>
      </c>
      <c r="V80" s="19">
        <f>V$72*V32</f>
        <v/>
      </c>
      <c r="W80" s="19">
        <f>W$72*W32</f>
        <v/>
      </c>
      <c r="X80" s="19">
        <f>X$72*X32</f>
        <v/>
      </c>
      <c r="Y80" s="19">
        <f>Y$72*Y32</f>
        <v/>
      </c>
      <c r="Z80" s="19">
        <f>Z$72*Z32</f>
        <v/>
      </c>
      <c r="AA80" s="19">
        <f>AA$72*AA32</f>
        <v/>
      </c>
      <c r="AB80" s="19">
        <f>AB$72*AB32</f>
        <v/>
      </c>
      <c r="AC80" s="19">
        <f>AC$72*AC32</f>
        <v/>
      </c>
      <c r="AD80" s="19">
        <f>AD$72*AD32</f>
        <v/>
      </c>
      <c r="AE80" s="19">
        <f>AE$72*AE32</f>
        <v/>
      </c>
      <c r="AF80" s="19">
        <f>AF$72*AF32</f>
        <v/>
      </c>
      <c r="AG80" s="19">
        <f>AG$72*AG32</f>
        <v/>
      </c>
      <c r="AH80" s="19">
        <f>AH$72*AH32</f>
        <v/>
      </c>
      <c r="AI80" s="19">
        <f>AI$72*AI32</f>
        <v/>
      </c>
      <c r="AJ80" s="19">
        <f>AJ$72*AJ32</f>
        <v/>
      </c>
      <c r="AK80" s="19">
        <f>AK$72*AK32</f>
        <v/>
      </c>
      <c r="AL80" s="19">
        <f>AL$72*AL32</f>
        <v/>
      </c>
      <c r="AM80" s="19">
        <f>AM$72*AM32</f>
        <v/>
      </c>
      <c r="AN80" s="19">
        <f>AN$72*AN32</f>
        <v/>
      </c>
      <c r="AO80" s="19">
        <f>AO$72*AO32</f>
        <v/>
      </c>
      <c r="AP80" s="19">
        <f>AP$72*AP32</f>
        <v/>
      </c>
      <c r="AQ80" s="19">
        <f>AQ$72*AQ32</f>
        <v/>
      </c>
      <c r="AR80" s="19">
        <f>AR$72*AR32</f>
        <v/>
      </c>
      <c r="AS80" s="19">
        <f>AS$72*AS32</f>
        <v/>
      </c>
      <c r="AT80" s="19">
        <f>AT$72*AT32</f>
        <v/>
      </c>
      <c r="AU80" s="19">
        <f>AU$72*AU32</f>
        <v/>
      </c>
      <c r="AV80" s="19">
        <f>AV$72*AV32</f>
        <v/>
      </c>
      <c r="AW80" s="19">
        <f>AW$72*AW32</f>
        <v/>
      </c>
      <c r="AX80" s="19">
        <f>AX$72*AX32</f>
        <v/>
      </c>
      <c r="AY80" s="19" t="n"/>
    </row>
    <row r="81">
      <c r="B81" s="1" t="inlineStr">
        <is>
          <t>HR Manager</t>
        </is>
      </c>
      <c r="C81" s="162" t="n"/>
      <c r="D81" s="252">
        <f>SUMIF($I$5:$AX$5,D$5,$I81:$AX81)</f>
        <v/>
      </c>
      <c r="E81" s="252">
        <f>SUMIF($I$5:$AX$5,E$5,$I81:$AX81)</f>
        <v/>
      </c>
      <c r="F81" s="252">
        <f>SUMIF($I$5:$AX$5,F$5,$I81:$AX81)</f>
        <v/>
      </c>
      <c r="G81" s="252">
        <f>SUMIF($I$5:$AX$5,G$5,$I81:$AX81)</f>
        <v/>
      </c>
      <c r="H81" s="252" t="n"/>
      <c r="I81" s="19">
        <f>I$72*I33</f>
        <v/>
      </c>
      <c r="J81" s="19">
        <f>J$72*J33</f>
        <v/>
      </c>
      <c r="K81" s="19">
        <f>K$72*K33</f>
        <v/>
      </c>
      <c r="L81" s="19">
        <f>L$72*L33</f>
        <v/>
      </c>
      <c r="M81" s="19">
        <f>M$72*M33</f>
        <v/>
      </c>
      <c r="N81" s="19">
        <f>N$72*N33</f>
        <v/>
      </c>
      <c r="O81" s="19">
        <f>O$72*O33</f>
        <v/>
      </c>
      <c r="P81" s="19">
        <f>P$72*P33</f>
        <v/>
      </c>
      <c r="Q81" s="19">
        <f>Q$72*Q33</f>
        <v/>
      </c>
      <c r="R81" s="19">
        <f>R$72*R33</f>
        <v/>
      </c>
      <c r="S81" s="19">
        <f>S$72*S33</f>
        <v/>
      </c>
      <c r="T81" s="19">
        <f>T$72*T33</f>
        <v/>
      </c>
      <c r="U81" s="19">
        <f>U$72*U33</f>
        <v/>
      </c>
      <c r="V81" s="19">
        <f>V$72*V33</f>
        <v/>
      </c>
      <c r="W81" s="19">
        <f>W$72*W33</f>
        <v/>
      </c>
      <c r="X81" s="19">
        <f>X$72*X33</f>
        <v/>
      </c>
      <c r="Y81" s="19">
        <f>Y$72*Y33</f>
        <v/>
      </c>
      <c r="Z81" s="19">
        <f>Z$72*Z33</f>
        <v/>
      </c>
      <c r="AA81" s="19">
        <f>AA$72*AA33</f>
        <v/>
      </c>
      <c r="AB81" s="19">
        <f>AB$72*AB33</f>
        <v/>
      </c>
      <c r="AC81" s="19">
        <f>AC$72*AC33</f>
        <v/>
      </c>
      <c r="AD81" s="19">
        <f>AD$72*AD33</f>
        <v/>
      </c>
      <c r="AE81" s="19">
        <f>AE$72*AE33</f>
        <v/>
      </c>
      <c r="AF81" s="19">
        <f>AF$72*AF33</f>
        <v/>
      </c>
      <c r="AG81" s="19">
        <f>AG$72*AG33</f>
        <v/>
      </c>
      <c r="AH81" s="19">
        <f>AH$72*AH33</f>
        <v/>
      </c>
      <c r="AI81" s="19">
        <f>AI$72*AI33</f>
        <v/>
      </c>
      <c r="AJ81" s="19">
        <f>AJ$72*AJ33</f>
        <v/>
      </c>
      <c r="AK81" s="19">
        <f>AK$72*AK33</f>
        <v/>
      </c>
      <c r="AL81" s="19">
        <f>AL$72*AL33</f>
        <v/>
      </c>
      <c r="AM81" s="19">
        <f>AM$72*AM33</f>
        <v/>
      </c>
      <c r="AN81" s="19">
        <f>AN$72*AN33</f>
        <v/>
      </c>
      <c r="AO81" s="19">
        <f>AO$72*AO33</f>
        <v/>
      </c>
      <c r="AP81" s="19">
        <f>AP$72*AP33</f>
        <v/>
      </c>
      <c r="AQ81" s="19">
        <f>AQ$72*AQ33</f>
        <v/>
      </c>
      <c r="AR81" s="19">
        <f>AR$72*AR33</f>
        <v/>
      </c>
      <c r="AS81" s="19">
        <f>AS$72*AS33</f>
        <v/>
      </c>
      <c r="AT81" s="19">
        <f>AT$72*AT33</f>
        <v/>
      </c>
      <c r="AU81" s="19">
        <f>AU$72*AU33</f>
        <v/>
      </c>
      <c r="AV81" s="19">
        <f>AV$72*AV33</f>
        <v/>
      </c>
      <c r="AW81" s="19">
        <f>AW$72*AW33</f>
        <v/>
      </c>
      <c r="AX81" s="19">
        <f>AX$72*AX33</f>
        <v/>
      </c>
      <c r="AY81" s="19" t="n"/>
    </row>
    <row r="82">
      <c r="B82" s="1" t="inlineStr">
        <is>
          <t>COO</t>
        </is>
      </c>
      <c r="C82" s="162" t="n"/>
      <c r="D82" s="252">
        <f>SUMIF($I$5:$AX$5,D$5,$I82:$AX82)</f>
        <v/>
      </c>
      <c r="E82" s="252">
        <f>SUMIF($I$5:$AX$5,E$5,$I82:$AX82)</f>
        <v/>
      </c>
      <c r="F82" s="252">
        <f>SUMIF($I$5:$AX$5,F$5,$I82:$AX82)</f>
        <v/>
      </c>
      <c r="G82" s="252">
        <f>SUMIF($I$5:$AX$5,G$5,$I82:$AX82)</f>
        <v/>
      </c>
      <c r="H82" s="252" t="n"/>
      <c r="I82" s="19">
        <f>I$72*I34</f>
        <v/>
      </c>
      <c r="J82" s="19">
        <f>J$72*J34</f>
        <v/>
      </c>
      <c r="K82" s="19">
        <f>K$72*K34</f>
        <v/>
      </c>
      <c r="L82" s="19">
        <f>L$72*L34</f>
        <v/>
      </c>
      <c r="M82" s="19">
        <f>M$72*M34</f>
        <v/>
      </c>
      <c r="N82" s="19">
        <f>N$72*N34</f>
        <v/>
      </c>
      <c r="O82" s="19">
        <f>O$72*O34</f>
        <v/>
      </c>
      <c r="P82" s="19">
        <f>P$72*P34</f>
        <v/>
      </c>
      <c r="Q82" s="19">
        <f>Q$72*Q34</f>
        <v/>
      </c>
      <c r="R82" s="19">
        <f>R$72*R34</f>
        <v/>
      </c>
      <c r="S82" s="19">
        <f>S$72*S34</f>
        <v/>
      </c>
      <c r="T82" s="19">
        <f>T$72*T34</f>
        <v/>
      </c>
      <c r="U82" s="19">
        <f>U$72*U34</f>
        <v/>
      </c>
      <c r="V82" s="19">
        <f>V$72*V34</f>
        <v/>
      </c>
      <c r="W82" s="19">
        <f>W$72*W34</f>
        <v/>
      </c>
      <c r="X82" s="19">
        <f>X$72*X34</f>
        <v/>
      </c>
      <c r="Y82" s="19">
        <f>Y$72*Y34</f>
        <v/>
      </c>
      <c r="Z82" s="19">
        <f>Z$72*Z34</f>
        <v/>
      </c>
      <c r="AA82" s="19">
        <f>AA$72*AA34</f>
        <v/>
      </c>
      <c r="AB82" s="19">
        <f>AB$72*AB34</f>
        <v/>
      </c>
      <c r="AC82" s="19">
        <f>AC$72*AC34</f>
        <v/>
      </c>
      <c r="AD82" s="19">
        <f>AD$72*AD34</f>
        <v/>
      </c>
      <c r="AE82" s="19">
        <f>AE$72*AE34</f>
        <v/>
      </c>
      <c r="AF82" s="19">
        <f>AF$72*AF34</f>
        <v/>
      </c>
      <c r="AG82" s="19">
        <f>AG$72*AG34</f>
        <v/>
      </c>
      <c r="AH82" s="19">
        <f>AH$72*AH34</f>
        <v/>
      </c>
      <c r="AI82" s="19">
        <f>AI$72*AI34</f>
        <v/>
      </c>
      <c r="AJ82" s="19">
        <f>AJ$72*AJ34</f>
        <v/>
      </c>
      <c r="AK82" s="19">
        <f>AK$72*AK34</f>
        <v/>
      </c>
      <c r="AL82" s="19">
        <f>AL$72*AL34</f>
        <v/>
      </c>
      <c r="AM82" s="19">
        <f>AM$72*AM34</f>
        <v/>
      </c>
      <c r="AN82" s="19">
        <f>AN$72*AN34</f>
        <v/>
      </c>
      <c r="AO82" s="19">
        <f>AO$72*AO34</f>
        <v/>
      </c>
      <c r="AP82" s="19">
        <f>AP$72*AP34</f>
        <v/>
      </c>
      <c r="AQ82" s="19">
        <f>AQ$72*AQ34</f>
        <v/>
      </c>
      <c r="AR82" s="19">
        <f>AR$72*AR34</f>
        <v/>
      </c>
      <c r="AS82" s="19">
        <f>AS$72*AS34</f>
        <v/>
      </c>
      <c r="AT82" s="19">
        <f>AT$72*AT34</f>
        <v/>
      </c>
      <c r="AU82" s="19">
        <f>AU$72*AU34</f>
        <v/>
      </c>
      <c r="AV82" s="19">
        <f>AV$72*AV34</f>
        <v/>
      </c>
      <c r="AW82" s="19">
        <f>AW$72*AW34</f>
        <v/>
      </c>
      <c r="AX82" s="19">
        <f>AX$72*AX34</f>
        <v/>
      </c>
      <c r="AY82" s="19" t="n"/>
    </row>
    <row r="83">
      <c r="B83" s="1" t="inlineStr">
        <is>
          <t>Brand &amp; Digital Marketing Generalist</t>
        </is>
      </c>
      <c r="C83" s="162" t="n"/>
      <c r="D83" s="252">
        <f>SUMIF($I$5:$AX$5,D$5,$I83:$AX83)</f>
        <v/>
      </c>
      <c r="E83" s="252">
        <f>SUMIF($I$5:$AX$5,E$5,$I83:$AX83)</f>
        <v/>
      </c>
      <c r="F83" s="252">
        <f>SUMIF($I$5:$AX$5,F$5,$I83:$AX83)</f>
        <v/>
      </c>
      <c r="G83" s="252">
        <f>SUMIF($I$5:$AX$5,G$5,$I83:$AX83)</f>
        <v/>
      </c>
      <c r="H83" s="252" t="n"/>
      <c r="I83" s="19">
        <f>I$72*I35</f>
        <v/>
      </c>
      <c r="J83" s="19">
        <f>J$72*J35</f>
        <v/>
      </c>
      <c r="K83" s="19">
        <f>K$72*K35</f>
        <v/>
      </c>
      <c r="L83" s="19">
        <f>L$72*L35</f>
        <v/>
      </c>
      <c r="M83" s="19">
        <f>M$72*M35</f>
        <v/>
      </c>
      <c r="N83" s="19">
        <f>N$72*N35</f>
        <v/>
      </c>
      <c r="O83" s="19">
        <f>O$72*O35</f>
        <v/>
      </c>
      <c r="P83" s="19">
        <f>P$72*P35</f>
        <v/>
      </c>
      <c r="Q83" s="19">
        <f>Q$72*Q35</f>
        <v/>
      </c>
      <c r="R83" s="19">
        <f>R$72*R35</f>
        <v/>
      </c>
      <c r="S83" s="19">
        <f>S$72*S35</f>
        <v/>
      </c>
      <c r="T83" s="19">
        <f>T$72*T35</f>
        <v/>
      </c>
      <c r="U83" s="19">
        <f>U$72*U35</f>
        <v/>
      </c>
      <c r="V83" s="19">
        <f>V$72*V35</f>
        <v/>
      </c>
      <c r="W83" s="19">
        <f>W$72*W35</f>
        <v/>
      </c>
      <c r="X83" s="19">
        <f>X$72*X35</f>
        <v/>
      </c>
      <c r="Y83" s="19">
        <f>Y$72*Y35</f>
        <v/>
      </c>
      <c r="Z83" s="19">
        <f>Z$72*Z35</f>
        <v/>
      </c>
      <c r="AA83" s="19">
        <f>AA$72*AA35</f>
        <v/>
      </c>
      <c r="AB83" s="19">
        <f>AB$72*AB35</f>
        <v/>
      </c>
      <c r="AC83" s="19">
        <f>AC$72*AC35</f>
        <v/>
      </c>
      <c r="AD83" s="19">
        <f>AD$72*AD35</f>
        <v/>
      </c>
      <c r="AE83" s="19">
        <f>AE$72*AE35</f>
        <v/>
      </c>
      <c r="AF83" s="19">
        <f>AF$72*AF35</f>
        <v/>
      </c>
      <c r="AG83" s="19">
        <f>AG$72*AG35</f>
        <v/>
      </c>
      <c r="AH83" s="19">
        <f>AH$72*AH35</f>
        <v/>
      </c>
      <c r="AI83" s="19">
        <f>AI$72*AI35</f>
        <v/>
      </c>
      <c r="AJ83" s="19">
        <f>AJ$72*AJ35</f>
        <v/>
      </c>
      <c r="AK83" s="19">
        <f>AK$72*AK35</f>
        <v/>
      </c>
      <c r="AL83" s="19">
        <f>AL$72*AL35</f>
        <v/>
      </c>
      <c r="AM83" s="19">
        <f>AM$72*AM35</f>
        <v/>
      </c>
      <c r="AN83" s="19">
        <f>AN$72*AN35</f>
        <v/>
      </c>
      <c r="AO83" s="19">
        <f>AO$72*AO35</f>
        <v/>
      </c>
      <c r="AP83" s="19">
        <f>AP$72*AP35</f>
        <v/>
      </c>
      <c r="AQ83" s="19">
        <f>AQ$72*AQ35</f>
        <v/>
      </c>
      <c r="AR83" s="19">
        <f>AR$72*AR35</f>
        <v/>
      </c>
      <c r="AS83" s="19">
        <f>AS$72*AS35</f>
        <v/>
      </c>
      <c r="AT83" s="19">
        <f>AT$72*AT35</f>
        <v/>
      </c>
      <c r="AU83" s="19">
        <f>AU$72*AU35</f>
        <v/>
      </c>
      <c r="AV83" s="19">
        <f>AV$72*AV35</f>
        <v/>
      </c>
      <c r="AW83" s="19">
        <f>AW$72*AW35</f>
        <v/>
      </c>
      <c r="AX83" s="19">
        <f>AX$72*AX35</f>
        <v/>
      </c>
      <c r="AY83" s="19" t="n"/>
    </row>
    <row r="84">
      <c r="B84" s="1" t="inlineStr">
        <is>
          <t>Program Manager</t>
        </is>
      </c>
      <c r="C84" s="162" t="n"/>
      <c r="D84" s="252">
        <f>SUMIF($I$5:$AX$5,D$5,$I84:$AX84)</f>
        <v/>
      </c>
      <c r="E84" s="252">
        <f>SUMIF($I$5:$AX$5,E$5,$I84:$AX84)</f>
        <v/>
      </c>
      <c r="F84" s="252">
        <f>SUMIF($I$5:$AX$5,F$5,$I84:$AX84)</f>
        <v/>
      </c>
      <c r="G84" s="252">
        <f>SUMIF($I$5:$AX$5,G$5,$I84:$AX84)</f>
        <v/>
      </c>
      <c r="H84" s="252" t="n"/>
      <c r="I84" s="19">
        <f>I$72*I36</f>
        <v/>
      </c>
      <c r="J84" s="19">
        <f>J$72*J36</f>
        <v/>
      </c>
      <c r="K84" s="19">
        <f>K$72*K36</f>
        <v/>
      </c>
      <c r="L84" s="19">
        <f>L$72*L36</f>
        <v/>
      </c>
      <c r="M84" s="19">
        <f>M$72*M36</f>
        <v/>
      </c>
      <c r="N84" s="19">
        <f>N$72*N36</f>
        <v/>
      </c>
      <c r="O84" s="19">
        <f>O$72*O36</f>
        <v/>
      </c>
      <c r="P84" s="19">
        <f>P$72*P36</f>
        <v/>
      </c>
      <c r="Q84" s="19">
        <f>Q$72*Q36</f>
        <v/>
      </c>
      <c r="R84" s="19">
        <f>R$72*R36</f>
        <v/>
      </c>
      <c r="S84" s="19">
        <f>S$72*S36</f>
        <v/>
      </c>
      <c r="T84" s="19">
        <f>T$72*T36</f>
        <v/>
      </c>
      <c r="U84" s="19">
        <f>U$72*U36</f>
        <v/>
      </c>
      <c r="V84" s="19">
        <f>V$72*V36</f>
        <v/>
      </c>
      <c r="W84" s="19">
        <f>W$72*W36</f>
        <v/>
      </c>
      <c r="X84" s="19">
        <f>X$72*X36</f>
        <v/>
      </c>
      <c r="Y84" s="19">
        <f>Y$72*Y36</f>
        <v/>
      </c>
      <c r="Z84" s="19">
        <f>Z$72*Z36</f>
        <v/>
      </c>
      <c r="AA84" s="19">
        <f>AA$72*AA36</f>
        <v/>
      </c>
      <c r="AB84" s="19">
        <f>AB$72*AB36</f>
        <v/>
      </c>
      <c r="AC84" s="19">
        <f>AC$72*AC36</f>
        <v/>
      </c>
      <c r="AD84" s="19">
        <f>AD$72*AD36</f>
        <v/>
      </c>
      <c r="AE84" s="19">
        <f>AE$72*AE36</f>
        <v/>
      </c>
      <c r="AF84" s="19">
        <f>AF$72*AF36</f>
        <v/>
      </c>
      <c r="AG84" s="19">
        <f>AG$72*AG36</f>
        <v/>
      </c>
      <c r="AH84" s="19">
        <f>AH$72*AH36</f>
        <v/>
      </c>
      <c r="AI84" s="19">
        <f>AI$72*AI36</f>
        <v/>
      </c>
      <c r="AJ84" s="19">
        <f>AJ$72*AJ36</f>
        <v/>
      </c>
      <c r="AK84" s="19">
        <f>AK$72*AK36</f>
        <v/>
      </c>
      <c r="AL84" s="19">
        <f>AL$72*AL36</f>
        <v/>
      </c>
      <c r="AM84" s="19">
        <f>AM$72*AM36</f>
        <v/>
      </c>
      <c r="AN84" s="19">
        <f>AN$72*AN36</f>
        <v/>
      </c>
      <c r="AO84" s="19">
        <f>AO$72*AO36</f>
        <v/>
      </c>
      <c r="AP84" s="19">
        <f>AP$72*AP36</f>
        <v/>
      </c>
      <c r="AQ84" s="19">
        <f>AQ$72*AQ36</f>
        <v/>
      </c>
      <c r="AR84" s="19">
        <f>AR$72*AR36</f>
        <v/>
      </c>
      <c r="AS84" s="19">
        <f>AS$72*AS36</f>
        <v/>
      </c>
      <c r="AT84" s="19">
        <f>AT$72*AT36</f>
        <v/>
      </c>
      <c r="AU84" s="19">
        <f>AU$72*AU36</f>
        <v/>
      </c>
      <c r="AV84" s="19">
        <f>AV$72*AV36</f>
        <v/>
      </c>
      <c r="AW84" s="19">
        <f>AW$72*AW36</f>
        <v/>
      </c>
      <c r="AX84" s="19">
        <f>AX$72*AX36</f>
        <v/>
      </c>
      <c r="AY84" s="19" t="n"/>
    </row>
    <row r="85"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</row>
    <row r="86">
      <c r="B86" s="128" t="inlineStr">
        <is>
          <t>Total Medical Insurance Expenses</t>
        </is>
      </c>
      <c r="C86" s="272" t="n"/>
      <c r="D86" s="273">
        <f>SUMIF($I$5:$AX$5,D$5,$I86:$AX86)</f>
        <v/>
      </c>
      <c r="E86" s="274">
        <f>SUMIF($I$5:$AX$5,E$5,$I86:$AX86)</f>
        <v/>
      </c>
      <c r="F86" s="274">
        <f>SUMIF($I$5:$AX$5,F$5,$I86:$AX86)</f>
        <v/>
      </c>
      <c r="G86" s="274">
        <f>SUMIF($I$5:$AX$5,G$5,$I86:$AX86)</f>
        <v/>
      </c>
      <c r="H86" s="27" t="n"/>
      <c r="I86" s="273">
        <f>SUM(I73:I84)</f>
        <v/>
      </c>
      <c r="J86" s="273">
        <f>SUM(J73:J84)</f>
        <v/>
      </c>
      <c r="K86" s="273">
        <f>SUM(K73:K84)</f>
        <v/>
      </c>
      <c r="L86" s="273">
        <f>SUM(L73:L84)</f>
        <v/>
      </c>
      <c r="M86" s="273">
        <f>SUM(M73:M84)</f>
        <v/>
      </c>
      <c r="N86" s="273">
        <f>SUM(N73:N84)</f>
        <v/>
      </c>
      <c r="O86" s="273">
        <f>SUM(O73:O84)</f>
        <v/>
      </c>
      <c r="P86" s="273">
        <f>SUM(P73:P84)</f>
        <v/>
      </c>
      <c r="Q86" s="273">
        <f>SUM(Q73:Q84)</f>
        <v/>
      </c>
      <c r="R86" s="273">
        <f>SUM(R73:R84)</f>
        <v/>
      </c>
      <c r="S86" s="273">
        <f>SUM(S73:S84)</f>
        <v/>
      </c>
      <c r="T86" s="273">
        <f>SUM(T73:T84)</f>
        <v/>
      </c>
      <c r="U86" s="273">
        <f>SUM(U73:U84)</f>
        <v/>
      </c>
      <c r="V86" s="273">
        <f>SUM(V73:V84)</f>
        <v/>
      </c>
      <c r="W86" s="273">
        <f>SUM(W73:W84)</f>
        <v/>
      </c>
      <c r="X86" s="273">
        <f>SUM(X73:X84)</f>
        <v/>
      </c>
      <c r="Y86" s="273">
        <f>SUM(Y73:Y84)</f>
        <v/>
      </c>
      <c r="Z86" s="273">
        <f>SUM(Z73:Z84)</f>
        <v/>
      </c>
      <c r="AA86" s="273">
        <f>SUM(AA73:AA84)</f>
        <v/>
      </c>
      <c r="AB86" s="273">
        <f>SUM(AB73:AB84)</f>
        <v/>
      </c>
      <c r="AC86" s="273">
        <f>SUM(AC73:AC84)</f>
        <v/>
      </c>
      <c r="AD86" s="273">
        <f>SUM(AD73:AD84)</f>
        <v/>
      </c>
      <c r="AE86" s="273">
        <f>SUM(AE73:AE84)</f>
        <v/>
      </c>
      <c r="AF86" s="273">
        <f>SUM(AF73:AF84)</f>
        <v/>
      </c>
      <c r="AG86" s="273">
        <f>SUM(AG73:AG84)</f>
        <v/>
      </c>
      <c r="AH86" s="273">
        <f>SUM(AH73:AH84)</f>
        <v/>
      </c>
      <c r="AI86" s="273">
        <f>SUM(AI73:AI84)</f>
        <v/>
      </c>
      <c r="AJ86" s="273">
        <f>SUM(AJ73:AJ84)</f>
        <v/>
      </c>
      <c r="AK86" s="273">
        <f>SUM(AK73:AK84)</f>
        <v/>
      </c>
      <c r="AL86" s="273">
        <f>SUM(AL73:AL84)</f>
        <v/>
      </c>
      <c r="AM86" s="273">
        <f>SUM(AM73:AM84)</f>
        <v/>
      </c>
      <c r="AN86" s="273">
        <f>SUM(AN73:AN84)</f>
        <v/>
      </c>
      <c r="AO86" s="273">
        <f>SUM(AO73:AO84)</f>
        <v/>
      </c>
      <c r="AP86" s="273">
        <f>SUM(AP73:AP84)</f>
        <v/>
      </c>
      <c r="AQ86" s="273">
        <f>SUM(AQ73:AQ84)</f>
        <v/>
      </c>
      <c r="AR86" s="273">
        <f>SUM(AR73:AR84)</f>
        <v/>
      </c>
      <c r="AS86" s="273">
        <f>SUM(AS73:AS84)</f>
        <v/>
      </c>
      <c r="AT86" s="273">
        <f>SUM(AT73:AT84)</f>
        <v/>
      </c>
      <c r="AU86" s="273">
        <f>SUM(AU73:AU84)</f>
        <v/>
      </c>
      <c r="AV86" s="273">
        <f>SUM(AV73:AV84)</f>
        <v/>
      </c>
      <c r="AW86" s="273">
        <f>SUM(AW73:AW84)</f>
        <v/>
      </c>
      <c r="AX86" s="273">
        <f>SUM(AX73:AX84)</f>
        <v/>
      </c>
      <c r="AY86" s="19" t="n"/>
    </row>
    <row r="87"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</row>
    <row r="88">
      <c r="B88" s="2" t="inlineStr">
        <is>
          <t>EOSB</t>
        </is>
      </c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</row>
    <row r="89">
      <c r="B89" s="1" t="inlineStr">
        <is>
          <t>Product Owner</t>
        </is>
      </c>
      <c r="C89" s="232" t="n">
        <v>0.025</v>
      </c>
      <c r="D89" s="252">
        <f>SUMIF($I$5:$AX$5,D$5,$I89:$AX89)</f>
        <v/>
      </c>
      <c r="E89" s="252">
        <f>SUMIF($I$5:$AX$5,E$5,$I89:$AX89)</f>
        <v/>
      </c>
      <c r="F89" s="252">
        <f>SUMIF($I$5:$AX$5,F$5,$I89:$AX89)</f>
        <v/>
      </c>
      <c r="G89" s="252">
        <f>SUMIF($I$5:$AX$5,G$5,$I89:$AX89)</f>
        <v/>
      </c>
      <c r="H89" s="252" t="n"/>
      <c r="I89" s="19">
        <f>I55*I$70*$C89</f>
        <v/>
      </c>
      <c r="J89" s="19">
        <f>J55*J$70*$C89</f>
        <v/>
      </c>
      <c r="K89" s="19">
        <f>K55*K$70*$C89</f>
        <v/>
      </c>
      <c r="L89" s="19">
        <f>L55*L$70*$C89</f>
        <v/>
      </c>
      <c r="M89" s="19">
        <f>M55*M$70*$C89</f>
        <v/>
      </c>
      <c r="N89" s="19">
        <f>N55*N$70*$C89</f>
        <v/>
      </c>
      <c r="O89" s="19">
        <f>O55*O$70*$C89</f>
        <v/>
      </c>
      <c r="P89" s="19">
        <f>P55*P$70*$C89</f>
        <v/>
      </c>
      <c r="Q89" s="19">
        <f>Q55*Q$70*$C89</f>
        <v/>
      </c>
      <c r="R89" s="19">
        <f>R55*R$70*$C89</f>
        <v/>
      </c>
      <c r="S89" s="19">
        <f>S55*S$70*$C89</f>
        <v/>
      </c>
      <c r="T89" s="19">
        <f>T55*T$70*$C89</f>
        <v/>
      </c>
      <c r="U89" s="19">
        <f>U55*U$70*$C89</f>
        <v/>
      </c>
      <c r="V89" s="19">
        <f>V55*V$70*$C89</f>
        <v/>
      </c>
      <c r="W89" s="19">
        <f>W55*W$70*$C89</f>
        <v/>
      </c>
      <c r="X89" s="19">
        <f>X55*X$70*$C89</f>
        <v/>
      </c>
      <c r="Y89" s="19">
        <f>Y55*Y$70*$C89</f>
        <v/>
      </c>
      <c r="Z89" s="19">
        <f>Z55*Z$70*$C89</f>
        <v/>
      </c>
      <c r="AA89" s="19">
        <f>AA55*AA$70*$C89</f>
        <v/>
      </c>
      <c r="AB89" s="19">
        <f>AB55*AB$70*$C89</f>
        <v/>
      </c>
      <c r="AC89" s="19">
        <f>AC55*AC$70*$C89</f>
        <v/>
      </c>
      <c r="AD89" s="19">
        <f>AD55*AD$70*$C89</f>
        <v/>
      </c>
      <c r="AE89" s="19">
        <f>AE55*AE$70*$C89</f>
        <v/>
      </c>
      <c r="AF89" s="19">
        <f>AF55*AF$70*$C89</f>
        <v/>
      </c>
      <c r="AG89" s="19">
        <f>AG55*AG$70*$C89</f>
        <v/>
      </c>
      <c r="AH89" s="19">
        <f>AH55*AH$70*$C89</f>
        <v/>
      </c>
      <c r="AI89" s="19">
        <f>AI55*AI$70*$C89</f>
        <v/>
      </c>
      <c r="AJ89" s="19">
        <f>AJ55*AJ$70*$C89</f>
        <v/>
      </c>
      <c r="AK89" s="19">
        <f>AK55*AK$70*$C89</f>
        <v/>
      </c>
      <c r="AL89" s="19">
        <f>AL55*AL$70*$C89</f>
        <v/>
      </c>
      <c r="AM89" s="19">
        <f>AM55*AM$70*$C89</f>
        <v/>
      </c>
      <c r="AN89" s="19">
        <f>AN55*AN$70*$C89</f>
        <v/>
      </c>
      <c r="AO89" s="19">
        <f>AO55*AO$70*$C89</f>
        <v/>
      </c>
      <c r="AP89" s="19">
        <f>AP55*AP$70*$C89</f>
        <v/>
      </c>
      <c r="AQ89" s="19">
        <f>AQ55*AQ$70*$C89</f>
        <v/>
      </c>
      <c r="AR89" s="19">
        <f>AR55*AR$70*$C89</f>
        <v/>
      </c>
      <c r="AS89" s="19">
        <f>AS55*AS$70*$C89</f>
        <v/>
      </c>
      <c r="AT89" s="19">
        <f>AT55*AT$70*$C89</f>
        <v/>
      </c>
      <c r="AU89" s="19">
        <f>AU55*AU$70*$C89</f>
        <v/>
      </c>
      <c r="AV89" s="19">
        <f>AV55*AV$70*$C89</f>
        <v/>
      </c>
      <c r="AW89" s="19">
        <f>AW55*AW$70*$C89</f>
        <v/>
      </c>
      <c r="AX89" s="19">
        <f>AX55*AX$70*$C89</f>
        <v/>
      </c>
      <c r="AY89" s="19" t="n"/>
    </row>
    <row r="90">
      <c r="B90" s="1" t="inlineStr">
        <is>
          <t>Techno Business Analyst</t>
        </is>
      </c>
      <c r="C90" s="232" t="n">
        <v>0.025</v>
      </c>
      <c r="D90" s="252">
        <f>SUMIF($I$5:$AX$5,D$5,$I90:$AX90)</f>
        <v/>
      </c>
      <c r="E90" s="252">
        <f>SUMIF($I$5:$AX$5,E$5,$I90:$AX90)</f>
        <v/>
      </c>
      <c r="F90" s="252">
        <f>SUMIF($I$5:$AX$5,F$5,$I90:$AX90)</f>
        <v/>
      </c>
      <c r="G90" s="252">
        <f>SUMIF($I$5:$AX$5,G$5,$I90:$AX90)</f>
        <v/>
      </c>
      <c r="H90" s="252" t="n"/>
      <c r="I90" s="19">
        <f>I56*I$70*$C90</f>
        <v/>
      </c>
      <c r="J90" s="19">
        <f>J56*J$70*$C90</f>
        <v/>
      </c>
      <c r="K90" s="19">
        <f>K56*K$70*$C90</f>
        <v/>
      </c>
      <c r="L90" s="19">
        <f>L56*L$70*$C90</f>
        <v/>
      </c>
      <c r="M90" s="19">
        <f>M56*M$70*$C90</f>
        <v/>
      </c>
      <c r="N90" s="19">
        <f>N56*N$70*$C90</f>
        <v/>
      </c>
      <c r="O90" s="19">
        <f>O56*O$70*$C90</f>
        <v/>
      </c>
      <c r="P90" s="19">
        <f>P56*P$70*$C90</f>
        <v/>
      </c>
      <c r="Q90" s="19">
        <f>Q56*Q$70*$C90</f>
        <v/>
      </c>
      <c r="R90" s="19">
        <f>R56*R$70*$C90</f>
        <v/>
      </c>
      <c r="S90" s="19">
        <f>S56*S$70*$C90</f>
        <v/>
      </c>
      <c r="T90" s="19">
        <f>T56*T$70*$C90</f>
        <v/>
      </c>
      <c r="U90" s="19">
        <f>U56*U$70*$C90</f>
        <v/>
      </c>
      <c r="V90" s="19">
        <f>V56*V$70*$C90</f>
        <v/>
      </c>
      <c r="W90" s="19">
        <f>W56*W$70*$C90</f>
        <v/>
      </c>
      <c r="X90" s="19">
        <f>X56*X$70*$C90</f>
        <v/>
      </c>
      <c r="Y90" s="19">
        <f>Y56*Y$70*$C90</f>
        <v/>
      </c>
      <c r="Z90" s="19">
        <f>Z56*Z$70*$C90</f>
        <v/>
      </c>
      <c r="AA90" s="19">
        <f>AA56*AA$70*$C90</f>
        <v/>
      </c>
      <c r="AB90" s="19">
        <f>AB56*AB$70*$C90</f>
        <v/>
      </c>
      <c r="AC90" s="19">
        <f>AC56*AC$70*$C90</f>
        <v/>
      </c>
      <c r="AD90" s="19">
        <f>AD56*AD$70*$C90</f>
        <v/>
      </c>
      <c r="AE90" s="19">
        <f>AE56*AE$70*$C90</f>
        <v/>
      </c>
      <c r="AF90" s="19">
        <f>AF56*AF$70*$C90</f>
        <v/>
      </c>
      <c r="AG90" s="19">
        <f>AG56*AG$70*$C90</f>
        <v/>
      </c>
      <c r="AH90" s="19">
        <f>AH56*AH$70*$C90</f>
        <v/>
      </c>
      <c r="AI90" s="19">
        <f>AI56*AI$70*$C90</f>
        <v/>
      </c>
      <c r="AJ90" s="19">
        <f>AJ56*AJ$70*$C90</f>
        <v/>
      </c>
      <c r="AK90" s="19">
        <f>AK56*AK$70*$C90</f>
        <v/>
      </c>
      <c r="AL90" s="19">
        <f>AL56*AL$70*$C90</f>
        <v/>
      </c>
      <c r="AM90" s="19">
        <f>AM56*AM$70*$C90</f>
        <v/>
      </c>
      <c r="AN90" s="19">
        <f>AN56*AN$70*$C90</f>
        <v/>
      </c>
      <c r="AO90" s="19">
        <f>AO56*AO$70*$C90</f>
        <v/>
      </c>
      <c r="AP90" s="19">
        <f>AP56*AP$70*$C90</f>
        <v/>
      </c>
      <c r="AQ90" s="19">
        <f>AQ56*AQ$70*$C90</f>
        <v/>
      </c>
      <c r="AR90" s="19">
        <f>AR56*AR$70*$C90</f>
        <v/>
      </c>
      <c r="AS90" s="19">
        <f>AS56*AS$70*$C90</f>
        <v/>
      </c>
      <c r="AT90" s="19">
        <f>AT56*AT$70*$C90</f>
        <v/>
      </c>
      <c r="AU90" s="19">
        <f>AU56*AU$70*$C90</f>
        <v/>
      </c>
      <c r="AV90" s="19">
        <f>AV56*AV$70*$C90</f>
        <v/>
      </c>
      <c r="AW90" s="19">
        <f>AW56*AW$70*$C90</f>
        <v/>
      </c>
      <c r="AX90" s="19">
        <f>AX56*AX$70*$C90</f>
        <v/>
      </c>
      <c r="AY90" s="19" t="n"/>
    </row>
    <row r="91">
      <c r="B91" s="1" t="inlineStr">
        <is>
          <t>Product Designer</t>
        </is>
      </c>
      <c r="C91" s="232" t="n">
        <v>0.025</v>
      </c>
      <c r="D91" s="252">
        <f>SUMIF($I$5:$AX$5,D$5,$I91:$AX91)</f>
        <v/>
      </c>
      <c r="E91" s="252">
        <f>SUMIF($I$5:$AX$5,E$5,$I91:$AX91)</f>
        <v/>
      </c>
      <c r="F91" s="252">
        <f>SUMIF($I$5:$AX$5,F$5,$I91:$AX91)</f>
        <v/>
      </c>
      <c r="G91" s="252">
        <f>SUMIF($I$5:$AX$5,G$5,$I91:$AX91)</f>
        <v/>
      </c>
      <c r="H91" s="252" t="n"/>
      <c r="I91" s="19">
        <f>I57*I$70*$C91</f>
        <v/>
      </c>
      <c r="J91" s="19">
        <f>J57*J$70*$C91</f>
        <v/>
      </c>
      <c r="K91" s="19">
        <f>K57*K$70*$C91</f>
        <v/>
      </c>
      <c r="L91" s="19">
        <f>L57*L$70*$C91</f>
        <v/>
      </c>
      <c r="M91" s="19">
        <f>M57*M$70*$C91</f>
        <v/>
      </c>
      <c r="N91" s="19">
        <f>N57*N$70*$C91</f>
        <v/>
      </c>
      <c r="O91" s="19">
        <f>O57*O$70*$C91</f>
        <v/>
      </c>
      <c r="P91" s="19">
        <f>P57*P$70*$C91</f>
        <v/>
      </c>
      <c r="Q91" s="19">
        <f>Q57*Q$70*$C91</f>
        <v/>
      </c>
      <c r="R91" s="19">
        <f>R57*R$70*$C91</f>
        <v/>
      </c>
      <c r="S91" s="19">
        <f>S57*S$70*$C91</f>
        <v/>
      </c>
      <c r="T91" s="19">
        <f>T57*T$70*$C91</f>
        <v/>
      </c>
      <c r="U91" s="19">
        <f>U57*U$70*$C91</f>
        <v/>
      </c>
      <c r="V91" s="19">
        <f>V57*V$70*$C91</f>
        <v/>
      </c>
      <c r="W91" s="19">
        <f>W57*W$70*$C91</f>
        <v/>
      </c>
      <c r="X91" s="19">
        <f>X57*X$70*$C91</f>
        <v/>
      </c>
      <c r="Y91" s="19">
        <f>Y57*Y$70*$C91</f>
        <v/>
      </c>
      <c r="Z91" s="19">
        <f>Z57*Z$70*$C91</f>
        <v/>
      </c>
      <c r="AA91" s="19">
        <f>AA57*AA$70*$C91</f>
        <v/>
      </c>
      <c r="AB91" s="19">
        <f>AB57*AB$70*$C91</f>
        <v/>
      </c>
      <c r="AC91" s="19">
        <f>AC57*AC$70*$C91</f>
        <v/>
      </c>
      <c r="AD91" s="19">
        <f>AD57*AD$70*$C91</f>
        <v/>
      </c>
      <c r="AE91" s="19">
        <f>AE57*AE$70*$C91</f>
        <v/>
      </c>
      <c r="AF91" s="19">
        <f>AF57*AF$70*$C91</f>
        <v/>
      </c>
      <c r="AG91" s="19">
        <f>AG57*AG$70*$C91</f>
        <v/>
      </c>
      <c r="AH91" s="19">
        <f>AH57*AH$70*$C91</f>
        <v/>
      </c>
      <c r="AI91" s="19">
        <f>AI57*AI$70*$C91</f>
        <v/>
      </c>
      <c r="AJ91" s="19">
        <f>AJ57*AJ$70*$C91</f>
        <v/>
      </c>
      <c r="AK91" s="19">
        <f>AK57*AK$70*$C91</f>
        <v/>
      </c>
      <c r="AL91" s="19">
        <f>AL57*AL$70*$C91</f>
        <v/>
      </c>
      <c r="AM91" s="19">
        <f>AM57*AM$70*$C91</f>
        <v/>
      </c>
      <c r="AN91" s="19">
        <f>AN57*AN$70*$C91</f>
        <v/>
      </c>
      <c r="AO91" s="19">
        <f>AO57*AO$70*$C91</f>
        <v/>
      </c>
      <c r="AP91" s="19">
        <f>AP57*AP$70*$C91</f>
        <v/>
      </c>
      <c r="AQ91" s="19">
        <f>AQ57*AQ$70*$C91</f>
        <v/>
      </c>
      <c r="AR91" s="19">
        <f>AR57*AR$70*$C91</f>
        <v/>
      </c>
      <c r="AS91" s="19">
        <f>AS57*AS$70*$C91</f>
        <v/>
      </c>
      <c r="AT91" s="19">
        <f>AT57*AT$70*$C91</f>
        <v/>
      </c>
      <c r="AU91" s="19">
        <f>AU57*AU$70*$C91</f>
        <v/>
      </c>
      <c r="AV91" s="19">
        <f>AV57*AV$70*$C91</f>
        <v/>
      </c>
      <c r="AW91" s="19">
        <f>AW57*AW$70*$C91</f>
        <v/>
      </c>
      <c r="AX91" s="19">
        <f>AX57*AX$70*$C91</f>
        <v/>
      </c>
      <c r="AY91" s="19" t="n"/>
    </row>
    <row r="92">
      <c r="B92" s="1" t="inlineStr">
        <is>
          <t>CTO / Head of Architecture</t>
        </is>
      </c>
      <c r="C92" s="232" t="n">
        <v>0.025</v>
      </c>
      <c r="D92" s="252">
        <f>SUMIF($I$5:$AX$5,D$5,$I92:$AX92)</f>
        <v/>
      </c>
      <c r="E92" s="252">
        <f>SUMIF($I$5:$AX$5,E$5,$I92:$AX92)</f>
        <v/>
      </c>
      <c r="F92" s="252">
        <f>SUMIF($I$5:$AX$5,F$5,$I92:$AX92)</f>
        <v/>
      </c>
      <c r="G92" s="252">
        <f>SUMIF($I$5:$AX$5,G$5,$I92:$AX92)</f>
        <v/>
      </c>
      <c r="H92" s="252" t="n"/>
      <c r="I92" s="19">
        <f>I58*I$70*$C92</f>
        <v/>
      </c>
      <c r="J92" s="19">
        <f>J58*J$70*$C92</f>
        <v/>
      </c>
      <c r="K92" s="19">
        <f>K58*K$70*$C92</f>
        <v/>
      </c>
      <c r="L92" s="19">
        <f>L58*L$70*$C92</f>
        <v/>
      </c>
      <c r="M92" s="19">
        <f>M58*M$70*$C92</f>
        <v/>
      </c>
      <c r="N92" s="19">
        <f>N58*N$70*$C92</f>
        <v/>
      </c>
      <c r="O92" s="19">
        <f>O58*O$70*$C92</f>
        <v/>
      </c>
      <c r="P92" s="19">
        <f>P58*P$70*$C92</f>
        <v/>
      </c>
      <c r="Q92" s="19">
        <f>Q58*Q$70*$C92</f>
        <v/>
      </c>
      <c r="R92" s="19">
        <f>R58*R$70*$C92</f>
        <v/>
      </c>
      <c r="S92" s="19">
        <f>S58*S$70*$C92</f>
        <v/>
      </c>
      <c r="T92" s="19">
        <f>T58*T$70*$C92</f>
        <v/>
      </c>
      <c r="U92" s="19">
        <f>U58*U$70*$C92</f>
        <v/>
      </c>
      <c r="V92" s="19">
        <f>V58*V$70*$C92</f>
        <v/>
      </c>
      <c r="W92" s="19">
        <f>W58*W$70*$C92</f>
        <v/>
      </c>
      <c r="X92" s="19">
        <f>X58*X$70*$C92</f>
        <v/>
      </c>
      <c r="Y92" s="19">
        <f>Y58*Y$70*$C92</f>
        <v/>
      </c>
      <c r="Z92" s="19">
        <f>Z58*Z$70*$C92</f>
        <v/>
      </c>
      <c r="AA92" s="19">
        <f>AA58*AA$70*$C92</f>
        <v/>
      </c>
      <c r="AB92" s="19">
        <f>AB58*AB$70*$C92</f>
        <v/>
      </c>
      <c r="AC92" s="19">
        <f>AC58*AC$70*$C92</f>
        <v/>
      </c>
      <c r="AD92" s="19">
        <f>AD58*AD$70*$C92</f>
        <v/>
      </c>
      <c r="AE92" s="19">
        <f>AE58*AE$70*$C92</f>
        <v/>
      </c>
      <c r="AF92" s="19">
        <f>AF58*AF$70*$C92</f>
        <v/>
      </c>
      <c r="AG92" s="19">
        <f>AG58*AG$70*$C92</f>
        <v/>
      </c>
      <c r="AH92" s="19">
        <f>AH58*AH$70*$C92</f>
        <v/>
      </c>
      <c r="AI92" s="19">
        <f>AI58*AI$70*$C92</f>
        <v/>
      </c>
      <c r="AJ92" s="19">
        <f>AJ58*AJ$70*$C92</f>
        <v/>
      </c>
      <c r="AK92" s="19">
        <f>AK58*AK$70*$C92</f>
        <v/>
      </c>
      <c r="AL92" s="19">
        <f>AL58*AL$70*$C92</f>
        <v/>
      </c>
      <c r="AM92" s="19">
        <f>AM58*AM$70*$C92</f>
        <v/>
      </c>
      <c r="AN92" s="19">
        <f>AN58*AN$70*$C92</f>
        <v/>
      </c>
      <c r="AO92" s="19">
        <f>AO58*AO$70*$C92</f>
        <v/>
      </c>
      <c r="AP92" s="19">
        <f>AP58*AP$70*$C92</f>
        <v/>
      </c>
      <c r="AQ92" s="19">
        <f>AQ58*AQ$70*$C92</f>
        <v/>
      </c>
      <c r="AR92" s="19">
        <f>AR58*AR$70*$C92</f>
        <v/>
      </c>
      <c r="AS92" s="19">
        <f>AS58*AS$70*$C92</f>
        <v/>
      </c>
      <c r="AT92" s="19">
        <f>AT58*AT$70*$C92</f>
        <v/>
      </c>
      <c r="AU92" s="19">
        <f>AU58*AU$70*$C92</f>
        <v/>
      </c>
      <c r="AV92" s="19">
        <f>AV58*AV$70*$C92</f>
        <v/>
      </c>
      <c r="AW92" s="19">
        <f>AW58*AW$70*$C92</f>
        <v/>
      </c>
      <c r="AX92" s="19">
        <f>AX58*AX$70*$C92</f>
        <v/>
      </c>
      <c r="AY92" s="19" t="n"/>
    </row>
    <row r="93">
      <c r="B93" s="1" t="inlineStr">
        <is>
          <t>Accountant</t>
        </is>
      </c>
      <c r="C93" s="232" t="n">
        <v>0.025</v>
      </c>
      <c r="D93" s="252">
        <f>SUMIF($I$5:$AX$5,D$5,$I93:$AX93)</f>
        <v/>
      </c>
      <c r="E93" s="252">
        <f>SUMIF($I$5:$AX$5,E$5,$I93:$AX93)</f>
        <v/>
      </c>
      <c r="F93" s="252">
        <f>SUMIF($I$5:$AX$5,F$5,$I93:$AX93)</f>
        <v/>
      </c>
      <c r="G93" s="252">
        <f>SUMIF($I$5:$AX$5,G$5,$I93:$AX93)</f>
        <v/>
      </c>
      <c r="H93" s="252" t="n"/>
      <c r="I93" s="19">
        <f>I59*I$70*$C93</f>
        <v/>
      </c>
      <c r="J93" s="19">
        <f>J59*J$70*$C93</f>
        <v/>
      </c>
      <c r="K93" s="19">
        <f>K59*K$70*$C93</f>
        <v/>
      </c>
      <c r="L93" s="19">
        <f>L59*L$70*$C93</f>
        <v/>
      </c>
      <c r="M93" s="19">
        <f>M59*M$70*$C93</f>
        <v/>
      </c>
      <c r="N93" s="19">
        <f>N59*N$70*$C93</f>
        <v/>
      </c>
      <c r="O93" s="19">
        <f>O59*O$70*$C93</f>
        <v/>
      </c>
      <c r="P93" s="19">
        <f>P59*P$70*$C93</f>
        <v/>
      </c>
      <c r="Q93" s="19">
        <f>Q59*Q$70*$C93</f>
        <v/>
      </c>
      <c r="R93" s="19">
        <f>R59*R$70*$C93</f>
        <v/>
      </c>
      <c r="S93" s="19">
        <f>S59*S$70*$C93</f>
        <v/>
      </c>
      <c r="T93" s="19">
        <f>T59*T$70*$C93</f>
        <v/>
      </c>
      <c r="U93" s="19">
        <f>U59*U$70*$C93</f>
        <v/>
      </c>
      <c r="V93" s="19">
        <f>V59*V$70*$C93</f>
        <v/>
      </c>
      <c r="W93" s="19">
        <f>W59*W$70*$C93</f>
        <v/>
      </c>
      <c r="X93" s="19">
        <f>X59*X$70*$C93</f>
        <v/>
      </c>
      <c r="Y93" s="19">
        <f>Y59*Y$70*$C93</f>
        <v/>
      </c>
      <c r="Z93" s="19">
        <f>Z59*Z$70*$C93</f>
        <v/>
      </c>
      <c r="AA93" s="19">
        <f>AA59*AA$70*$C93</f>
        <v/>
      </c>
      <c r="AB93" s="19">
        <f>AB59*AB$70*$C93</f>
        <v/>
      </c>
      <c r="AC93" s="19">
        <f>AC59*AC$70*$C93</f>
        <v/>
      </c>
      <c r="AD93" s="19">
        <f>AD59*AD$70*$C93</f>
        <v/>
      </c>
      <c r="AE93" s="19">
        <f>AE59*AE$70*$C93</f>
        <v/>
      </c>
      <c r="AF93" s="19">
        <f>AF59*AF$70*$C93</f>
        <v/>
      </c>
      <c r="AG93" s="19">
        <f>AG59*AG$70*$C93</f>
        <v/>
      </c>
      <c r="AH93" s="19">
        <f>AH59*AH$70*$C93</f>
        <v/>
      </c>
      <c r="AI93" s="19">
        <f>AI59*AI$70*$C93</f>
        <v/>
      </c>
      <c r="AJ93" s="19">
        <f>AJ59*AJ$70*$C93</f>
        <v/>
      </c>
      <c r="AK93" s="19">
        <f>AK59*AK$70*$C93</f>
        <v/>
      </c>
      <c r="AL93" s="19">
        <f>AL59*AL$70*$C93</f>
        <v/>
      </c>
      <c r="AM93" s="19">
        <f>AM59*AM$70*$C93</f>
        <v/>
      </c>
      <c r="AN93" s="19">
        <f>AN59*AN$70*$C93</f>
        <v/>
      </c>
      <c r="AO93" s="19">
        <f>AO59*AO$70*$C93</f>
        <v/>
      </c>
      <c r="AP93" s="19">
        <f>AP59*AP$70*$C93</f>
        <v/>
      </c>
      <c r="AQ93" s="19">
        <f>AQ59*AQ$70*$C93</f>
        <v/>
      </c>
      <c r="AR93" s="19">
        <f>AR59*AR$70*$C93</f>
        <v/>
      </c>
      <c r="AS93" s="19">
        <f>AS59*AS$70*$C93</f>
        <v/>
      </c>
      <c r="AT93" s="19">
        <f>AT59*AT$70*$C93</f>
        <v/>
      </c>
      <c r="AU93" s="19">
        <f>AU59*AU$70*$C93</f>
        <v/>
      </c>
      <c r="AV93" s="19">
        <f>AV59*AV$70*$C93</f>
        <v/>
      </c>
      <c r="AW93" s="19">
        <f>AW59*AW$70*$C93</f>
        <v/>
      </c>
      <c r="AX93" s="19">
        <f>AX59*AX$70*$C93</f>
        <v/>
      </c>
      <c r="AY93" s="19" t="n"/>
    </row>
    <row r="94">
      <c r="B94" s="1" t="inlineStr">
        <is>
          <t>Head of Finance</t>
        </is>
      </c>
      <c r="C94" s="232" t="n">
        <v>0.025</v>
      </c>
      <c r="D94" s="252">
        <f>SUMIF($I$5:$AX$5,D$5,$I94:$AX94)</f>
        <v/>
      </c>
      <c r="E94" s="252">
        <f>SUMIF($I$5:$AX$5,E$5,$I94:$AX94)</f>
        <v/>
      </c>
      <c r="F94" s="252">
        <f>SUMIF($I$5:$AX$5,F$5,$I94:$AX94)</f>
        <v/>
      </c>
      <c r="G94" s="252">
        <f>SUMIF($I$5:$AX$5,G$5,$I94:$AX94)</f>
        <v/>
      </c>
      <c r="H94" s="252" t="n"/>
      <c r="I94" s="19">
        <f>I60*I$70*$C94</f>
        <v/>
      </c>
      <c r="J94" s="19">
        <f>J60*J$70*$C94</f>
        <v/>
      </c>
      <c r="K94" s="19">
        <f>K60*K$70*$C94</f>
        <v/>
      </c>
      <c r="L94" s="19">
        <f>L60*L$70*$C94</f>
        <v/>
      </c>
      <c r="M94" s="19">
        <f>M60*M$70*$C94</f>
        <v/>
      </c>
      <c r="N94" s="19">
        <f>N60*N$70*$C94</f>
        <v/>
      </c>
      <c r="O94" s="19">
        <f>O60*O$70*$C94</f>
        <v/>
      </c>
      <c r="P94" s="19">
        <f>P60*P$70*$C94</f>
        <v/>
      </c>
      <c r="Q94" s="19">
        <f>Q60*Q$70*$C94</f>
        <v/>
      </c>
      <c r="R94" s="19">
        <f>R60*R$70*$C94</f>
        <v/>
      </c>
      <c r="S94" s="19">
        <f>S60*S$70*$C94</f>
        <v/>
      </c>
      <c r="T94" s="19">
        <f>T60*T$70*$C94</f>
        <v/>
      </c>
      <c r="U94" s="19">
        <f>U60*U$70*$C94</f>
        <v/>
      </c>
      <c r="V94" s="19">
        <f>V60*V$70*$C94</f>
        <v/>
      </c>
      <c r="W94" s="19">
        <f>W60*W$70*$C94</f>
        <v/>
      </c>
      <c r="X94" s="19">
        <f>X60*X$70*$C94</f>
        <v/>
      </c>
      <c r="Y94" s="19">
        <f>Y60*Y$70*$C94</f>
        <v/>
      </c>
      <c r="Z94" s="19">
        <f>Z60*Z$70*$C94</f>
        <v/>
      </c>
      <c r="AA94" s="19">
        <f>AA60*AA$70*$C94</f>
        <v/>
      </c>
      <c r="AB94" s="19">
        <f>AB60*AB$70*$C94</f>
        <v/>
      </c>
      <c r="AC94" s="19">
        <f>AC60*AC$70*$C94</f>
        <v/>
      </c>
      <c r="AD94" s="19">
        <f>AD60*AD$70*$C94</f>
        <v/>
      </c>
      <c r="AE94" s="19">
        <f>AE60*AE$70*$C94</f>
        <v/>
      </c>
      <c r="AF94" s="19">
        <f>AF60*AF$70*$C94</f>
        <v/>
      </c>
      <c r="AG94" s="19">
        <f>AG60*AG$70*$C94</f>
        <v/>
      </c>
      <c r="AH94" s="19">
        <f>AH60*AH$70*$C94</f>
        <v/>
      </c>
      <c r="AI94" s="19">
        <f>AI60*AI$70*$C94</f>
        <v/>
      </c>
      <c r="AJ94" s="19">
        <f>AJ60*AJ$70*$C94</f>
        <v/>
      </c>
      <c r="AK94" s="19">
        <f>AK60*AK$70*$C94</f>
        <v/>
      </c>
      <c r="AL94" s="19">
        <f>AL60*AL$70*$C94</f>
        <v/>
      </c>
      <c r="AM94" s="19">
        <f>AM60*AM$70*$C94</f>
        <v/>
      </c>
      <c r="AN94" s="19">
        <f>AN60*AN$70*$C94</f>
        <v/>
      </c>
      <c r="AO94" s="19">
        <f>AO60*AO$70*$C94</f>
        <v/>
      </c>
      <c r="AP94" s="19">
        <f>AP60*AP$70*$C94</f>
        <v/>
      </c>
      <c r="AQ94" s="19">
        <f>AQ60*AQ$70*$C94</f>
        <v/>
      </c>
      <c r="AR94" s="19">
        <f>AR60*AR$70*$C94</f>
        <v/>
      </c>
      <c r="AS94" s="19">
        <f>AS60*AS$70*$C94</f>
        <v/>
      </c>
      <c r="AT94" s="19">
        <f>AT60*AT$70*$C94</f>
        <v/>
      </c>
      <c r="AU94" s="19">
        <f>AU60*AU$70*$C94</f>
        <v/>
      </c>
      <c r="AV94" s="19">
        <f>AV60*AV$70*$C94</f>
        <v/>
      </c>
      <c r="AW94" s="19">
        <f>AW60*AW$70*$C94</f>
        <v/>
      </c>
      <c r="AX94" s="19">
        <f>AX60*AX$70*$C94</f>
        <v/>
      </c>
      <c r="AY94" s="19" t="n"/>
    </row>
    <row r="95">
      <c r="B95" s="1" t="inlineStr">
        <is>
          <t>Head of Fintech &amp; Payments Operations</t>
        </is>
      </c>
      <c r="C95" s="232" t="n">
        <v>0.025</v>
      </c>
      <c r="D95" s="252">
        <f>SUMIF($I$5:$AX$5,D$5,$I95:$AX95)</f>
        <v/>
      </c>
      <c r="E95" s="252">
        <f>SUMIF($I$5:$AX$5,E$5,$I95:$AX95)</f>
        <v/>
      </c>
      <c r="F95" s="252">
        <f>SUMIF($I$5:$AX$5,F$5,$I95:$AX95)</f>
        <v/>
      </c>
      <c r="G95" s="252">
        <f>SUMIF($I$5:$AX$5,G$5,$I95:$AX95)</f>
        <v/>
      </c>
      <c r="H95" s="252" t="n"/>
      <c r="I95" s="19">
        <f>I61*I$70*$C95</f>
        <v/>
      </c>
      <c r="J95" s="19">
        <f>J61*J$70*$C95</f>
        <v/>
      </c>
      <c r="K95" s="19">
        <f>K61*K$70*$C95</f>
        <v/>
      </c>
      <c r="L95" s="19">
        <f>L61*L$70*$C95</f>
        <v/>
      </c>
      <c r="M95" s="19">
        <f>M61*M$70*$C95</f>
        <v/>
      </c>
      <c r="N95" s="19">
        <f>N61*N$70*$C95</f>
        <v/>
      </c>
      <c r="O95" s="19">
        <f>O61*O$70*$C95</f>
        <v/>
      </c>
      <c r="P95" s="19">
        <f>P61*P$70*$C95</f>
        <v/>
      </c>
      <c r="Q95" s="19">
        <f>Q61*Q$70*$C95</f>
        <v/>
      </c>
      <c r="R95" s="19">
        <f>R61*R$70*$C95</f>
        <v/>
      </c>
      <c r="S95" s="19">
        <f>S61*S$70*$C95</f>
        <v/>
      </c>
      <c r="T95" s="19">
        <f>T61*T$70*$C95</f>
        <v/>
      </c>
      <c r="U95" s="19">
        <f>U61*U$70*$C95</f>
        <v/>
      </c>
      <c r="V95" s="19">
        <f>V61*V$70*$C95</f>
        <v/>
      </c>
      <c r="W95" s="19">
        <f>W61*W$70*$C95</f>
        <v/>
      </c>
      <c r="X95" s="19">
        <f>X61*X$70*$C95</f>
        <v/>
      </c>
      <c r="Y95" s="19">
        <f>Y61*Y$70*$C95</f>
        <v/>
      </c>
      <c r="Z95" s="19">
        <f>Z61*Z$70*$C95</f>
        <v/>
      </c>
      <c r="AA95" s="19">
        <f>AA61*AA$70*$C95</f>
        <v/>
      </c>
      <c r="AB95" s="19">
        <f>AB61*AB$70*$C95</f>
        <v/>
      </c>
      <c r="AC95" s="19">
        <f>AC61*AC$70*$C95</f>
        <v/>
      </c>
      <c r="AD95" s="19">
        <f>AD61*AD$70*$C95</f>
        <v/>
      </c>
      <c r="AE95" s="19">
        <f>AE61*AE$70*$C95</f>
        <v/>
      </c>
      <c r="AF95" s="19">
        <f>AF61*AF$70*$C95</f>
        <v/>
      </c>
      <c r="AG95" s="19">
        <f>AG61*AG$70*$C95</f>
        <v/>
      </c>
      <c r="AH95" s="19">
        <f>AH61*AH$70*$C95</f>
        <v/>
      </c>
      <c r="AI95" s="19">
        <f>AI61*AI$70*$C95</f>
        <v/>
      </c>
      <c r="AJ95" s="19">
        <f>AJ61*AJ$70*$C95</f>
        <v/>
      </c>
      <c r="AK95" s="19">
        <f>AK61*AK$70*$C95</f>
        <v/>
      </c>
      <c r="AL95" s="19">
        <f>AL61*AL$70*$C95</f>
        <v/>
      </c>
      <c r="AM95" s="19">
        <f>AM61*AM$70*$C95</f>
        <v/>
      </c>
      <c r="AN95" s="19">
        <f>AN61*AN$70*$C95</f>
        <v/>
      </c>
      <c r="AO95" s="19">
        <f>AO61*AO$70*$C95</f>
        <v/>
      </c>
      <c r="AP95" s="19">
        <f>AP61*AP$70*$C95</f>
        <v/>
      </c>
      <c r="AQ95" s="19">
        <f>AQ61*AQ$70*$C95</f>
        <v/>
      </c>
      <c r="AR95" s="19">
        <f>AR61*AR$70*$C95</f>
        <v/>
      </c>
      <c r="AS95" s="19">
        <f>AS61*AS$70*$C95</f>
        <v/>
      </c>
      <c r="AT95" s="19">
        <f>AT61*AT$70*$C95</f>
        <v/>
      </c>
      <c r="AU95" s="19">
        <f>AU61*AU$70*$C95</f>
        <v/>
      </c>
      <c r="AV95" s="19">
        <f>AV61*AV$70*$C95</f>
        <v/>
      </c>
      <c r="AW95" s="19">
        <f>AW61*AW$70*$C95</f>
        <v/>
      </c>
      <c r="AX95" s="19">
        <f>AX61*AX$70*$C95</f>
        <v/>
      </c>
      <c r="AY95" s="19" t="n"/>
    </row>
    <row r="96">
      <c r="B96" s="1" t="inlineStr">
        <is>
          <t>Admin Support</t>
        </is>
      </c>
      <c r="C96" s="232" t="n">
        <v>0.025</v>
      </c>
      <c r="D96" s="252">
        <f>SUMIF($I$5:$AX$5,D$5,$I96:$AX96)</f>
        <v/>
      </c>
      <c r="E96" s="252">
        <f>SUMIF($I$5:$AX$5,E$5,$I96:$AX96)</f>
        <v/>
      </c>
      <c r="F96" s="252">
        <f>SUMIF($I$5:$AX$5,F$5,$I96:$AX96)</f>
        <v/>
      </c>
      <c r="G96" s="252">
        <f>SUMIF($I$5:$AX$5,G$5,$I96:$AX96)</f>
        <v/>
      </c>
      <c r="H96" s="252" t="n"/>
      <c r="I96" s="19">
        <f>I62*I$70*$C96</f>
        <v/>
      </c>
      <c r="J96" s="19">
        <f>J62*J$70*$C96</f>
        <v/>
      </c>
      <c r="K96" s="19">
        <f>K62*K$70*$C96</f>
        <v/>
      </c>
      <c r="L96" s="19">
        <f>L62*L$70*$C96</f>
        <v/>
      </c>
      <c r="M96" s="19">
        <f>M62*M$70*$C96</f>
        <v/>
      </c>
      <c r="N96" s="19">
        <f>N62*N$70*$C96</f>
        <v/>
      </c>
      <c r="O96" s="19">
        <f>O62*O$70*$C96</f>
        <v/>
      </c>
      <c r="P96" s="19">
        <f>P62*P$70*$C96</f>
        <v/>
      </c>
      <c r="Q96" s="19">
        <f>Q62*Q$70*$C96</f>
        <v/>
      </c>
      <c r="R96" s="19">
        <f>R62*R$70*$C96</f>
        <v/>
      </c>
      <c r="S96" s="19">
        <f>S62*S$70*$C96</f>
        <v/>
      </c>
      <c r="T96" s="19">
        <f>T62*T$70*$C96</f>
        <v/>
      </c>
      <c r="U96" s="19">
        <f>U62*U$70*$C96</f>
        <v/>
      </c>
      <c r="V96" s="19">
        <f>V62*V$70*$C96</f>
        <v/>
      </c>
      <c r="W96" s="19">
        <f>W62*W$70*$C96</f>
        <v/>
      </c>
      <c r="X96" s="19">
        <f>X62*X$70*$C96</f>
        <v/>
      </c>
      <c r="Y96" s="19">
        <f>Y62*Y$70*$C96</f>
        <v/>
      </c>
      <c r="Z96" s="19">
        <f>Z62*Z$70*$C96</f>
        <v/>
      </c>
      <c r="AA96" s="19">
        <f>AA62*AA$70*$C96</f>
        <v/>
      </c>
      <c r="AB96" s="19">
        <f>AB62*AB$70*$C96</f>
        <v/>
      </c>
      <c r="AC96" s="19">
        <f>AC62*AC$70*$C96</f>
        <v/>
      </c>
      <c r="AD96" s="19">
        <f>AD62*AD$70*$C96</f>
        <v/>
      </c>
      <c r="AE96" s="19">
        <f>AE62*AE$70*$C96</f>
        <v/>
      </c>
      <c r="AF96" s="19">
        <f>AF62*AF$70*$C96</f>
        <v/>
      </c>
      <c r="AG96" s="19">
        <f>AG62*AG$70*$C96</f>
        <v/>
      </c>
      <c r="AH96" s="19">
        <f>AH62*AH$70*$C96</f>
        <v/>
      </c>
      <c r="AI96" s="19">
        <f>AI62*AI$70*$C96</f>
        <v/>
      </c>
      <c r="AJ96" s="19">
        <f>AJ62*AJ$70*$C96</f>
        <v/>
      </c>
      <c r="AK96" s="19">
        <f>AK62*AK$70*$C96</f>
        <v/>
      </c>
      <c r="AL96" s="19">
        <f>AL62*AL$70*$C96</f>
        <v/>
      </c>
      <c r="AM96" s="19">
        <f>AM62*AM$70*$C96</f>
        <v/>
      </c>
      <c r="AN96" s="19">
        <f>AN62*AN$70*$C96</f>
        <v/>
      </c>
      <c r="AO96" s="19">
        <f>AO62*AO$70*$C96</f>
        <v/>
      </c>
      <c r="AP96" s="19">
        <f>AP62*AP$70*$C96</f>
        <v/>
      </c>
      <c r="AQ96" s="19">
        <f>AQ62*AQ$70*$C96</f>
        <v/>
      </c>
      <c r="AR96" s="19">
        <f>AR62*AR$70*$C96</f>
        <v/>
      </c>
      <c r="AS96" s="19">
        <f>AS62*AS$70*$C96</f>
        <v/>
      </c>
      <c r="AT96" s="19">
        <f>AT62*AT$70*$C96</f>
        <v/>
      </c>
      <c r="AU96" s="19">
        <f>AU62*AU$70*$C96</f>
        <v/>
      </c>
      <c r="AV96" s="19">
        <f>AV62*AV$70*$C96</f>
        <v/>
      </c>
      <c r="AW96" s="19">
        <f>AW62*AW$70*$C96</f>
        <v/>
      </c>
      <c r="AX96" s="19">
        <f>AX62*AX$70*$C96</f>
        <v/>
      </c>
      <c r="AY96" s="19" t="n"/>
    </row>
    <row r="97">
      <c r="B97" s="1" t="inlineStr">
        <is>
          <t>HR Manager</t>
        </is>
      </c>
      <c r="C97" s="232" t="n">
        <v>0.025</v>
      </c>
      <c r="D97" s="252">
        <f>SUMIF($I$5:$AX$5,D$5,$I97:$AX97)</f>
        <v/>
      </c>
      <c r="E97" s="252">
        <f>SUMIF($I$5:$AX$5,E$5,$I97:$AX97)</f>
        <v/>
      </c>
      <c r="F97" s="252">
        <f>SUMIF($I$5:$AX$5,F$5,$I97:$AX97)</f>
        <v/>
      </c>
      <c r="G97" s="252">
        <f>SUMIF($I$5:$AX$5,G$5,$I97:$AX97)</f>
        <v/>
      </c>
      <c r="H97" s="252" t="n"/>
      <c r="I97" s="19">
        <f>I63*I$70*$C97</f>
        <v/>
      </c>
      <c r="J97" s="19">
        <f>J63*J$70*$C97</f>
        <v/>
      </c>
      <c r="K97" s="19">
        <f>K63*K$70*$C97</f>
        <v/>
      </c>
      <c r="L97" s="19">
        <f>L63*L$70*$C97</f>
        <v/>
      </c>
      <c r="M97" s="19">
        <f>M63*M$70*$C97</f>
        <v/>
      </c>
      <c r="N97" s="19">
        <f>N63*N$70*$C97</f>
        <v/>
      </c>
      <c r="O97" s="19">
        <f>O63*O$70*$C97</f>
        <v/>
      </c>
      <c r="P97" s="19">
        <f>P63*P$70*$C97</f>
        <v/>
      </c>
      <c r="Q97" s="19">
        <f>Q63*Q$70*$C97</f>
        <v/>
      </c>
      <c r="R97" s="19">
        <f>R63*R$70*$C97</f>
        <v/>
      </c>
      <c r="S97" s="19">
        <f>S63*S$70*$C97</f>
        <v/>
      </c>
      <c r="T97" s="19">
        <f>T63*T$70*$C97</f>
        <v/>
      </c>
      <c r="U97" s="19">
        <f>U63*U$70*$C97</f>
        <v/>
      </c>
      <c r="V97" s="19">
        <f>V63*V$70*$C97</f>
        <v/>
      </c>
      <c r="W97" s="19">
        <f>W63*W$70*$C97</f>
        <v/>
      </c>
      <c r="X97" s="19">
        <f>X63*X$70*$C97</f>
        <v/>
      </c>
      <c r="Y97" s="19">
        <f>Y63*Y$70*$C97</f>
        <v/>
      </c>
      <c r="Z97" s="19">
        <f>Z63*Z$70*$C97</f>
        <v/>
      </c>
      <c r="AA97" s="19">
        <f>AA63*AA$70*$C97</f>
        <v/>
      </c>
      <c r="AB97" s="19">
        <f>AB63*AB$70*$C97</f>
        <v/>
      </c>
      <c r="AC97" s="19">
        <f>AC63*AC$70*$C97</f>
        <v/>
      </c>
      <c r="AD97" s="19">
        <f>AD63*AD$70*$C97</f>
        <v/>
      </c>
      <c r="AE97" s="19">
        <f>AE63*AE$70*$C97</f>
        <v/>
      </c>
      <c r="AF97" s="19">
        <f>AF63*AF$70*$C97</f>
        <v/>
      </c>
      <c r="AG97" s="19">
        <f>AG63*AG$70*$C97</f>
        <v/>
      </c>
      <c r="AH97" s="19">
        <f>AH63*AH$70*$C97</f>
        <v/>
      </c>
      <c r="AI97" s="19">
        <f>AI63*AI$70*$C97</f>
        <v/>
      </c>
      <c r="AJ97" s="19">
        <f>AJ63*AJ$70*$C97</f>
        <v/>
      </c>
      <c r="AK97" s="19">
        <f>AK63*AK$70*$C97</f>
        <v/>
      </c>
      <c r="AL97" s="19">
        <f>AL63*AL$70*$C97</f>
        <v/>
      </c>
      <c r="AM97" s="19">
        <f>AM63*AM$70*$C97</f>
        <v/>
      </c>
      <c r="AN97" s="19">
        <f>AN63*AN$70*$C97</f>
        <v/>
      </c>
      <c r="AO97" s="19">
        <f>AO63*AO$70*$C97</f>
        <v/>
      </c>
      <c r="AP97" s="19">
        <f>AP63*AP$70*$C97</f>
        <v/>
      </c>
      <c r="AQ97" s="19">
        <f>AQ63*AQ$70*$C97</f>
        <v/>
      </c>
      <c r="AR97" s="19">
        <f>AR63*AR$70*$C97</f>
        <v/>
      </c>
      <c r="AS97" s="19">
        <f>AS63*AS$70*$C97</f>
        <v/>
      </c>
      <c r="AT97" s="19">
        <f>AT63*AT$70*$C97</f>
        <v/>
      </c>
      <c r="AU97" s="19">
        <f>AU63*AU$70*$C97</f>
        <v/>
      </c>
      <c r="AV97" s="19">
        <f>AV63*AV$70*$C97</f>
        <v/>
      </c>
      <c r="AW97" s="19">
        <f>AW63*AW$70*$C97</f>
        <v/>
      </c>
      <c r="AX97" s="19">
        <f>AX63*AX$70*$C97</f>
        <v/>
      </c>
      <c r="AY97" s="19" t="n"/>
    </row>
    <row r="98">
      <c r="B98" s="1" t="inlineStr">
        <is>
          <t>COO</t>
        </is>
      </c>
      <c r="C98" s="232" t="n">
        <v>0.025</v>
      </c>
      <c r="D98" s="252">
        <f>SUMIF($I$5:$AX$5,D$5,$I98:$AX98)</f>
        <v/>
      </c>
      <c r="E98" s="252">
        <f>SUMIF($I$5:$AX$5,E$5,$I98:$AX98)</f>
        <v/>
      </c>
      <c r="F98" s="252">
        <f>SUMIF($I$5:$AX$5,F$5,$I98:$AX98)</f>
        <v/>
      </c>
      <c r="G98" s="252">
        <f>SUMIF($I$5:$AX$5,G$5,$I98:$AX98)</f>
        <v/>
      </c>
      <c r="H98" s="252" t="n"/>
      <c r="I98" s="19">
        <f>I64*I$70*$C98</f>
        <v/>
      </c>
      <c r="J98" s="19">
        <f>J64*J$70*$C98</f>
        <v/>
      </c>
      <c r="K98" s="19">
        <f>K64*K$70*$C98</f>
        <v/>
      </c>
      <c r="L98" s="19">
        <f>L64*L$70*$C98</f>
        <v/>
      </c>
      <c r="M98" s="19">
        <f>M64*M$70*$C98</f>
        <v/>
      </c>
      <c r="N98" s="19">
        <f>N64*N$70*$C98</f>
        <v/>
      </c>
      <c r="O98" s="19">
        <f>O64*O$70*$C98</f>
        <v/>
      </c>
      <c r="P98" s="19">
        <f>P64*P$70*$C98</f>
        <v/>
      </c>
      <c r="Q98" s="19">
        <f>Q64*Q$70*$C98</f>
        <v/>
      </c>
      <c r="R98" s="19">
        <f>R64*R$70*$C98</f>
        <v/>
      </c>
      <c r="S98" s="19">
        <f>S64*S$70*$C98</f>
        <v/>
      </c>
      <c r="T98" s="19">
        <f>T64*T$70*$C98</f>
        <v/>
      </c>
      <c r="U98" s="19">
        <f>U64*U$70*$C98</f>
        <v/>
      </c>
      <c r="V98" s="19">
        <f>V64*V$70*$C98</f>
        <v/>
      </c>
      <c r="W98" s="19">
        <f>W64*W$70*$C98</f>
        <v/>
      </c>
      <c r="X98" s="19">
        <f>X64*X$70*$C98</f>
        <v/>
      </c>
      <c r="Y98" s="19">
        <f>Y64*Y$70*$C98</f>
        <v/>
      </c>
      <c r="Z98" s="19">
        <f>Z64*Z$70*$C98</f>
        <v/>
      </c>
      <c r="AA98" s="19">
        <f>AA64*AA$70*$C98</f>
        <v/>
      </c>
      <c r="AB98" s="19">
        <f>AB64*AB$70*$C98</f>
        <v/>
      </c>
      <c r="AC98" s="19">
        <f>AC64*AC$70*$C98</f>
        <v/>
      </c>
      <c r="AD98" s="19">
        <f>AD64*AD$70*$C98</f>
        <v/>
      </c>
      <c r="AE98" s="19">
        <f>AE64*AE$70*$C98</f>
        <v/>
      </c>
      <c r="AF98" s="19">
        <f>AF64*AF$70*$C98</f>
        <v/>
      </c>
      <c r="AG98" s="19">
        <f>AG64*AG$70*$C98</f>
        <v/>
      </c>
      <c r="AH98" s="19">
        <f>AH64*AH$70*$C98</f>
        <v/>
      </c>
      <c r="AI98" s="19">
        <f>AI64*AI$70*$C98</f>
        <v/>
      </c>
      <c r="AJ98" s="19">
        <f>AJ64*AJ$70*$C98</f>
        <v/>
      </c>
      <c r="AK98" s="19">
        <f>AK64*AK$70*$C98</f>
        <v/>
      </c>
      <c r="AL98" s="19">
        <f>AL64*AL$70*$C98</f>
        <v/>
      </c>
      <c r="AM98" s="19">
        <f>AM64*AM$70*$C98</f>
        <v/>
      </c>
      <c r="AN98" s="19">
        <f>AN64*AN$70*$C98</f>
        <v/>
      </c>
      <c r="AO98" s="19">
        <f>AO64*AO$70*$C98</f>
        <v/>
      </c>
      <c r="AP98" s="19">
        <f>AP64*AP$70*$C98</f>
        <v/>
      </c>
      <c r="AQ98" s="19">
        <f>AQ64*AQ$70*$C98</f>
        <v/>
      </c>
      <c r="AR98" s="19">
        <f>AR64*AR$70*$C98</f>
        <v/>
      </c>
      <c r="AS98" s="19">
        <f>AS64*AS$70*$C98</f>
        <v/>
      </c>
      <c r="AT98" s="19">
        <f>AT64*AT$70*$C98</f>
        <v/>
      </c>
      <c r="AU98" s="19">
        <f>AU64*AU$70*$C98</f>
        <v/>
      </c>
      <c r="AV98" s="19">
        <f>AV64*AV$70*$C98</f>
        <v/>
      </c>
      <c r="AW98" s="19">
        <f>AW64*AW$70*$C98</f>
        <v/>
      </c>
      <c r="AX98" s="19">
        <f>AX64*AX$70*$C98</f>
        <v/>
      </c>
      <c r="AY98" s="19" t="n"/>
    </row>
    <row r="99">
      <c r="B99" s="1" t="inlineStr">
        <is>
          <t>Brand &amp; Digital Marketing Generalist</t>
        </is>
      </c>
      <c r="C99" s="232" t="n">
        <v>0.025</v>
      </c>
      <c r="D99" s="252">
        <f>SUMIF($I$5:$AX$5,D$5,$I99:$AX99)</f>
        <v/>
      </c>
      <c r="E99" s="252">
        <f>SUMIF($I$5:$AX$5,E$5,$I99:$AX99)</f>
        <v/>
      </c>
      <c r="F99" s="252">
        <f>SUMIF($I$5:$AX$5,F$5,$I99:$AX99)</f>
        <v/>
      </c>
      <c r="G99" s="252">
        <f>SUMIF($I$5:$AX$5,G$5,$I99:$AX99)</f>
        <v/>
      </c>
      <c r="H99" s="252" t="n"/>
      <c r="I99" s="19">
        <f>I65*I$70*$C99</f>
        <v/>
      </c>
      <c r="J99" s="19">
        <f>J65*J$70*$C99</f>
        <v/>
      </c>
      <c r="K99" s="19">
        <f>K65*K$70*$C99</f>
        <v/>
      </c>
      <c r="L99" s="19">
        <f>L65*L$70*$C99</f>
        <v/>
      </c>
      <c r="M99" s="19">
        <f>M65*M$70*$C99</f>
        <v/>
      </c>
      <c r="N99" s="19">
        <f>N65*N$70*$C99</f>
        <v/>
      </c>
      <c r="O99" s="19">
        <f>O65*O$70*$C99</f>
        <v/>
      </c>
      <c r="P99" s="19">
        <f>P65*P$70*$C99</f>
        <v/>
      </c>
      <c r="Q99" s="19">
        <f>Q65*Q$70*$C99</f>
        <v/>
      </c>
      <c r="R99" s="19">
        <f>R65*R$70*$C99</f>
        <v/>
      </c>
      <c r="S99" s="19">
        <f>S65*S$70*$C99</f>
        <v/>
      </c>
      <c r="T99" s="19">
        <f>T65*T$70*$C99</f>
        <v/>
      </c>
      <c r="U99" s="19">
        <f>U65*U$70*$C99</f>
        <v/>
      </c>
      <c r="V99" s="19">
        <f>V65*V$70*$C99</f>
        <v/>
      </c>
      <c r="W99" s="19">
        <f>W65*W$70*$C99</f>
        <v/>
      </c>
      <c r="X99" s="19">
        <f>X65*X$70*$C99</f>
        <v/>
      </c>
      <c r="Y99" s="19">
        <f>Y65*Y$70*$C99</f>
        <v/>
      </c>
      <c r="Z99" s="19">
        <f>Z65*Z$70*$C99</f>
        <v/>
      </c>
      <c r="AA99" s="19">
        <f>AA65*AA$70*$C99</f>
        <v/>
      </c>
      <c r="AB99" s="19">
        <f>AB65*AB$70*$C99</f>
        <v/>
      </c>
      <c r="AC99" s="19">
        <f>AC65*AC$70*$C99</f>
        <v/>
      </c>
      <c r="AD99" s="19">
        <f>AD65*AD$70*$C99</f>
        <v/>
      </c>
      <c r="AE99" s="19">
        <f>AE65*AE$70*$C99</f>
        <v/>
      </c>
      <c r="AF99" s="19">
        <f>AF65*AF$70*$C99</f>
        <v/>
      </c>
      <c r="AG99" s="19">
        <f>AG65*AG$70*$C99</f>
        <v/>
      </c>
      <c r="AH99" s="19">
        <f>AH65*AH$70*$C99</f>
        <v/>
      </c>
      <c r="AI99" s="19">
        <f>AI65*AI$70*$C99</f>
        <v/>
      </c>
      <c r="AJ99" s="19">
        <f>AJ65*AJ$70*$C99</f>
        <v/>
      </c>
      <c r="AK99" s="19">
        <f>AK65*AK$70*$C99</f>
        <v/>
      </c>
      <c r="AL99" s="19">
        <f>AL65*AL$70*$C99</f>
        <v/>
      </c>
      <c r="AM99" s="19">
        <f>AM65*AM$70*$C99</f>
        <v/>
      </c>
      <c r="AN99" s="19">
        <f>AN65*AN$70*$C99</f>
        <v/>
      </c>
      <c r="AO99" s="19">
        <f>AO65*AO$70*$C99</f>
        <v/>
      </c>
      <c r="AP99" s="19">
        <f>AP65*AP$70*$C99</f>
        <v/>
      </c>
      <c r="AQ99" s="19">
        <f>AQ65*AQ$70*$C99</f>
        <v/>
      </c>
      <c r="AR99" s="19">
        <f>AR65*AR$70*$C99</f>
        <v/>
      </c>
      <c r="AS99" s="19">
        <f>AS65*AS$70*$C99</f>
        <v/>
      </c>
      <c r="AT99" s="19">
        <f>AT65*AT$70*$C99</f>
        <v/>
      </c>
      <c r="AU99" s="19">
        <f>AU65*AU$70*$C99</f>
        <v/>
      </c>
      <c r="AV99" s="19">
        <f>AV65*AV$70*$C99</f>
        <v/>
      </c>
      <c r="AW99" s="19">
        <f>AW65*AW$70*$C99</f>
        <v/>
      </c>
      <c r="AX99" s="19">
        <f>AX65*AX$70*$C99</f>
        <v/>
      </c>
      <c r="AY99" s="19" t="n"/>
    </row>
    <row r="100">
      <c r="B100" s="1" t="inlineStr">
        <is>
          <t>Program Manager</t>
        </is>
      </c>
      <c r="C100" s="232" t="n">
        <v>0.025</v>
      </c>
      <c r="D100" s="252">
        <f>SUMIF($I$5:$AX$5,D$5,$I100:$AX100)</f>
        <v/>
      </c>
      <c r="E100" s="252">
        <f>SUMIF($I$5:$AX$5,E$5,$I100:$AX100)</f>
        <v/>
      </c>
      <c r="F100" s="252">
        <f>SUMIF($I$5:$AX$5,F$5,$I100:$AX100)</f>
        <v/>
      </c>
      <c r="G100" s="252">
        <f>SUMIF($I$5:$AX$5,G$5,$I100:$AX100)</f>
        <v/>
      </c>
      <c r="H100" s="252" t="n"/>
      <c r="I100" s="19">
        <f>I66*I$70*$C100</f>
        <v/>
      </c>
      <c r="J100" s="19">
        <f>J66*J$70*$C100</f>
        <v/>
      </c>
      <c r="K100" s="19">
        <f>K66*K$70*$C100</f>
        <v/>
      </c>
      <c r="L100" s="19">
        <f>L66*L$70*$C100</f>
        <v/>
      </c>
      <c r="M100" s="19">
        <f>M66*M$70*$C100</f>
        <v/>
      </c>
      <c r="N100" s="19">
        <f>N66*N$70*$C100</f>
        <v/>
      </c>
      <c r="O100" s="19">
        <f>O66*O$70*$C100</f>
        <v/>
      </c>
      <c r="P100" s="19">
        <f>P66*P$70*$C100</f>
        <v/>
      </c>
      <c r="Q100" s="19">
        <f>Q66*Q$70*$C100</f>
        <v/>
      </c>
      <c r="R100" s="19">
        <f>R66*R$70*$C100</f>
        <v/>
      </c>
      <c r="S100" s="19">
        <f>S66*S$70*$C100</f>
        <v/>
      </c>
      <c r="T100" s="19">
        <f>T66*T$70*$C100</f>
        <v/>
      </c>
      <c r="U100" s="19">
        <f>U66*U$70*$C100</f>
        <v/>
      </c>
      <c r="V100" s="19">
        <f>V66*V$70*$C100</f>
        <v/>
      </c>
      <c r="W100" s="19">
        <f>W66*W$70*$C100</f>
        <v/>
      </c>
      <c r="X100" s="19">
        <f>X66*X$70*$C100</f>
        <v/>
      </c>
      <c r="Y100" s="19">
        <f>Y66*Y$70*$C100</f>
        <v/>
      </c>
      <c r="Z100" s="19">
        <f>Z66*Z$70*$C100</f>
        <v/>
      </c>
      <c r="AA100" s="19">
        <f>AA66*AA$70*$C100</f>
        <v/>
      </c>
      <c r="AB100" s="19">
        <f>AB66*AB$70*$C100</f>
        <v/>
      </c>
      <c r="AC100" s="19">
        <f>AC66*AC$70*$C100</f>
        <v/>
      </c>
      <c r="AD100" s="19">
        <f>AD66*AD$70*$C100</f>
        <v/>
      </c>
      <c r="AE100" s="19">
        <f>AE66*AE$70*$C100</f>
        <v/>
      </c>
      <c r="AF100" s="19">
        <f>AF66*AF$70*$C100</f>
        <v/>
      </c>
      <c r="AG100" s="19">
        <f>AG66*AG$70*$C100</f>
        <v/>
      </c>
      <c r="AH100" s="19">
        <f>AH66*AH$70*$C100</f>
        <v/>
      </c>
      <c r="AI100" s="19">
        <f>AI66*AI$70*$C100</f>
        <v/>
      </c>
      <c r="AJ100" s="19">
        <f>AJ66*AJ$70*$C100</f>
        <v/>
      </c>
      <c r="AK100" s="19">
        <f>AK66*AK$70*$C100</f>
        <v/>
      </c>
      <c r="AL100" s="19">
        <f>AL66*AL$70*$C100</f>
        <v/>
      </c>
      <c r="AM100" s="19">
        <f>AM66*AM$70*$C100</f>
        <v/>
      </c>
      <c r="AN100" s="19">
        <f>AN66*AN$70*$C100</f>
        <v/>
      </c>
      <c r="AO100" s="19">
        <f>AO66*AO$70*$C100</f>
        <v/>
      </c>
      <c r="AP100" s="19">
        <f>AP66*AP$70*$C100</f>
        <v/>
      </c>
      <c r="AQ100" s="19">
        <f>AQ66*AQ$70*$C100</f>
        <v/>
      </c>
      <c r="AR100" s="19">
        <f>AR66*AR$70*$C100</f>
        <v/>
      </c>
      <c r="AS100" s="19">
        <f>AS66*AS$70*$C100</f>
        <v/>
      </c>
      <c r="AT100" s="19">
        <f>AT66*AT$70*$C100</f>
        <v/>
      </c>
      <c r="AU100" s="19">
        <f>AU66*AU$70*$C100</f>
        <v/>
      </c>
      <c r="AV100" s="19">
        <f>AV66*AV$70*$C100</f>
        <v/>
      </c>
      <c r="AW100" s="19">
        <f>AW66*AW$70*$C100</f>
        <v/>
      </c>
      <c r="AX100" s="19">
        <f>AX66*AX$70*$C100</f>
        <v/>
      </c>
      <c r="AY100" s="19" t="n"/>
    </row>
    <row r="101"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</row>
    <row r="102">
      <c r="B102" s="128" t="inlineStr">
        <is>
          <t>Total ESOB Expenses</t>
        </is>
      </c>
      <c r="C102" s="272" t="n"/>
      <c r="D102" s="267">
        <f>SUMIF($I$5:$AX$5,D$5,$I102:$AX102)</f>
        <v/>
      </c>
      <c r="E102" s="267">
        <f>SUMIF($I$5:$AX$5,E$5,$I102:$AX102)</f>
        <v/>
      </c>
      <c r="F102" s="267">
        <f>SUMIF($I$5:$AX$5,F$5,$I102:$AX102)</f>
        <v/>
      </c>
      <c r="G102" s="267">
        <f>SUMIF($I$5:$AX$5,G$5,$I102:$AX102)</f>
        <v/>
      </c>
      <c r="H102" s="268" t="n"/>
      <c r="I102" s="273">
        <f>SUM(I89:I100)</f>
        <v/>
      </c>
      <c r="J102" s="273">
        <f>SUM(J89:J100)</f>
        <v/>
      </c>
      <c r="K102" s="273">
        <f>SUM(K89:K100)</f>
        <v/>
      </c>
      <c r="L102" s="273">
        <f>SUM(L89:L100)</f>
        <v/>
      </c>
      <c r="M102" s="273">
        <f>SUM(M89:M100)</f>
        <v/>
      </c>
      <c r="N102" s="273">
        <f>SUM(N89:N100)</f>
        <v/>
      </c>
      <c r="O102" s="273">
        <f>SUM(O89:O100)</f>
        <v/>
      </c>
      <c r="P102" s="273">
        <f>SUM(P89:P100)</f>
        <v/>
      </c>
      <c r="Q102" s="273">
        <f>SUM(Q89:Q100)</f>
        <v/>
      </c>
      <c r="R102" s="273">
        <f>SUM(R89:R100)</f>
        <v/>
      </c>
      <c r="S102" s="273">
        <f>SUM(S89:S100)</f>
        <v/>
      </c>
      <c r="T102" s="273">
        <f>SUM(T89:T100)</f>
        <v/>
      </c>
      <c r="U102" s="273">
        <f>SUM(U89:U100)</f>
        <v/>
      </c>
      <c r="V102" s="273">
        <f>SUM(V89:V100)</f>
        <v/>
      </c>
      <c r="W102" s="273">
        <f>SUM(W89:W100)</f>
        <v/>
      </c>
      <c r="X102" s="273">
        <f>SUM(X89:X100)</f>
        <v/>
      </c>
      <c r="Y102" s="273">
        <f>SUM(Y89:Y100)</f>
        <v/>
      </c>
      <c r="Z102" s="273">
        <f>SUM(Z89:Z100)</f>
        <v/>
      </c>
      <c r="AA102" s="273">
        <f>SUM(AA89:AA100)</f>
        <v/>
      </c>
      <c r="AB102" s="273">
        <f>SUM(AB89:AB100)</f>
        <v/>
      </c>
      <c r="AC102" s="273">
        <f>SUM(AC89:AC100)</f>
        <v/>
      </c>
      <c r="AD102" s="273">
        <f>SUM(AD89:AD100)</f>
        <v/>
      </c>
      <c r="AE102" s="273">
        <f>SUM(AE89:AE100)</f>
        <v/>
      </c>
      <c r="AF102" s="273">
        <f>SUM(AF89:AF100)</f>
        <v/>
      </c>
      <c r="AG102" s="273">
        <f>SUM(AG89:AG100)</f>
        <v/>
      </c>
      <c r="AH102" s="273">
        <f>SUM(AH89:AH100)</f>
        <v/>
      </c>
      <c r="AI102" s="273">
        <f>SUM(AI89:AI100)</f>
        <v/>
      </c>
      <c r="AJ102" s="273">
        <f>SUM(AJ89:AJ100)</f>
        <v/>
      </c>
      <c r="AK102" s="273">
        <f>SUM(AK89:AK100)</f>
        <v/>
      </c>
      <c r="AL102" s="273">
        <f>SUM(AL89:AL100)</f>
        <v/>
      </c>
      <c r="AM102" s="273">
        <f>SUM(AM89:AM100)</f>
        <v/>
      </c>
      <c r="AN102" s="273">
        <f>SUM(AN89:AN100)</f>
        <v/>
      </c>
      <c r="AO102" s="273">
        <f>SUM(AO89:AO100)</f>
        <v/>
      </c>
      <c r="AP102" s="273">
        <f>SUM(AP89:AP100)</f>
        <v/>
      </c>
      <c r="AQ102" s="273">
        <f>SUM(AQ89:AQ100)</f>
        <v/>
      </c>
      <c r="AR102" s="273">
        <f>SUM(AR89:AR100)</f>
        <v/>
      </c>
      <c r="AS102" s="273">
        <f>SUM(AS89:AS100)</f>
        <v/>
      </c>
      <c r="AT102" s="273">
        <f>SUM(AT89:AT100)</f>
        <v/>
      </c>
      <c r="AU102" s="273">
        <f>SUM(AU89:AU100)</f>
        <v/>
      </c>
      <c r="AV102" s="273">
        <f>SUM(AV89:AV100)</f>
        <v/>
      </c>
      <c r="AW102" s="273">
        <f>SUM(AW89:AW100)</f>
        <v/>
      </c>
      <c r="AX102" s="273">
        <f>SUM(AX89:AX100)</f>
        <v/>
      </c>
      <c r="AY102" s="19" t="n"/>
    </row>
    <row r="103"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</row>
    <row r="104">
      <c r="B104" s="2" t="inlineStr">
        <is>
          <t>Visa Fees</t>
        </is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</row>
    <row r="105">
      <c r="B105" s="1" t="inlineStr">
        <is>
          <t>Expat Employees</t>
        </is>
      </c>
      <c r="D105" s="19" t="n"/>
      <c r="E105" s="19" t="n"/>
      <c r="F105" s="19" t="n"/>
      <c r="G105" s="19" t="n"/>
      <c r="H105" s="19" t="n"/>
      <c r="I105" s="19">
        <f>I38</f>
        <v/>
      </c>
      <c r="J105" s="19">
        <f>J38</f>
        <v/>
      </c>
      <c r="K105" s="19">
        <f>K38</f>
        <v/>
      </c>
      <c r="L105" s="19">
        <f>L38</f>
        <v/>
      </c>
      <c r="M105" s="19">
        <f>M38</f>
        <v/>
      </c>
      <c r="N105" s="19">
        <f>N38</f>
        <v/>
      </c>
      <c r="O105" s="19">
        <f>O38</f>
        <v/>
      </c>
      <c r="P105" s="19">
        <f>P38</f>
        <v/>
      </c>
      <c r="Q105" s="19">
        <f>Q38</f>
        <v/>
      </c>
      <c r="R105" s="19">
        <f>R38</f>
        <v/>
      </c>
      <c r="S105" s="19">
        <f>S38</f>
        <v/>
      </c>
      <c r="T105" s="19">
        <f>T38</f>
        <v/>
      </c>
      <c r="U105" s="19">
        <f>U38</f>
        <v/>
      </c>
      <c r="V105" s="19">
        <f>V38</f>
        <v/>
      </c>
      <c r="W105" s="19">
        <f>W38</f>
        <v/>
      </c>
      <c r="X105" s="19">
        <f>X38</f>
        <v/>
      </c>
      <c r="Y105" s="19">
        <f>Y38</f>
        <v/>
      </c>
      <c r="Z105" s="19">
        <f>Z38</f>
        <v/>
      </c>
      <c r="AA105" s="19">
        <f>AA38</f>
        <v/>
      </c>
      <c r="AB105" s="19">
        <f>AB38</f>
        <v/>
      </c>
      <c r="AC105" s="19">
        <f>AC38</f>
        <v/>
      </c>
      <c r="AD105" s="19">
        <f>AD38</f>
        <v/>
      </c>
      <c r="AE105" s="19">
        <f>AE38</f>
        <v/>
      </c>
      <c r="AF105" s="19">
        <f>AF38</f>
        <v/>
      </c>
      <c r="AG105" s="19">
        <f>AG38</f>
        <v/>
      </c>
      <c r="AH105" s="19">
        <f>AH38</f>
        <v/>
      </c>
      <c r="AI105" s="19">
        <f>AI38</f>
        <v/>
      </c>
      <c r="AJ105" s="19">
        <f>AJ38</f>
        <v/>
      </c>
      <c r="AK105" s="19">
        <f>AK38</f>
        <v/>
      </c>
      <c r="AL105" s="19">
        <f>AL38</f>
        <v/>
      </c>
      <c r="AM105" s="19">
        <f>AM38</f>
        <v/>
      </c>
      <c r="AN105" s="19">
        <f>AN38</f>
        <v/>
      </c>
      <c r="AO105" s="19">
        <f>AO38</f>
        <v/>
      </c>
      <c r="AP105" s="19">
        <f>AP38</f>
        <v/>
      </c>
      <c r="AQ105" s="19">
        <f>AQ38</f>
        <v/>
      </c>
      <c r="AR105" s="19">
        <f>AR38</f>
        <v/>
      </c>
      <c r="AS105" s="19">
        <f>AS38</f>
        <v/>
      </c>
      <c r="AT105" s="19">
        <f>AT38</f>
        <v/>
      </c>
      <c r="AU105" s="19">
        <f>AU38</f>
        <v/>
      </c>
      <c r="AV105" s="19">
        <f>AV38</f>
        <v/>
      </c>
      <c r="AW105" s="19">
        <f>AW38</f>
        <v/>
      </c>
      <c r="AX105" s="19">
        <f>AX38</f>
        <v/>
      </c>
      <c r="AY105" s="19" t="n"/>
    </row>
    <row r="106">
      <c r="B106" s="1" t="inlineStr">
        <is>
          <t>Visa Fees - New addition</t>
        </is>
      </c>
      <c r="C106" s="235" t="n">
        <v>2000</v>
      </c>
      <c r="D106" s="19" t="n"/>
      <c r="E106" s="19" t="n"/>
      <c r="F106" s="19" t="n"/>
      <c r="G106" s="19" t="n"/>
      <c r="H106" s="19" t="n"/>
      <c r="I106" s="19">
        <f>$C$106*I109</f>
        <v/>
      </c>
      <c r="J106" s="19">
        <f>$C$106*J109</f>
        <v/>
      </c>
      <c r="K106" s="19">
        <f>$C$106*K109</f>
        <v/>
      </c>
      <c r="L106" s="19">
        <f>$C$106*L109</f>
        <v/>
      </c>
      <c r="M106" s="19">
        <f>$C$106*M109</f>
        <v/>
      </c>
      <c r="N106" s="19">
        <f>$C$106*N109</f>
        <v/>
      </c>
      <c r="O106" s="19">
        <f>$C$106*O109</f>
        <v/>
      </c>
      <c r="P106" s="19">
        <f>$C$106*P109</f>
        <v/>
      </c>
      <c r="Q106" s="19">
        <f>$C$106*Q109</f>
        <v/>
      </c>
      <c r="R106" s="19">
        <f>$C$106*R109</f>
        <v/>
      </c>
      <c r="S106" s="19">
        <f>$C$106*S109</f>
        <v/>
      </c>
      <c r="T106" s="19">
        <f>$C$106*T109</f>
        <v/>
      </c>
      <c r="U106" s="19">
        <f>$C$106*U109</f>
        <v/>
      </c>
      <c r="V106" s="19">
        <f>$C$106*V109</f>
        <v/>
      </c>
      <c r="W106" s="19">
        <f>$C$106*W109</f>
        <v/>
      </c>
      <c r="X106" s="19">
        <f>$C$106*X109</f>
        <v/>
      </c>
      <c r="Y106" s="19">
        <f>$C$106*Y109</f>
        <v/>
      </c>
      <c r="Z106" s="19">
        <f>$C$106*Z109</f>
        <v/>
      </c>
      <c r="AA106" s="19">
        <f>$C$106*AA109</f>
        <v/>
      </c>
      <c r="AB106" s="19">
        <f>$C$106*AB109</f>
        <v/>
      </c>
      <c r="AC106" s="19">
        <f>$C$106*AC109</f>
        <v/>
      </c>
      <c r="AD106" s="19">
        <f>$C$106*AD109</f>
        <v/>
      </c>
      <c r="AE106" s="19">
        <f>$C$106*AE109</f>
        <v/>
      </c>
      <c r="AF106" s="19">
        <f>$C$106*AF109</f>
        <v/>
      </c>
      <c r="AG106" s="19">
        <f>$C$106*AG109</f>
        <v/>
      </c>
      <c r="AH106" s="19">
        <f>$C$106*AH109</f>
        <v/>
      </c>
      <c r="AI106" s="19">
        <f>$C$106*AI109</f>
        <v/>
      </c>
      <c r="AJ106" s="19">
        <f>$C$106*AJ109</f>
        <v/>
      </c>
      <c r="AK106" s="19">
        <f>$C$106*AK109</f>
        <v/>
      </c>
      <c r="AL106" s="19">
        <f>$C$106*AL109</f>
        <v/>
      </c>
      <c r="AM106" s="19">
        <f>$C$106*AM109</f>
        <v/>
      </c>
      <c r="AN106" s="19">
        <f>$C$106*AN109</f>
        <v/>
      </c>
      <c r="AO106" s="19">
        <f>$C$106*AO109</f>
        <v/>
      </c>
      <c r="AP106" s="19">
        <f>$C$106*AP109</f>
        <v/>
      </c>
      <c r="AQ106" s="19">
        <f>$C$106*AQ109</f>
        <v/>
      </c>
      <c r="AR106" s="19">
        <f>$C$106*AR109</f>
        <v/>
      </c>
      <c r="AS106" s="19">
        <f>$C$106*AS109</f>
        <v/>
      </c>
      <c r="AT106" s="19">
        <f>$C$106*AT109</f>
        <v/>
      </c>
      <c r="AU106" s="19">
        <f>$C$106*AU109</f>
        <v/>
      </c>
      <c r="AV106" s="19">
        <f>$C$106*AV109</f>
        <v/>
      </c>
      <c r="AW106" s="19">
        <f>$C$106*AW109</f>
        <v/>
      </c>
      <c r="AX106" s="19">
        <f>$C$106*AX109</f>
        <v/>
      </c>
      <c r="AY106" s="19" t="n"/>
    </row>
    <row r="107">
      <c r="B107" s="128" t="inlineStr">
        <is>
          <t>Visa Fees - Renewal</t>
        </is>
      </c>
      <c r="C107" s="128" t="n"/>
      <c r="D107" s="273">
        <f>SUMIF($I$5:$AX$5,D$5,$I107:$AX107)</f>
        <v/>
      </c>
      <c r="E107" s="273">
        <f>SUMIF($I$5:$AX$5,E$5,$I107:$AX107)</f>
        <v/>
      </c>
      <c r="F107" s="273">
        <f>SUMIF($I$5:$AX$5,F$5,$I107:$AX107)</f>
        <v/>
      </c>
      <c r="G107" s="273">
        <f>SUMIF($I$5:$AX$5,G$5,$I107:$AX107)</f>
        <v/>
      </c>
      <c r="H107" s="27" t="n"/>
      <c r="I107" s="273">
        <f>IF(I111&gt;0,I111*$C$106,0)</f>
        <v/>
      </c>
      <c r="J107" s="273">
        <f>IF(J111&gt;0,J111*$C$106,0)</f>
        <v/>
      </c>
      <c r="K107" s="273">
        <f>IF(K111&gt;0,K111*$C$106,0)</f>
        <v/>
      </c>
      <c r="L107" s="273">
        <f>IF(L111&gt;0,L111*$C$106,0)</f>
        <v/>
      </c>
      <c r="M107" s="273">
        <f>IF(M111&gt;0,M111*$C$106,0)</f>
        <v/>
      </c>
      <c r="N107" s="273">
        <f>IF(N111&gt;0,N111*$C$106,0)</f>
        <v/>
      </c>
      <c r="O107" s="273">
        <f>IF(O111&gt;0,O111*$C$106,0)</f>
        <v/>
      </c>
      <c r="P107" s="273">
        <f>IF(P111&gt;0,P111*$C$106,0)</f>
        <v/>
      </c>
      <c r="Q107" s="273">
        <f>IF(Q111&gt;0,Q111*$C$106,0)</f>
        <v/>
      </c>
      <c r="R107" s="273">
        <f>IF(R111&gt;0,R111*$C$106,0)</f>
        <v/>
      </c>
      <c r="S107" s="273">
        <f>IF(S111&gt;0,S111*$C$106,0)</f>
        <v/>
      </c>
      <c r="T107" s="273">
        <f>IF(T111&gt;0,T111*$C$106,0)</f>
        <v/>
      </c>
      <c r="U107" s="273">
        <f>IF(U111&gt;0,U111*$C$106,0)</f>
        <v/>
      </c>
      <c r="V107" s="273">
        <f>IF(V111&gt;0,V111*$C$106,0)</f>
        <v/>
      </c>
      <c r="W107" s="273">
        <f>IF(W111&gt;0,W111*$C$106,0)</f>
        <v/>
      </c>
      <c r="X107" s="273">
        <f>IF(X111&gt;0,X111*$C$106,0)</f>
        <v/>
      </c>
      <c r="Y107" s="273">
        <f>IF(Y111&gt;0,Y111*$C$106,0)</f>
        <v/>
      </c>
      <c r="Z107" s="273">
        <f>IF(Z111&gt;0,Z111*$C$106,0)</f>
        <v/>
      </c>
      <c r="AA107" s="273">
        <f>IF(AA111&gt;0,AA111*$C$106,0)</f>
        <v/>
      </c>
      <c r="AB107" s="273">
        <f>IF(AB111&gt;0,AB111*$C$106,0)</f>
        <v/>
      </c>
      <c r="AC107" s="273">
        <f>IF(AC111&gt;0,AC111*$C$106,0)</f>
        <v/>
      </c>
      <c r="AD107" s="273">
        <f>IF(AD111&gt;0,AD111*$C$106,0)</f>
        <v/>
      </c>
      <c r="AE107" s="273">
        <f>IF(AE111&gt;0,AE111*$C$106,0)</f>
        <v/>
      </c>
      <c r="AF107" s="273">
        <f>IF(AF111&gt;0,AF111*$C$106,0)</f>
        <v/>
      </c>
      <c r="AG107" s="273">
        <f>IF(AG111&gt;0,AG111*$C$106,0)</f>
        <v/>
      </c>
      <c r="AH107" s="273">
        <f>IF(AH111&gt;0,AH111*$C$106,0)</f>
        <v/>
      </c>
      <c r="AI107" s="273">
        <f>IF(AI111&gt;0,AI111*$C$106,0)</f>
        <v/>
      </c>
      <c r="AJ107" s="273">
        <f>IF(AJ111&gt;0,AJ111*$C$106,0)</f>
        <v/>
      </c>
      <c r="AK107" s="273">
        <f>IF(AK111&gt;0,AK111*$C$106,0)</f>
        <v/>
      </c>
      <c r="AL107" s="273">
        <f>IF(AL111&gt;0,AL111*$C$106,0)</f>
        <v/>
      </c>
      <c r="AM107" s="273">
        <f>IF(AM111&gt;0,AM111*$C$106,0)</f>
        <v/>
      </c>
      <c r="AN107" s="273">
        <f>IF(AN111&gt;0,AN111*$C$106,0)</f>
        <v/>
      </c>
      <c r="AO107" s="273">
        <f>IF(AO111&gt;0,AO111*$C$106,0)</f>
        <v/>
      </c>
      <c r="AP107" s="273">
        <f>IF(AP111&gt;0,AP111*$C$106,0)</f>
        <v/>
      </c>
      <c r="AQ107" s="273">
        <f>IF(AQ111&gt;0,AQ111*$C$106,0)</f>
        <v/>
      </c>
      <c r="AR107" s="273">
        <f>IF(AR111&gt;0,AR111*$C$106,0)</f>
        <v/>
      </c>
      <c r="AS107" s="273">
        <f>IF(AS111&gt;0,AS111*$C$106,0)</f>
        <v/>
      </c>
      <c r="AT107" s="273">
        <f>IF(AT111&gt;0,AT111*$C$106,0)</f>
        <v/>
      </c>
      <c r="AU107" s="273">
        <f>IF(AU111&gt;0,AU111*$C$106,0)</f>
        <v/>
      </c>
      <c r="AV107" s="273">
        <f>IF(AV111&gt;0,AV111*$C$106,0)</f>
        <v/>
      </c>
      <c r="AW107" s="273">
        <f>IF(AW111&gt;0,AW111*$C$106,0)</f>
        <v/>
      </c>
      <c r="AX107" s="273">
        <f>IF(AX111&gt;0,AX111*$C$106,0)</f>
        <v/>
      </c>
      <c r="AY107" s="19" t="n"/>
    </row>
    <row r="108"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9" t="n"/>
      <c r="AI108" s="19" t="n"/>
      <c r="AJ108" s="19" t="n"/>
      <c r="AK108" s="19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</row>
    <row r="109">
      <c r="B109" s="1" t="inlineStr">
        <is>
          <t>Addition</t>
        </is>
      </c>
      <c r="D109" s="19" t="n"/>
      <c r="E109" s="19" t="n"/>
      <c r="F109" s="19" t="n"/>
      <c r="G109" s="19" t="n"/>
      <c r="H109" s="19" t="n"/>
      <c r="I109" s="19">
        <f>SUMIF(I9:I20,"&gt;=0",I9:I20)</f>
        <v/>
      </c>
      <c r="J109" s="19">
        <f>SUMIF(J9:J20,"&gt;=0",J9:J20)</f>
        <v/>
      </c>
      <c r="K109" s="19">
        <f>SUMIF(K9:K20,"&gt;=0",K9:K20)</f>
        <v/>
      </c>
      <c r="L109" s="19">
        <f>SUMIF(L9:L20,"&gt;=0",L9:L20)</f>
        <v/>
      </c>
      <c r="M109" s="19">
        <f>SUMIF(M9:M20,"&gt;=0",M9:M20)</f>
        <v/>
      </c>
      <c r="N109" s="19">
        <f>SUMIF(N9:N20,"&gt;=0",N9:N20)</f>
        <v/>
      </c>
      <c r="O109" s="19">
        <f>SUMIF(O9:O20,"&gt;=0",O9:O20)</f>
        <v/>
      </c>
      <c r="P109" s="19">
        <f>SUMIF(P9:P20,"&gt;=0",P9:P20)</f>
        <v/>
      </c>
      <c r="Q109" s="19">
        <f>SUMIF(Q9:Q20,"&gt;=0",Q9:Q20)</f>
        <v/>
      </c>
      <c r="R109" s="19">
        <f>SUMIF(R9:R20,"&gt;=0",R9:R20)</f>
        <v/>
      </c>
      <c r="S109" s="19">
        <f>SUMIF(S9:S20,"&gt;=0",S9:S20)</f>
        <v/>
      </c>
      <c r="T109" s="19">
        <f>SUMIF(T9:T20,"&gt;=0",T9:T20)</f>
        <v/>
      </c>
      <c r="U109" s="19">
        <f>SUMIF(U9:U20,"&gt;=0",U9:U20)</f>
        <v/>
      </c>
      <c r="V109" s="19">
        <f>SUMIF(V9:V20,"&gt;=0",V9:V20)</f>
        <v/>
      </c>
      <c r="W109" s="19">
        <f>SUMIF(W9:W20,"&gt;=0",W9:W20)</f>
        <v/>
      </c>
      <c r="X109" s="19">
        <f>SUMIF(X9:X20,"&gt;=0",X9:X20)</f>
        <v/>
      </c>
      <c r="Y109" s="19">
        <f>SUMIF(Y9:Y20,"&gt;=0",Y9:Y20)</f>
        <v/>
      </c>
      <c r="Z109" s="19">
        <f>SUMIF(Z9:Z20,"&gt;=0",Z9:Z20)</f>
        <v/>
      </c>
      <c r="AA109" s="19">
        <f>SUMIF(AA9:AA20,"&gt;=0",AA9:AA20)</f>
        <v/>
      </c>
      <c r="AB109" s="19">
        <f>SUMIF(AB9:AB20,"&gt;=0",AB9:AB20)</f>
        <v/>
      </c>
      <c r="AC109" s="19">
        <f>SUMIF(AC9:AC20,"&gt;=0",AC9:AC20)</f>
        <v/>
      </c>
      <c r="AD109" s="19">
        <f>SUMIF(AD9:AD20,"&gt;=0",AD9:AD20)</f>
        <v/>
      </c>
      <c r="AE109" s="19">
        <f>SUMIF(AE9:AE20,"&gt;=0",AE9:AE20)</f>
        <v/>
      </c>
      <c r="AF109" s="19">
        <f>SUMIF(AF9:AF20,"&gt;=0",AF9:AF20)</f>
        <v/>
      </c>
      <c r="AG109" s="19">
        <f>SUMIF(AG9:AG20,"&gt;=0",AG9:AG20)</f>
        <v/>
      </c>
      <c r="AH109" s="19">
        <f>SUMIF(AH9:AH20,"&gt;=0",AH9:AH20)</f>
        <v/>
      </c>
      <c r="AI109" s="19">
        <f>SUMIF(AI9:AI20,"&gt;=0",AI9:AI20)</f>
        <v/>
      </c>
      <c r="AJ109" s="19">
        <f>SUMIF(AJ9:AJ20,"&gt;=0",AJ9:AJ20)</f>
        <v/>
      </c>
      <c r="AK109" s="19">
        <f>SUMIF(AK9:AK20,"&gt;=0",AK9:AK20)</f>
        <v/>
      </c>
      <c r="AL109" s="19">
        <f>SUMIF(AL9:AL20,"&gt;=0",AL9:AL20)</f>
        <v/>
      </c>
      <c r="AM109" s="19">
        <f>SUMIF(AM9:AM20,"&gt;=0",AM9:AM20)</f>
        <v/>
      </c>
      <c r="AN109" s="19">
        <f>SUMIF(AN9:AN20,"&gt;=0",AN9:AN20)</f>
        <v/>
      </c>
      <c r="AO109" s="19">
        <f>SUMIF(AO9:AO20,"&gt;=0",AO9:AO20)</f>
        <v/>
      </c>
      <c r="AP109" s="19">
        <f>SUMIF(AP9:AP20,"&gt;=0",AP9:AP20)</f>
        <v/>
      </c>
      <c r="AQ109" s="19">
        <f>SUMIF(AQ9:AQ20,"&gt;=0",AQ9:AQ20)</f>
        <v/>
      </c>
      <c r="AR109" s="19">
        <f>SUMIF(AR9:AR20,"&gt;=0",AR9:AR20)</f>
        <v/>
      </c>
      <c r="AS109" s="19">
        <f>SUMIF(AS9:AS20,"&gt;=0",AS9:AS20)</f>
        <v/>
      </c>
      <c r="AT109" s="19">
        <f>SUMIF(AT9:AT20,"&gt;=0",AT9:AT20)</f>
        <v/>
      </c>
      <c r="AU109" s="19">
        <f>SUMIF(AU9:AU20,"&gt;=0",AU9:AU20)</f>
        <v/>
      </c>
      <c r="AV109" s="19">
        <f>SUMIF(AV9:AV20,"&gt;=0",AV9:AV20)</f>
        <v/>
      </c>
      <c r="AW109" s="19">
        <f>SUMIF(AW9:AW20,"&gt;=0",AW9:AW20)</f>
        <v/>
      </c>
      <c r="AX109" s="19">
        <f>SUMIF(AX9:AX20,"&gt;=0",AX9:AX20)</f>
        <v/>
      </c>
      <c r="AY109" s="19" t="n"/>
    </row>
    <row r="110">
      <c r="B110" s="1" t="inlineStr">
        <is>
          <t>Exits</t>
        </is>
      </c>
      <c r="D110" s="19" t="n"/>
      <c r="E110" s="19" t="n"/>
      <c r="F110" s="19" t="n"/>
      <c r="G110" s="19" t="n"/>
      <c r="H110" s="19" t="n"/>
      <c r="I110" s="19">
        <f>SUMIF(I9:I20,"&lt;=0",I9:I20)</f>
        <v/>
      </c>
      <c r="J110" s="19">
        <f>SUMIF(J9:J20,"&lt;=0",J9:J20)</f>
        <v/>
      </c>
      <c r="K110" s="19">
        <f>SUMIF(K9:K20,"&lt;=0",K9:K20)</f>
        <v/>
      </c>
      <c r="L110" s="19">
        <f>SUMIF(L9:L20,"&lt;=0",L9:L20)</f>
        <v/>
      </c>
      <c r="M110" s="19">
        <f>SUMIF(M9:M20,"&lt;=0",M9:M20)</f>
        <v/>
      </c>
      <c r="N110" s="19">
        <f>SUMIF(N9:N20,"&lt;=0",N9:N20)</f>
        <v/>
      </c>
      <c r="O110" s="19">
        <f>SUMIF(O9:O20,"&lt;=0",O9:O20)</f>
        <v/>
      </c>
      <c r="P110" s="19">
        <f>SUMIF(P9:P20,"&lt;=0",P9:P20)</f>
        <v/>
      </c>
      <c r="Q110" s="19">
        <f>SUMIF(Q9:Q20,"&lt;=0",Q9:Q20)</f>
        <v/>
      </c>
      <c r="R110" s="19">
        <f>SUMIF(R9:R20,"&lt;=0",R9:R20)</f>
        <v/>
      </c>
      <c r="S110" s="19">
        <f>SUMIF(S9:S20,"&lt;=0",S9:S20)</f>
        <v/>
      </c>
      <c r="T110" s="19">
        <f>SUMIF(T9:T20,"&lt;=0",T9:T20)</f>
        <v/>
      </c>
      <c r="U110" s="19">
        <f>SUMIF(U9:U20,"&lt;=0",U9:U20)</f>
        <v/>
      </c>
      <c r="V110" s="19">
        <f>SUMIF(V9:V20,"&lt;=0",V9:V20)</f>
        <v/>
      </c>
      <c r="W110" s="19">
        <f>SUMIF(W9:W20,"&lt;=0",W9:W20)</f>
        <v/>
      </c>
      <c r="X110" s="19">
        <f>SUMIF(X9:X20,"&lt;=0",X9:X20)</f>
        <v/>
      </c>
      <c r="Y110" s="19">
        <f>SUMIF(Y9:Y20,"&lt;=0",Y9:Y20)</f>
        <v/>
      </c>
      <c r="Z110" s="19">
        <f>SUMIF(Z9:Z20,"&lt;=0",Z9:Z20)</f>
        <v/>
      </c>
      <c r="AA110" s="19">
        <f>SUMIF(AA9:AA20,"&lt;=0",AA9:AA20)</f>
        <v/>
      </c>
      <c r="AB110" s="19">
        <f>SUMIF(AB9:AB20,"&lt;=0",AB9:AB20)</f>
        <v/>
      </c>
      <c r="AC110" s="19">
        <f>SUMIF(AC9:AC20,"&lt;=0",AC9:AC20)</f>
        <v/>
      </c>
      <c r="AD110" s="19">
        <f>SUMIF(AD9:AD20,"&lt;=0",AD9:AD20)</f>
        <v/>
      </c>
      <c r="AE110" s="19">
        <f>SUMIF(AE9:AE20,"&lt;=0",AE9:AE20)</f>
        <v/>
      </c>
      <c r="AF110" s="19">
        <f>SUMIF(AF9:AF20,"&lt;=0",AF9:AF20)</f>
        <v/>
      </c>
      <c r="AG110" s="19">
        <f>SUMIF(AG9:AG20,"&lt;=0",AG9:AG20)</f>
        <v/>
      </c>
      <c r="AH110" s="19">
        <f>SUMIF(AH9:AH20,"&lt;=0",AH9:AH20)</f>
        <v/>
      </c>
      <c r="AI110" s="19">
        <f>SUMIF(AI9:AI20,"&lt;=0",AI9:AI20)</f>
        <v/>
      </c>
      <c r="AJ110" s="19">
        <f>SUMIF(AJ9:AJ20,"&lt;=0",AJ9:AJ20)</f>
        <v/>
      </c>
      <c r="AK110" s="19">
        <f>SUMIF(AK9:AK20,"&lt;=0",AK9:AK20)</f>
        <v/>
      </c>
      <c r="AL110" s="19">
        <f>SUMIF(AL9:AL20,"&lt;=0",AL9:AL20)</f>
        <v/>
      </c>
      <c r="AM110" s="19">
        <f>SUMIF(AM9:AM20,"&lt;=0",AM9:AM20)</f>
        <v/>
      </c>
      <c r="AN110" s="19">
        <f>SUMIF(AN9:AN20,"&lt;=0",AN9:AN20)</f>
        <v/>
      </c>
      <c r="AO110" s="19">
        <f>SUMIF(AO9:AO20,"&lt;=0",AO9:AO20)</f>
        <v/>
      </c>
      <c r="AP110" s="19">
        <f>SUMIF(AP9:AP20,"&lt;=0",AP9:AP20)</f>
        <v/>
      </c>
      <c r="AQ110" s="19">
        <f>SUMIF(AQ9:AQ20,"&lt;=0",AQ9:AQ20)</f>
        <v/>
      </c>
      <c r="AR110" s="19">
        <f>SUMIF(AR9:AR20,"&lt;=0",AR9:AR20)</f>
        <v/>
      </c>
      <c r="AS110" s="19">
        <f>SUMIF(AS9:AS20,"&lt;=0",AS9:AS20)</f>
        <v/>
      </c>
      <c r="AT110" s="19">
        <f>SUMIF(AT9:AT20,"&lt;=0",AT9:AT20)</f>
        <v/>
      </c>
      <c r="AU110" s="19">
        <f>SUMIF(AU9:AU20,"&lt;=0",AU9:AU20)</f>
        <v/>
      </c>
      <c r="AV110" s="19">
        <f>SUMIF(AV9:AV20,"&lt;=0",AV9:AV20)</f>
        <v/>
      </c>
      <c r="AW110" s="19">
        <f>SUMIF(AW9:AW20,"&lt;=0",AW9:AW20)</f>
        <v/>
      </c>
      <c r="AX110" s="19">
        <f>SUMIF(AX9:AX20,"&lt;=0",AX9:AX20)</f>
        <v/>
      </c>
      <c r="AY110" s="19" t="n"/>
    </row>
    <row r="111" customFormat="1" s="2">
      <c r="B111" s="2" t="inlineStr">
        <is>
          <t>Net Addition / Exit</t>
        </is>
      </c>
      <c r="D111" s="27" t="n"/>
      <c r="E111" s="27" t="n"/>
      <c r="F111" s="27" t="n"/>
      <c r="G111" s="27" t="n"/>
      <c r="H111" s="27" t="n"/>
      <c r="I111" s="27">
        <f>I109+I110</f>
        <v/>
      </c>
      <c r="J111" s="27">
        <f>J109+J110</f>
        <v/>
      </c>
      <c r="K111" s="27">
        <f>K109+K110</f>
        <v/>
      </c>
      <c r="L111" s="27">
        <f>L109+L110</f>
        <v/>
      </c>
      <c r="M111" s="27">
        <f>M109+M110</f>
        <v/>
      </c>
      <c r="N111" s="27">
        <f>N109+N110</f>
        <v/>
      </c>
      <c r="O111" s="27">
        <f>O109+O110</f>
        <v/>
      </c>
      <c r="P111" s="27">
        <f>P109+P110</f>
        <v/>
      </c>
      <c r="Q111" s="27">
        <f>Q109+Q110</f>
        <v/>
      </c>
      <c r="R111" s="27">
        <f>R109+R110</f>
        <v/>
      </c>
      <c r="S111" s="27">
        <f>S109+S110</f>
        <v/>
      </c>
      <c r="T111" s="27">
        <f>T109+T110</f>
        <v/>
      </c>
      <c r="U111" s="27">
        <f>U109+U110</f>
        <v/>
      </c>
      <c r="V111" s="27">
        <f>V109+V110</f>
        <v/>
      </c>
      <c r="W111" s="27">
        <f>W109+W110</f>
        <v/>
      </c>
      <c r="X111" s="27">
        <f>X109+X110</f>
        <v/>
      </c>
      <c r="Y111" s="27">
        <f>Y109+Y110</f>
        <v/>
      </c>
      <c r="Z111" s="27">
        <f>Z109+Z110</f>
        <v/>
      </c>
      <c r="AA111" s="27">
        <f>AA109+AA110</f>
        <v/>
      </c>
      <c r="AB111" s="27">
        <f>AB109+AB110</f>
        <v/>
      </c>
      <c r="AC111" s="27">
        <f>AC109+AC110</f>
        <v/>
      </c>
      <c r="AD111" s="27">
        <f>AD109+AD110</f>
        <v/>
      </c>
      <c r="AE111" s="27">
        <f>AE109+AE110</f>
        <v/>
      </c>
      <c r="AF111" s="27">
        <f>AF109+AF110</f>
        <v/>
      </c>
      <c r="AG111" s="27">
        <f>AG109+AG110</f>
        <v/>
      </c>
      <c r="AH111" s="27">
        <f>AH109+AH110</f>
        <v/>
      </c>
      <c r="AI111" s="27">
        <f>AI109+AI110</f>
        <v/>
      </c>
      <c r="AJ111" s="27">
        <f>AJ109+AJ110</f>
        <v/>
      </c>
      <c r="AK111" s="27">
        <f>AK109+AK110</f>
        <v/>
      </c>
      <c r="AL111" s="27">
        <f>AL109+AL110</f>
        <v/>
      </c>
      <c r="AM111" s="27">
        <f>AM109+AM110</f>
        <v/>
      </c>
      <c r="AN111" s="27">
        <f>AN109+AN110</f>
        <v/>
      </c>
      <c r="AO111" s="27">
        <f>AO109+AO110</f>
        <v/>
      </c>
      <c r="AP111" s="27">
        <f>AP109+AP110</f>
        <v/>
      </c>
      <c r="AQ111" s="27">
        <f>AQ109+AQ110</f>
        <v/>
      </c>
      <c r="AR111" s="27">
        <f>AR109+AR110</f>
        <v/>
      </c>
      <c r="AS111" s="27">
        <f>AS109+AS110</f>
        <v/>
      </c>
      <c r="AT111" s="27">
        <f>AT109+AT110</f>
        <v/>
      </c>
      <c r="AU111" s="27">
        <f>AU109+AU110</f>
        <v/>
      </c>
      <c r="AV111" s="27">
        <f>AV109+AV110</f>
        <v/>
      </c>
      <c r="AW111" s="27">
        <f>AW109+AW110</f>
        <v/>
      </c>
      <c r="AX111" s="27">
        <f>AX109+AX110</f>
        <v/>
      </c>
      <c r="AY111" s="27" t="n"/>
    </row>
    <row r="112"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</row>
    <row r="113">
      <c r="B113" s="2" t="inlineStr">
        <is>
          <t>Recruitment Fee (Per Annum)</t>
        </is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</row>
    <row r="114" customFormat="1" s="2">
      <c r="B114" s="275" t="inlineStr">
        <is>
          <t>Recruitment Fee</t>
        </is>
      </c>
      <c r="C114" s="276" t="n">
        <v>2000</v>
      </c>
      <c r="D114" s="267">
        <f>SUMIF($I$5:$AX$5,D$5,$I114:$AX114)</f>
        <v/>
      </c>
      <c r="E114" s="267">
        <f>SUMIF($I$5:$AX$5,E$5,$I114:$AX114)</f>
        <v/>
      </c>
      <c r="F114" s="267">
        <f>SUMIF($I$5:$AX$5,F$5,$I114:$AX114)</f>
        <v/>
      </c>
      <c r="G114" s="267">
        <f>SUMIF($I$5:$AX$5,G$5,$I114:$AX114)</f>
        <v/>
      </c>
      <c r="H114" s="268" t="n"/>
      <c r="I114" s="274">
        <f>$C114/12</f>
        <v/>
      </c>
      <c r="J114" s="274">
        <f>$C114/12</f>
        <v/>
      </c>
      <c r="K114" s="274">
        <f>$C114/12</f>
        <v/>
      </c>
      <c r="L114" s="274">
        <f>$C114/12</f>
        <v/>
      </c>
      <c r="M114" s="274">
        <f>$C114/12</f>
        <v/>
      </c>
      <c r="N114" s="274">
        <f>$C114/12</f>
        <v/>
      </c>
      <c r="O114" s="274">
        <f>$C114/12</f>
        <v/>
      </c>
      <c r="P114" s="274">
        <f>$C114/12</f>
        <v/>
      </c>
      <c r="Q114" s="274">
        <f>$C114/12</f>
        <v/>
      </c>
      <c r="R114" s="274">
        <f>$C114/12</f>
        <v/>
      </c>
      <c r="S114" s="274">
        <f>$C114/12</f>
        <v/>
      </c>
      <c r="T114" s="274">
        <f>$C114/12</f>
        <v/>
      </c>
      <c r="U114" s="274">
        <f>$C114/12</f>
        <v/>
      </c>
      <c r="V114" s="274">
        <f>$C114/12</f>
        <v/>
      </c>
      <c r="W114" s="274">
        <f>$C114/12</f>
        <v/>
      </c>
      <c r="X114" s="274">
        <f>$C114/12</f>
        <v/>
      </c>
      <c r="Y114" s="274">
        <f>$C114/12</f>
        <v/>
      </c>
      <c r="Z114" s="274">
        <f>$C114/12</f>
        <v/>
      </c>
      <c r="AA114" s="274">
        <f>$C114/12</f>
        <v/>
      </c>
      <c r="AB114" s="274">
        <f>$C114/12</f>
        <v/>
      </c>
      <c r="AC114" s="274">
        <f>$C114/12</f>
        <v/>
      </c>
      <c r="AD114" s="274">
        <f>$C114/12</f>
        <v/>
      </c>
      <c r="AE114" s="274">
        <f>$C114/12</f>
        <v/>
      </c>
      <c r="AF114" s="274">
        <f>$C114/12</f>
        <v/>
      </c>
      <c r="AG114" s="274">
        <f>$C114/12</f>
        <v/>
      </c>
      <c r="AH114" s="274">
        <f>$C114/12</f>
        <v/>
      </c>
      <c r="AI114" s="274">
        <f>$C114/12</f>
        <v/>
      </c>
      <c r="AJ114" s="274">
        <f>$C114/12</f>
        <v/>
      </c>
      <c r="AK114" s="274">
        <f>$C114/12</f>
        <v/>
      </c>
      <c r="AL114" s="274">
        <f>$C114/12</f>
        <v/>
      </c>
      <c r="AM114" s="274">
        <f>$C114/12</f>
        <v/>
      </c>
      <c r="AN114" s="274">
        <f>$C114/12</f>
        <v/>
      </c>
      <c r="AO114" s="274">
        <f>$C114/12</f>
        <v/>
      </c>
      <c r="AP114" s="274">
        <f>$C114/12</f>
        <v/>
      </c>
      <c r="AQ114" s="274">
        <f>$C114/12</f>
        <v/>
      </c>
      <c r="AR114" s="274">
        <f>$C114/12</f>
        <v/>
      </c>
      <c r="AS114" s="274">
        <f>$C114/12</f>
        <v/>
      </c>
      <c r="AT114" s="274">
        <f>$C114/12</f>
        <v/>
      </c>
      <c r="AU114" s="274">
        <f>$C114/12</f>
        <v/>
      </c>
      <c r="AV114" s="274">
        <f>$C114/12</f>
        <v/>
      </c>
      <c r="AW114" s="274">
        <f>$C114/12</f>
        <v/>
      </c>
      <c r="AX114" s="274">
        <f>$C114/12</f>
        <v/>
      </c>
      <c r="AY114" s="27" t="n"/>
    </row>
    <row r="115"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</row>
    <row r="116">
      <c r="B116" s="2" t="inlineStr">
        <is>
          <t xml:space="preserve">Staff Bonus </t>
        </is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</row>
    <row r="117" customFormat="1" s="2">
      <c r="B117" s="275" t="inlineStr">
        <is>
          <t>Staff Bonus</t>
        </is>
      </c>
      <c r="C117" s="277" t="n">
        <v>0.03</v>
      </c>
      <c r="D117" s="267">
        <f>SUMIF($I$5:$AX$5,D$5,$I117:$AX117)</f>
        <v/>
      </c>
      <c r="E117" s="267">
        <f>SUMIF($I$5:$AX$5,E$5,$I117:$AX117)</f>
        <v/>
      </c>
      <c r="F117" s="267">
        <f>SUMIF($I$5:$AX$5,F$5,$I117:$AX117)</f>
        <v/>
      </c>
      <c r="G117" s="267">
        <f>SUMIF($I$5:$AX$5,G$5,$I117:$AX117)</f>
        <v/>
      </c>
      <c r="H117" s="268" t="n"/>
      <c r="I117" s="273">
        <f>I68*$C$117</f>
        <v/>
      </c>
      <c r="J117" s="274">
        <f>J68*$C$117</f>
        <v/>
      </c>
      <c r="K117" s="274">
        <f>K68*$C$117</f>
        <v/>
      </c>
      <c r="L117" s="274">
        <f>L68*$C$117</f>
        <v/>
      </c>
      <c r="M117" s="274">
        <f>M68*$C$117</f>
        <v/>
      </c>
      <c r="N117" s="274">
        <f>N68*$C$117</f>
        <v/>
      </c>
      <c r="O117" s="274">
        <f>O68*$C$117</f>
        <v/>
      </c>
      <c r="P117" s="274">
        <f>P68*$C$117</f>
        <v/>
      </c>
      <c r="Q117" s="274">
        <f>Q68*$C$117</f>
        <v/>
      </c>
      <c r="R117" s="274">
        <f>R68*$C$117</f>
        <v/>
      </c>
      <c r="S117" s="274">
        <f>S68*$C$117</f>
        <v/>
      </c>
      <c r="T117" s="274">
        <f>T68*$C$117</f>
        <v/>
      </c>
      <c r="U117" s="274">
        <f>U68*$C$117</f>
        <v/>
      </c>
      <c r="V117" s="274">
        <f>V68*$C$117</f>
        <v/>
      </c>
      <c r="W117" s="274">
        <f>W68*$C$117</f>
        <v/>
      </c>
      <c r="X117" s="274">
        <f>X68*$C$117</f>
        <v/>
      </c>
      <c r="Y117" s="274">
        <f>Y68*$C$117</f>
        <v/>
      </c>
      <c r="Z117" s="274">
        <f>Z68*$C$117</f>
        <v/>
      </c>
      <c r="AA117" s="274">
        <f>AA68*$C$117</f>
        <v/>
      </c>
      <c r="AB117" s="274">
        <f>AB68*$C$117</f>
        <v/>
      </c>
      <c r="AC117" s="274">
        <f>AC68*$C$117</f>
        <v/>
      </c>
      <c r="AD117" s="274">
        <f>AD68*$C$117</f>
        <v/>
      </c>
      <c r="AE117" s="274">
        <f>AE68*$C$117</f>
        <v/>
      </c>
      <c r="AF117" s="274">
        <f>AF68*$C$117</f>
        <v/>
      </c>
      <c r="AG117" s="274">
        <f>AG68*$C$117</f>
        <v/>
      </c>
      <c r="AH117" s="274">
        <f>AH68*$C$117</f>
        <v/>
      </c>
      <c r="AI117" s="274">
        <f>AI68*$C$117</f>
        <v/>
      </c>
      <c r="AJ117" s="274">
        <f>AJ68*$C$117</f>
        <v/>
      </c>
      <c r="AK117" s="274">
        <f>AK68*$C$117</f>
        <v/>
      </c>
      <c r="AL117" s="274">
        <f>AL68*$C$117</f>
        <v/>
      </c>
      <c r="AM117" s="274">
        <f>AM68*$C$117</f>
        <v/>
      </c>
      <c r="AN117" s="274">
        <f>AN68*$C$117</f>
        <v/>
      </c>
      <c r="AO117" s="274">
        <f>AO68*$C$117</f>
        <v/>
      </c>
      <c r="AP117" s="274">
        <f>AP68*$C$117</f>
        <v/>
      </c>
      <c r="AQ117" s="274">
        <f>AQ68*$C$117</f>
        <v/>
      </c>
      <c r="AR117" s="274">
        <f>AR68*$C$117</f>
        <v/>
      </c>
      <c r="AS117" s="274">
        <f>AS68*$C$117</f>
        <v/>
      </c>
      <c r="AT117" s="274">
        <f>AT68*$C$117</f>
        <v/>
      </c>
      <c r="AU117" s="274">
        <f>AU68*$C$117</f>
        <v/>
      </c>
      <c r="AV117" s="274">
        <f>AV68*$C$117</f>
        <v/>
      </c>
      <c r="AW117" s="274">
        <f>AW68*$C$117</f>
        <v/>
      </c>
      <c r="AX117" s="274">
        <f>AX68*$C$117</f>
        <v/>
      </c>
      <c r="AY117" s="27" t="n"/>
    </row>
    <row r="118"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</row>
    <row r="119"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</row>
    <row r="120" ht="14" customHeight="1" thickBot="1">
      <c r="B120" s="278" t="inlineStr">
        <is>
          <t>Total Manpower Expenses</t>
        </is>
      </c>
      <c r="C120" s="423" t="n"/>
      <c r="D120" s="280">
        <f>D68+D86+D102+D114+D117+D107</f>
        <v/>
      </c>
      <c r="E120" s="280">
        <f>E68+E86+E102+E114+E117+E107</f>
        <v/>
      </c>
      <c r="F120" s="280">
        <f>F68+F86+F102+F114+F117+F107</f>
        <v/>
      </c>
      <c r="G120" s="280">
        <f>G68+G86+G102+G114+G117+G107</f>
        <v/>
      </c>
      <c r="H120" s="27" t="n"/>
      <c r="I120" s="280">
        <f>I68+I86+I102+I114+I117+I107</f>
        <v/>
      </c>
      <c r="J120" s="280">
        <f>J68+J86+J102+J114+J117+J107</f>
        <v/>
      </c>
      <c r="K120" s="280">
        <f>K68+K86+K102+K114+K117+K107</f>
        <v/>
      </c>
      <c r="L120" s="280">
        <f>L68+L86+L102+L114+L117+L107</f>
        <v/>
      </c>
      <c r="M120" s="280">
        <f>M68+M86+M102+M114+M117+M107</f>
        <v/>
      </c>
      <c r="N120" s="280">
        <f>N68+N86+N102+N114+N117+N107</f>
        <v/>
      </c>
      <c r="O120" s="280">
        <f>O68+O86+O102+O114+O117+O107</f>
        <v/>
      </c>
      <c r="P120" s="280">
        <f>P68+P86+P102+P114+P117+P107</f>
        <v/>
      </c>
      <c r="Q120" s="280">
        <f>Q68+Q86+Q102+Q114+Q117+Q107</f>
        <v/>
      </c>
      <c r="R120" s="280">
        <f>R68+R86+R102+R114+R117+R107</f>
        <v/>
      </c>
      <c r="S120" s="280">
        <f>S68+S86+S102+S114+S117+S107</f>
        <v/>
      </c>
      <c r="T120" s="280">
        <f>T68+T86+T102+T114+T117+T107</f>
        <v/>
      </c>
      <c r="U120" s="280">
        <f>U68+U86+U102+U114+U117+U107</f>
        <v/>
      </c>
      <c r="V120" s="280">
        <f>V68+V86+V102+V114+V117+V107</f>
        <v/>
      </c>
      <c r="W120" s="280">
        <f>W68+W86+W102+W114+W117+W107</f>
        <v/>
      </c>
      <c r="X120" s="280">
        <f>X68+X86+X102+X114+X117+X107</f>
        <v/>
      </c>
      <c r="Y120" s="280">
        <f>Y68+Y86+Y102+Y114+Y117+Y107</f>
        <v/>
      </c>
      <c r="Z120" s="280">
        <f>Z68+Z86+Z102+Z114+Z117+Z107</f>
        <v/>
      </c>
      <c r="AA120" s="280">
        <f>AA68+AA86+AA102+AA114+AA117+AA107</f>
        <v/>
      </c>
      <c r="AB120" s="280">
        <f>AB68+AB86+AB102+AB114+AB117+AB107</f>
        <v/>
      </c>
      <c r="AC120" s="280">
        <f>AC68+AC86+AC102+AC114+AC117+AC107</f>
        <v/>
      </c>
      <c r="AD120" s="280">
        <f>AD68+AD86+AD102+AD114+AD117+AD107</f>
        <v/>
      </c>
      <c r="AE120" s="280">
        <f>AE68+AE86+AE102+AE114+AE117+AE107</f>
        <v/>
      </c>
      <c r="AF120" s="280">
        <f>AF68+AF86+AF102+AF114+AF117+AF107</f>
        <v/>
      </c>
      <c r="AG120" s="280">
        <f>AG68+AG86+AG102+AG114+AG117+AG107</f>
        <v/>
      </c>
      <c r="AH120" s="280">
        <f>AH68+AH86+AH102+AH114+AH117+AH107</f>
        <v/>
      </c>
      <c r="AI120" s="280">
        <f>AI68+AI86+AI102+AI114+AI117+AI107</f>
        <v/>
      </c>
      <c r="AJ120" s="280">
        <f>AJ68+AJ86+AJ102+AJ114+AJ117+AJ107</f>
        <v/>
      </c>
      <c r="AK120" s="280">
        <f>AK68+AK86+AK102+AK114+AK117+AK107</f>
        <v/>
      </c>
      <c r="AL120" s="280">
        <f>AL68+AL86+AL102+AL114+AL117+AL107</f>
        <v/>
      </c>
      <c r="AM120" s="280">
        <f>AM68+AM86+AM102+AM114+AM117+AM107</f>
        <v/>
      </c>
      <c r="AN120" s="280">
        <f>AN68+AN86+AN102+AN114+AN117+AN107</f>
        <v/>
      </c>
      <c r="AO120" s="280">
        <f>AO68+AO86+AO102+AO114+AO117+AO107</f>
        <v/>
      </c>
      <c r="AP120" s="280">
        <f>AP68+AP86+AP102+AP114+AP117+AP107</f>
        <v/>
      </c>
      <c r="AQ120" s="280">
        <f>AQ68+AQ86+AQ102+AQ114+AQ117+AQ107</f>
        <v/>
      </c>
      <c r="AR120" s="280">
        <f>AR68+AR86+AR102+AR114+AR117+AR107</f>
        <v/>
      </c>
      <c r="AS120" s="280">
        <f>AS68+AS86+AS102+AS114+AS117+AS107</f>
        <v/>
      </c>
      <c r="AT120" s="280">
        <f>AT68+AT86+AT102+AT114+AT117+AT107</f>
        <v/>
      </c>
      <c r="AU120" s="280">
        <f>AU68+AU86+AU102+AU114+AU117+AU107</f>
        <v/>
      </c>
      <c r="AV120" s="280">
        <f>AV68+AV86+AV102+AV114+AV117+AV107</f>
        <v/>
      </c>
      <c r="AW120" s="280">
        <f>AW68+AW86+AW102+AW114+AW117+AW107</f>
        <v/>
      </c>
      <c r="AX120" s="280">
        <f>AX68+AX86+AX102+AX114+AX117+AX107</f>
        <v/>
      </c>
      <c r="AY120" s="19" t="n"/>
    </row>
    <row r="121" ht="14" customHeight="1" thickTop="1"/>
  </sheetData>
  <mergeCells count="6">
    <mergeCell ref="G5:G6"/>
    <mergeCell ref="E5:E6"/>
    <mergeCell ref="F5:F6"/>
    <mergeCell ref="D5:D6"/>
    <mergeCell ref="B5:B6"/>
    <mergeCell ref="C5:C6"/>
  </mergeCells>
  <pageMargins left="0.7" right="0.7" top="0.75" bottom="0.75" header="0.3" footer="0.3"/>
  <pageSetup orientation="portrait" scale="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Aptura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2026-09-03T12:46:49Z</dcterms:modified>
  <cp:lastModifiedBy>Aptura</cp:lastModifiedBy>
</cp:coreProperties>
</file>