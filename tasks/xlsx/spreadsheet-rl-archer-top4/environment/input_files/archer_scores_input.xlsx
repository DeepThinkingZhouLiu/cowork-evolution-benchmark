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6700/"/>
    </mc:Choice>
  </mc:AlternateContent>
  <xr:revisionPtr revIDLastSave="0" documentId="13_ncr:1_{CA4EE643-1B7F-6044-8B26-15CFF64C7413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</calcChain>
</file>

<file path=xl/sharedStrings.xml><?xml version="1.0" encoding="utf-8"?>
<sst xmlns="http://schemas.openxmlformats.org/spreadsheetml/2006/main" count="52" uniqueCount="52">
  <si>
    <t>KNOWN 50 (NORTH)</t>
  </si>
  <si>
    <t>Rank</t>
  </si>
  <si>
    <t>Archer</t>
  </si>
  <si>
    <t>LBH</t>
  </si>
  <si>
    <t>LBH2</t>
  </si>
  <si>
    <t>B1</t>
  </si>
  <si>
    <t>LRB1</t>
  </si>
  <si>
    <t>LRB2</t>
  </si>
  <si>
    <t>B2</t>
  </si>
  <si>
    <t>PRA1</t>
  </si>
  <si>
    <t>PRA2</t>
  </si>
  <si>
    <t>B4</t>
  </si>
  <si>
    <t>PQA1</t>
  </si>
  <si>
    <t>PQA2</t>
  </si>
  <si>
    <t>QCB1</t>
  </si>
  <si>
    <t>QCB2</t>
  </si>
  <si>
    <t>QCB3</t>
  </si>
  <si>
    <t>WACQ</t>
  </si>
  <si>
    <t>WAC2</t>
  </si>
  <si>
    <t>MAA</t>
  </si>
  <si>
    <t>SOY Points</t>
  </si>
  <si>
    <t>SOY Eligible?</t>
  </si>
  <si>
    <t>Bradley Haas</t>
  </si>
  <si>
    <t>Justin Ross</t>
  </si>
  <si>
    <t>Jennings Freeman III</t>
  </si>
  <si>
    <t>Stephen Hudson</t>
  </si>
  <si>
    <t>Hunter Avera</t>
  </si>
  <si>
    <t>Ethan Brown</t>
  </si>
  <si>
    <t>Alan Dutton</t>
  </si>
  <si>
    <t>Craig Hinton</t>
  </si>
  <si>
    <t>Ricky Tebow</t>
  </si>
  <si>
    <t>Scott Fletcher</t>
  </si>
  <si>
    <t>Skipper Atwood</t>
  </si>
  <si>
    <t>Drake Luc</t>
  </si>
  <si>
    <t>Gentry Hodge</t>
  </si>
  <si>
    <t>Lanny Richardson</t>
  </si>
  <si>
    <t>Lewis Alwart</t>
  </si>
  <si>
    <t>Morgan Rives</t>
  </si>
  <si>
    <t>Josh Harris</t>
  </si>
  <si>
    <t>Frank Nichols</t>
  </si>
  <si>
    <t>Kyler Grissom</t>
  </si>
  <si>
    <t>Tyler Cain</t>
  </si>
  <si>
    <t>Nick Lorena</t>
  </si>
  <si>
    <t>Jason Parker</t>
  </si>
  <si>
    <t>Theo Pollack</t>
  </si>
  <si>
    <t>Bar Beaver</t>
  </si>
  <si>
    <t>Jerry Plaissance</t>
  </si>
  <si>
    <t>Cody Ford</t>
  </si>
  <si>
    <t>Dylan Ford</t>
  </si>
  <si>
    <t>Russell Rock</t>
  </si>
  <si>
    <t>Matthew Berryhill</t>
  </si>
  <si>
    <t>Brad Dupont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</si>
</sst>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/>
  </sheetViews>
  <sheetFormatPr baseColWidth="10" defaultColWidth="8.83203125" defaultRowHeight="15" x14ac:dyDescent="0.2"/>
  <cols>
    <col min="1" max="1" width="4.5" customWidth="1"/>
    <col min="2" max="2" width="17.83203125" customWidth="1"/>
    <col min="3" max="3" width="8.33203125" customWidth="1"/>
    <col min="4" max="4" width="7.33203125" customWidth="1"/>
    <col min="5" max="5" width="1.33203125" customWidth="1"/>
    <col min="6" max="6" width="6.1640625" customWidth="1"/>
    <col min="7" max="7" width="7" customWidth="1"/>
    <col min="8" max="8" width="1.33203125" customWidth="1"/>
    <col min="9" max="9" width="6.1640625" customWidth="1"/>
    <col min="10" max="10" width="6.83203125" customWidth="1"/>
    <col min="11" max="11" width="1.33203125" customWidth="1"/>
    <col min="12" max="12" width="6.5" customWidth="1"/>
    <col min="14" max="14" width="1.1640625" customWidth="1"/>
    <col min="15" max="15" width="6.5" customWidth="1"/>
    <col min="18" max="18" width="1.1640625" customWidth="1"/>
    <col min="19" max="19" width="6.5" customWidth="1"/>
    <col min="21" max="21" width="1.1640625" customWidth="1"/>
    <col min="22" max="22" width="7.1640625" customWidth="1"/>
    <col min="23" max="23" width="12.33203125" customWidth="1"/>
    <col min="24" max="24" width="14.6640625" customWidth="1"/>
    <col min="25" max="25" width="9.1640625" customWidth="1"/>
  </cols>
  <sheetData>
    <row r="1" spans="1:24" x14ac:dyDescent="0.2">
      <c r="B1" t="s">
        <v>0</v>
      </c>
    </row>
    <row r="2" spans="1:2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14</v>
      </c>
      <c r="P2" t="s">
        <v>15</v>
      </c>
      <c r="Q2" t="s">
        <v>16</v>
      </c>
      <c r="S2" t="s">
        <v>17</v>
      </c>
      <c r="T2" t="s">
        <v>18</v>
      </c>
      <c r="V2" t="s">
        <v>19</v>
      </c>
      <c r="W2" t="s">
        <v>20</v>
      </c>
      <c r="X2" t="s">
        <v>21</v>
      </c>
    </row>
    <row r="3" spans="1:24" x14ac:dyDescent="0.2">
      <c r="A3">
        <v>1</v>
      </c>
      <c r="B3" t="s">
        <v>22</v>
      </c>
      <c r="C3">
        <v>190</v>
      </c>
      <c r="D3">
        <v>191</v>
      </c>
      <c r="F3">
        <v>192</v>
      </c>
      <c r="G3">
        <v>193</v>
      </c>
      <c r="I3">
        <v>210</v>
      </c>
      <c r="J3">
        <v>180</v>
      </c>
      <c r="L3">
        <v>194</v>
      </c>
      <c r="M3">
        <v>210</v>
      </c>
      <c r="O3">
        <v>125</v>
      </c>
      <c r="P3">
        <v>210</v>
      </c>
      <c r="Q3">
        <v>200</v>
      </c>
      <c r="S3">
        <v>210</v>
      </c>
      <c r="T3">
        <v>203</v>
      </c>
      <c r="W3">
        <f>SUM(LARGE(CHOOSE({1,2,3,4,5,6},MAX(C3:D3),MAX(F3:G3),MAX(I3:J3),MAX(L3:M3),MAX(O3:Q3),MAX(S3:T3)),{1,2,3,4}),V3)</f>
        <v>840</v>
      </c>
      <c r="X3" t="e">
        <f>IF((--SUMPRODUCT((CHOOSE({1,2,3,4},MAX(C3:D3),MAX(F3:G3),MAX(I3:J3),MAX(L3:M3))&gt;0)*1)&gt;=3)+(--SUMPRODUCT((CHOOSE({1,2,3,4,5},MAX(#REF!),MAX(O3:Q3),MAX(S3:T3),MAX(#REF!),MAX(#REF!))&gt;0)*1)&gt;=3)=2,"Y","N")</f>
        <v>#REF!</v>
      </c>
    </row>
    <row r="4" spans="1:24" x14ac:dyDescent="0.2">
      <c r="A4">
        <v>2</v>
      </c>
      <c r="B4" t="s">
        <v>23</v>
      </c>
      <c r="C4">
        <v>187</v>
      </c>
      <c r="D4">
        <v>200</v>
      </c>
      <c r="F4">
        <v>200</v>
      </c>
      <c r="G4">
        <v>201</v>
      </c>
      <c r="M4">
        <v>200</v>
      </c>
      <c r="S4">
        <v>204</v>
      </c>
      <c r="W4">
        <f>SUM(LARGE(CHOOSE({1,2,3,4,5,6},MAX(C4:D4),MAX(F4:G4),MAX(I4:J4),MAX(L4:M4),MAX(O4:Q4),MAX(S4:T4)),{1,2,3,4}),V4)</f>
        <v>805</v>
      </c>
      <c r="X4" t="e">
        <f>IF((--SUMPRODUCT((CHOOSE({1,2,3,4},MAX(C4:D4),MAX(F4:G4),MAX(I4:J4),MAX(L4:M4))&gt;0)*1)&gt;=3)+(--SUMPRODUCT((CHOOSE({1,2,3,4,5},MAX(#REF!),MAX(O4:Q4),MAX(S4:T4),MAX(#REF!),MAX(#REF!))&gt;0)*1)&gt;=3)=2,"Y","N")</f>
        <v>#REF!</v>
      </c>
    </row>
    <row r="5" spans="1:24" x14ac:dyDescent="0.2">
      <c r="A5">
        <v>3</v>
      </c>
      <c r="B5" t="s">
        <v>24</v>
      </c>
      <c r="C5">
        <v>200</v>
      </c>
      <c r="D5">
        <v>200</v>
      </c>
      <c r="F5">
        <v>200</v>
      </c>
      <c r="G5">
        <v>200</v>
      </c>
      <c r="I5">
        <v>200</v>
      </c>
      <c r="J5">
        <v>200</v>
      </c>
      <c r="L5">
        <v>200</v>
      </c>
      <c r="M5">
        <v>200</v>
      </c>
      <c r="O5">
        <v>200</v>
      </c>
      <c r="P5">
        <v>200</v>
      </c>
      <c r="Q5">
        <v>200</v>
      </c>
      <c r="S5">
        <v>200</v>
      </c>
      <c r="T5">
        <v>200</v>
      </c>
      <c r="W5">
        <f>SUM(LARGE(CHOOSE({1,2,3,4,5,6},MAX(C5:D5),MAX(F5:G5),MAX(I5:J5),MAX(L5:M5),MAX(O5:Q5),MAX(S5:T5)),{1,2,3,4}),V5)</f>
        <v>800</v>
      </c>
      <c r="X5" t="e">
        <f>IF((--SUMPRODUCT((CHOOSE({1,2,3,4},MAX(C5:D5),MAX(F5:G5),MAX(I5:J5),MAX(L5:M5))&gt;0)*1)&gt;=3)+(--SUMPRODUCT((CHOOSE({1,2,3,4,5},MAX(#REF!),MAX(O5:Q5),MAX(S5:T5),MAX(#REF!),MAX(#REF!))&gt;0)*1)&gt;=3)=2,"Y","N")</f>
        <v>#REF!</v>
      </c>
    </row>
    <row r="6" spans="1:24" x14ac:dyDescent="0.2">
      <c r="A6">
        <v>4</v>
      </c>
      <c r="B6" t="s">
        <v>25</v>
      </c>
      <c r="C6">
        <v>199</v>
      </c>
      <c r="D6">
        <v>200</v>
      </c>
      <c r="F6">
        <v>200</v>
      </c>
      <c r="G6">
        <v>200</v>
      </c>
      <c r="I6">
        <v>200</v>
      </c>
      <c r="J6">
        <v>200</v>
      </c>
      <c r="L6">
        <v>200</v>
      </c>
      <c r="M6">
        <v>200</v>
      </c>
      <c r="O6">
        <v>200</v>
      </c>
      <c r="P6">
        <v>200</v>
      </c>
      <c r="Q6">
        <v>200</v>
      </c>
      <c r="S6">
        <v>200</v>
      </c>
      <c r="T6">
        <v>200</v>
      </c>
      <c r="W6">
        <f>SUM(LARGE(CHOOSE({1,2,3,4,5,6},MAX(C6:D6),MAX(F6:G6),MAX(I6:J6),MAX(L6:M6),MAX(O6:Q6),MAX(S6:T6)),{1,2,3,4}),V6)</f>
        <v>800</v>
      </c>
      <c r="X6" t="e">
        <f>IF((--SUMPRODUCT((CHOOSE({1,2,3,4},MAX(C6:D6),MAX(F6:G6),MAX(I6:J6),MAX(L6:M6))&gt;0)*1)&gt;=3)+(--SUMPRODUCT((CHOOSE({1,2,3,4,5},MAX(#REF!),MAX(O6:Q6),MAX(S6:T6),MAX(#REF!),MAX(#REF!))&gt;0)*1)&gt;=3)=2,"Y","N")</f>
        <v>#REF!</v>
      </c>
    </row>
    <row r="7" spans="1:24" x14ac:dyDescent="0.2">
      <c r="A7">
        <v>5</v>
      </c>
      <c r="B7" t="s">
        <v>26</v>
      </c>
      <c r="C7">
        <v>207</v>
      </c>
      <c r="D7">
        <v>199</v>
      </c>
      <c r="I7">
        <v>208</v>
      </c>
      <c r="L7">
        <v>204</v>
      </c>
      <c r="M7">
        <v>190</v>
      </c>
      <c r="W7">
        <f>SUM(LARGE(CHOOSE({1,2,3,4,5,6},MAX(C7:D7),MAX(F7:G7),MAX(I7:J7),MAX(L7:M7),MAX(O7:Q7),MAX(S7:T7)),{1,2,3,4}),V7)</f>
        <v>619</v>
      </c>
      <c r="X7" t="e">
        <f>IF((--SUMPRODUCT((CHOOSE({1,2,3,4},MAX(C7:D7),MAX(F7:G7),MAX(I7:J7),MAX(L7:M7))&gt;0)*1)&gt;=3)+(--SUMPRODUCT((CHOOSE({1,2,3,4,5},MAX(#REF!),MAX(O7:Q7),MAX(S7:T7),MAX(#REF!),MAX(#REF!))&gt;0)*1)&gt;=3)=2,"Y","N")</f>
        <v>#REF!</v>
      </c>
    </row>
    <row r="8" spans="1:24" x14ac:dyDescent="0.2">
      <c r="A8">
        <v>6</v>
      </c>
      <c r="B8" t="s">
        <v>27</v>
      </c>
      <c r="C8">
        <v>208</v>
      </c>
      <c r="I8">
        <v>204</v>
      </c>
      <c r="L8">
        <v>196</v>
      </c>
      <c r="W8">
        <f>SUM(LARGE(CHOOSE({1,2,3,4,5,6},MAX(C8:D8),MAX(F8:G8),MAX(I8:J8),MAX(L8:M8),MAX(O8:Q8),MAX(S8:T8)),{1,2,3,4}),V8)</f>
        <v>608</v>
      </c>
      <c r="X8" t="e">
        <f>IF((--SUMPRODUCT((CHOOSE({1,2,3,4},MAX(C8:D8),MAX(F8:G8),MAX(I8:J8),MAX(L8:M8))&gt;0)*1)&gt;=3)+(--SUMPRODUCT((CHOOSE({1,2,3,4,5},MAX(#REF!),MAX(O8:Q8),MAX(S8:T8),MAX(#REF!),MAX(#REF!))&gt;0)*1)&gt;=3)=2,"Y","N")</f>
        <v>#REF!</v>
      </c>
    </row>
    <row r="9" spans="1:24" x14ac:dyDescent="0.2">
      <c r="A9">
        <v>7</v>
      </c>
      <c r="B9" t="s">
        <v>28</v>
      </c>
      <c r="C9">
        <v>206</v>
      </c>
      <c r="D9">
        <v>193</v>
      </c>
      <c r="I9">
        <v>202</v>
      </c>
      <c r="L9">
        <v>202</v>
      </c>
      <c r="M9">
        <v>210</v>
      </c>
      <c r="W9">
        <f>SUM(LARGE(CHOOSE({1,2,3,4,5,6},MAX(C9:D9),MAX(F9:G9),MAX(I9:J9),MAX(L9:M9),MAX(O9:Q9),MAX(S9:T9)),{1,2,3,4}),V9)</f>
        <v>618</v>
      </c>
      <c r="X9" t="e">
        <f>IF((--SUMPRODUCT((CHOOSE({1,2,3,4},MAX(C9:D9),MAX(F9:G9),MAX(I9:J9),MAX(L9:M9))&gt;0)*1)&gt;=3)+(--SUMPRODUCT((CHOOSE({1,2,3,4,5},MAX(#REF!),MAX(O9:Q9),MAX(S9:T9),MAX(#REF!),MAX(#REF!))&gt;0)*1)&gt;=3)=2,"Y","N")</f>
        <v>#REF!</v>
      </c>
    </row>
    <row r="10" spans="1:24" x14ac:dyDescent="0.2">
      <c r="A10">
        <v>8</v>
      </c>
      <c r="B10" t="s">
        <v>29</v>
      </c>
      <c r="D10">
        <v>191</v>
      </c>
      <c r="L10">
        <v>202</v>
      </c>
      <c r="S10">
        <v>214</v>
      </c>
      <c r="W10">
        <f>SUM(LARGE(CHOOSE({1,2,3,4,5,6},MAX(C10:D10),MAX(F10:G10),MAX(I10:J10),MAX(L10:M10),MAX(O10:Q10),MAX(S10:T10)),{1,2,3,4}),V10)</f>
        <v>607</v>
      </c>
      <c r="X10" t="e">
        <f>IF((--SUMPRODUCT((CHOOSE({1,2,3,4},MAX(C10:D10),MAX(F10:G10),MAX(I10:J10),MAX(L10:M10))&gt;0)*1)&gt;=3)+(--SUMPRODUCT((CHOOSE({1,2,3,4,5},MAX(#REF!),MAX(O10:Q10),MAX(S10:T10),MAX(#REF!),MAX(#REF!))&gt;0)*1)&gt;=3)=2,"Y","N")</f>
        <v>#REF!</v>
      </c>
    </row>
    <row r="11" spans="1:24" x14ac:dyDescent="0.2">
      <c r="A11">
        <v>9</v>
      </c>
      <c r="B11" t="s">
        <v>30</v>
      </c>
      <c r="I11">
        <v>201</v>
      </c>
      <c r="L11">
        <v>193</v>
      </c>
      <c r="S11">
        <v>206</v>
      </c>
      <c r="W11">
        <f>SUM(LARGE(CHOOSE({1,2,3,4,5,6},MAX(C11:D11),MAX(F11:G11),MAX(I11:J11),MAX(L11:M11),MAX(O11:Q11),MAX(S11:T11)),{1,2,3,4}),V11)</f>
        <v>600</v>
      </c>
      <c r="X11" t="e">
        <f>IF((--SUMPRODUCT((CHOOSE({1,2,3,4},MAX(C11:D11),MAX(F11:G11),MAX(I11:J11),MAX(L11:M11))&gt;0)*1)&gt;=3)+(--SUMPRODUCT((CHOOSE({1,2,3,4,5},MAX(#REF!),MAX(O11:Q11),MAX(S11:T11),MAX(#REF!),MAX(#REF!))&gt;0)*1)&gt;=3)=2,"Y","N")</f>
        <v>#REF!</v>
      </c>
    </row>
    <row r="12" spans="1:24" x14ac:dyDescent="0.2">
      <c r="A12">
        <v>10</v>
      </c>
      <c r="B12" t="s">
        <v>31</v>
      </c>
      <c r="L12">
        <v>206</v>
      </c>
      <c r="M12">
        <v>216</v>
      </c>
      <c r="W12">
        <f>SUM(LARGE(CHOOSE({1,2,3,4,5,6},MAX(C12:D12),MAX(F12:G12),MAX(I12:J12),MAX(L12:M12),MAX(O12:Q12),MAX(S12:T12)),{1,2,3,4}),V12)</f>
        <v>216</v>
      </c>
      <c r="X12" t="e">
        <f>IF((--SUMPRODUCT((CHOOSE({1,2,3,4},MAX(C12:D12),MAX(F12:G12),MAX(I12:J12),MAX(L12:M12))&gt;0)*1)&gt;=3)+(--SUMPRODUCT((CHOOSE({1,2,3,4,5},MAX(#REF!),MAX(O12:Q12),MAX(S12:T12),MAX(#REF!),MAX(#REF!))&gt;0)*1)&gt;=3)=2,"Y","N")</f>
        <v>#REF!</v>
      </c>
    </row>
    <row r="13" spans="1:24" x14ac:dyDescent="0.2">
      <c r="A13">
        <v>11</v>
      </c>
      <c r="B13" t="s">
        <v>32</v>
      </c>
      <c r="C13">
        <v>198</v>
      </c>
      <c r="M13">
        <v>204</v>
      </c>
      <c r="W13">
        <f>SUM(LARGE(CHOOSE({1,2,3,4,5,6},MAX(C13:D13),MAX(F13:G13),MAX(I13:J13),MAX(L13:M13),MAX(O13:Q13),MAX(S13:T13)),{1,2,3,4}),V13)</f>
        <v>402</v>
      </c>
      <c r="X13" t="e">
        <f>IF((--SUMPRODUCT((CHOOSE({1,2,3,4},MAX(C13:D13),MAX(F13:G13),MAX(I13:J13),MAX(L13:M13))&gt;0)*1)&gt;=3)+(--SUMPRODUCT((CHOOSE({1,2,3,4,5},MAX(#REF!),MAX(O13:Q13),MAX(S13:T13),MAX(#REF!),MAX(#REF!))&gt;0)*1)&gt;=3)=2,"Y","N")</f>
        <v>#REF!</v>
      </c>
    </row>
    <row r="14" spans="1:24" x14ac:dyDescent="0.2">
      <c r="A14">
        <v>12</v>
      </c>
      <c r="B14" t="s">
        <v>33</v>
      </c>
      <c r="I14">
        <v>206</v>
      </c>
      <c r="L14">
        <v>190</v>
      </c>
      <c r="W14">
        <f>SUM(LARGE(CHOOSE({1,2,3,4,5,6},MAX(C14:D14),MAX(F14:G14),MAX(I14:J14),MAX(L14:M14),MAX(O14:Q14),MAX(S14:T14)),{1,2,3,4}),V14)</f>
        <v>396</v>
      </c>
      <c r="X14" t="e">
        <f>IF((--SUMPRODUCT((CHOOSE({1,2,3,4},MAX(C14:D14),MAX(F14:G14),MAX(I14:J14),MAX(L14:M14))&gt;0)*1)&gt;=3)+(--SUMPRODUCT((CHOOSE({1,2,3,4,5},MAX(#REF!),MAX(O14:Q14),MAX(S14:T14),MAX(#REF!),MAX(#REF!))&gt;0)*1)&gt;=3)=2,"Y","N")</f>
        <v>#REF!</v>
      </c>
    </row>
    <row r="15" spans="1:24" x14ac:dyDescent="0.2">
      <c r="A15">
        <v>13</v>
      </c>
      <c r="B15" t="s">
        <v>34</v>
      </c>
      <c r="I15">
        <v>185</v>
      </c>
      <c r="S15">
        <v>193</v>
      </c>
      <c r="W15">
        <f>SUM(LARGE(CHOOSE({1,2,3,4,5,6},MAX(C15:D15),MAX(F15:G15),MAX(I15:J15),MAX(L15:M15),MAX(O15:Q15),MAX(S15:T15)),{1,2,3,4}),V15)</f>
        <v>378</v>
      </c>
      <c r="X15" t="e">
        <f>IF((--SUMPRODUCT((CHOOSE({1,2,3,4},MAX(C15:D15),MAX(F15:G15),MAX(I15:J15),MAX(L15:M15))&gt;0)*1)&gt;=3)+(--SUMPRODUCT((CHOOSE({1,2,3,4,5},MAX(#REF!),MAX(O15:Q15),MAX(S15:T15),MAX(#REF!),MAX(#REF!))&gt;0)*1)&gt;=3)=2,"Y","N")</f>
        <v>#REF!</v>
      </c>
    </row>
    <row r="16" spans="1:24" x14ac:dyDescent="0.2">
      <c r="A16">
        <v>14</v>
      </c>
      <c r="B16" t="s">
        <v>35</v>
      </c>
      <c r="I16">
        <v>112</v>
      </c>
      <c r="S16">
        <v>107</v>
      </c>
      <c r="W16">
        <f>SUM(LARGE(CHOOSE({1,2,3,4,5,6},MAX(C16:D16),MAX(F16:G16),MAX(I16:J16),MAX(L16:M16),MAX(O16:Q16),MAX(S16:T16)),{1,2,3,4}),V16)</f>
        <v>219</v>
      </c>
      <c r="X16" t="e">
        <f>IF((--SUMPRODUCT((CHOOSE({1,2,3,4},MAX(C16:D16),MAX(F16:G16),MAX(I16:J16),MAX(L16:M16))&gt;0)*1)&gt;=3)+(--SUMPRODUCT((CHOOSE({1,2,3,4,5},MAX(#REF!),MAX(O16:Q16),MAX(S16:T16),MAX(#REF!),MAX(#REF!))&gt;0)*1)&gt;=3)=2,"Y","N")</f>
        <v>#REF!</v>
      </c>
    </row>
    <row r="17" spans="1:24" x14ac:dyDescent="0.2">
      <c r="A17">
        <v>15</v>
      </c>
      <c r="B17" t="s">
        <v>36</v>
      </c>
      <c r="I17">
        <v>215</v>
      </c>
      <c r="W17">
        <f>SUM(LARGE(CHOOSE({1,2,3,4,5,6},MAX(C17:D17),MAX(F17:G17),MAX(I17:J17),MAX(L17:M17),MAX(O17:Q17),MAX(S17:T17)),{1,2,3,4}),V17)</f>
        <v>215</v>
      </c>
      <c r="X17" t="e">
        <f>IF((--SUMPRODUCT((CHOOSE({1,2,3,4},MAX(C17:D17),MAX(F17:G17),MAX(I17:J17),MAX(L17:M17))&gt;0)*1)&gt;=3)+(--SUMPRODUCT((CHOOSE({1,2,3,4,5},MAX(#REF!),MAX(O17:Q17),MAX(S17:T17),MAX(#REF!),MAX(#REF!))&gt;0)*1)&gt;=3)=2,"Y","N")</f>
        <v>#REF!</v>
      </c>
    </row>
    <row r="18" spans="1:24" x14ac:dyDescent="0.2">
      <c r="A18">
        <v>16</v>
      </c>
      <c r="B18" t="s">
        <v>37</v>
      </c>
      <c r="S18">
        <v>211</v>
      </c>
      <c r="W18">
        <f>SUM(LARGE(CHOOSE({1,2,3,4,5,6},MAX(C18:D18),MAX(F18:G18),MAX(I18:J18),MAX(L18:M18),MAX(O18:Q18),MAX(S18:T18)),{1,2,3,4}),V18)</f>
        <v>211</v>
      </c>
      <c r="X18" t="e">
        <f>IF((--SUMPRODUCT((CHOOSE({1,2,3,4},MAX(C18:D18),MAX(F18:G18),MAX(I18:J18),MAX(L18:M18))&gt;0)*1)&gt;=3)+(--SUMPRODUCT((CHOOSE({1,2,3,4,5},MAX(#REF!),MAX(O18:Q18),MAX(S18:T18),MAX(#REF!),MAX(#REF!))&gt;0)*1)&gt;=3)=2,"Y","N")</f>
        <v>#REF!</v>
      </c>
    </row>
    <row r="19" spans="1:24" x14ac:dyDescent="0.2">
      <c r="A19">
        <v>17</v>
      </c>
      <c r="B19" t="s">
        <v>38</v>
      </c>
      <c r="I19">
        <v>210</v>
      </c>
      <c r="W19">
        <f>SUM(LARGE(CHOOSE({1,2,3,4,5,6},MAX(C19:D19),MAX(F19:G19),MAX(I19:J19),MAX(L19:M19),MAX(O19:Q19),MAX(S19:T19)),{1,2,3,4}),V19)</f>
        <v>210</v>
      </c>
      <c r="X19" t="e">
        <f>IF((--SUMPRODUCT((CHOOSE({1,2,3,4},MAX(C19:D19),MAX(F19:G19),MAX(I19:J19),MAX(L19:M19))&gt;0)*1)&gt;=3)+(--SUMPRODUCT((CHOOSE({1,2,3,4,5},MAX(#REF!),MAX(O19:Q19),MAX(S19:T19),MAX(#REF!),MAX(#REF!))&gt;0)*1)&gt;=3)=2,"Y","N")</f>
        <v>#REF!</v>
      </c>
    </row>
    <row r="20" spans="1:24" x14ac:dyDescent="0.2">
      <c r="A20">
        <v>18</v>
      </c>
      <c r="B20" t="s">
        <v>39</v>
      </c>
      <c r="I20">
        <v>208</v>
      </c>
      <c r="W20">
        <f>SUM(LARGE(CHOOSE({1,2,3,4,5,6},MAX(C20:D20),MAX(F20:G20),MAX(I20:J20),MAX(L20:M20),MAX(O20:Q20),MAX(S20:T20)),{1,2,3,4}),V20)</f>
        <v>208</v>
      </c>
      <c r="X20" t="e">
        <f>IF((--SUMPRODUCT((CHOOSE({1,2,3,4},MAX(C20:D20),MAX(F20:G20),MAX(I20:J20),MAX(L20:M20))&gt;0)*1)&gt;=3)+(--SUMPRODUCT((CHOOSE({1,2,3,4,5},MAX(#REF!),MAX(O20:Q20),MAX(S20:T20),MAX(#REF!),MAX(#REF!))&gt;0)*1)&gt;=3)=2,"Y","N")</f>
        <v>#REF!</v>
      </c>
    </row>
    <row r="21" spans="1:24" x14ac:dyDescent="0.2">
      <c r="A21">
        <v>19</v>
      </c>
      <c r="B21" t="s">
        <v>40</v>
      </c>
      <c r="S21">
        <v>206</v>
      </c>
      <c r="W21">
        <f>SUM(LARGE(CHOOSE({1,2,3,4,5,6},MAX(C21:D21),MAX(F21:G21),MAX(I21:J21),MAX(L21:M21),MAX(O21:Q21),MAX(S21:T21)),{1,2,3,4}),V21)</f>
        <v>206</v>
      </c>
      <c r="X21" t="e">
        <f>IF((--SUMPRODUCT((CHOOSE({1,2,3,4},MAX(C21:D21),MAX(F21:G21),MAX(I21:J21),MAX(L21:M21))&gt;0)*1)&gt;=3)+(--SUMPRODUCT((CHOOSE({1,2,3,4,5},MAX(#REF!),MAX(O21:Q21),MAX(S21:T21),MAX(#REF!),MAX(#REF!))&gt;0)*1)&gt;=3)=2,"Y","N")</f>
        <v>#REF!</v>
      </c>
    </row>
    <row r="22" spans="1:24" x14ac:dyDescent="0.2">
      <c r="A22">
        <v>20</v>
      </c>
      <c r="B22" t="s">
        <v>41</v>
      </c>
      <c r="S22">
        <v>205</v>
      </c>
      <c r="W22">
        <f>SUM(LARGE(CHOOSE({1,2,3,4,5,6},MAX(C22:D22),MAX(F22:G22),MAX(I22:J22),MAX(L22:M22),MAX(O22:Q22),MAX(S22:T22)),{1,2,3,4}),V22)</f>
        <v>205</v>
      </c>
      <c r="X22" t="e">
        <f>IF((--SUMPRODUCT((CHOOSE({1,2,3,4},MAX(C22:D22),MAX(F22:G22),MAX(I22:J22),MAX(L22:M22))&gt;0)*1)&gt;=3)+(--SUMPRODUCT((CHOOSE({1,2,3,4,5},MAX(#REF!),MAX(O22:Q22),MAX(S22:T22),MAX(#REF!),MAX(#REF!))&gt;0)*1)&gt;=3)=2,"Y","N")</f>
        <v>#REF!</v>
      </c>
    </row>
    <row r="23" spans="1:24" x14ac:dyDescent="0.2">
      <c r="A23">
        <v>21</v>
      </c>
      <c r="B23" t="s">
        <v>42</v>
      </c>
      <c r="S23">
        <v>204</v>
      </c>
      <c r="W23">
        <f>SUM(LARGE(CHOOSE({1,2,3,4,5,6},MAX(C23:D23),MAX(F23:G23),MAX(I23:J23),MAX(L23:M23),MAX(O23:Q23),MAX(S23:T23)),{1,2,3,4}),V23)</f>
        <v>204</v>
      </c>
      <c r="X23" t="e">
        <f>IF((--SUMPRODUCT((CHOOSE({1,2,3,4},MAX(C23:D23),MAX(F23:G23),MAX(I23:J23),MAX(L23:M23))&gt;0)*1)&gt;=3)+(--SUMPRODUCT((CHOOSE({1,2,3,4,5},MAX(#REF!),MAX(O23:Q23),MAX(S23:T23),MAX(#REF!),MAX(#REF!))&gt;0)*1)&gt;=3)=2,"Y","N")</f>
        <v>#REF!</v>
      </c>
    </row>
    <row r="24" spans="1:24" x14ac:dyDescent="0.2">
      <c r="A24">
        <v>22</v>
      </c>
      <c r="B24" t="s">
        <v>43</v>
      </c>
      <c r="L24">
        <v>198</v>
      </c>
      <c r="M24">
        <v>196</v>
      </c>
      <c r="W24">
        <f>SUM(LARGE(CHOOSE({1,2,3,4,5,6},MAX(C24:D24),MAX(F24:G24),MAX(I24:J24),MAX(L24:M24),MAX(O24:Q24),MAX(S24:T24)),{1,2,3,4}),V24)</f>
        <v>198</v>
      </c>
      <c r="X24" t="e">
        <f>IF((--SUMPRODUCT((CHOOSE({1,2,3,4},MAX(C24:D24),MAX(F24:G24),MAX(I24:J24),MAX(L24:M24))&gt;0)*1)&gt;=3)+(--SUMPRODUCT((CHOOSE({1,2,3,4,5},MAX(#REF!),MAX(O24:Q24),MAX(S24:T24),MAX(#REF!),MAX(#REF!))&gt;0)*1)&gt;=3)=2,"Y","N")</f>
        <v>#REF!</v>
      </c>
    </row>
    <row r="25" spans="1:24" x14ac:dyDescent="0.2">
      <c r="A25">
        <v>23</v>
      </c>
      <c r="B25" t="s">
        <v>44</v>
      </c>
      <c r="I25">
        <v>198</v>
      </c>
      <c r="W25">
        <f>SUM(LARGE(CHOOSE({1,2,3,4,5,6},MAX(C25:D25),MAX(F25:G25),MAX(I25:J25),MAX(L25:M25),MAX(O25:Q25),MAX(S25:T25)),{1,2,3,4}),V25)</f>
        <v>198</v>
      </c>
      <c r="X25" t="e">
        <f>IF((--SUMPRODUCT((CHOOSE({1,2,3,4},MAX(C25:D25),MAX(F25:G25),MAX(I25:J25),MAX(L25:M25))&gt;0)*1)&gt;=3)+(--SUMPRODUCT((CHOOSE({1,2,3,4,5},MAX(#REF!),MAX(O25:Q25),MAX(S25:T25),MAX(#REF!),MAX(#REF!))&gt;0)*1)&gt;=3)=2,"Y","N")</f>
        <v>#REF!</v>
      </c>
    </row>
    <row r="26" spans="1:24" x14ac:dyDescent="0.2">
      <c r="A26">
        <v>24</v>
      </c>
      <c r="B26" t="s">
        <v>45</v>
      </c>
      <c r="D26">
        <v>194</v>
      </c>
      <c r="W26">
        <f>SUM(LARGE(CHOOSE({1,2,3,4,5,6},MAX(C26:D26),MAX(F26:G26),MAX(I26:J26),MAX(L26:M26),MAX(O26:Q26),MAX(S26:T26)),{1,2,3,4}),V26)</f>
        <v>194</v>
      </c>
      <c r="X26" t="e">
        <f>IF((--SUMPRODUCT((CHOOSE({1,2,3,4},MAX(C26:D26),MAX(F26:G26),MAX(I26:J26),MAX(L26:M26))&gt;0)*1)&gt;=3)+(--SUMPRODUCT((CHOOSE({1,2,3,4,5},MAX(#REF!),MAX(O26:Q26),MAX(S26:T26),MAX(#REF!),MAX(#REF!))&gt;0)*1)&gt;=3)=2,"Y","N")</f>
        <v>#REF!</v>
      </c>
    </row>
    <row r="27" spans="1:24" x14ac:dyDescent="0.2">
      <c r="A27">
        <v>25</v>
      </c>
      <c r="B27" t="s">
        <v>46</v>
      </c>
      <c r="S27">
        <v>192</v>
      </c>
      <c r="W27">
        <f>SUM(LARGE(CHOOSE({1,2,3,4,5,6},MAX(C27:D27),MAX(F27:G27),MAX(I27:J27),MAX(L27:M27),MAX(O27:Q27),MAX(S27:T27)),{1,2,3,4}),V27)</f>
        <v>192</v>
      </c>
      <c r="X27" t="e">
        <f>IF((--SUMPRODUCT((CHOOSE({1,2,3,4},MAX(C27:D27),MAX(F27:G27),MAX(I27:J27),MAX(L27:M27))&gt;0)*1)&gt;=3)+(--SUMPRODUCT((CHOOSE({1,2,3,4,5},MAX(#REF!),MAX(O27:Q27),MAX(S27:T27),MAX(#REF!),MAX(#REF!))&gt;0)*1)&gt;=3)=2,"Y","N")</f>
        <v>#REF!</v>
      </c>
    </row>
    <row r="28" spans="1:24" x14ac:dyDescent="0.2">
      <c r="A28">
        <v>26</v>
      </c>
      <c r="B28" t="s">
        <v>47</v>
      </c>
      <c r="I28">
        <v>190</v>
      </c>
      <c r="W28">
        <f>SUM(LARGE(CHOOSE({1,2,3,4,5,6},MAX(C28:D28),MAX(F28:G28),MAX(I28:J28),MAX(L28:M28),MAX(O28:Q28),MAX(S28:T28)),{1,2,3,4}),V28)</f>
        <v>190</v>
      </c>
      <c r="X28" t="e">
        <f>IF((--SUMPRODUCT((CHOOSE({1,2,3,4},MAX(C28:D28),MAX(F28:G28),MAX(I28:J28),MAX(L28:M28))&gt;0)*1)&gt;=3)+(--SUMPRODUCT((CHOOSE({1,2,3,4,5},MAX(#REF!),MAX(O28:Q28),MAX(S28:T28),MAX(#REF!),MAX(#REF!))&gt;0)*1)&gt;=3)=2,"Y","N")</f>
        <v>#REF!</v>
      </c>
    </row>
    <row r="29" spans="1:24" x14ac:dyDescent="0.2">
      <c r="A29">
        <v>27</v>
      </c>
      <c r="B29" t="s">
        <v>48</v>
      </c>
      <c r="T29">
        <v>189</v>
      </c>
      <c r="W29">
        <f>SUM(LARGE(CHOOSE({1,2,3,4,5,6},MAX(C29:D29),MAX(F29:G29),MAX(I29:J29),MAX(L29:M29),MAX(O29:Q29),MAX(S29:T29)),{1,2,3,4}),V29)</f>
        <v>189</v>
      </c>
      <c r="X29" t="e">
        <f>IF((--SUMPRODUCT((CHOOSE({1,2,3,4},MAX(C29:D29),MAX(F29:G29),MAX(I29:J29),MAX(L29:M29))&gt;0)*1)&gt;=3)+(--SUMPRODUCT((CHOOSE({1,2,3,4,5},MAX(#REF!),MAX(O29:Q29),MAX(S29:T29),MAX(#REF!),MAX(#REF!))&gt;0)*1)&gt;=3)=2,"Y","N")</f>
        <v>#REF!</v>
      </c>
    </row>
    <row r="30" spans="1:24" x14ac:dyDescent="0.2">
      <c r="A30">
        <v>28</v>
      </c>
      <c r="B30" t="s">
        <v>49</v>
      </c>
      <c r="S30">
        <v>184</v>
      </c>
      <c r="W30">
        <f>SUM(LARGE(CHOOSE({1,2,3,4,5,6},MAX(C30:D30),MAX(F30:G30),MAX(I30:J30),MAX(L30:M30),MAX(O30:Q30),MAX(S30:T30)),{1,2,3,4}),V30)</f>
        <v>184</v>
      </c>
      <c r="X30" t="e">
        <f>IF((--SUMPRODUCT((CHOOSE({1,2,3,4},MAX(C30:D30),MAX(F30:G30),MAX(I30:J30),MAX(L30:M30))&gt;0)*1)&gt;=3)+(--SUMPRODUCT((CHOOSE({1,2,3,4,5},MAX(#REF!),MAX(O30:Q30),MAX(S30:T30),MAX(#REF!),MAX(#REF!))&gt;0)*1)&gt;=3)=2,"Y","N")</f>
        <v>#REF!</v>
      </c>
    </row>
    <row r="31" spans="1:24" x14ac:dyDescent="0.2">
      <c r="A31">
        <v>29</v>
      </c>
      <c r="B31" t="s">
        <v>50</v>
      </c>
      <c r="C31">
        <v>183</v>
      </c>
      <c r="W31">
        <f>SUM(LARGE(CHOOSE({1,2,3,4,5,6},MAX(C31:D31),MAX(F31:G31),MAX(I31:J31),MAX(L31:M31),MAX(O31:Q31),MAX(S31:T31)),{1,2,3,4}),V31)</f>
        <v>183</v>
      </c>
      <c r="X31" t="e">
        <f>IF((--SUMPRODUCT((CHOOSE({1,2,3,4},MAX(C31:D31),MAX(F31:G31),MAX(I31:J31),MAX(L31:M31))&gt;0)*1)&gt;=3)+(--SUMPRODUCT((CHOOSE({1,2,3,4,5},MAX(#REF!),MAX(O31:Q31),MAX(S31:T31),MAX(#REF!),MAX(#REF!))&gt;0)*1)&gt;=3)=2,"Y","N")</f>
        <v>#REF!</v>
      </c>
    </row>
    <row r="32" spans="1:24" x14ac:dyDescent="0.2">
      <c r="A32">
        <v>30</v>
      </c>
      <c r="B32" t="s">
        <v>51</v>
      </c>
      <c r="S32">
        <v>176</v>
      </c>
      <c r="W32">
        <f>SUM(LARGE(CHOOSE({1,2,3,4,5,6},MAX(C32:D32),MAX(F32:G32),MAX(I32:J32),MAX(L32:M32),MAX(O32:Q32),MAX(S32:T32)),{1,2,3,4}),V32)</f>
        <v>176</v>
      </c>
      <c r="X32" t="e">
        <f>IF((--SUMPRODUCT((CHOOSE({1,2,3,4},MAX(C32:D32),MAX(F32:G32),MAX(I32:J32),MAX(L32:M32))&gt;0)*1)&gt;=3)+(--SUMPRODUCT((CHOOSE({1,2,3,4,5},MAX(#REF!),MAX(O32:Q32),MAX(S32:T32),MAX(#REF!),MAX(#REF!))&gt;0)*1)&gt;=3)=2,"Y","N")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2025-10-17T04:02:25Z</dcterms:created>
  <dcterms:modified xsi:type="dcterms:W3CDTF">2026-01-01T01:00:44Z</dcterms:modified>
</cp:coreProperties>
</file>