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240" windowHeight="19640" tabRatio="600" firstSheet="0" activeTab="0" autoFilterDateGrouping="1"/>
  </bookViews>
  <sheets>
    <sheet xmlns:r="http://schemas.openxmlformats.org/officeDocument/2006/relationships" name="NEW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strike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workbookViewId="0">
      <selection activeCell="A1" sqref="A1"/>
    </sheetView>
  </sheetViews>
  <sheetFormatPr baseColWidth="10" defaultColWidth="8.83203125" defaultRowHeight="15"/>
  <cols>
    <col width="4.5" customWidth="1" min="1" max="1"/>
    <col width="17.83203125" customWidth="1" min="2" max="2"/>
    <col width="8.33203125" customWidth="1" min="3" max="3"/>
    <col width="7.33203125" customWidth="1" min="4" max="4"/>
    <col width="1.33203125" customWidth="1" min="5" max="5"/>
    <col width="6.1640625" customWidth="1" min="6" max="6"/>
    <col width="7" customWidth="1" min="7" max="7"/>
    <col width="1.33203125" customWidth="1" min="8" max="8"/>
    <col width="6.1640625" customWidth="1" min="9" max="9"/>
    <col width="6.83203125" customWidth="1" min="10" max="10"/>
    <col width="1.33203125" customWidth="1" min="11" max="11"/>
    <col width="6.5" customWidth="1" min="12" max="12"/>
    <col width="1.1640625" customWidth="1" min="14" max="14"/>
    <col width="6.5" customWidth="1" min="15" max="15"/>
    <col width="1.1640625" customWidth="1" min="18" max="18"/>
    <col width="6.5" customWidth="1" min="19" max="19"/>
    <col width="1.1640625" customWidth="1" min="21" max="21"/>
    <col width="7.1640625" customWidth="1" min="22" max="22"/>
    <col width="12.33203125" customWidth="1" min="23" max="23"/>
    <col width="14.6640625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B1" t="inlineStr">
        <is>
          <t>KNOWN 50 (NORTH)</t>
        </is>
      </c>
    </row>
    <row r="2">
      <c r="A2" t="inlineStr">
        <is>
          <t>Rank</t>
        </is>
      </c>
      <c r="B2" t="inlineStr">
        <is>
          <t>Archer</t>
        </is>
      </c>
      <c r="C2" t="inlineStr">
        <is>
          <t>LBH</t>
        </is>
      </c>
      <c r="D2" t="inlineStr">
        <is>
          <t>LBH2</t>
        </is>
      </c>
      <c r="E2" t="inlineStr">
        <is>
          <t>B1</t>
        </is>
      </c>
      <c r="F2" t="inlineStr">
        <is>
          <t>LRB1</t>
        </is>
      </c>
      <c r="G2" t="inlineStr">
        <is>
          <t>LRB2</t>
        </is>
      </c>
      <c r="H2" t="inlineStr">
        <is>
          <t>B2</t>
        </is>
      </c>
      <c r="I2" t="inlineStr">
        <is>
          <t>PRA1</t>
        </is>
      </c>
      <c r="J2" t="inlineStr">
        <is>
          <t>PRA2</t>
        </is>
      </c>
      <c r="K2" t="inlineStr">
        <is>
          <t>B4</t>
        </is>
      </c>
      <c r="L2" t="inlineStr">
        <is>
          <t>PQA1</t>
        </is>
      </c>
      <c r="M2" t="inlineStr">
        <is>
          <t>PQA2</t>
        </is>
      </c>
      <c r="O2" t="inlineStr">
        <is>
          <t>QCB1</t>
        </is>
      </c>
      <c r="P2" t="inlineStr">
        <is>
          <t>QCB2</t>
        </is>
      </c>
      <c r="Q2" t="inlineStr">
        <is>
          <t>QCB3</t>
        </is>
      </c>
      <c r="S2" t="inlineStr">
        <is>
          <t>WACQ</t>
        </is>
      </c>
      <c r="T2" t="inlineStr">
        <is>
          <t>WAC2</t>
        </is>
      </c>
      <c r="V2" t="inlineStr">
        <is>
          <t>MAA</t>
        </is>
      </c>
      <c r="W2" t="inlineStr">
        <is>
          <t>SOY Points</t>
        </is>
      </c>
      <c r="X2" t="inlineStr">
        <is>
          <t>SOY Eligible?</t>
        </is>
      </c>
    </row>
    <row r="3">
      <c r="A3" t="n">
        <v>1</v>
      </c>
      <c r="B3" t="inlineStr">
        <is>
          <t>Bradley Haas</t>
        </is>
      </c>
      <c r="C3" t="n">
        <v>190</v>
      </c>
      <c r="D3" t="n">
        <v>191</v>
      </c>
      <c r="F3" t="n">
        <v>192</v>
      </c>
      <c r="G3" t="n">
        <v>193</v>
      </c>
      <c r="I3" t="n">
        <v>210</v>
      </c>
      <c r="J3" t="n">
        <v>180</v>
      </c>
      <c r="L3" t="n">
        <v>194</v>
      </c>
      <c r="M3" t="n">
        <v>210</v>
      </c>
      <c r="O3" t="n">
        <v>125</v>
      </c>
      <c r="P3" t="n">
        <v>210</v>
      </c>
      <c r="Q3" t="n">
        <v>200</v>
      </c>
      <c r="S3" t="n">
        <v>210</v>
      </c>
      <c r="T3" t="n">
        <v>203</v>
      </c>
      <c r="W3">
        <f>SUM(LARGE(CHOOSE({1,2,3,4,5,6},MAX(C3:D3),MAX(F3:G3),MAX(I3:J3),MAX(L3:M3),MAX(O3:Q3),MAX(S3:T3)),{1,2,3,4}),V3)</f>
        <v/>
      </c>
      <c r="X3">
        <f>IF((--SUMPRODUCT((CHOOSE({1,2,3,4},MAX(C3:D3),MAX(F3:G3),MAX(I3:J3),MAX(L3:M3))&gt;0)*1)&gt;=3)+(--SUMPRODUCT((CHOOSE({1,2,3,4,5},MAX(#REF!),MAX(O3:Q3),MAX(S3:T3),MAX(#REF!),MAX(#REF!))&gt;0)*1)&gt;=3)=2,"Y","N")</f>
        <v/>
      </c>
      <c r="Y3">
        <f>LARGE(CHOOSE({1,2,3,4,5,6},MAX($C3:$D3),MAX($F3:$G3),MAX($I3:$J3),MAX($L3:$M3),MAX($O3:$Q3),MAX($S3:$T3)),1)</f>
        <v/>
      </c>
      <c r="Z3">
        <f>LARGE(CHOOSE({1,2,3,4,5,6},MAX($C3:$D3),MAX($F3:$G3),MAX($I3:$J3),MAX($L3:$M3),MAX($O3:$Q3),MAX($S3:$T3)),2)</f>
        <v/>
      </c>
      <c r="AA3">
        <f>LARGE(CHOOSE({1,2,3,4,5,6},MAX($C3:$D3),MAX($F3:$G3),MAX($I3:$J3),MAX($L3:$M3),MAX($O3:$Q3),MAX($S3:$T3)),3)</f>
        <v/>
      </c>
      <c r="AB3">
        <f>LARGE(CHOOSE({1,2,3,4,5,6},MAX($C3:$D3),MAX($F3:$G3),MAX($I3:$J3),MAX($L3:$M3),MAX($O3:$Q3),MAX($S3:$T3)),4)</f>
        <v/>
      </c>
      <c r="AD3">
        <f>IF(AND($Y3&lt;&gt;0,MAX($C3:$D3)=$Y3,TRUE),IF(D3=$Y3,4,IF(C3=$Y3,3,"")),IF(AND($Y3&lt;&gt;0,MAX($F3:$G3)=$Y3,TRUE),IF(G3=$Y3,7,IF(F3=$Y3,6,"")),IF(AND($Y3&lt;&gt;0,MAX($I3:$J3)=$Y3,TRUE),IF(J3=$Y3,10,IF(I3=$Y3,9,"")),IF(AND($Y3&lt;&gt;0,MAX($L3:$M3)=$Y3,TRUE),IF(M3=$Y3,13,IF(L3=$Y3,12,"")),IF(AND($Y3&lt;&gt;0,MAX($O3:$Q3)=$Y3,TRUE),IF(Q3=$Y3,17,IF(P3=$Y3,16,IF(O3=$Y3,15,""))),IF(AND($Y3&lt;&gt;0,MAX($S3:$T3)=$Y3,TRUE),IF(T3=$Y3,20,IF(S3=$Y3,19,"")),""))))))</f>
        <v/>
      </c>
      <c r="AE3">
        <f>IF(AND($Z3&lt;&gt;0,MAX($C3:$D3)=$Z3,COUNTIF($AD3:$AD3,4)=0),IF(D3=$Z3,4,IF(C3=$Z3,3,"")),IF(AND($Z3&lt;&gt;0,MAX($F3:$G3)=$Z3,COUNTIF($AD3:$AD3,7)=0),IF(G3=$Z3,7,IF(F3=$Z3,6,"")),IF(AND($Z3&lt;&gt;0,MAX($I3:$J3)=$Z3,COUNTIF($AD3:$AD3,10)=0),IF(J3=$Z3,10,IF(I3=$Z3,9,"")),IF(AND($Z3&lt;&gt;0,MAX($L3:$M3)=$Z3,COUNTIF($AD3:$AD3,13)=0),IF(M3=$Z3,13,IF(L3=$Z3,12,"")),IF(AND($Z3&lt;&gt;0,MAX($O3:$Q3)=$Z3,COUNTIF($AD3:$AD3,16)=0),IF(Q3=$Z3,17,IF(P3=$Z3,16,IF(O3=$Z3,15,""))),IF(AND($Z3&lt;&gt;0,MAX($S3:$T3)=$Z3,COUNTIF($AD3:$AD3,19)=0),IF(T3=$Z3,20,IF(S3=$Z3,19,"")),""))))))</f>
        <v/>
      </c>
      <c r="AF3">
        <f>IF(AND($AA3&lt;&gt;0,MAX($C3:$D3)=$AA3,COUNTIF($AD3:$AE3,4)=0),IF(D3=$AA3,4,IF(C3=$AA3,3,"")),IF(AND($AA3&lt;&gt;0,MAX($F3:$G3)=$AA3,COUNTIF($AD3:$AE3,7)=0),IF(G3=$AA3,7,IF(F3=$AA3,6,"")),IF(AND($AA3&lt;&gt;0,MAX($I3:$J3)=$AA3,COUNTIF($AD3:$AE3,10)=0),IF(J3=$AA3,10,IF(I3=$AA3,9,"")),IF(AND($AA3&lt;&gt;0,MAX($L3:$M3)=$AA3,COUNTIF($AD3:$AE3,13)=0),IF(M3=$AA3,13,IF(L3=$AA3,12,"")),IF(AND($AA3&lt;&gt;0,MAX($O3:$Q3)=$AA3,COUNTIF($AD3:$AE3,16)=0),IF(Q3=$AA3,17,IF(P3=$AA3,16,IF(O3=$AA3,15,""))),IF(AND($AA3&lt;&gt;0,MAX($S3:$T3)=$AA3,COUNTIF($AD3:$AE3,19)=0),IF(T3=$AA3,20,IF(S3=$AA3,19,"")),""))))))</f>
        <v/>
      </c>
      <c r="AG3">
        <f>IF(AND($AB3&lt;&gt;0,MAX($C3:$D3)=$AB3,COUNTIF($AD3:$AF3,4)=0),IF(D3=$AB3,4,IF(C3=$AB3,3,"")),IF(AND($AB3&lt;&gt;0,MAX($F3:$G3)=$AB3,COUNTIF($AD3:$AF3,7)=0),IF(G3=$AB3,7,IF(F3=$AB3,6,"")),IF(AND($AB3&lt;&gt;0,MAX($I3:$J3)=$AB3,COUNTIF($AD3:$AF3,10)=0),IF(J3=$AB3,10,IF(I3=$AB3,9,"")),IF(AND($AB3&lt;&gt;0,MAX($L3:$M3)=$AB3,COUNTIF($AD3:$AF3,13)=0),IF(M3=$AB3,13,IF(L3=$AB3,12,"")),IF(AND($AB3&lt;&gt;0,MAX($O3:$Q3)=$AB3,COUNTIF($AD3:$AF3,16)=0),IF(Q3=$AB3,17,IF(P3=$AB3,16,IF(O3=$AB3,15,""))),IF(AND($AB3&lt;&gt;0,MAX($S3:$T3)=$AB3,COUNTIF($AD3:$AF3,19)=0),IF(T3=$AB3,20,IF(S3=$AB3,19,"")),""))))))</f>
        <v/>
      </c>
    </row>
    <row r="4">
      <c r="A4" t="n">
        <v>2</v>
      </c>
      <c r="B4" t="inlineStr">
        <is>
          <t>Justin Ross</t>
        </is>
      </c>
      <c r="C4" t="n">
        <v>187</v>
      </c>
      <c r="D4" t="n">
        <v>200</v>
      </c>
      <c r="F4" t="n">
        <v>200</v>
      </c>
      <c r="G4" t="n">
        <v>201</v>
      </c>
      <c r="M4" t="n">
        <v>200</v>
      </c>
      <c r="S4" t="n">
        <v>204</v>
      </c>
      <c r="W4">
        <f>SUM(LARGE(CHOOSE({1,2,3,4,5,6},MAX(C4:D4),MAX(F4:G4),MAX(I4:J4),MAX(L4:M4),MAX(O4:Q4),MAX(S4:T4)),{1,2,3,4}),V4)</f>
        <v/>
      </c>
      <c r="X4">
        <f>IF((--SUMPRODUCT((CHOOSE({1,2,3,4},MAX(C4:D4),MAX(F4:G4),MAX(I4:J4),MAX(L4:M4))&gt;0)*1)&gt;=3)+(--SUMPRODUCT((CHOOSE({1,2,3,4,5},MAX(#REF!),MAX(O4:Q4),MAX(S4:T4),MAX(#REF!),MAX(#REF!))&gt;0)*1)&gt;=3)=2,"Y","N")</f>
        <v/>
      </c>
      <c r="Y4">
        <f>LARGE(CHOOSE({1,2,3,4,5,6},MAX($C4:$D4),MAX($F4:$G4),MAX($I4:$J4),MAX($L4:$M4),MAX($O4:$Q4),MAX($S4:$T4)),1)</f>
        <v/>
      </c>
      <c r="Z4">
        <f>LARGE(CHOOSE({1,2,3,4,5,6},MAX($C4:$D4),MAX($F4:$G4),MAX($I4:$J4),MAX($L4:$M4),MAX($O4:$Q4),MAX($S4:$T4)),2)</f>
        <v/>
      </c>
      <c r="AA4">
        <f>LARGE(CHOOSE({1,2,3,4,5,6},MAX($C4:$D4),MAX($F4:$G4),MAX($I4:$J4),MAX($L4:$M4),MAX($O4:$Q4),MAX($S4:$T4)),3)</f>
        <v/>
      </c>
      <c r="AB4">
        <f>LARGE(CHOOSE({1,2,3,4,5,6},MAX($C4:$D4),MAX($F4:$G4),MAX($I4:$J4),MAX($L4:$M4),MAX($O4:$Q4),MAX($S4:$T4)),4)</f>
        <v/>
      </c>
      <c r="AD4">
        <f>IF(AND($Y4&lt;&gt;0,MAX($C4:$D4)=$Y4,TRUE),IF(D4=$Y4,4,IF(C4=$Y4,3,"")),IF(AND($Y4&lt;&gt;0,MAX($F4:$G4)=$Y4,TRUE),IF(G4=$Y4,7,IF(F4=$Y4,6,"")),IF(AND($Y4&lt;&gt;0,MAX($I4:$J4)=$Y4,TRUE),IF(J4=$Y4,10,IF(I4=$Y4,9,"")),IF(AND($Y4&lt;&gt;0,MAX($L4:$M4)=$Y4,TRUE),IF(M4=$Y4,13,IF(L4=$Y4,12,"")),IF(AND($Y4&lt;&gt;0,MAX($O4:$Q4)=$Y4,TRUE),IF(Q4=$Y4,17,IF(P4=$Y4,16,IF(O4=$Y4,15,""))),IF(AND($Y4&lt;&gt;0,MAX($S4:$T4)=$Y4,TRUE),IF(T4=$Y4,20,IF(S4=$Y4,19,"")),""))))))</f>
        <v/>
      </c>
      <c r="AE4">
        <f>IF(AND($Z4&lt;&gt;0,MAX($C4:$D4)=$Z4,COUNTIF($AD4:$AD4,4)=0),IF(D4=$Z4,4,IF(C4=$Z4,3,"")),IF(AND($Z4&lt;&gt;0,MAX($F4:$G4)=$Z4,COUNTIF($AD4:$AD4,7)=0),IF(G4=$Z4,7,IF(F4=$Z4,6,"")),IF(AND($Z4&lt;&gt;0,MAX($I4:$J4)=$Z4,COUNTIF($AD4:$AD4,10)=0),IF(J4=$Z4,10,IF(I4=$Z4,9,"")),IF(AND($Z4&lt;&gt;0,MAX($L4:$M4)=$Z4,COUNTIF($AD4:$AD4,13)=0),IF(M4=$Z4,13,IF(L4=$Z4,12,"")),IF(AND($Z4&lt;&gt;0,MAX($O4:$Q4)=$Z4,COUNTIF($AD4:$AD4,16)=0),IF(Q4=$Z4,17,IF(P4=$Z4,16,IF(O4=$Z4,15,""))),IF(AND($Z4&lt;&gt;0,MAX($S4:$T4)=$Z4,COUNTIF($AD4:$AD4,19)=0),IF(T4=$Z4,20,IF(S4=$Z4,19,"")),""))))))</f>
        <v/>
      </c>
      <c r="AF4">
        <f>IF(AND($AA4&lt;&gt;0,MAX($C4:$D4)=$AA4,COUNTIF($AD4:$AE4,4)=0),IF(D4=$AA4,4,IF(C4=$AA4,3,"")),IF(AND($AA4&lt;&gt;0,MAX($F4:$G4)=$AA4,COUNTIF($AD4:$AE4,7)=0),IF(G4=$AA4,7,IF(F4=$AA4,6,"")),IF(AND($AA4&lt;&gt;0,MAX($I4:$J4)=$AA4,COUNTIF($AD4:$AE4,10)=0),IF(J4=$AA4,10,IF(I4=$AA4,9,"")),IF(AND($AA4&lt;&gt;0,MAX($L4:$M4)=$AA4,COUNTIF($AD4:$AE4,13)=0),IF(M4=$AA4,13,IF(L4=$AA4,12,"")),IF(AND($AA4&lt;&gt;0,MAX($O4:$Q4)=$AA4,COUNTIF($AD4:$AE4,16)=0),IF(Q4=$AA4,17,IF(P4=$AA4,16,IF(O4=$AA4,15,""))),IF(AND($AA4&lt;&gt;0,MAX($S4:$T4)=$AA4,COUNTIF($AD4:$AE4,19)=0),IF(T4=$AA4,20,IF(S4=$AA4,19,"")),""))))))</f>
        <v/>
      </c>
      <c r="AG4">
        <f>IF(AND($AB4&lt;&gt;0,MAX($C4:$D4)=$AB4,COUNTIF($AD4:$AF4,4)=0),IF(D4=$AB4,4,IF(C4=$AB4,3,"")),IF(AND($AB4&lt;&gt;0,MAX($F4:$G4)=$AB4,COUNTIF($AD4:$AF4,7)=0),IF(G4=$AB4,7,IF(F4=$AB4,6,"")),IF(AND($AB4&lt;&gt;0,MAX($I4:$J4)=$AB4,COUNTIF($AD4:$AF4,10)=0),IF(J4=$AB4,10,IF(I4=$AB4,9,"")),IF(AND($AB4&lt;&gt;0,MAX($L4:$M4)=$AB4,COUNTIF($AD4:$AF4,13)=0),IF(M4=$AB4,13,IF(L4=$AB4,12,"")),IF(AND($AB4&lt;&gt;0,MAX($O4:$Q4)=$AB4,COUNTIF($AD4:$AF4,16)=0),IF(Q4=$AB4,17,IF(P4=$AB4,16,IF(O4=$AB4,15,""))),IF(AND($AB4&lt;&gt;0,MAX($S4:$T4)=$AB4,COUNTIF($AD4:$AF4,19)=0),IF(T4=$AB4,20,IF(S4=$AB4,19,"")),""))))))</f>
        <v/>
      </c>
    </row>
    <row r="5">
      <c r="A5" t="n">
        <v>3</v>
      </c>
      <c r="B5" t="inlineStr">
        <is>
          <t>Jennings Freeman III</t>
        </is>
      </c>
      <c r="C5" t="n">
        <v>200</v>
      </c>
      <c r="D5" t="n">
        <v>200</v>
      </c>
      <c r="F5" t="n">
        <v>200</v>
      </c>
      <c r="G5" t="n">
        <v>200</v>
      </c>
      <c r="I5" t="n">
        <v>200</v>
      </c>
      <c r="J5" t="n">
        <v>200</v>
      </c>
      <c r="L5" t="n">
        <v>200</v>
      </c>
      <c r="M5" t="n">
        <v>200</v>
      </c>
      <c r="O5" t="n">
        <v>200</v>
      </c>
      <c r="P5" t="n">
        <v>200</v>
      </c>
      <c r="Q5" t="n">
        <v>200</v>
      </c>
      <c r="S5" t="n">
        <v>200</v>
      </c>
      <c r="T5" t="n">
        <v>200</v>
      </c>
      <c r="W5">
        <f>SUM(LARGE(CHOOSE({1,2,3,4,5,6},MAX(C5:D5),MAX(F5:G5),MAX(I5:J5),MAX(L5:M5),MAX(O5:Q5),MAX(S5:T5)),{1,2,3,4}),V5)</f>
        <v/>
      </c>
      <c r="X5">
        <f>IF((--SUMPRODUCT((CHOOSE({1,2,3,4},MAX(C5:D5),MAX(F5:G5),MAX(I5:J5),MAX(L5:M5))&gt;0)*1)&gt;=3)+(--SUMPRODUCT((CHOOSE({1,2,3,4,5},MAX(#REF!),MAX(O5:Q5),MAX(S5:T5),MAX(#REF!),MAX(#REF!))&gt;0)*1)&gt;=3)=2,"Y","N")</f>
        <v/>
      </c>
      <c r="Y5">
        <f>LARGE(CHOOSE({1,2,3,4,5,6},MAX($C5:$D5),MAX($F5:$G5),MAX($I5:$J5),MAX($L5:$M5),MAX($O5:$Q5),MAX($S5:$T5)),1)</f>
        <v/>
      </c>
      <c r="Z5">
        <f>LARGE(CHOOSE({1,2,3,4,5,6},MAX($C5:$D5),MAX($F5:$G5),MAX($I5:$J5),MAX($L5:$M5),MAX($O5:$Q5),MAX($S5:$T5)),2)</f>
        <v/>
      </c>
      <c r="AA5">
        <f>LARGE(CHOOSE({1,2,3,4,5,6},MAX($C5:$D5),MAX($F5:$G5),MAX($I5:$J5),MAX($L5:$M5),MAX($O5:$Q5),MAX($S5:$T5)),3)</f>
        <v/>
      </c>
      <c r="AB5">
        <f>LARGE(CHOOSE({1,2,3,4,5,6},MAX($C5:$D5),MAX($F5:$G5),MAX($I5:$J5),MAX($L5:$M5),MAX($O5:$Q5),MAX($S5:$T5)),4)</f>
        <v/>
      </c>
      <c r="AD5">
        <f>IF(AND($Y5&lt;&gt;0,MAX($C5:$D5)=$Y5,TRUE),IF(D5=$Y5,4,IF(C5=$Y5,3,"")),IF(AND($Y5&lt;&gt;0,MAX($F5:$G5)=$Y5,TRUE),IF(G5=$Y5,7,IF(F5=$Y5,6,"")),IF(AND($Y5&lt;&gt;0,MAX($I5:$J5)=$Y5,TRUE),IF(J5=$Y5,10,IF(I5=$Y5,9,"")),IF(AND($Y5&lt;&gt;0,MAX($L5:$M5)=$Y5,TRUE),IF(M5=$Y5,13,IF(L5=$Y5,12,"")),IF(AND($Y5&lt;&gt;0,MAX($O5:$Q5)=$Y5,TRUE),IF(Q5=$Y5,17,IF(P5=$Y5,16,IF(O5=$Y5,15,""))),IF(AND($Y5&lt;&gt;0,MAX($S5:$T5)=$Y5,TRUE),IF(T5=$Y5,20,IF(S5=$Y5,19,"")),""))))))</f>
        <v/>
      </c>
      <c r="AE5">
        <f>IF(AND($Z5&lt;&gt;0,MAX($C5:$D5)=$Z5,COUNTIF($AD5:$AD5,4)=0),IF(D5=$Z5,4,IF(C5=$Z5,3,"")),IF(AND($Z5&lt;&gt;0,MAX($F5:$G5)=$Z5,COUNTIF($AD5:$AD5,7)=0),IF(G5=$Z5,7,IF(F5=$Z5,6,"")),IF(AND($Z5&lt;&gt;0,MAX($I5:$J5)=$Z5,COUNTIF($AD5:$AD5,10)=0),IF(J5=$Z5,10,IF(I5=$Z5,9,"")),IF(AND($Z5&lt;&gt;0,MAX($L5:$M5)=$Z5,COUNTIF($AD5:$AD5,13)=0),IF(M5=$Z5,13,IF(L5=$Z5,12,"")),IF(AND($Z5&lt;&gt;0,MAX($O5:$Q5)=$Z5,COUNTIF($AD5:$AD5,16)=0),IF(Q5=$Z5,17,IF(P5=$Z5,16,IF(O5=$Z5,15,""))),IF(AND($Z5&lt;&gt;0,MAX($S5:$T5)=$Z5,COUNTIF($AD5:$AD5,19)=0),IF(T5=$Z5,20,IF(S5=$Z5,19,"")),""))))))</f>
        <v/>
      </c>
      <c r="AF5">
        <f>IF(AND($AA5&lt;&gt;0,MAX($C5:$D5)=$AA5,COUNTIF($AD5:$AE5,4)=0),IF(D5=$AA5,4,IF(C5=$AA5,3,"")),IF(AND($AA5&lt;&gt;0,MAX($F5:$G5)=$AA5,COUNTIF($AD5:$AE5,7)=0),IF(G5=$AA5,7,IF(F5=$AA5,6,"")),IF(AND($AA5&lt;&gt;0,MAX($I5:$J5)=$AA5,COUNTIF($AD5:$AE5,10)=0),IF(J5=$AA5,10,IF(I5=$AA5,9,"")),IF(AND($AA5&lt;&gt;0,MAX($L5:$M5)=$AA5,COUNTIF($AD5:$AE5,13)=0),IF(M5=$AA5,13,IF(L5=$AA5,12,"")),IF(AND($AA5&lt;&gt;0,MAX($O5:$Q5)=$AA5,COUNTIF($AD5:$AE5,16)=0),IF(Q5=$AA5,17,IF(P5=$AA5,16,IF(O5=$AA5,15,""))),IF(AND($AA5&lt;&gt;0,MAX($S5:$T5)=$AA5,COUNTIF($AD5:$AE5,19)=0),IF(T5=$AA5,20,IF(S5=$AA5,19,"")),""))))))</f>
        <v/>
      </c>
      <c r="AG5">
        <f>IF(AND($AB5&lt;&gt;0,MAX($C5:$D5)=$AB5,COUNTIF($AD5:$AF5,4)=0),IF(D5=$AB5,4,IF(C5=$AB5,3,"")),IF(AND($AB5&lt;&gt;0,MAX($F5:$G5)=$AB5,COUNTIF($AD5:$AF5,7)=0),IF(G5=$AB5,7,IF(F5=$AB5,6,"")),IF(AND($AB5&lt;&gt;0,MAX($I5:$J5)=$AB5,COUNTIF($AD5:$AF5,10)=0),IF(J5=$AB5,10,IF(I5=$AB5,9,"")),IF(AND($AB5&lt;&gt;0,MAX($L5:$M5)=$AB5,COUNTIF($AD5:$AF5,13)=0),IF(M5=$AB5,13,IF(L5=$AB5,12,"")),IF(AND($AB5&lt;&gt;0,MAX($O5:$Q5)=$AB5,COUNTIF($AD5:$AF5,16)=0),IF(Q5=$AB5,17,IF(P5=$AB5,16,IF(O5=$AB5,15,""))),IF(AND($AB5&lt;&gt;0,MAX($S5:$T5)=$AB5,COUNTIF($AD5:$AF5,19)=0),IF(T5=$AB5,20,IF(S5=$AB5,19,"")),""))))))</f>
        <v/>
      </c>
    </row>
    <row r="6">
      <c r="A6" t="n">
        <v>4</v>
      </c>
      <c r="B6" t="inlineStr">
        <is>
          <t>Stephen Hudson</t>
        </is>
      </c>
      <c r="C6" t="n">
        <v>199</v>
      </c>
      <c r="D6" t="n">
        <v>200</v>
      </c>
      <c r="F6" t="n">
        <v>200</v>
      </c>
      <c r="G6" t="n">
        <v>200</v>
      </c>
      <c r="I6" t="n">
        <v>200</v>
      </c>
      <c r="J6" t="n">
        <v>200</v>
      </c>
      <c r="L6" t="n">
        <v>200</v>
      </c>
      <c r="M6" t="n">
        <v>200</v>
      </c>
      <c r="O6" t="n">
        <v>200</v>
      </c>
      <c r="P6" t="n">
        <v>200</v>
      </c>
      <c r="Q6" t="n">
        <v>200</v>
      </c>
      <c r="S6" t="n">
        <v>200</v>
      </c>
      <c r="T6" t="n">
        <v>200</v>
      </c>
      <c r="W6">
        <f>SUM(LARGE(CHOOSE({1,2,3,4,5,6},MAX(C6:D6),MAX(F6:G6),MAX(I6:J6),MAX(L6:M6),MAX(O6:Q6),MAX(S6:T6)),{1,2,3,4}),V6)</f>
        <v/>
      </c>
      <c r="X6">
        <f>IF((--SUMPRODUCT((CHOOSE({1,2,3,4},MAX(C6:D6),MAX(F6:G6),MAX(I6:J6),MAX(L6:M6))&gt;0)*1)&gt;=3)+(--SUMPRODUCT((CHOOSE({1,2,3,4,5},MAX(#REF!),MAX(O6:Q6),MAX(S6:T6),MAX(#REF!),MAX(#REF!))&gt;0)*1)&gt;=3)=2,"Y","N")</f>
        <v/>
      </c>
      <c r="Y6">
        <f>LARGE(CHOOSE({1,2,3,4,5,6},MAX($C6:$D6),MAX($F6:$G6),MAX($I6:$J6),MAX($L6:$M6),MAX($O6:$Q6),MAX($S6:$T6)),1)</f>
        <v/>
      </c>
      <c r="Z6">
        <f>LARGE(CHOOSE({1,2,3,4,5,6},MAX($C6:$D6),MAX($F6:$G6),MAX($I6:$J6),MAX($L6:$M6),MAX($O6:$Q6),MAX($S6:$T6)),2)</f>
        <v/>
      </c>
      <c r="AA6">
        <f>LARGE(CHOOSE({1,2,3,4,5,6},MAX($C6:$D6),MAX($F6:$G6),MAX($I6:$J6),MAX($L6:$M6),MAX($O6:$Q6),MAX($S6:$T6)),3)</f>
        <v/>
      </c>
      <c r="AB6">
        <f>LARGE(CHOOSE({1,2,3,4,5,6},MAX($C6:$D6),MAX($F6:$G6),MAX($I6:$J6),MAX($L6:$M6),MAX($O6:$Q6),MAX($S6:$T6)),4)</f>
        <v/>
      </c>
      <c r="AD6">
        <f>IF(AND($Y6&lt;&gt;0,MAX($C6:$D6)=$Y6,TRUE),IF(D6=$Y6,4,IF(C6=$Y6,3,"")),IF(AND($Y6&lt;&gt;0,MAX($F6:$G6)=$Y6,TRUE),IF(G6=$Y6,7,IF(F6=$Y6,6,"")),IF(AND($Y6&lt;&gt;0,MAX($I6:$J6)=$Y6,TRUE),IF(J6=$Y6,10,IF(I6=$Y6,9,"")),IF(AND($Y6&lt;&gt;0,MAX($L6:$M6)=$Y6,TRUE),IF(M6=$Y6,13,IF(L6=$Y6,12,"")),IF(AND($Y6&lt;&gt;0,MAX($O6:$Q6)=$Y6,TRUE),IF(Q6=$Y6,17,IF(P6=$Y6,16,IF(O6=$Y6,15,""))),IF(AND($Y6&lt;&gt;0,MAX($S6:$T6)=$Y6,TRUE),IF(T6=$Y6,20,IF(S6=$Y6,19,"")),""))))))</f>
        <v/>
      </c>
      <c r="AE6">
        <f>IF(AND($Z6&lt;&gt;0,MAX($C6:$D6)=$Z6,COUNTIF($AD6:$AD6,4)=0),IF(D6=$Z6,4,IF(C6=$Z6,3,"")),IF(AND($Z6&lt;&gt;0,MAX($F6:$G6)=$Z6,COUNTIF($AD6:$AD6,7)=0),IF(G6=$Z6,7,IF(F6=$Z6,6,"")),IF(AND($Z6&lt;&gt;0,MAX($I6:$J6)=$Z6,COUNTIF($AD6:$AD6,10)=0),IF(J6=$Z6,10,IF(I6=$Z6,9,"")),IF(AND($Z6&lt;&gt;0,MAX($L6:$M6)=$Z6,COUNTIF($AD6:$AD6,13)=0),IF(M6=$Z6,13,IF(L6=$Z6,12,"")),IF(AND($Z6&lt;&gt;0,MAX($O6:$Q6)=$Z6,COUNTIF($AD6:$AD6,16)=0),IF(Q6=$Z6,17,IF(P6=$Z6,16,IF(O6=$Z6,15,""))),IF(AND($Z6&lt;&gt;0,MAX($S6:$T6)=$Z6,COUNTIF($AD6:$AD6,19)=0),IF(T6=$Z6,20,IF(S6=$Z6,19,"")),""))))))</f>
        <v/>
      </c>
      <c r="AF6">
        <f>IF(AND($AA6&lt;&gt;0,MAX($C6:$D6)=$AA6,COUNTIF($AD6:$AE6,4)=0),IF(D6=$AA6,4,IF(C6=$AA6,3,"")),IF(AND($AA6&lt;&gt;0,MAX($F6:$G6)=$AA6,COUNTIF($AD6:$AE6,7)=0),IF(G6=$AA6,7,IF(F6=$AA6,6,"")),IF(AND($AA6&lt;&gt;0,MAX($I6:$J6)=$AA6,COUNTIF($AD6:$AE6,10)=0),IF(J6=$AA6,10,IF(I6=$AA6,9,"")),IF(AND($AA6&lt;&gt;0,MAX($L6:$M6)=$AA6,COUNTIF($AD6:$AE6,13)=0),IF(M6=$AA6,13,IF(L6=$AA6,12,"")),IF(AND($AA6&lt;&gt;0,MAX($O6:$Q6)=$AA6,COUNTIF($AD6:$AE6,16)=0),IF(Q6=$AA6,17,IF(P6=$AA6,16,IF(O6=$AA6,15,""))),IF(AND($AA6&lt;&gt;0,MAX($S6:$T6)=$AA6,COUNTIF($AD6:$AE6,19)=0),IF(T6=$AA6,20,IF(S6=$AA6,19,"")),""))))))</f>
        <v/>
      </c>
      <c r="AG6">
        <f>IF(AND($AB6&lt;&gt;0,MAX($C6:$D6)=$AB6,COUNTIF($AD6:$AF6,4)=0),IF(D6=$AB6,4,IF(C6=$AB6,3,"")),IF(AND($AB6&lt;&gt;0,MAX($F6:$G6)=$AB6,COUNTIF($AD6:$AF6,7)=0),IF(G6=$AB6,7,IF(F6=$AB6,6,"")),IF(AND($AB6&lt;&gt;0,MAX($I6:$J6)=$AB6,COUNTIF($AD6:$AF6,10)=0),IF(J6=$AB6,10,IF(I6=$AB6,9,"")),IF(AND($AB6&lt;&gt;0,MAX($L6:$M6)=$AB6,COUNTIF($AD6:$AF6,13)=0),IF(M6=$AB6,13,IF(L6=$AB6,12,"")),IF(AND($AB6&lt;&gt;0,MAX($O6:$Q6)=$AB6,COUNTIF($AD6:$AF6,16)=0),IF(Q6=$AB6,17,IF(P6=$AB6,16,IF(O6=$AB6,15,""))),IF(AND($AB6&lt;&gt;0,MAX($S6:$T6)=$AB6,COUNTIF($AD6:$AF6,19)=0),IF(T6=$AB6,20,IF(S6=$AB6,19,"")),""))))))</f>
        <v/>
      </c>
    </row>
    <row r="7">
      <c r="A7" t="n">
        <v>5</v>
      </c>
      <c r="B7" t="inlineStr">
        <is>
          <t>Hunter Avera</t>
        </is>
      </c>
      <c r="C7" t="n">
        <v>207</v>
      </c>
      <c r="D7" t="n">
        <v>199</v>
      </c>
      <c r="I7" t="n">
        <v>208</v>
      </c>
      <c r="L7" t="n">
        <v>204</v>
      </c>
      <c r="M7" t="n">
        <v>190</v>
      </c>
      <c r="W7">
        <f>SUM(LARGE(CHOOSE({1,2,3,4,5,6},MAX(C7:D7),MAX(F7:G7),MAX(I7:J7),MAX(L7:M7),MAX(O7:Q7),MAX(S7:T7)),{1,2,3,4}),V7)</f>
        <v/>
      </c>
      <c r="X7">
        <f>IF((--SUMPRODUCT((CHOOSE({1,2,3,4},MAX(C7:D7),MAX(F7:G7),MAX(I7:J7),MAX(L7:M7))&gt;0)*1)&gt;=3)+(--SUMPRODUCT((CHOOSE({1,2,3,4,5},MAX(#REF!),MAX(O7:Q7),MAX(S7:T7),MAX(#REF!),MAX(#REF!))&gt;0)*1)&gt;=3)=2,"Y","N")</f>
        <v/>
      </c>
      <c r="Y7">
        <f>LARGE(CHOOSE({1,2,3,4,5,6},MAX($C7:$D7),MAX($F7:$G7),MAX($I7:$J7),MAX($L7:$M7),MAX($O7:$Q7),MAX($S7:$T7)),1)</f>
        <v/>
      </c>
      <c r="Z7">
        <f>LARGE(CHOOSE({1,2,3,4,5,6},MAX($C7:$D7),MAX($F7:$G7),MAX($I7:$J7),MAX($L7:$M7),MAX($O7:$Q7),MAX($S7:$T7)),2)</f>
        <v/>
      </c>
      <c r="AA7">
        <f>LARGE(CHOOSE({1,2,3,4,5,6},MAX($C7:$D7),MAX($F7:$G7),MAX($I7:$J7),MAX($L7:$M7),MAX($O7:$Q7),MAX($S7:$T7)),3)</f>
        <v/>
      </c>
      <c r="AB7">
        <f>LARGE(CHOOSE({1,2,3,4,5,6},MAX($C7:$D7),MAX($F7:$G7),MAX($I7:$J7),MAX($L7:$M7),MAX($O7:$Q7),MAX($S7:$T7)),4)</f>
        <v/>
      </c>
      <c r="AD7">
        <f>IF(AND($Y7&lt;&gt;0,MAX($C7:$D7)=$Y7,TRUE),IF(D7=$Y7,4,IF(C7=$Y7,3,"")),IF(AND($Y7&lt;&gt;0,MAX($F7:$G7)=$Y7,TRUE),IF(G7=$Y7,7,IF(F7=$Y7,6,"")),IF(AND($Y7&lt;&gt;0,MAX($I7:$J7)=$Y7,TRUE),IF(J7=$Y7,10,IF(I7=$Y7,9,"")),IF(AND($Y7&lt;&gt;0,MAX($L7:$M7)=$Y7,TRUE),IF(M7=$Y7,13,IF(L7=$Y7,12,"")),IF(AND($Y7&lt;&gt;0,MAX($O7:$Q7)=$Y7,TRUE),IF(Q7=$Y7,17,IF(P7=$Y7,16,IF(O7=$Y7,15,""))),IF(AND($Y7&lt;&gt;0,MAX($S7:$T7)=$Y7,TRUE),IF(T7=$Y7,20,IF(S7=$Y7,19,"")),""))))))</f>
        <v/>
      </c>
      <c r="AE7">
        <f>IF(AND($Z7&lt;&gt;0,MAX($C7:$D7)=$Z7,COUNTIF($AD7:$AD7,4)=0),IF(D7=$Z7,4,IF(C7=$Z7,3,"")),IF(AND($Z7&lt;&gt;0,MAX($F7:$G7)=$Z7,COUNTIF($AD7:$AD7,7)=0),IF(G7=$Z7,7,IF(F7=$Z7,6,"")),IF(AND($Z7&lt;&gt;0,MAX($I7:$J7)=$Z7,COUNTIF($AD7:$AD7,10)=0),IF(J7=$Z7,10,IF(I7=$Z7,9,"")),IF(AND($Z7&lt;&gt;0,MAX($L7:$M7)=$Z7,COUNTIF($AD7:$AD7,13)=0),IF(M7=$Z7,13,IF(L7=$Z7,12,"")),IF(AND($Z7&lt;&gt;0,MAX($O7:$Q7)=$Z7,COUNTIF($AD7:$AD7,16)=0),IF(Q7=$Z7,17,IF(P7=$Z7,16,IF(O7=$Z7,15,""))),IF(AND($Z7&lt;&gt;0,MAX($S7:$T7)=$Z7,COUNTIF($AD7:$AD7,19)=0),IF(T7=$Z7,20,IF(S7=$Z7,19,"")),""))))))</f>
        <v/>
      </c>
      <c r="AF7">
        <f>IF(AND($AA7&lt;&gt;0,MAX($C7:$D7)=$AA7,COUNTIF($AD7:$AE7,4)=0),IF(D7=$AA7,4,IF(C7=$AA7,3,"")),IF(AND($AA7&lt;&gt;0,MAX($F7:$G7)=$AA7,COUNTIF($AD7:$AE7,7)=0),IF(G7=$AA7,7,IF(F7=$AA7,6,"")),IF(AND($AA7&lt;&gt;0,MAX($I7:$J7)=$AA7,COUNTIF($AD7:$AE7,10)=0),IF(J7=$AA7,10,IF(I7=$AA7,9,"")),IF(AND($AA7&lt;&gt;0,MAX($L7:$M7)=$AA7,COUNTIF($AD7:$AE7,13)=0),IF(M7=$AA7,13,IF(L7=$AA7,12,"")),IF(AND($AA7&lt;&gt;0,MAX($O7:$Q7)=$AA7,COUNTIF($AD7:$AE7,16)=0),IF(Q7=$AA7,17,IF(P7=$AA7,16,IF(O7=$AA7,15,""))),IF(AND($AA7&lt;&gt;0,MAX($S7:$T7)=$AA7,COUNTIF($AD7:$AE7,19)=0),IF(T7=$AA7,20,IF(S7=$AA7,19,"")),""))))))</f>
        <v/>
      </c>
      <c r="AG7">
        <f>IF(AND($AB7&lt;&gt;0,MAX($C7:$D7)=$AB7,COUNTIF($AD7:$AF7,4)=0),IF(D7=$AB7,4,IF(C7=$AB7,3,"")),IF(AND($AB7&lt;&gt;0,MAX($F7:$G7)=$AB7,COUNTIF($AD7:$AF7,7)=0),IF(G7=$AB7,7,IF(F7=$AB7,6,"")),IF(AND($AB7&lt;&gt;0,MAX($I7:$J7)=$AB7,COUNTIF($AD7:$AF7,10)=0),IF(J7=$AB7,10,IF(I7=$AB7,9,"")),IF(AND($AB7&lt;&gt;0,MAX($L7:$M7)=$AB7,COUNTIF($AD7:$AF7,13)=0),IF(M7=$AB7,13,IF(L7=$AB7,12,"")),IF(AND($AB7&lt;&gt;0,MAX($O7:$Q7)=$AB7,COUNTIF($AD7:$AF7,16)=0),IF(Q7=$AB7,17,IF(P7=$AB7,16,IF(O7=$AB7,15,""))),IF(AND($AB7&lt;&gt;0,MAX($S7:$T7)=$AB7,COUNTIF($AD7:$AF7,19)=0),IF(T7=$AB7,20,IF(S7=$AB7,19,"")),""))))))</f>
        <v/>
      </c>
    </row>
    <row r="8">
      <c r="A8" t="n">
        <v>6</v>
      </c>
      <c r="B8" t="inlineStr">
        <is>
          <t>Ethan Brown</t>
        </is>
      </c>
      <c r="C8" t="n">
        <v>208</v>
      </c>
      <c r="I8" t="n">
        <v>204</v>
      </c>
      <c r="L8" t="n">
        <v>196</v>
      </c>
      <c r="W8">
        <f>SUM(LARGE(CHOOSE({1,2,3,4,5,6},MAX(C8:D8),MAX(F8:G8),MAX(I8:J8),MAX(L8:M8),MAX(O8:Q8),MAX(S8:T8)),{1,2,3,4}),V8)</f>
        <v/>
      </c>
      <c r="X8">
        <f>IF((--SUMPRODUCT((CHOOSE({1,2,3,4},MAX(C8:D8),MAX(F8:G8),MAX(I8:J8),MAX(L8:M8))&gt;0)*1)&gt;=3)+(--SUMPRODUCT((CHOOSE({1,2,3,4,5},MAX(#REF!),MAX(O8:Q8),MAX(S8:T8),MAX(#REF!),MAX(#REF!))&gt;0)*1)&gt;=3)=2,"Y","N")</f>
        <v/>
      </c>
      <c r="Y8">
        <f>LARGE(CHOOSE({1,2,3,4,5,6},MAX($C8:$D8),MAX($F8:$G8),MAX($I8:$J8),MAX($L8:$M8),MAX($O8:$Q8),MAX($S8:$T8)),1)</f>
        <v/>
      </c>
      <c r="Z8">
        <f>LARGE(CHOOSE({1,2,3,4,5,6},MAX($C8:$D8),MAX($F8:$G8),MAX($I8:$J8),MAX($L8:$M8),MAX($O8:$Q8),MAX($S8:$T8)),2)</f>
        <v/>
      </c>
      <c r="AA8">
        <f>LARGE(CHOOSE({1,2,3,4,5,6},MAX($C8:$D8),MAX($F8:$G8),MAX($I8:$J8),MAX($L8:$M8),MAX($O8:$Q8),MAX($S8:$T8)),3)</f>
        <v/>
      </c>
      <c r="AB8">
        <f>LARGE(CHOOSE({1,2,3,4,5,6},MAX($C8:$D8),MAX($F8:$G8),MAX($I8:$J8),MAX($L8:$M8),MAX($O8:$Q8),MAX($S8:$T8)),4)</f>
        <v/>
      </c>
      <c r="AD8">
        <f>IF(AND($Y8&lt;&gt;0,MAX($C8:$D8)=$Y8,TRUE),IF(D8=$Y8,4,IF(C8=$Y8,3,"")),IF(AND($Y8&lt;&gt;0,MAX($F8:$G8)=$Y8,TRUE),IF(G8=$Y8,7,IF(F8=$Y8,6,"")),IF(AND($Y8&lt;&gt;0,MAX($I8:$J8)=$Y8,TRUE),IF(J8=$Y8,10,IF(I8=$Y8,9,"")),IF(AND($Y8&lt;&gt;0,MAX($L8:$M8)=$Y8,TRUE),IF(M8=$Y8,13,IF(L8=$Y8,12,"")),IF(AND($Y8&lt;&gt;0,MAX($O8:$Q8)=$Y8,TRUE),IF(Q8=$Y8,17,IF(P8=$Y8,16,IF(O8=$Y8,15,""))),IF(AND($Y8&lt;&gt;0,MAX($S8:$T8)=$Y8,TRUE),IF(T8=$Y8,20,IF(S8=$Y8,19,"")),""))))))</f>
        <v/>
      </c>
      <c r="AE8">
        <f>IF(AND($Z8&lt;&gt;0,MAX($C8:$D8)=$Z8,COUNTIF($AD8:$AD8,4)=0),IF(D8=$Z8,4,IF(C8=$Z8,3,"")),IF(AND($Z8&lt;&gt;0,MAX($F8:$G8)=$Z8,COUNTIF($AD8:$AD8,7)=0),IF(G8=$Z8,7,IF(F8=$Z8,6,"")),IF(AND($Z8&lt;&gt;0,MAX($I8:$J8)=$Z8,COUNTIF($AD8:$AD8,10)=0),IF(J8=$Z8,10,IF(I8=$Z8,9,"")),IF(AND($Z8&lt;&gt;0,MAX($L8:$M8)=$Z8,COUNTIF($AD8:$AD8,13)=0),IF(M8=$Z8,13,IF(L8=$Z8,12,"")),IF(AND($Z8&lt;&gt;0,MAX($O8:$Q8)=$Z8,COUNTIF($AD8:$AD8,16)=0),IF(Q8=$Z8,17,IF(P8=$Z8,16,IF(O8=$Z8,15,""))),IF(AND($Z8&lt;&gt;0,MAX($S8:$T8)=$Z8,COUNTIF($AD8:$AD8,19)=0),IF(T8=$Z8,20,IF(S8=$Z8,19,"")),""))))))</f>
        <v/>
      </c>
      <c r="AF8">
        <f>IF(AND($AA8&lt;&gt;0,MAX($C8:$D8)=$AA8,COUNTIF($AD8:$AE8,4)=0),IF(D8=$AA8,4,IF(C8=$AA8,3,"")),IF(AND($AA8&lt;&gt;0,MAX($F8:$G8)=$AA8,COUNTIF($AD8:$AE8,7)=0),IF(G8=$AA8,7,IF(F8=$AA8,6,"")),IF(AND($AA8&lt;&gt;0,MAX($I8:$J8)=$AA8,COUNTIF($AD8:$AE8,10)=0),IF(J8=$AA8,10,IF(I8=$AA8,9,"")),IF(AND($AA8&lt;&gt;0,MAX($L8:$M8)=$AA8,COUNTIF($AD8:$AE8,13)=0),IF(M8=$AA8,13,IF(L8=$AA8,12,"")),IF(AND($AA8&lt;&gt;0,MAX($O8:$Q8)=$AA8,COUNTIF($AD8:$AE8,16)=0),IF(Q8=$AA8,17,IF(P8=$AA8,16,IF(O8=$AA8,15,""))),IF(AND($AA8&lt;&gt;0,MAX($S8:$T8)=$AA8,COUNTIF($AD8:$AE8,19)=0),IF(T8=$AA8,20,IF(S8=$AA8,19,"")),""))))))</f>
        <v/>
      </c>
      <c r="AG8">
        <f>IF(AND($AB8&lt;&gt;0,MAX($C8:$D8)=$AB8,COUNTIF($AD8:$AF8,4)=0),IF(D8=$AB8,4,IF(C8=$AB8,3,"")),IF(AND($AB8&lt;&gt;0,MAX($F8:$G8)=$AB8,COUNTIF($AD8:$AF8,7)=0),IF(G8=$AB8,7,IF(F8=$AB8,6,"")),IF(AND($AB8&lt;&gt;0,MAX($I8:$J8)=$AB8,COUNTIF($AD8:$AF8,10)=0),IF(J8=$AB8,10,IF(I8=$AB8,9,"")),IF(AND($AB8&lt;&gt;0,MAX($L8:$M8)=$AB8,COUNTIF($AD8:$AF8,13)=0),IF(M8=$AB8,13,IF(L8=$AB8,12,"")),IF(AND($AB8&lt;&gt;0,MAX($O8:$Q8)=$AB8,COUNTIF($AD8:$AF8,16)=0),IF(Q8=$AB8,17,IF(P8=$AB8,16,IF(O8=$AB8,15,""))),IF(AND($AB8&lt;&gt;0,MAX($S8:$T8)=$AB8,COUNTIF($AD8:$AF8,19)=0),IF(T8=$AB8,20,IF(S8=$AB8,19,"")),""))))))</f>
        <v/>
      </c>
    </row>
    <row r="9">
      <c r="A9" t="n">
        <v>7</v>
      </c>
      <c r="B9" t="inlineStr">
        <is>
          <t>Alan Dutton</t>
        </is>
      </c>
      <c r="C9" t="n">
        <v>206</v>
      </c>
      <c r="D9" t="n">
        <v>193</v>
      </c>
      <c r="I9" t="n">
        <v>202</v>
      </c>
      <c r="L9" t="n">
        <v>202</v>
      </c>
      <c r="M9" t="n">
        <v>210</v>
      </c>
      <c r="W9">
        <f>SUM(LARGE(CHOOSE({1,2,3,4,5,6},MAX(C9:D9),MAX(F9:G9),MAX(I9:J9),MAX(L9:M9),MAX(O9:Q9),MAX(S9:T9)),{1,2,3,4}),V9)</f>
        <v/>
      </c>
      <c r="X9">
        <f>IF((--SUMPRODUCT((CHOOSE({1,2,3,4},MAX(C9:D9),MAX(F9:G9),MAX(I9:J9),MAX(L9:M9))&gt;0)*1)&gt;=3)+(--SUMPRODUCT((CHOOSE({1,2,3,4,5},MAX(#REF!),MAX(O9:Q9),MAX(S9:T9),MAX(#REF!),MAX(#REF!))&gt;0)*1)&gt;=3)=2,"Y","N")</f>
        <v/>
      </c>
      <c r="Y9">
        <f>LARGE(CHOOSE({1,2,3,4,5,6},MAX($C9:$D9),MAX($F9:$G9),MAX($I9:$J9),MAX($L9:$M9),MAX($O9:$Q9),MAX($S9:$T9)),1)</f>
        <v/>
      </c>
      <c r="Z9">
        <f>LARGE(CHOOSE({1,2,3,4,5,6},MAX($C9:$D9),MAX($F9:$G9),MAX($I9:$J9),MAX($L9:$M9),MAX($O9:$Q9),MAX($S9:$T9)),2)</f>
        <v/>
      </c>
      <c r="AA9">
        <f>LARGE(CHOOSE({1,2,3,4,5,6},MAX($C9:$D9),MAX($F9:$G9),MAX($I9:$J9),MAX($L9:$M9),MAX($O9:$Q9),MAX($S9:$T9)),3)</f>
        <v/>
      </c>
      <c r="AB9">
        <f>LARGE(CHOOSE({1,2,3,4,5,6},MAX($C9:$D9),MAX($F9:$G9),MAX($I9:$J9),MAX($L9:$M9),MAX($O9:$Q9),MAX($S9:$T9)),4)</f>
        <v/>
      </c>
      <c r="AD9">
        <f>IF(AND($Y9&lt;&gt;0,MAX($C9:$D9)=$Y9,TRUE),IF(D9=$Y9,4,IF(C9=$Y9,3,"")),IF(AND($Y9&lt;&gt;0,MAX($F9:$G9)=$Y9,TRUE),IF(G9=$Y9,7,IF(F9=$Y9,6,"")),IF(AND($Y9&lt;&gt;0,MAX($I9:$J9)=$Y9,TRUE),IF(J9=$Y9,10,IF(I9=$Y9,9,"")),IF(AND($Y9&lt;&gt;0,MAX($L9:$M9)=$Y9,TRUE),IF(M9=$Y9,13,IF(L9=$Y9,12,"")),IF(AND($Y9&lt;&gt;0,MAX($O9:$Q9)=$Y9,TRUE),IF(Q9=$Y9,17,IF(P9=$Y9,16,IF(O9=$Y9,15,""))),IF(AND($Y9&lt;&gt;0,MAX($S9:$T9)=$Y9,TRUE),IF(T9=$Y9,20,IF(S9=$Y9,19,"")),""))))))</f>
        <v/>
      </c>
      <c r="AE9">
        <f>IF(AND($Z9&lt;&gt;0,MAX($C9:$D9)=$Z9,COUNTIF($AD9:$AD9,4)=0),IF(D9=$Z9,4,IF(C9=$Z9,3,"")),IF(AND($Z9&lt;&gt;0,MAX($F9:$G9)=$Z9,COUNTIF($AD9:$AD9,7)=0),IF(G9=$Z9,7,IF(F9=$Z9,6,"")),IF(AND($Z9&lt;&gt;0,MAX($I9:$J9)=$Z9,COUNTIF($AD9:$AD9,10)=0),IF(J9=$Z9,10,IF(I9=$Z9,9,"")),IF(AND($Z9&lt;&gt;0,MAX($L9:$M9)=$Z9,COUNTIF($AD9:$AD9,13)=0),IF(M9=$Z9,13,IF(L9=$Z9,12,"")),IF(AND($Z9&lt;&gt;0,MAX($O9:$Q9)=$Z9,COUNTIF($AD9:$AD9,16)=0),IF(Q9=$Z9,17,IF(P9=$Z9,16,IF(O9=$Z9,15,""))),IF(AND($Z9&lt;&gt;0,MAX($S9:$T9)=$Z9,COUNTIF($AD9:$AD9,19)=0),IF(T9=$Z9,20,IF(S9=$Z9,19,"")),""))))))</f>
        <v/>
      </c>
      <c r="AF9">
        <f>IF(AND($AA9&lt;&gt;0,MAX($C9:$D9)=$AA9,COUNTIF($AD9:$AE9,4)=0),IF(D9=$AA9,4,IF(C9=$AA9,3,"")),IF(AND($AA9&lt;&gt;0,MAX($F9:$G9)=$AA9,COUNTIF($AD9:$AE9,7)=0),IF(G9=$AA9,7,IF(F9=$AA9,6,"")),IF(AND($AA9&lt;&gt;0,MAX($I9:$J9)=$AA9,COUNTIF($AD9:$AE9,10)=0),IF(J9=$AA9,10,IF(I9=$AA9,9,"")),IF(AND($AA9&lt;&gt;0,MAX($L9:$M9)=$AA9,COUNTIF($AD9:$AE9,13)=0),IF(M9=$AA9,13,IF(L9=$AA9,12,"")),IF(AND($AA9&lt;&gt;0,MAX($O9:$Q9)=$AA9,COUNTIF($AD9:$AE9,16)=0),IF(Q9=$AA9,17,IF(P9=$AA9,16,IF(O9=$AA9,15,""))),IF(AND($AA9&lt;&gt;0,MAX($S9:$T9)=$AA9,COUNTIF($AD9:$AE9,19)=0),IF(T9=$AA9,20,IF(S9=$AA9,19,"")),""))))))</f>
        <v/>
      </c>
      <c r="AG9">
        <f>IF(AND($AB9&lt;&gt;0,MAX($C9:$D9)=$AB9,COUNTIF($AD9:$AF9,4)=0),IF(D9=$AB9,4,IF(C9=$AB9,3,"")),IF(AND($AB9&lt;&gt;0,MAX($F9:$G9)=$AB9,COUNTIF($AD9:$AF9,7)=0),IF(G9=$AB9,7,IF(F9=$AB9,6,"")),IF(AND($AB9&lt;&gt;0,MAX($I9:$J9)=$AB9,COUNTIF($AD9:$AF9,10)=0),IF(J9=$AB9,10,IF(I9=$AB9,9,"")),IF(AND($AB9&lt;&gt;0,MAX($L9:$M9)=$AB9,COUNTIF($AD9:$AF9,13)=0),IF(M9=$AB9,13,IF(L9=$AB9,12,"")),IF(AND($AB9&lt;&gt;0,MAX($O9:$Q9)=$AB9,COUNTIF($AD9:$AF9,16)=0),IF(Q9=$AB9,17,IF(P9=$AB9,16,IF(O9=$AB9,15,""))),IF(AND($AB9&lt;&gt;0,MAX($S9:$T9)=$AB9,COUNTIF($AD9:$AF9,19)=0),IF(T9=$AB9,20,IF(S9=$AB9,19,"")),""))))))</f>
        <v/>
      </c>
    </row>
    <row r="10">
      <c r="A10" t="n">
        <v>8</v>
      </c>
      <c r="B10" t="inlineStr">
        <is>
          <t>Craig Hinton</t>
        </is>
      </c>
      <c r="D10" t="n">
        <v>191</v>
      </c>
      <c r="L10" t="n">
        <v>202</v>
      </c>
      <c r="S10" t="n">
        <v>214</v>
      </c>
      <c r="W10">
        <f>SUM(LARGE(CHOOSE({1,2,3,4,5,6},MAX(C10:D10),MAX(F10:G10),MAX(I10:J10),MAX(L10:M10),MAX(O10:Q10),MAX(S10:T10)),{1,2,3,4}),V10)</f>
        <v/>
      </c>
      <c r="X10">
        <f>IF((--SUMPRODUCT((CHOOSE({1,2,3,4},MAX(C10:D10),MAX(F10:G10),MAX(I10:J10),MAX(L10:M10))&gt;0)*1)&gt;=3)+(--SUMPRODUCT((CHOOSE({1,2,3,4,5},MAX(#REF!),MAX(O10:Q10),MAX(S10:T10),MAX(#REF!),MAX(#REF!))&gt;0)*1)&gt;=3)=2,"Y","N")</f>
        <v/>
      </c>
      <c r="Y10">
        <f>LARGE(CHOOSE({1,2,3,4,5,6},MAX($C10:$D10),MAX($F10:$G10),MAX($I10:$J10),MAX($L10:$M10),MAX($O10:$Q10),MAX($S10:$T10)),1)</f>
        <v/>
      </c>
      <c r="Z10">
        <f>LARGE(CHOOSE({1,2,3,4,5,6},MAX($C10:$D10),MAX($F10:$G10),MAX($I10:$J10),MAX($L10:$M10),MAX($O10:$Q10),MAX($S10:$T10)),2)</f>
        <v/>
      </c>
      <c r="AA10">
        <f>LARGE(CHOOSE({1,2,3,4,5,6},MAX($C10:$D10),MAX($F10:$G10),MAX($I10:$J10),MAX($L10:$M10),MAX($O10:$Q10),MAX($S10:$T10)),3)</f>
        <v/>
      </c>
      <c r="AB10">
        <f>LARGE(CHOOSE({1,2,3,4,5,6},MAX($C10:$D10),MAX($F10:$G10),MAX($I10:$J10),MAX($L10:$M10),MAX($O10:$Q10),MAX($S10:$T10)),4)</f>
        <v/>
      </c>
      <c r="AD10">
        <f>IF(AND($Y10&lt;&gt;0,MAX($C10:$D10)=$Y10,TRUE),IF(D10=$Y10,4,IF(C10=$Y10,3,"")),IF(AND($Y10&lt;&gt;0,MAX($F10:$G10)=$Y10,TRUE),IF(G10=$Y10,7,IF(F10=$Y10,6,"")),IF(AND($Y10&lt;&gt;0,MAX($I10:$J10)=$Y10,TRUE),IF(J10=$Y10,10,IF(I10=$Y10,9,"")),IF(AND($Y10&lt;&gt;0,MAX($L10:$M10)=$Y10,TRUE),IF(M10=$Y10,13,IF(L10=$Y10,12,"")),IF(AND($Y10&lt;&gt;0,MAX($O10:$Q10)=$Y10,TRUE),IF(Q10=$Y10,17,IF(P10=$Y10,16,IF(O10=$Y10,15,""))),IF(AND($Y10&lt;&gt;0,MAX($S10:$T10)=$Y10,TRUE),IF(T10=$Y10,20,IF(S10=$Y10,19,"")),""))))))</f>
        <v/>
      </c>
      <c r="AE10">
        <f>IF(AND($Z10&lt;&gt;0,MAX($C10:$D10)=$Z10,COUNTIF($AD10:$AD10,4)=0),IF(D10=$Z10,4,IF(C10=$Z10,3,"")),IF(AND($Z10&lt;&gt;0,MAX($F10:$G10)=$Z10,COUNTIF($AD10:$AD10,7)=0),IF(G10=$Z10,7,IF(F10=$Z10,6,"")),IF(AND($Z10&lt;&gt;0,MAX($I10:$J10)=$Z10,COUNTIF($AD10:$AD10,10)=0),IF(J10=$Z10,10,IF(I10=$Z10,9,"")),IF(AND($Z10&lt;&gt;0,MAX($L10:$M10)=$Z10,COUNTIF($AD10:$AD10,13)=0),IF(M10=$Z10,13,IF(L10=$Z10,12,"")),IF(AND($Z10&lt;&gt;0,MAX($O10:$Q10)=$Z10,COUNTIF($AD10:$AD10,16)=0),IF(Q10=$Z10,17,IF(P10=$Z10,16,IF(O10=$Z10,15,""))),IF(AND($Z10&lt;&gt;0,MAX($S10:$T10)=$Z10,COUNTIF($AD10:$AD10,19)=0),IF(T10=$Z10,20,IF(S10=$Z10,19,"")),""))))))</f>
        <v/>
      </c>
      <c r="AF10">
        <f>IF(AND($AA10&lt;&gt;0,MAX($C10:$D10)=$AA10,COUNTIF($AD10:$AE10,4)=0),IF(D10=$AA10,4,IF(C10=$AA10,3,"")),IF(AND($AA10&lt;&gt;0,MAX($F10:$G10)=$AA10,COUNTIF($AD10:$AE10,7)=0),IF(G10=$AA10,7,IF(F10=$AA10,6,"")),IF(AND($AA10&lt;&gt;0,MAX($I10:$J10)=$AA10,COUNTIF($AD10:$AE10,10)=0),IF(J10=$AA10,10,IF(I10=$AA10,9,"")),IF(AND($AA10&lt;&gt;0,MAX($L10:$M10)=$AA10,COUNTIF($AD10:$AE10,13)=0),IF(M10=$AA10,13,IF(L10=$AA10,12,"")),IF(AND($AA10&lt;&gt;0,MAX($O10:$Q10)=$AA10,COUNTIF($AD10:$AE10,16)=0),IF(Q10=$AA10,17,IF(P10=$AA10,16,IF(O10=$AA10,15,""))),IF(AND($AA10&lt;&gt;0,MAX($S10:$T10)=$AA10,COUNTIF($AD10:$AE10,19)=0),IF(T10=$AA10,20,IF(S10=$AA10,19,"")),""))))))</f>
        <v/>
      </c>
      <c r="AG10">
        <f>IF(AND($AB10&lt;&gt;0,MAX($C10:$D10)=$AB10,COUNTIF($AD10:$AF10,4)=0),IF(D10=$AB10,4,IF(C10=$AB10,3,"")),IF(AND($AB10&lt;&gt;0,MAX($F10:$G10)=$AB10,COUNTIF($AD10:$AF10,7)=0),IF(G10=$AB10,7,IF(F10=$AB10,6,"")),IF(AND($AB10&lt;&gt;0,MAX($I10:$J10)=$AB10,COUNTIF($AD10:$AF10,10)=0),IF(J10=$AB10,10,IF(I10=$AB10,9,"")),IF(AND($AB10&lt;&gt;0,MAX($L10:$M10)=$AB10,COUNTIF($AD10:$AF10,13)=0),IF(M10=$AB10,13,IF(L10=$AB10,12,"")),IF(AND($AB10&lt;&gt;0,MAX($O10:$Q10)=$AB10,COUNTIF($AD10:$AF10,16)=0),IF(Q10=$AB10,17,IF(P10=$AB10,16,IF(O10=$AB10,15,""))),IF(AND($AB10&lt;&gt;0,MAX($S10:$T10)=$AB10,COUNTIF($AD10:$AF10,19)=0),IF(T10=$AB10,20,IF(S10=$AB10,19,"")),""))))))</f>
        <v/>
      </c>
    </row>
    <row r="11">
      <c r="A11" t="n">
        <v>9</v>
      </c>
      <c r="B11" t="inlineStr">
        <is>
          <t>Ricky Tebow</t>
        </is>
      </c>
      <c r="I11" t="n">
        <v>201</v>
      </c>
      <c r="L11" t="n">
        <v>193</v>
      </c>
      <c r="S11" t="n">
        <v>206</v>
      </c>
      <c r="W11">
        <f>SUM(LARGE(CHOOSE({1,2,3,4,5,6},MAX(C11:D11),MAX(F11:G11),MAX(I11:J11),MAX(L11:M11),MAX(O11:Q11),MAX(S11:T11)),{1,2,3,4}),V11)</f>
        <v/>
      </c>
      <c r="X11">
        <f>IF((--SUMPRODUCT((CHOOSE({1,2,3,4},MAX(C11:D11),MAX(F11:G11),MAX(I11:J11),MAX(L11:M11))&gt;0)*1)&gt;=3)+(--SUMPRODUCT((CHOOSE({1,2,3,4,5},MAX(#REF!),MAX(O11:Q11),MAX(S11:T11),MAX(#REF!),MAX(#REF!))&gt;0)*1)&gt;=3)=2,"Y","N")</f>
        <v/>
      </c>
      <c r="Y11">
        <f>LARGE(CHOOSE({1,2,3,4,5,6},MAX($C11:$D11),MAX($F11:$G11),MAX($I11:$J11),MAX($L11:$M11),MAX($O11:$Q11),MAX($S11:$T11)),1)</f>
        <v/>
      </c>
      <c r="Z11">
        <f>LARGE(CHOOSE({1,2,3,4,5,6},MAX($C11:$D11),MAX($F11:$G11),MAX($I11:$J11),MAX($L11:$M11),MAX($O11:$Q11),MAX($S11:$T11)),2)</f>
        <v/>
      </c>
      <c r="AA11">
        <f>LARGE(CHOOSE({1,2,3,4,5,6},MAX($C11:$D11),MAX($F11:$G11),MAX($I11:$J11),MAX($L11:$M11),MAX($O11:$Q11),MAX($S11:$T11)),3)</f>
        <v/>
      </c>
      <c r="AB11">
        <f>LARGE(CHOOSE({1,2,3,4,5,6},MAX($C11:$D11),MAX($F11:$G11),MAX($I11:$J11),MAX($L11:$M11),MAX($O11:$Q11),MAX($S11:$T11)),4)</f>
        <v/>
      </c>
      <c r="AD11">
        <f>IF(AND($Y11&lt;&gt;0,MAX($C11:$D11)=$Y11,TRUE),IF(D11=$Y11,4,IF(C11=$Y11,3,"")),IF(AND($Y11&lt;&gt;0,MAX($F11:$G11)=$Y11,TRUE),IF(G11=$Y11,7,IF(F11=$Y11,6,"")),IF(AND($Y11&lt;&gt;0,MAX($I11:$J11)=$Y11,TRUE),IF(J11=$Y11,10,IF(I11=$Y11,9,"")),IF(AND($Y11&lt;&gt;0,MAX($L11:$M11)=$Y11,TRUE),IF(M11=$Y11,13,IF(L11=$Y11,12,"")),IF(AND($Y11&lt;&gt;0,MAX($O11:$Q11)=$Y11,TRUE),IF(Q11=$Y11,17,IF(P11=$Y11,16,IF(O11=$Y11,15,""))),IF(AND($Y11&lt;&gt;0,MAX($S11:$T11)=$Y11,TRUE),IF(T11=$Y11,20,IF(S11=$Y11,19,"")),""))))))</f>
        <v/>
      </c>
      <c r="AE11">
        <f>IF(AND($Z11&lt;&gt;0,MAX($C11:$D11)=$Z11,COUNTIF($AD11:$AD11,4)=0),IF(D11=$Z11,4,IF(C11=$Z11,3,"")),IF(AND($Z11&lt;&gt;0,MAX($F11:$G11)=$Z11,COUNTIF($AD11:$AD11,7)=0),IF(G11=$Z11,7,IF(F11=$Z11,6,"")),IF(AND($Z11&lt;&gt;0,MAX($I11:$J11)=$Z11,COUNTIF($AD11:$AD11,10)=0),IF(J11=$Z11,10,IF(I11=$Z11,9,"")),IF(AND($Z11&lt;&gt;0,MAX($L11:$M11)=$Z11,COUNTIF($AD11:$AD11,13)=0),IF(M11=$Z11,13,IF(L11=$Z11,12,"")),IF(AND($Z11&lt;&gt;0,MAX($O11:$Q11)=$Z11,COUNTIF($AD11:$AD11,16)=0),IF(Q11=$Z11,17,IF(P11=$Z11,16,IF(O11=$Z11,15,""))),IF(AND($Z11&lt;&gt;0,MAX($S11:$T11)=$Z11,COUNTIF($AD11:$AD11,19)=0),IF(T11=$Z11,20,IF(S11=$Z11,19,"")),""))))))</f>
        <v/>
      </c>
      <c r="AF11">
        <f>IF(AND($AA11&lt;&gt;0,MAX($C11:$D11)=$AA11,COUNTIF($AD11:$AE11,4)=0),IF(D11=$AA11,4,IF(C11=$AA11,3,"")),IF(AND($AA11&lt;&gt;0,MAX($F11:$G11)=$AA11,COUNTIF($AD11:$AE11,7)=0),IF(G11=$AA11,7,IF(F11=$AA11,6,"")),IF(AND($AA11&lt;&gt;0,MAX($I11:$J11)=$AA11,COUNTIF($AD11:$AE11,10)=0),IF(J11=$AA11,10,IF(I11=$AA11,9,"")),IF(AND($AA11&lt;&gt;0,MAX($L11:$M11)=$AA11,COUNTIF($AD11:$AE11,13)=0),IF(M11=$AA11,13,IF(L11=$AA11,12,"")),IF(AND($AA11&lt;&gt;0,MAX($O11:$Q11)=$AA11,COUNTIF($AD11:$AE11,16)=0),IF(Q11=$AA11,17,IF(P11=$AA11,16,IF(O11=$AA11,15,""))),IF(AND($AA11&lt;&gt;0,MAX($S11:$T11)=$AA11,COUNTIF($AD11:$AE11,19)=0),IF(T11=$AA11,20,IF(S11=$AA11,19,"")),""))))))</f>
        <v/>
      </c>
      <c r="AG11">
        <f>IF(AND($AB11&lt;&gt;0,MAX($C11:$D11)=$AB11,COUNTIF($AD11:$AF11,4)=0),IF(D11=$AB11,4,IF(C11=$AB11,3,"")),IF(AND($AB11&lt;&gt;0,MAX($F11:$G11)=$AB11,COUNTIF($AD11:$AF11,7)=0),IF(G11=$AB11,7,IF(F11=$AB11,6,"")),IF(AND($AB11&lt;&gt;0,MAX($I11:$J11)=$AB11,COUNTIF($AD11:$AF11,10)=0),IF(J11=$AB11,10,IF(I11=$AB11,9,"")),IF(AND($AB11&lt;&gt;0,MAX($L11:$M11)=$AB11,COUNTIF($AD11:$AF11,13)=0),IF(M11=$AB11,13,IF(L11=$AB11,12,"")),IF(AND($AB11&lt;&gt;0,MAX($O11:$Q11)=$AB11,COUNTIF($AD11:$AF11,16)=0),IF(Q11=$AB11,17,IF(P11=$AB11,16,IF(O11=$AB11,15,""))),IF(AND($AB11&lt;&gt;0,MAX($S11:$T11)=$AB11,COUNTIF($AD11:$AF11,19)=0),IF(T11=$AB11,20,IF(S11=$AB11,19,"")),""))))))</f>
        <v/>
      </c>
    </row>
    <row r="12">
      <c r="A12" t="n">
        <v>10</v>
      </c>
      <c r="B12" t="inlineStr">
        <is>
          <t>Scott Fletcher</t>
        </is>
      </c>
      <c r="L12" t="n">
        <v>206</v>
      </c>
      <c r="M12" t="n">
        <v>216</v>
      </c>
      <c r="W12">
        <f>SUM(LARGE(CHOOSE({1,2,3,4,5,6},MAX(C12:D12),MAX(F12:G12),MAX(I12:J12),MAX(L12:M12),MAX(O12:Q12),MAX(S12:T12)),{1,2,3,4}),V12)</f>
        <v/>
      </c>
      <c r="X12">
        <f>IF((--SUMPRODUCT((CHOOSE({1,2,3,4},MAX(C12:D12),MAX(F12:G12),MAX(I12:J12),MAX(L12:M12))&gt;0)*1)&gt;=3)+(--SUMPRODUCT((CHOOSE({1,2,3,4,5},MAX(#REF!),MAX(O12:Q12),MAX(S12:T12),MAX(#REF!),MAX(#REF!))&gt;0)*1)&gt;=3)=2,"Y","N")</f>
        <v/>
      </c>
      <c r="Y12">
        <f>LARGE(CHOOSE({1,2,3,4,5,6},MAX($C12:$D12),MAX($F12:$G12),MAX($I12:$J12),MAX($L12:$M12),MAX($O12:$Q12),MAX($S12:$T12)),1)</f>
        <v/>
      </c>
      <c r="Z12">
        <f>LARGE(CHOOSE({1,2,3,4,5,6},MAX($C12:$D12),MAX($F12:$G12),MAX($I12:$J12),MAX($L12:$M12),MAX($O12:$Q12),MAX($S12:$T12)),2)</f>
        <v/>
      </c>
      <c r="AA12">
        <f>LARGE(CHOOSE({1,2,3,4,5,6},MAX($C12:$D12),MAX($F12:$G12),MAX($I12:$J12),MAX($L12:$M12),MAX($O12:$Q12),MAX($S12:$T12)),3)</f>
        <v/>
      </c>
      <c r="AB12">
        <f>LARGE(CHOOSE({1,2,3,4,5,6},MAX($C12:$D12),MAX($F12:$G12),MAX($I12:$J12),MAX($L12:$M12),MAX($O12:$Q12),MAX($S12:$T12)),4)</f>
        <v/>
      </c>
      <c r="AD12">
        <f>IF(AND($Y12&lt;&gt;0,MAX($C12:$D12)=$Y12,TRUE),IF(D12=$Y12,4,IF(C12=$Y12,3,"")),IF(AND($Y12&lt;&gt;0,MAX($F12:$G12)=$Y12,TRUE),IF(G12=$Y12,7,IF(F12=$Y12,6,"")),IF(AND($Y12&lt;&gt;0,MAX($I12:$J12)=$Y12,TRUE),IF(J12=$Y12,10,IF(I12=$Y12,9,"")),IF(AND($Y12&lt;&gt;0,MAX($L12:$M12)=$Y12,TRUE),IF(M12=$Y12,13,IF(L12=$Y12,12,"")),IF(AND($Y12&lt;&gt;0,MAX($O12:$Q12)=$Y12,TRUE),IF(Q12=$Y12,17,IF(P12=$Y12,16,IF(O12=$Y12,15,""))),IF(AND($Y12&lt;&gt;0,MAX($S12:$T12)=$Y12,TRUE),IF(T12=$Y12,20,IF(S12=$Y12,19,"")),""))))))</f>
        <v/>
      </c>
      <c r="AE12">
        <f>IF(AND($Z12&lt;&gt;0,MAX($C12:$D12)=$Z12,COUNTIF($AD12:$AD12,4)=0),IF(D12=$Z12,4,IF(C12=$Z12,3,"")),IF(AND($Z12&lt;&gt;0,MAX($F12:$G12)=$Z12,COUNTIF($AD12:$AD12,7)=0),IF(G12=$Z12,7,IF(F12=$Z12,6,"")),IF(AND($Z12&lt;&gt;0,MAX($I12:$J12)=$Z12,COUNTIF($AD12:$AD12,10)=0),IF(J12=$Z12,10,IF(I12=$Z12,9,"")),IF(AND($Z12&lt;&gt;0,MAX($L12:$M12)=$Z12,COUNTIF($AD12:$AD12,13)=0),IF(M12=$Z12,13,IF(L12=$Z12,12,"")),IF(AND($Z12&lt;&gt;0,MAX($O12:$Q12)=$Z12,COUNTIF($AD12:$AD12,16)=0),IF(Q12=$Z12,17,IF(P12=$Z12,16,IF(O12=$Z12,15,""))),IF(AND($Z12&lt;&gt;0,MAX($S12:$T12)=$Z12,COUNTIF($AD12:$AD12,19)=0),IF(T12=$Z12,20,IF(S12=$Z12,19,"")),""))))))</f>
        <v/>
      </c>
      <c r="AF12">
        <f>IF(AND($AA12&lt;&gt;0,MAX($C12:$D12)=$AA12,COUNTIF($AD12:$AE12,4)=0),IF(D12=$AA12,4,IF(C12=$AA12,3,"")),IF(AND($AA12&lt;&gt;0,MAX($F12:$G12)=$AA12,COUNTIF($AD12:$AE12,7)=0),IF(G12=$AA12,7,IF(F12=$AA12,6,"")),IF(AND($AA12&lt;&gt;0,MAX($I12:$J12)=$AA12,COUNTIF($AD12:$AE12,10)=0),IF(J12=$AA12,10,IF(I12=$AA12,9,"")),IF(AND($AA12&lt;&gt;0,MAX($L12:$M12)=$AA12,COUNTIF($AD12:$AE12,13)=0),IF(M12=$AA12,13,IF(L12=$AA12,12,"")),IF(AND($AA12&lt;&gt;0,MAX($O12:$Q12)=$AA12,COUNTIF($AD12:$AE12,16)=0),IF(Q12=$AA12,17,IF(P12=$AA12,16,IF(O12=$AA12,15,""))),IF(AND($AA12&lt;&gt;0,MAX($S12:$T12)=$AA12,COUNTIF($AD12:$AE12,19)=0),IF(T12=$AA12,20,IF(S12=$AA12,19,"")),""))))))</f>
        <v/>
      </c>
      <c r="AG12">
        <f>IF(AND($AB12&lt;&gt;0,MAX($C12:$D12)=$AB12,COUNTIF($AD12:$AF12,4)=0),IF(D12=$AB12,4,IF(C12=$AB12,3,"")),IF(AND($AB12&lt;&gt;0,MAX($F12:$G12)=$AB12,COUNTIF($AD12:$AF12,7)=0),IF(G12=$AB12,7,IF(F12=$AB12,6,"")),IF(AND($AB12&lt;&gt;0,MAX($I12:$J12)=$AB12,COUNTIF($AD12:$AF12,10)=0),IF(J12=$AB12,10,IF(I12=$AB12,9,"")),IF(AND($AB12&lt;&gt;0,MAX($L12:$M12)=$AB12,COUNTIF($AD12:$AF12,13)=0),IF(M12=$AB12,13,IF(L12=$AB12,12,"")),IF(AND($AB12&lt;&gt;0,MAX($O12:$Q12)=$AB12,COUNTIF($AD12:$AF12,16)=0),IF(Q12=$AB12,17,IF(P12=$AB12,16,IF(O12=$AB12,15,""))),IF(AND($AB12&lt;&gt;0,MAX($S12:$T12)=$AB12,COUNTIF($AD12:$AF12,19)=0),IF(T12=$AB12,20,IF(S12=$AB12,19,"")),""))))))</f>
        <v/>
      </c>
    </row>
    <row r="13">
      <c r="A13" t="n">
        <v>11</v>
      </c>
      <c r="B13" t="inlineStr">
        <is>
          <t>Skipper Atwood</t>
        </is>
      </c>
      <c r="C13" t="n">
        <v>198</v>
      </c>
      <c r="M13" t="n">
        <v>204</v>
      </c>
      <c r="W13">
        <f>SUM(LARGE(CHOOSE({1,2,3,4,5,6},MAX(C13:D13),MAX(F13:G13),MAX(I13:J13),MAX(L13:M13),MAX(O13:Q13),MAX(S13:T13)),{1,2,3,4}),V13)</f>
        <v/>
      </c>
      <c r="X13">
        <f>IF((--SUMPRODUCT((CHOOSE({1,2,3,4},MAX(C13:D13),MAX(F13:G13),MAX(I13:J13),MAX(L13:M13))&gt;0)*1)&gt;=3)+(--SUMPRODUCT((CHOOSE({1,2,3,4,5},MAX(#REF!),MAX(O13:Q13),MAX(S13:T13),MAX(#REF!),MAX(#REF!))&gt;0)*1)&gt;=3)=2,"Y","N")</f>
        <v/>
      </c>
      <c r="Y13">
        <f>LARGE(CHOOSE({1,2,3,4,5,6},MAX($C13:$D13),MAX($F13:$G13),MAX($I13:$J13),MAX($L13:$M13),MAX($O13:$Q13),MAX($S13:$T13)),1)</f>
        <v/>
      </c>
      <c r="Z13">
        <f>LARGE(CHOOSE({1,2,3,4,5,6},MAX($C13:$D13),MAX($F13:$G13),MAX($I13:$J13),MAX($L13:$M13),MAX($O13:$Q13),MAX($S13:$T13)),2)</f>
        <v/>
      </c>
      <c r="AA13">
        <f>LARGE(CHOOSE({1,2,3,4,5,6},MAX($C13:$D13),MAX($F13:$G13),MAX($I13:$J13),MAX($L13:$M13),MAX($O13:$Q13),MAX($S13:$T13)),3)</f>
        <v/>
      </c>
      <c r="AB13">
        <f>LARGE(CHOOSE({1,2,3,4,5,6},MAX($C13:$D13),MAX($F13:$G13),MAX($I13:$J13),MAX($L13:$M13),MAX($O13:$Q13),MAX($S13:$T13)),4)</f>
        <v/>
      </c>
      <c r="AD13">
        <f>IF(AND($Y13&lt;&gt;0,MAX($C13:$D13)=$Y13,TRUE),IF(D13=$Y13,4,IF(C13=$Y13,3,"")),IF(AND($Y13&lt;&gt;0,MAX($F13:$G13)=$Y13,TRUE),IF(G13=$Y13,7,IF(F13=$Y13,6,"")),IF(AND($Y13&lt;&gt;0,MAX($I13:$J13)=$Y13,TRUE),IF(J13=$Y13,10,IF(I13=$Y13,9,"")),IF(AND($Y13&lt;&gt;0,MAX($L13:$M13)=$Y13,TRUE),IF(M13=$Y13,13,IF(L13=$Y13,12,"")),IF(AND($Y13&lt;&gt;0,MAX($O13:$Q13)=$Y13,TRUE),IF(Q13=$Y13,17,IF(P13=$Y13,16,IF(O13=$Y13,15,""))),IF(AND($Y13&lt;&gt;0,MAX($S13:$T13)=$Y13,TRUE),IF(T13=$Y13,20,IF(S13=$Y13,19,"")),""))))))</f>
        <v/>
      </c>
      <c r="AE13">
        <f>IF(AND($Z13&lt;&gt;0,MAX($C13:$D13)=$Z13,COUNTIF($AD13:$AD13,4)=0),IF(D13=$Z13,4,IF(C13=$Z13,3,"")),IF(AND($Z13&lt;&gt;0,MAX($F13:$G13)=$Z13,COUNTIF($AD13:$AD13,7)=0),IF(G13=$Z13,7,IF(F13=$Z13,6,"")),IF(AND($Z13&lt;&gt;0,MAX($I13:$J13)=$Z13,COUNTIF($AD13:$AD13,10)=0),IF(J13=$Z13,10,IF(I13=$Z13,9,"")),IF(AND($Z13&lt;&gt;0,MAX($L13:$M13)=$Z13,COUNTIF($AD13:$AD13,13)=0),IF(M13=$Z13,13,IF(L13=$Z13,12,"")),IF(AND($Z13&lt;&gt;0,MAX($O13:$Q13)=$Z13,COUNTIF($AD13:$AD13,16)=0),IF(Q13=$Z13,17,IF(P13=$Z13,16,IF(O13=$Z13,15,""))),IF(AND($Z13&lt;&gt;0,MAX($S13:$T13)=$Z13,COUNTIF($AD13:$AD13,19)=0),IF(T13=$Z13,20,IF(S13=$Z13,19,"")),""))))))</f>
        <v/>
      </c>
      <c r="AF13">
        <f>IF(AND($AA13&lt;&gt;0,MAX($C13:$D13)=$AA13,COUNTIF($AD13:$AE13,4)=0),IF(D13=$AA13,4,IF(C13=$AA13,3,"")),IF(AND($AA13&lt;&gt;0,MAX($F13:$G13)=$AA13,COUNTIF($AD13:$AE13,7)=0),IF(G13=$AA13,7,IF(F13=$AA13,6,"")),IF(AND($AA13&lt;&gt;0,MAX($I13:$J13)=$AA13,COUNTIF($AD13:$AE13,10)=0),IF(J13=$AA13,10,IF(I13=$AA13,9,"")),IF(AND($AA13&lt;&gt;0,MAX($L13:$M13)=$AA13,COUNTIF($AD13:$AE13,13)=0),IF(M13=$AA13,13,IF(L13=$AA13,12,"")),IF(AND($AA13&lt;&gt;0,MAX($O13:$Q13)=$AA13,COUNTIF($AD13:$AE13,16)=0),IF(Q13=$AA13,17,IF(P13=$AA13,16,IF(O13=$AA13,15,""))),IF(AND($AA13&lt;&gt;0,MAX($S13:$T13)=$AA13,COUNTIF($AD13:$AE13,19)=0),IF(T13=$AA13,20,IF(S13=$AA13,19,"")),""))))))</f>
        <v/>
      </c>
      <c r="AG13">
        <f>IF(AND($AB13&lt;&gt;0,MAX($C13:$D13)=$AB13,COUNTIF($AD13:$AF13,4)=0),IF(D13=$AB13,4,IF(C13=$AB13,3,"")),IF(AND($AB13&lt;&gt;0,MAX($F13:$G13)=$AB13,COUNTIF($AD13:$AF13,7)=0),IF(G13=$AB13,7,IF(F13=$AB13,6,"")),IF(AND($AB13&lt;&gt;0,MAX($I13:$J13)=$AB13,COUNTIF($AD13:$AF13,10)=0),IF(J13=$AB13,10,IF(I13=$AB13,9,"")),IF(AND($AB13&lt;&gt;0,MAX($L13:$M13)=$AB13,COUNTIF($AD13:$AF13,13)=0),IF(M13=$AB13,13,IF(L13=$AB13,12,"")),IF(AND($AB13&lt;&gt;0,MAX($O13:$Q13)=$AB13,COUNTIF($AD13:$AF13,16)=0),IF(Q13=$AB13,17,IF(P13=$AB13,16,IF(O13=$AB13,15,""))),IF(AND($AB13&lt;&gt;0,MAX($S13:$T13)=$AB13,COUNTIF($AD13:$AF13,19)=0),IF(T13=$AB13,20,IF(S13=$AB13,19,"")),""))))))</f>
        <v/>
      </c>
    </row>
    <row r="14">
      <c r="A14" t="n">
        <v>12</v>
      </c>
      <c r="B14" t="inlineStr">
        <is>
          <t>Drake Luc</t>
        </is>
      </c>
      <c r="I14" t="n">
        <v>206</v>
      </c>
      <c r="L14" t="n">
        <v>190</v>
      </c>
      <c r="W14">
        <f>SUM(LARGE(CHOOSE({1,2,3,4,5,6},MAX(C14:D14),MAX(F14:G14),MAX(I14:J14),MAX(L14:M14),MAX(O14:Q14),MAX(S14:T14)),{1,2,3,4}),V14)</f>
        <v/>
      </c>
      <c r="X14">
        <f>IF((--SUMPRODUCT((CHOOSE({1,2,3,4},MAX(C14:D14),MAX(F14:G14),MAX(I14:J14),MAX(L14:M14))&gt;0)*1)&gt;=3)+(--SUMPRODUCT((CHOOSE({1,2,3,4,5},MAX(#REF!),MAX(O14:Q14),MAX(S14:T14),MAX(#REF!),MAX(#REF!))&gt;0)*1)&gt;=3)=2,"Y","N")</f>
        <v/>
      </c>
      <c r="Y14">
        <f>LARGE(CHOOSE({1,2,3,4,5,6},MAX($C14:$D14),MAX($F14:$G14),MAX($I14:$J14),MAX($L14:$M14),MAX($O14:$Q14),MAX($S14:$T14)),1)</f>
        <v/>
      </c>
      <c r="Z14">
        <f>LARGE(CHOOSE({1,2,3,4,5,6},MAX($C14:$D14),MAX($F14:$G14),MAX($I14:$J14),MAX($L14:$M14),MAX($O14:$Q14),MAX($S14:$T14)),2)</f>
        <v/>
      </c>
      <c r="AA14">
        <f>LARGE(CHOOSE({1,2,3,4,5,6},MAX($C14:$D14),MAX($F14:$G14),MAX($I14:$J14),MAX($L14:$M14),MAX($O14:$Q14),MAX($S14:$T14)),3)</f>
        <v/>
      </c>
      <c r="AB14">
        <f>LARGE(CHOOSE({1,2,3,4,5,6},MAX($C14:$D14),MAX($F14:$G14),MAX($I14:$J14),MAX($L14:$M14),MAX($O14:$Q14),MAX($S14:$T14)),4)</f>
        <v/>
      </c>
      <c r="AD14">
        <f>IF(AND($Y14&lt;&gt;0,MAX($C14:$D14)=$Y14,TRUE),IF(D14=$Y14,4,IF(C14=$Y14,3,"")),IF(AND($Y14&lt;&gt;0,MAX($F14:$G14)=$Y14,TRUE),IF(G14=$Y14,7,IF(F14=$Y14,6,"")),IF(AND($Y14&lt;&gt;0,MAX($I14:$J14)=$Y14,TRUE),IF(J14=$Y14,10,IF(I14=$Y14,9,"")),IF(AND($Y14&lt;&gt;0,MAX($L14:$M14)=$Y14,TRUE),IF(M14=$Y14,13,IF(L14=$Y14,12,"")),IF(AND($Y14&lt;&gt;0,MAX($O14:$Q14)=$Y14,TRUE),IF(Q14=$Y14,17,IF(P14=$Y14,16,IF(O14=$Y14,15,""))),IF(AND($Y14&lt;&gt;0,MAX($S14:$T14)=$Y14,TRUE),IF(T14=$Y14,20,IF(S14=$Y14,19,"")),""))))))</f>
        <v/>
      </c>
      <c r="AE14">
        <f>IF(AND($Z14&lt;&gt;0,MAX($C14:$D14)=$Z14,COUNTIF($AD14:$AD14,4)=0),IF(D14=$Z14,4,IF(C14=$Z14,3,"")),IF(AND($Z14&lt;&gt;0,MAX($F14:$G14)=$Z14,COUNTIF($AD14:$AD14,7)=0),IF(G14=$Z14,7,IF(F14=$Z14,6,"")),IF(AND($Z14&lt;&gt;0,MAX($I14:$J14)=$Z14,COUNTIF($AD14:$AD14,10)=0),IF(J14=$Z14,10,IF(I14=$Z14,9,"")),IF(AND($Z14&lt;&gt;0,MAX($L14:$M14)=$Z14,COUNTIF($AD14:$AD14,13)=0),IF(M14=$Z14,13,IF(L14=$Z14,12,"")),IF(AND($Z14&lt;&gt;0,MAX($O14:$Q14)=$Z14,COUNTIF($AD14:$AD14,16)=0),IF(Q14=$Z14,17,IF(P14=$Z14,16,IF(O14=$Z14,15,""))),IF(AND($Z14&lt;&gt;0,MAX($S14:$T14)=$Z14,COUNTIF($AD14:$AD14,19)=0),IF(T14=$Z14,20,IF(S14=$Z14,19,"")),""))))))</f>
        <v/>
      </c>
      <c r="AF14">
        <f>IF(AND($AA14&lt;&gt;0,MAX($C14:$D14)=$AA14,COUNTIF($AD14:$AE14,4)=0),IF(D14=$AA14,4,IF(C14=$AA14,3,"")),IF(AND($AA14&lt;&gt;0,MAX($F14:$G14)=$AA14,COUNTIF($AD14:$AE14,7)=0),IF(G14=$AA14,7,IF(F14=$AA14,6,"")),IF(AND($AA14&lt;&gt;0,MAX($I14:$J14)=$AA14,COUNTIF($AD14:$AE14,10)=0),IF(J14=$AA14,10,IF(I14=$AA14,9,"")),IF(AND($AA14&lt;&gt;0,MAX($L14:$M14)=$AA14,COUNTIF($AD14:$AE14,13)=0),IF(M14=$AA14,13,IF(L14=$AA14,12,"")),IF(AND($AA14&lt;&gt;0,MAX($O14:$Q14)=$AA14,COUNTIF($AD14:$AE14,16)=0),IF(Q14=$AA14,17,IF(P14=$AA14,16,IF(O14=$AA14,15,""))),IF(AND($AA14&lt;&gt;0,MAX($S14:$T14)=$AA14,COUNTIF($AD14:$AE14,19)=0),IF(T14=$AA14,20,IF(S14=$AA14,19,"")),""))))))</f>
        <v/>
      </c>
      <c r="AG14">
        <f>IF(AND($AB14&lt;&gt;0,MAX($C14:$D14)=$AB14,COUNTIF($AD14:$AF14,4)=0),IF(D14=$AB14,4,IF(C14=$AB14,3,"")),IF(AND($AB14&lt;&gt;0,MAX($F14:$G14)=$AB14,COUNTIF($AD14:$AF14,7)=0),IF(G14=$AB14,7,IF(F14=$AB14,6,"")),IF(AND($AB14&lt;&gt;0,MAX($I14:$J14)=$AB14,COUNTIF($AD14:$AF14,10)=0),IF(J14=$AB14,10,IF(I14=$AB14,9,"")),IF(AND($AB14&lt;&gt;0,MAX($L14:$M14)=$AB14,COUNTIF($AD14:$AF14,13)=0),IF(M14=$AB14,13,IF(L14=$AB14,12,"")),IF(AND($AB14&lt;&gt;0,MAX($O14:$Q14)=$AB14,COUNTIF($AD14:$AF14,16)=0),IF(Q14=$AB14,17,IF(P14=$AB14,16,IF(O14=$AB14,15,""))),IF(AND($AB14&lt;&gt;0,MAX($S14:$T14)=$AB14,COUNTIF($AD14:$AF14,19)=0),IF(T14=$AB14,20,IF(S14=$AB14,19,"")),""))))))</f>
        <v/>
      </c>
    </row>
    <row r="15">
      <c r="A15" t="n">
        <v>13</v>
      </c>
      <c r="B15" t="inlineStr">
        <is>
          <t>Gentry Hodge</t>
        </is>
      </c>
      <c r="I15" t="n">
        <v>185</v>
      </c>
      <c r="S15" t="n">
        <v>193</v>
      </c>
      <c r="W15">
        <f>SUM(LARGE(CHOOSE({1,2,3,4,5,6},MAX(C15:D15),MAX(F15:G15),MAX(I15:J15),MAX(L15:M15),MAX(O15:Q15),MAX(S15:T15)),{1,2,3,4}),V15)</f>
        <v/>
      </c>
      <c r="X15">
        <f>IF((--SUMPRODUCT((CHOOSE({1,2,3,4},MAX(C15:D15),MAX(F15:G15),MAX(I15:J15),MAX(L15:M15))&gt;0)*1)&gt;=3)+(--SUMPRODUCT((CHOOSE({1,2,3,4,5},MAX(#REF!),MAX(O15:Q15),MAX(S15:T15),MAX(#REF!),MAX(#REF!))&gt;0)*1)&gt;=3)=2,"Y","N")</f>
        <v/>
      </c>
      <c r="Y15">
        <f>LARGE(CHOOSE({1,2,3,4,5,6},MAX($C15:$D15),MAX($F15:$G15),MAX($I15:$J15),MAX($L15:$M15),MAX($O15:$Q15),MAX($S15:$T15)),1)</f>
        <v/>
      </c>
      <c r="Z15">
        <f>LARGE(CHOOSE({1,2,3,4,5,6},MAX($C15:$D15),MAX($F15:$G15),MAX($I15:$J15),MAX($L15:$M15),MAX($O15:$Q15),MAX($S15:$T15)),2)</f>
        <v/>
      </c>
      <c r="AA15">
        <f>LARGE(CHOOSE({1,2,3,4,5,6},MAX($C15:$D15),MAX($F15:$G15),MAX($I15:$J15),MAX($L15:$M15),MAX($O15:$Q15),MAX($S15:$T15)),3)</f>
        <v/>
      </c>
      <c r="AB15">
        <f>LARGE(CHOOSE({1,2,3,4,5,6},MAX($C15:$D15),MAX($F15:$G15),MAX($I15:$J15),MAX($L15:$M15),MAX($O15:$Q15),MAX($S15:$T15)),4)</f>
        <v/>
      </c>
      <c r="AD15">
        <f>IF(AND($Y15&lt;&gt;0,MAX($C15:$D15)=$Y15,TRUE),IF(D15=$Y15,4,IF(C15=$Y15,3,"")),IF(AND($Y15&lt;&gt;0,MAX($F15:$G15)=$Y15,TRUE),IF(G15=$Y15,7,IF(F15=$Y15,6,"")),IF(AND($Y15&lt;&gt;0,MAX($I15:$J15)=$Y15,TRUE),IF(J15=$Y15,10,IF(I15=$Y15,9,"")),IF(AND($Y15&lt;&gt;0,MAX($L15:$M15)=$Y15,TRUE),IF(M15=$Y15,13,IF(L15=$Y15,12,"")),IF(AND($Y15&lt;&gt;0,MAX($O15:$Q15)=$Y15,TRUE),IF(Q15=$Y15,17,IF(P15=$Y15,16,IF(O15=$Y15,15,""))),IF(AND($Y15&lt;&gt;0,MAX($S15:$T15)=$Y15,TRUE),IF(T15=$Y15,20,IF(S15=$Y15,19,"")),""))))))</f>
        <v/>
      </c>
      <c r="AE15">
        <f>IF(AND($Z15&lt;&gt;0,MAX($C15:$D15)=$Z15,COUNTIF($AD15:$AD15,4)=0),IF(D15=$Z15,4,IF(C15=$Z15,3,"")),IF(AND($Z15&lt;&gt;0,MAX($F15:$G15)=$Z15,COUNTIF($AD15:$AD15,7)=0),IF(G15=$Z15,7,IF(F15=$Z15,6,"")),IF(AND($Z15&lt;&gt;0,MAX($I15:$J15)=$Z15,COUNTIF($AD15:$AD15,10)=0),IF(J15=$Z15,10,IF(I15=$Z15,9,"")),IF(AND($Z15&lt;&gt;0,MAX($L15:$M15)=$Z15,COUNTIF($AD15:$AD15,13)=0),IF(M15=$Z15,13,IF(L15=$Z15,12,"")),IF(AND($Z15&lt;&gt;0,MAX($O15:$Q15)=$Z15,COUNTIF($AD15:$AD15,16)=0),IF(Q15=$Z15,17,IF(P15=$Z15,16,IF(O15=$Z15,15,""))),IF(AND($Z15&lt;&gt;0,MAX($S15:$T15)=$Z15,COUNTIF($AD15:$AD15,19)=0),IF(T15=$Z15,20,IF(S15=$Z15,19,"")),""))))))</f>
        <v/>
      </c>
      <c r="AF15">
        <f>IF(AND($AA15&lt;&gt;0,MAX($C15:$D15)=$AA15,COUNTIF($AD15:$AE15,4)=0),IF(D15=$AA15,4,IF(C15=$AA15,3,"")),IF(AND($AA15&lt;&gt;0,MAX($F15:$G15)=$AA15,COUNTIF($AD15:$AE15,7)=0),IF(G15=$AA15,7,IF(F15=$AA15,6,"")),IF(AND($AA15&lt;&gt;0,MAX($I15:$J15)=$AA15,COUNTIF($AD15:$AE15,10)=0),IF(J15=$AA15,10,IF(I15=$AA15,9,"")),IF(AND($AA15&lt;&gt;0,MAX($L15:$M15)=$AA15,COUNTIF($AD15:$AE15,13)=0),IF(M15=$AA15,13,IF(L15=$AA15,12,"")),IF(AND($AA15&lt;&gt;0,MAX($O15:$Q15)=$AA15,COUNTIF($AD15:$AE15,16)=0),IF(Q15=$AA15,17,IF(P15=$AA15,16,IF(O15=$AA15,15,""))),IF(AND($AA15&lt;&gt;0,MAX($S15:$T15)=$AA15,COUNTIF($AD15:$AE15,19)=0),IF(T15=$AA15,20,IF(S15=$AA15,19,"")),""))))))</f>
        <v/>
      </c>
      <c r="AG15">
        <f>IF(AND($AB15&lt;&gt;0,MAX($C15:$D15)=$AB15,COUNTIF($AD15:$AF15,4)=0),IF(D15=$AB15,4,IF(C15=$AB15,3,"")),IF(AND($AB15&lt;&gt;0,MAX($F15:$G15)=$AB15,COUNTIF($AD15:$AF15,7)=0),IF(G15=$AB15,7,IF(F15=$AB15,6,"")),IF(AND($AB15&lt;&gt;0,MAX($I15:$J15)=$AB15,COUNTIF($AD15:$AF15,10)=0),IF(J15=$AB15,10,IF(I15=$AB15,9,"")),IF(AND($AB15&lt;&gt;0,MAX($L15:$M15)=$AB15,COUNTIF($AD15:$AF15,13)=0),IF(M15=$AB15,13,IF(L15=$AB15,12,"")),IF(AND($AB15&lt;&gt;0,MAX($O15:$Q15)=$AB15,COUNTIF($AD15:$AF15,16)=0),IF(Q15=$AB15,17,IF(P15=$AB15,16,IF(O15=$AB15,15,""))),IF(AND($AB15&lt;&gt;0,MAX($S15:$T15)=$AB15,COUNTIF($AD15:$AF15,19)=0),IF(T15=$AB15,20,IF(S15=$AB15,19,"")),""))))))</f>
        <v/>
      </c>
    </row>
    <row r="16">
      <c r="A16" t="n">
        <v>14</v>
      </c>
      <c r="B16" t="inlineStr">
        <is>
          <t>Lanny Richardson</t>
        </is>
      </c>
      <c r="I16" t="n">
        <v>112</v>
      </c>
      <c r="S16" t="n">
        <v>107</v>
      </c>
      <c r="W16">
        <f>SUM(LARGE(CHOOSE({1,2,3,4,5,6},MAX(C16:D16),MAX(F16:G16),MAX(I16:J16),MAX(L16:M16),MAX(O16:Q16),MAX(S16:T16)),{1,2,3,4}),V16)</f>
        <v/>
      </c>
      <c r="X16">
        <f>IF((--SUMPRODUCT((CHOOSE({1,2,3,4},MAX(C16:D16),MAX(F16:G16),MAX(I16:J16),MAX(L16:M16))&gt;0)*1)&gt;=3)+(--SUMPRODUCT((CHOOSE({1,2,3,4,5},MAX(#REF!),MAX(O16:Q16),MAX(S16:T16),MAX(#REF!),MAX(#REF!))&gt;0)*1)&gt;=3)=2,"Y","N")</f>
        <v/>
      </c>
      <c r="Y16">
        <f>LARGE(CHOOSE({1,2,3,4,5,6},MAX($C16:$D16),MAX($F16:$G16),MAX($I16:$J16),MAX($L16:$M16),MAX($O16:$Q16),MAX($S16:$T16)),1)</f>
        <v/>
      </c>
      <c r="Z16">
        <f>LARGE(CHOOSE({1,2,3,4,5,6},MAX($C16:$D16),MAX($F16:$G16),MAX($I16:$J16),MAX($L16:$M16),MAX($O16:$Q16),MAX($S16:$T16)),2)</f>
        <v/>
      </c>
      <c r="AA16">
        <f>LARGE(CHOOSE({1,2,3,4,5,6},MAX($C16:$D16),MAX($F16:$G16),MAX($I16:$J16),MAX($L16:$M16),MAX($O16:$Q16),MAX($S16:$T16)),3)</f>
        <v/>
      </c>
      <c r="AB16">
        <f>LARGE(CHOOSE({1,2,3,4,5,6},MAX($C16:$D16),MAX($F16:$G16),MAX($I16:$J16),MAX($L16:$M16),MAX($O16:$Q16),MAX($S16:$T16)),4)</f>
        <v/>
      </c>
      <c r="AD16">
        <f>IF(AND($Y16&lt;&gt;0,MAX($C16:$D16)=$Y16,TRUE),IF(D16=$Y16,4,IF(C16=$Y16,3,"")),IF(AND($Y16&lt;&gt;0,MAX($F16:$G16)=$Y16,TRUE),IF(G16=$Y16,7,IF(F16=$Y16,6,"")),IF(AND($Y16&lt;&gt;0,MAX($I16:$J16)=$Y16,TRUE),IF(J16=$Y16,10,IF(I16=$Y16,9,"")),IF(AND($Y16&lt;&gt;0,MAX($L16:$M16)=$Y16,TRUE),IF(M16=$Y16,13,IF(L16=$Y16,12,"")),IF(AND($Y16&lt;&gt;0,MAX($O16:$Q16)=$Y16,TRUE),IF(Q16=$Y16,17,IF(P16=$Y16,16,IF(O16=$Y16,15,""))),IF(AND($Y16&lt;&gt;0,MAX($S16:$T16)=$Y16,TRUE),IF(T16=$Y16,20,IF(S16=$Y16,19,"")),""))))))</f>
        <v/>
      </c>
      <c r="AE16">
        <f>IF(AND($Z16&lt;&gt;0,MAX($C16:$D16)=$Z16,COUNTIF($AD16:$AD16,4)=0),IF(D16=$Z16,4,IF(C16=$Z16,3,"")),IF(AND($Z16&lt;&gt;0,MAX($F16:$G16)=$Z16,COUNTIF($AD16:$AD16,7)=0),IF(G16=$Z16,7,IF(F16=$Z16,6,"")),IF(AND($Z16&lt;&gt;0,MAX($I16:$J16)=$Z16,COUNTIF($AD16:$AD16,10)=0),IF(J16=$Z16,10,IF(I16=$Z16,9,"")),IF(AND($Z16&lt;&gt;0,MAX($L16:$M16)=$Z16,COUNTIF($AD16:$AD16,13)=0),IF(M16=$Z16,13,IF(L16=$Z16,12,"")),IF(AND($Z16&lt;&gt;0,MAX($O16:$Q16)=$Z16,COUNTIF($AD16:$AD16,16)=0),IF(Q16=$Z16,17,IF(P16=$Z16,16,IF(O16=$Z16,15,""))),IF(AND($Z16&lt;&gt;0,MAX($S16:$T16)=$Z16,COUNTIF($AD16:$AD16,19)=0),IF(T16=$Z16,20,IF(S16=$Z16,19,"")),""))))))</f>
        <v/>
      </c>
      <c r="AF16">
        <f>IF(AND($AA16&lt;&gt;0,MAX($C16:$D16)=$AA16,COUNTIF($AD16:$AE16,4)=0),IF(D16=$AA16,4,IF(C16=$AA16,3,"")),IF(AND($AA16&lt;&gt;0,MAX($F16:$G16)=$AA16,COUNTIF($AD16:$AE16,7)=0),IF(G16=$AA16,7,IF(F16=$AA16,6,"")),IF(AND($AA16&lt;&gt;0,MAX($I16:$J16)=$AA16,COUNTIF($AD16:$AE16,10)=0),IF(J16=$AA16,10,IF(I16=$AA16,9,"")),IF(AND($AA16&lt;&gt;0,MAX($L16:$M16)=$AA16,COUNTIF($AD16:$AE16,13)=0),IF(M16=$AA16,13,IF(L16=$AA16,12,"")),IF(AND($AA16&lt;&gt;0,MAX($O16:$Q16)=$AA16,COUNTIF($AD16:$AE16,16)=0),IF(Q16=$AA16,17,IF(P16=$AA16,16,IF(O16=$AA16,15,""))),IF(AND($AA16&lt;&gt;0,MAX($S16:$T16)=$AA16,COUNTIF($AD16:$AE16,19)=0),IF(T16=$AA16,20,IF(S16=$AA16,19,"")),""))))))</f>
        <v/>
      </c>
      <c r="AG16">
        <f>IF(AND($AB16&lt;&gt;0,MAX($C16:$D16)=$AB16,COUNTIF($AD16:$AF16,4)=0),IF(D16=$AB16,4,IF(C16=$AB16,3,"")),IF(AND($AB16&lt;&gt;0,MAX($F16:$G16)=$AB16,COUNTIF($AD16:$AF16,7)=0),IF(G16=$AB16,7,IF(F16=$AB16,6,"")),IF(AND($AB16&lt;&gt;0,MAX($I16:$J16)=$AB16,COUNTIF($AD16:$AF16,10)=0),IF(J16=$AB16,10,IF(I16=$AB16,9,"")),IF(AND($AB16&lt;&gt;0,MAX($L16:$M16)=$AB16,COUNTIF($AD16:$AF16,13)=0),IF(M16=$AB16,13,IF(L16=$AB16,12,"")),IF(AND($AB16&lt;&gt;0,MAX($O16:$Q16)=$AB16,COUNTIF($AD16:$AF16,16)=0),IF(Q16=$AB16,17,IF(P16=$AB16,16,IF(O16=$AB16,15,""))),IF(AND($AB16&lt;&gt;0,MAX($S16:$T16)=$AB16,COUNTIF($AD16:$AF16,19)=0),IF(T16=$AB16,20,IF(S16=$AB16,19,"")),""))))))</f>
        <v/>
      </c>
    </row>
    <row r="17">
      <c r="A17" t="n">
        <v>15</v>
      </c>
      <c r="B17" t="inlineStr">
        <is>
          <t>Lewis Alwart</t>
        </is>
      </c>
      <c r="I17" t="n">
        <v>215</v>
      </c>
      <c r="W17">
        <f>SUM(LARGE(CHOOSE({1,2,3,4,5,6},MAX(C17:D17),MAX(F17:G17),MAX(I17:J17),MAX(L17:M17),MAX(O17:Q17),MAX(S17:T17)),{1,2,3,4}),V17)</f>
        <v/>
      </c>
      <c r="X17">
        <f>IF((--SUMPRODUCT((CHOOSE({1,2,3,4},MAX(C17:D17),MAX(F17:G17),MAX(I17:J17),MAX(L17:M17))&gt;0)*1)&gt;=3)+(--SUMPRODUCT((CHOOSE({1,2,3,4,5},MAX(#REF!),MAX(O17:Q17),MAX(S17:T17),MAX(#REF!),MAX(#REF!))&gt;0)*1)&gt;=3)=2,"Y","N")</f>
        <v/>
      </c>
      <c r="Y17">
        <f>LARGE(CHOOSE({1,2,3,4,5,6},MAX($C17:$D17),MAX($F17:$G17),MAX($I17:$J17),MAX($L17:$M17),MAX($O17:$Q17),MAX($S17:$T17)),1)</f>
        <v/>
      </c>
      <c r="Z17">
        <f>LARGE(CHOOSE({1,2,3,4,5,6},MAX($C17:$D17),MAX($F17:$G17),MAX($I17:$J17),MAX($L17:$M17),MAX($O17:$Q17),MAX($S17:$T17)),2)</f>
        <v/>
      </c>
      <c r="AA17">
        <f>LARGE(CHOOSE({1,2,3,4,5,6},MAX($C17:$D17),MAX($F17:$G17),MAX($I17:$J17),MAX($L17:$M17),MAX($O17:$Q17),MAX($S17:$T17)),3)</f>
        <v/>
      </c>
      <c r="AB17">
        <f>LARGE(CHOOSE({1,2,3,4,5,6},MAX($C17:$D17),MAX($F17:$G17),MAX($I17:$J17),MAX($L17:$M17),MAX($O17:$Q17),MAX($S17:$T17)),4)</f>
        <v/>
      </c>
      <c r="AD17">
        <f>IF(AND($Y17&lt;&gt;0,MAX($C17:$D17)=$Y17,TRUE),IF(D17=$Y17,4,IF(C17=$Y17,3,"")),IF(AND($Y17&lt;&gt;0,MAX($F17:$G17)=$Y17,TRUE),IF(G17=$Y17,7,IF(F17=$Y17,6,"")),IF(AND($Y17&lt;&gt;0,MAX($I17:$J17)=$Y17,TRUE),IF(J17=$Y17,10,IF(I17=$Y17,9,"")),IF(AND($Y17&lt;&gt;0,MAX($L17:$M17)=$Y17,TRUE),IF(M17=$Y17,13,IF(L17=$Y17,12,"")),IF(AND($Y17&lt;&gt;0,MAX($O17:$Q17)=$Y17,TRUE),IF(Q17=$Y17,17,IF(P17=$Y17,16,IF(O17=$Y17,15,""))),IF(AND($Y17&lt;&gt;0,MAX($S17:$T17)=$Y17,TRUE),IF(T17=$Y17,20,IF(S17=$Y17,19,"")),""))))))</f>
        <v/>
      </c>
      <c r="AE17">
        <f>IF(AND($Z17&lt;&gt;0,MAX($C17:$D17)=$Z17,COUNTIF($AD17:$AD17,4)=0),IF(D17=$Z17,4,IF(C17=$Z17,3,"")),IF(AND($Z17&lt;&gt;0,MAX($F17:$G17)=$Z17,COUNTIF($AD17:$AD17,7)=0),IF(G17=$Z17,7,IF(F17=$Z17,6,"")),IF(AND($Z17&lt;&gt;0,MAX($I17:$J17)=$Z17,COUNTIF($AD17:$AD17,10)=0),IF(J17=$Z17,10,IF(I17=$Z17,9,"")),IF(AND($Z17&lt;&gt;0,MAX($L17:$M17)=$Z17,COUNTIF($AD17:$AD17,13)=0),IF(M17=$Z17,13,IF(L17=$Z17,12,"")),IF(AND($Z17&lt;&gt;0,MAX($O17:$Q17)=$Z17,COUNTIF($AD17:$AD17,16)=0),IF(Q17=$Z17,17,IF(P17=$Z17,16,IF(O17=$Z17,15,""))),IF(AND($Z17&lt;&gt;0,MAX($S17:$T17)=$Z17,COUNTIF($AD17:$AD17,19)=0),IF(T17=$Z17,20,IF(S17=$Z17,19,"")),""))))))</f>
        <v/>
      </c>
      <c r="AF17">
        <f>IF(AND($AA17&lt;&gt;0,MAX($C17:$D17)=$AA17,COUNTIF($AD17:$AE17,4)=0),IF(D17=$AA17,4,IF(C17=$AA17,3,"")),IF(AND($AA17&lt;&gt;0,MAX($F17:$G17)=$AA17,COUNTIF($AD17:$AE17,7)=0),IF(G17=$AA17,7,IF(F17=$AA17,6,"")),IF(AND($AA17&lt;&gt;0,MAX($I17:$J17)=$AA17,COUNTIF($AD17:$AE17,10)=0),IF(J17=$AA17,10,IF(I17=$AA17,9,"")),IF(AND($AA17&lt;&gt;0,MAX($L17:$M17)=$AA17,COUNTIF($AD17:$AE17,13)=0),IF(M17=$AA17,13,IF(L17=$AA17,12,"")),IF(AND($AA17&lt;&gt;0,MAX($O17:$Q17)=$AA17,COUNTIF($AD17:$AE17,16)=0),IF(Q17=$AA17,17,IF(P17=$AA17,16,IF(O17=$AA17,15,""))),IF(AND($AA17&lt;&gt;0,MAX($S17:$T17)=$AA17,COUNTIF($AD17:$AE17,19)=0),IF(T17=$AA17,20,IF(S17=$AA17,19,"")),""))))))</f>
        <v/>
      </c>
      <c r="AG17">
        <f>IF(AND($AB17&lt;&gt;0,MAX($C17:$D17)=$AB17,COUNTIF($AD17:$AF17,4)=0),IF(D17=$AB17,4,IF(C17=$AB17,3,"")),IF(AND($AB17&lt;&gt;0,MAX($F17:$G17)=$AB17,COUNTIF($AD17:$AF17,7)=0),IF(G17=$AB17,7,IF(F17=$AB17,6,"")),IF(AND($AB17&lt;&gt;0,MAX($I17:$J17)=$AB17,COUNTIF($AD17:$AF17,10)=0),IF(J17=$AB17,10,IF(I17=$AB17,9,"")),IF(AND($AB17&lt;&gt;0,MAX($L17:$M17)=$AB17,COUNTIF($AD17:$AF17,13)=0),IF(M17=$AB17,13,IF(L17=$AB17,12,"")),IF(AND($AB17&lt;&gt;0,MAX($O17:$Q17)=$AB17,COUNTIF($AD17:$AF17,16)=0),IF(Q17=$AB17,17,IF(P17=$AB17,16,IF(O17=$AB17,15,""))),IF(AND($AB17&lt;&gt;0,MAX($S17:$T17)=$AB17,COUNTIF($AD17:$AF17,19)=0),IF(T17=$AB17,20,IF(S17=$AB17,19,"")),""))))))</f>
        <v/>
      </c>
    </row>
    <row r="18">
      <c r="A18" t="n">
        <v>16</v>
      </c>
      <c r="B18" t="inlineStr">
        <is>
          <t>Morgan Rives</t>
        </is>
      </c>
      <c r="S18" t="n">
        <v>211</v>
      </c>
      <c r="W18">
        <f>SUM(LARGE(CHOOSE({1,2,3,4,5,6},MAX(C18:D18),MAX(F18:G18),MAX(I18:J18),MAX(L18:M18),MAX(O18:Q18),MAX(S18:T18)),{1,2,3,4}),V18)</f>
        <v/>
      </c>
      <c r="X18">
        <f>IF((--SUMPRODUCT((CHOOSE({1,2,3,4},MAX(C18:D18),MAX(F18:G18),MAX(I18:J18),MAX(L18:M18))&gt;0)*1)&gt;=3)+(--SUMPRODUCT((CHOOSE({1,2,3,4,5},MAX(#REF!),MAX(O18:Q18),MAX(S18:T18),MAX(#REF!),MAX(#REF!))&gt;0)*1)&gt;=3)=2,"Y","N")</f>
        <v/>
      </c>
      <c r="Y18">
        <f>LARGE(CHOOSE({1,2,3,4,5,6},MAX($C18:$D18),MAX($F18:$G18),MAX($I18:$J18),MAX($L18:$M18),MAX($O18:$Q18),MAX($S18:$T18)),1)</f>
        <v/>
      </c>
      <c r="Z18">
        <f>LARGE(CHOOSE({1,2,3,4,5,6},MAX($C18:$D18),MAX($F18:$G18),MAX($I18:$J18),MAX($L18:$M18),MAX($O18:$Q18),MAX($S18:$T18)),2)</f>
        <v/>
      </c>
      <c r="AA18">
        <f>LARGE(CHOOSE({1,2,3,4,5,6},MAX($C18:$D18),MAX($F18:$G18),MAX($I18:$J18),MAX($L18:$M18),MAX($O18:$Q18),MAX($S18:$T18)),3)</f>
        <v/>
      </c>
      <c r="AB18">
        <f>LARGE(CHOOSE({1,2,3,4,5,6},MAX($C18:$D18),MAX($F18:$G18),MAX($I18:$J18),MAX($L18:$M18),MAX($O18:$Q18),MAX($S18:$T18)),4)</f>
        <v/>
      </c>
      <c r="AD18">
        <f>IF(AND($Y18&lt;&gt;0,MAX($C18:$D18)=$Y18,TRUE),IF(D18=$Y18,4,IF(C18=$Y18,3,"")),IF(AND($Y18&lt;&gt;0,MAX($F18:$G18)=$Y18,TRUE),IF(G18=$Y18,7,IF(F18=$Y18,6,"")),IF(AND($Y18&lt;&gt;0,MAX($I18:$J18)=$Y18,TRUE),IF(J18=$Y18,10,IF(I18=$Y18,9,"")),IF(AND($Y18&lt;&gt;0,MAX($L18:$M18)=$Y18,TRUE),IF(M18=$Y18,13,IF(L18=$Y18,12,"")),IF(AND($Y18&lt;&gt;0,MAX($O18:$Q18)=$Y18,TRUE),IF(Q18=$Y18,17,IF(P18=$Y18,16,IF(O18=$Y18,15,""))),IF(AND($Y18&lt;&gt;0,MAX($S18:$T18)=$Y18,TRUE),IF(T18=$Y18,20,IF(S18=$Y18,19,"")),""))))))</f>
        <v/>
      </c>
      <c r="AE18">
        <f>IF(AND($Z18&lt;&gt;0,MAX($C18:$D18)=$Z18,COUNTIF($AD18:$AD18,4)=0),IF(D18=$Z18,4,IF(C18=$Z18,3,"")),IF(AND($Z18&lt;&gt;0,MAX($F18:$G18)=$Z18,COUNTIF($AD18:$AD18,7)=0),IF(G18=$Z18,7,IF(F18=$Z18,6,"")),IF(AND($Z18&lt;&gt;0,MAX($I18:$J18)=$Z18,COUNTIF($AD18:$AD18,10)=0),IF(J18=$Z18,10,IF(I18=$Z18,9,"")),IF(AND($Z18&lt;&gt;0,MAX($L18:$M18)=$Z18,COUNTIF($AD18:$AD18,13)=0),IF(M18=$Z18,13,IF(L18=$Z18,12,"")),IF(AND($Z18&lt;&gt;0,MAX($O18:$Q18)=$Z18,COUNTIF($AD18:$AD18,16)=0),IF(Q18=$Z18,17,IF(P18=$Z18,16,IF(O18=$Z18,15,""))),IF(AND($Z18&lt;&gt;0,MAX($S18:$T18)=$Z18,COUNTIF($AD18:$AD18,19)=0),IF(T18=$Z18,20,IF(S18=$Z18,19,"")),""))))))</f>
        <v/>
      </c>
      <c r="AF18">
        <f>IF(AND($AA18&lt;&gt;0,MAX($C18:$D18)=$AA18,COUNTIF($AD18:$AE18,4)=0),IF(D18=$AA18,4,IF(C18=$AA18,3,"")),IF(AND($AA18&lt;&gt;0,MAX($F18:$G18)=$AA18,COUNTIF($AD18:$AE18,7)=0),IF(G18=$AA18,7,IF(F18=$AA18,6,"")),IF(AND($AA18&lt;&gt;0,MAX($I18:$J18)=$AA18,COUNTIF($AD18:$AE18,10)=0),IF(J18=$AA18,10,IF(I18=$AA18,9,"")),IF(AND($AA18&lt;&gt;0,MAX($L18:$M18)=$AA18,COUNTIF($AD18:$AE18,13)=0),IF(M18=$AA18,13,IF(L18=$AA18,12,"")),IF(AND($AA18&lt;&gt;0,MAX($O18:$Q18)=$AA18,COUNTIF($AD18:$AE18,16)=0),IF(Q18=$AA18,17,IF(P18=$AA18,16,IF(O18=$AA18,15,""))),IF(AND($AA18&lt;&gt;0,MAX($S18:$T18)=$AA18,COUNTIF($AD18:$AE18,19)=0),IF(T18=$AA18,20,IF(S18=$AA18,19,"")),""))))))</f>
        <v/>
      </c>
      <c r="AG18">
        <f>IF(AND($AB18&lt;&gt;0,MAX($C18:$D18)=$AB18,COUNTIF($AD18:$AF18,4)=0),IF(D18=$AB18,4,IF(C18=$AB18,3,"")),IF(AND($AB18&lt;&gt;0,MAX($F18:$G18)=$AB18,COUNTIF($AD18:$AF18,7)=0),IF(G18=$AB18,7,IF(F18=$AB18,6,"")),IF(AND($AB18&lt;&gt;0,MAX($I18:$J18)=$AB18,COUNTIF($AD18:$AF18,10)=0),IF(J18=$AB18,10,IF(I18=$AB18,9,"")),IF(AND($AB18&lt;&gt;0,MAX($L18:$M18)=$AB18,COUNTIF($AD18:$AF18,13)=0),IF(M18=$AB18,13,IF(L18=$AB18,12,"")),IF(AND($AB18&lt;&gt;0,MAX($O18:$Q18)=$AB18,COUNTIF($AD18:$AF18,16)=0),IF(Q18=$AB18,17,IF(P18=$AB18,16,IF(O18=$AB18,15,""))),IF(AND($AB18&lt;&gt;0,MAX($S18:$T18)=$AB18,COUNTIF($AD18:$AF18,19)=0),IF(T18=$AB18,20,IF(S18=$AB18,19,"")),""))))))</f>
        <v/>
      </c>
    </row>
    <row r="19">
      <c r="A19" t="n">
        <v>17</v>
      </c>
      <c r="B19" t="inlineStr">
        <is>
          <t>Josh Harris</t>
        </is>
      </c>
      <c r="I19" t="n">
        <v>210</v>
      </c>
      <c r="W19">
        <f>SUM(LARGE(CHOOSE({1,2,3,4,5,6},MAX(C19:D19),MAX(F19:G19),MAX(I19:J19),MAX(L19:M19),MAX(O19:Q19),MAX(S19:T19)),{1,2,3,4}),V19)</f>
        <v/>
      </c>
      <c r="X19">
        <f>IF((--SUMPRODUCT((CHOOSE({1,2,3,4},MAX(C19:D19),MAX(F19:G19),MAX(I19:J19),MAX(L19:M19))&gt;0)*1)&gt;=3)+(--SUMPRODUCT((CHOOSE({1,2,3,4,5},MAX(#REF!),MAX(O19:Q19),MAX(S19:T19),MAX(#REF!),MAX(#REF!))&gt;0)*1)&gt;=3)=2,"Y","N")</f>
        <v/>
      </c>
      <c r="Y19">
        <f>LARGE(CHOOSE({1,2,3,4,5,6},MAX($C19:$D19),MAX($F19:$G19),MAX($I19:$J19),MAX($L19:$M19),MAX($O19:$Q19),MAX($S19:$T19)),1)</f>
        <v/>
      </c>
      <c r="Z19">
        <f>LARGE(CHOOSE({1,2,3,4,5,6},MAX($C19:$D19),MAX($F19:$G19),MAX($I19:$J19),MAX($L19:$M19),MAX($O19:$Q19),MAX($S19:$T19)),2)</f>
        <v/>
      </c>
      <c r="AA19">
        <f>LARGE(CHOOSE({1,2,3,4,5,6},MAX($C19:$D19),MAX($F19:$G19),MAX($I19:$J19),MAX($L19:$M19),MAX($O19:$Q19),MAX($S19:$T19)),3)</f>
        <v/>
      </c>
      <c r="AB19">
        <f>LARGE(CHOOSE({1,2,3,4,5,6},MAX($C19:$D19),MAX($F19:$G19),MAX($I19:$J19),MAX($L19:$M19),MAX($O19:$Q19),MAX($S19:$T19)),4)</f>
        <v/>
      </c>
      <c r="AD19">
        <f>IF(AND($Y19&lt;&gt;0,MAX($C19:$D19)=$Y19,TRUE),IF(D19=$Y19,4,IF(C19=$Y19,3,"")),IF(AND($Y19&lt;&gt;0,MAX($F19:$G19)=$Y19,TRUE),IF(G19=$Y19,7,IF(F19=$Y19,6,"")),IF(AND($Y19&lt;&gt;0,MAX($I19:$J19)=$Y19,TRUE),IF(J19=$Y19,10,IF(I19=$Y19,9,"")),IF(AND($Y19&lt;&gt;0,MAX($L19:$M19)=$Y19,TRUE),IF(M19=$Y19,13,IF(L19=$Y19,12,"")),IF(AND($Y19&lt;&gt;0,MAX($O19:$Q19)=$Y19,TRUE),IF(Q19=$Y19,17,IF(P19=$Y19,16,IF(O19=$Y19,15,""))),IF(AND($Y19&lt;&gt;0,MAX($S19:$T19)=$Y19,TRUE),IF(T19=$Y19,20,IF(S19=$Y19,19,"")),""))))))</f>
        <v/>
      </c>
      <c r="AE19">
        <f>IF(AND($Z19&lt;&gt;0,MAX($C19:$D19)=$Z19,COUNTIF($AD19:$AD19,4)=0),IF(D19=$Z19,4,IF(C19=$Z19,3,"")),IF(AND($Z19&lt;&gt;0,MAX($F19:$G19)=$Z19,COUNTIF($AD19:$AD19,7)=0),IF(G19=$Z19,7,IF(F19=$Z19,6,"")),IF(AND($Z19&lt;&gt;0,MAX($I19:$J19)=$Z19,COUNTIF($AD19:$AD19,10)=0),IF(J19=$Z19,10,IF(I19=$Z19,9,"")),IF(AND($Z19&lt;&gt;0,MAX($L19:$M19)=$Z19,COUNTIF($AD19:$AD19,13)=0),IF(M19=$Z19,13,IF(L19=$Z19,12,"")),IF(AND($Z19&lt;&gt;0,MAX($O19:$Q19)=$Z19,COUNTIF($AD19:$AD19,16)=0),IF(Q19=$Z19,17,IF(P19=$Z19,16,IF(O19=$Z19,15,""))),IF(AND($Z19&lt;&gt;0,MAX($S19:$T19)=$Z19,COUNTIF($AD19:$AD19,19)=0),IF(T19=$Z19,20,IF(S19=$Z19,19,"")),""))))))</f>
        <v/>
      </c>
      <c r="AF19">
        <f>IF(AND($AA19&lt;&gt;0,MAX($C19:$D19)=$AA19,COUNTIF($AD19:$AE19,4)=0),IF(D19=$AA19,4,IF(C19=$AA19,3,"")),IF(AND($AA19&lt;&gt;0,MAX($F19:$G19)=$AA19,COUNTIF($AD19:$AE19,7)=0),IF(G19=$AA19,7,IF(F19=$AA19,6,"")),IF(AND($AA19&lt;&gt;0,MAX($I19:$J19)=$AA19,COUNTIF($AD19:$AE19,10)=0),IF(J19=$AA19,10,IF(I19=$AA19,9,"")),IF(AND($AA19&lt;&gt;0,MAX($L19:$M19)=$AA19,COUNTIF($AD19:$AE19,13)=0),IF(M19=$AA19,13,IF(L19=$AA19,12,"")),IF(AND($AA19&lt;&gt;0,MAX($O19:$Q19)=$AA19,COUNTIF($AD19:$AE19,16)=0),IF(Q19=$AA19,17,IF(P19=$AA19,16,IF(O19=$AA19,15,""))),IF(AND($AA19&lt;&gt;0,MAX($S19:$T19)=$AA19,COUNTIF($AD19:$AE19,19)=0),IF(T19=$AA19,20,IF(S19=$AA19,19,"")),""))))))</f>
        <v/>
      </c>
      <c r="AG19">
        <f>IF(AND($AB19&lt;&gt;0,MAX($C19:$D19)=$AB19,COUNTIF($AD19:$AF19,4)=0),IF(D19=$AB19,4,IF(C19=$AB19,3,"")),IF(AND($AB19&lt;&gt;0,MAX($F19:$G19)=$AB19,COUNTIF($AD19:$AF19,7)=0),IF(G19=$AB19,7,IF(F19=$AB19,6,"")),IF(AND($AB19&lt;&gt;0,MAX($I19:$J19)=$AB19,COUNTIF($AD19:$AF19,10)=0),IF(J19=$AB19,10,IF(I19=$AB19,9,"")),IF(AND($AB19&lt;&gt;0,MAX($L19:$M19)=$AB19,COUNTIF($AD19:$AF19,13)=0),IF(M19=$AB19,13,IF(L19=$AB19,12,"")),IF(AND($AB19&lt;&gt;0,MAX($O19:$Q19)=$AB19,COUNTIF($AD19:$AF19,16)=0),IF(Q19=$AB19,17,IF(P19=$AB19,16,IF(O19=$AB19,15,""))),IF(AND($AB19&lt;&gt;0,MAX($S19:$T19)=$AB19,COUNTIF($AD19:$AF19,19)=0),IF(T19=$AB19,20,IF(S19=$AB19,19,"")),""))))))</f>
        <v/>
      </c>
    </row>
    <row r="20">
      <c r="A20" t="n">
        <v>18</v>
      </c>
      <c r="B20" t="inlineStr">
        <is>
          <t>Frank Nichols</t>
        </is>
      </c>
      <c r="I20" t="n">
        <v>208</v>
      </c>
      <c r="W20">
        <f>SUM(LARGE(CHOOSE({1,2,3,4,5,6},MAX(C20:D20),MAX(F20:G20),MAX(I20:J20),MAX(L20:M20),MAX(O20:Q20),MAX(S20:T20)),{1,2,3,4}),V20)</f>
        <v/>
      </c>
      <c r="X20">
        <f>IF((--SUMPRODUCT((CHOOSE({1,2,3,4},MAX(C20:D20),MAX(F20:G20),MAX(I20:J20),MAX(L20:M20))&gt;0)*1)&gt;=3)+(--SUMPRODUCT((CHOOSE({1,2,3,4,5},MAX(#REF!),MAX(O20:Q20),MAX(S20:T20),MAX(#REF!),MAX(#REF!))&gt;0)*1)&gt;=3)=2,"Y","N")</f>
        <v/>
      </c>
      <c r="Y20">
        <f>LARGE(CHOOSE({1,2,3,4,5,6},MAX($C20:$D20),MAX($F20:$G20),MAX($I20:$J20),MAX($L20:$M20),MAX($O20:$Q20),MAX($S20:$T20)),1)</f>
        <v/>
      </c>
      <c r="Z20">
        <f>LARGE(CHOOSE({1,2,3,4,5,6},MAX($C20:$D20),MAX($F20:$G20),MAX($I20:$J20),MAX($L20:$M20),MAX($O20:$Q20),MAX($S20:$T20)),2)</f>
        <v/>
      </c>
      <c r="AA20">
        <f>LARGE(CHOOSE({1,2,3,4,5,6},MAX($C20:$D20),MAX($F20:$G20),MAX($I20:$J20),MAX($L20:$M20),MAX($O20:$Q20),MAX($S20:$T20)),3)</f>
        <v/>
      </c>
      <c r="AB20">
        <f>LARGE(CHOOSE({1,2,3,4,5,6},MAX($C20:$D20),MAX($F20:$G20),MAX($I20:$J20),MAX($L20:$M20),MAX($O20:$Q20),MAX($S20:$T20)),4)</f>
        <v/>
      </c>
      <c r="AD20">
        <f>IF(AND($Y20&lt;&gt;0,MAX($C20:$D20)=$Y20,TRUE),IF(D20=$Y20,4,IF(C20=$Y20,3,"")),IF(AND($Y20&lt;&gt;0,MAX($F20:$G20)=$Y20,TRUE),IF(G20=$Y20,7,IF(F20=$Y20,6,"")),IF(AND($Y20&lt;&gt;0,MAX($I20:$J20)=$Y20,TRUE),IF(J20=$Y20,10,IF(I20=$Y20,9,"")),IF(AND($Y20&lt;&gt;0,MAX($L20:$M20)=$Y20,TRUE),IF(M20=$Y20,13,IF(L20=$Y20,12,"")),IF(AND($Y20&lt;&gt;0,MAX($O20:$Q20)=$Y20,TRUE),IF(Q20=$Y20,17,IF(P20=$Y20,16,IF(O20=$Y20,15,""))),IF(AND($Y20&lt;&gt;0,MAX($S20:$T20)=$Y20,TRUE),IF(T20=$Y20,20,IF(S20=$Y20,19,"")),""))))))</f>
        <v/>
      </c>
      <c r="AE20">
        <f>IF(AND($Z20&lt;&gt;0,MAX($C20:$D20)=$Z20,COUNTIF($AD20:$AD20,4)=0),IF(D20=$Z20,4,IF(C20=$Z20,3,"")),IF(AND($Z20&lt;&gt;0,MAX($F20:$G20)=$Z20,COUNTIF($AD20:$AD20,7)=0),IF(G20=$Z20,7,IF(F20=$Z20,6,"")),IF(AND($Z20&lt;&gt;0,MAX($I20:$J20)=$Z20,COUNTIF($AD20:$AD20,10)=0),IF(J20=$Z20,10,IF(I20=$Z20,9,"")),IF(AND($Z20&lt;&gt;0,MAX($L20:$M20)=$Z20,COUNTIF($AD20:$AD20,13)=0),IF(M20=$Z20,13,IF(L20=$Z20,12,"")),IF(AND($Z20&lt;&gt;0,MAX($O20:$Q20)=$Z20,COUNTIF($AD20:$AD20,16)=0),IF(Q20=$Z20,17,IF(P20=$Z20,16,IF(O20=$Z20,15,""))),IF(AND($Z20&lt;&gt;0,MAX($S20:$T20)=$Z20,COUNTIF($AD20:$AD20,19)=0),IF(T20=$Z20,20,IF(S20=$Z20,19,"")),""))))))</f>
        <v/>
      </c>
      <c r="AF20">
        <f>IF(AND($AA20&lt;&gt;0,MAX($C20:$D20)=$AA20,COUNTIF($AD20:$AE20,4)=0),IF(D20=$AA20,4,IF(C20=$AA20,3,"")),IF(AND($AA20&lt;&gt;0,MAX($F20:$G20)=$AA20,COUNTIF($AD20:$AE20,7)=0),IF(G20=$AA20,7,IF(F20=$AA20,6,"")),IF(AND($AA20&lt;&gt;0,MAX($I20:$J20)=$AA20,COUNTIF($AD20:$AE20,10)=0),IF(J20=$AA20,10,IF(I20=$AA20,9,"")),IF(AND($AA20&lt;&gt;0,MAX($L20:$M20)=$AA20,COUNTIF($AD20:$AE20,13)=0),IF(M20=$AA20,13,IF(L20=$AA20,12,"")),IF(AND($AA20&lt;&gt;0,MAX($O20:$Q20)=$AA20,COUNTIF($AD20:$AE20,16)=0),IF(Q20=$AA20,17,IF(P20=$AA20,16,IF(O20=$AA20,15,""))),IF(AND($AA20&lt;&gt;0,MAX($S20:$T20)=$AA20,COUNTIF($AD20:$AE20,19)=0),IF(T20=$AA20,20,IF(S20=$AA20,19,"")),""))))))</f>
        <v/>
      </c>
      <c r="AG20">
        <f>IF(AND($AB20&lt;&gt;0,MAX($C20:$D20)=$AB20,COUNTIF($AD20:$AF20,4)=0),IF(D20=$AB20,4,IF(C20=$AB20,3,"")),IF(AND($AB20&lt;&gt;0,MAX($F20:$G20)=$AB20,COUNTIF($AD20:$AF20,7)=0),IF(G20=$AB20,7,IF(F20=$AB20,6,"")),IF(AND($AB20&lt;&gt;0,MAX($I20:$J20)=$AB20,COUNTIF($AD20:$AF20,10)=0),IF(J20=$AB20,10,IF(I20=$AB20,9,"")),IF(AND($AB20&lt;&gt;0,MAX($L20:$M20)=$AB20,COUNTIF($AD20:$AF20,13)=0),IF(M20=$AB20,13,IF(L20=$AB20,12,"")),IF(AND($AB20&lt;&gt;0,MAX($O20:$Q20)=$AB20,COUNTIF($AD20:$AF20,16)=0),IF(Q20=$AB20,17,IF(P20=$AB20,16,IF(O20=$AB20,15,""))),IF(AND($AB20&lt;&gt;0,MAX($S20:$T20)=$AB20,COUNTIF($AD20:$AF20,19)=0),IF(T20=$AB20,20,IF(S20=$AB20,19,"")),""))))))</f>
        <v/>
      </c>
    </row>
    <row r="21">
      <c r="A21" t="n">
        <v>19</v>
      </c>
      <c r="B21" t="inlineStr">
        <is>
          <t>Kyler Grissom</t>
        </is>
      </c>
      <c r="S21" t="n">
        <v>206</v>
      </c>
      <c r="W21">
        <f>SUM(LARGE(CHOOSE({1,2,3,4,5,6},MAX(C21:D21),MAX(F21:G21),MAX(I21:J21),MAX(L21:M21),MAX(O21:Q21),MAX(S21:T21)),{1,2,3,4}),V21)</f>
        <v/>
      </c>
      <c r="X21">
        <f>IF((--SUMPRODUCT((CHOOSE({1,2,3,4},MAX(C21:D21),MAX(F21:G21),MAX(I21:J21),MAX(L21:M21))&gt;0)*1)&gt;=3)+(--SUMPRODUCT((CHOOSE({1,2,3,4,5},MAX(#REF!),MAX(O21:Q21),MAX(S21:T21),MAX(#REF!),MAX(#REF!))&gt;0)*1)&gt;=3)=2,"Y","N")</f>
        <v/>
      </c>
      <c r="Y21">
        <f>LARGE(CHOOSE({1,2,3,4,5,6},MAX($C21:$D21),MAX($F21:$G21),MAX($I21:$J21),MAX($L21:$M21),MAX($O21:$Q21),MAX($S21:$T21)),1)</f>
        <v/>
      </c>
      <c r="Z21">
        <f>LARGE(CHOOSE({1,2,3,4,5,6},MAX($C21:$D21),MAX($F21:$G21),MAX($I21:$J21),MAX($L21:$M21),MAX($O21:$Q21),MAX($S21:$T21)),2)</f>
        <v/>
      </c>
      <c r="AA21">
        <f>LARGE(CHOOSE({1,2,3,4,5,6},MAX($C21:$D21),MAX($F21:$G21),MAX($I21:$J21),MAX($L21:$M21),MAX($O21:$Q21),MAX($S21:$T21)),3)</f>
        <v/>
      </c>
      <c r="AB21">
        <f>LARGE(CHOOSE({1,2,3,4,5,6},MAX($C21:$D21),MAX($F21:$G21),MAX($I21:$J21),MAX($L21:$M21),MAX($O21:$Q21),MAX($S21:$T21)),4)</f>
        <v/>
      </c>
      <c r="AD21">
        <f>IF(AND($Y21&lt;&gt;0,MAX($C21:$D21)=$Y21,TRUE),IF(D21=$Y21,4,IF(C21=$Y21,3,"")),IF(AND($Y21&lt;&gt;0,MAX($F21:$G21)=$Y21,TRUE),IF(G21=$Y21,7,IF(F21=$Y21,6,"")),IF(AND($Y21&lt;&gt;0,MAX($I21:$J21)=$Y21,TRUE),IF(J21=$Y21,10,IF(I21=$Y21,9,"")),IF(AND($Y21&lt;&gt;0,MAX($L21:$M21)=$Y21,TRUE),IF(M21=$Y21,13,IF(L21=$Y21,12,"")),IF(AND($Y21&lt;&gt;0,MAX($O21:$Q21)=$Y21,TRUE),IF(Q21=$Y21,17,IF(P21=$Y21,16,IF(O21=$Y21,15,""))),IF(AND($Y21&lt;&gt;0,MAX($S21:$T21)=$Y21,TRUE),IF(T21=$Y21,20,IF(S21=$Y21,19,"")),""))))))</f>
        <v/>
      </c>
      <c r="AE21">
        <f>IF(AND($Z21&lt;&gt;0,MAX($C21:$D21)=$Z21,COUNTIF($AD21:$AD21,4)=0),IF(D21=$Z21,4,IF(C21=$Z21,3,"")),IF(AND($Z21&lt;&gt;0,MAX($F21:$G21)=$Z21,COUNTIF($AD21:$AD21,7)=0),IF(G21=$Z21,7,IF(F21=$Z21,6,"")),IF(AND($Z21&lt;&gt;0,MAX($I21:$J21)=$Z21,COUNTIF($AD21:$AD21,10)=0),IF(J21=$Z21,10,IF(I21=$Z21,9,"")),IF(AND($Z21&lt;&gt;0,MAX($L21:$M21)=$Z21,COUNTIF($AD21:$AD21,13)=0),IF(M21=$Z21,13,IF(L21=$Z21,12,"")),IF(AND($Z21&lt;&gt;0,MAX($O21:$Q21)=$Z21,COUNTIF($AD21:$AD21,16)=0),IF(Q21=$Z21,17,IF(P21=$Z21,16,IF(O21=$Z21,15,""))),IF(AND($Z21&lt;&gt;0,MAX($S21:$T21)=$Z21,COUNTIF($AD21:$AD21,19)=0),IF(T21=$Z21,20,IF(S21=$Z21,19,"")),""))))))</f>
        <v/>
      </c>
      <c r="AF21">
        <f>IF(AND($AA21&lt;&gt;0,MAX($C21:$D21)=$AA21,COUNTIF($AD21:$AE21,4)=0),IF(D21=$AA21,4,IF(C21=$AA21,3,"")),IF(AND($AA21&lt;&gt;0,MAX($F21:$G21)=$AA21,COUNTIF($AD21:$AE21,7)=0),IF(G21=$AA21,7,IF(F21=$AA21,6,"")),IF(AND($AA21&lt;&gt;0,MAX($I21:$J21)=$AA21,COUNTIF($AD21:$AE21,10)=0),IF(J21=$AA21,10,IF(I21=$AA21,9,"")),IF(AND($AA21&lt;&gt;0,MAX($L21:$M21)=$AA21,COUNTIF($AD21:$AE21,13)=0),IF(M21=$AA21,13,IF(L21=$AA21,12,"")),IF(AND($AA21&lt;&gt;0,MAX($O21:$Q21)=$AA21,COUNTIF($AD21:$AE21,16)=0),IF(Q21=$AA21,17,IF(P21=$AA21,16,IF(O21=$AA21,15,""))),IF(AND($AA21&lt;&gt;0,MAX($S21:$T21)=$AA21,COUNTIF($AD21:$AE21,19)=0),IF(T21=$AA21,20,IF(S21=$AA21,19,"")),""))))))</f>
        <v/>
      </c>
      <c r="AG21">
        <f>IF(AND($AB21&lt;&gt;0,MAX($C21:$D21)=$AB21,COUNTIF($AD21:$AF21,4)=0),IF(D21=$AB21,4,IF(C21=$AB21,3,"")),IF(AND($AB21&lt;&gt;0,MAX($F21:$G21)=$AB21,COUNTIF($AD21:$AF21,7)=0),IF(G21=$AB21,7,IF(F21=$AB21,6,"")),IF(AND($AB21&lt;&gt;0,MAX($I21:$J21)=$AB21,COUNTIF($AD21:$AF21,10)=0),IF(J21=$AB21,10,IF(I21=$AB21,9,"")),IF(AND($AB21&lt;&gt;0,MAX($L21:$M21)=$AB21,COUNTIF($AD21:$AF21,13)=0),IF(M21=$AB21,13,IF(L21=$AB21,12,"")),IF(AND($AB21&lt;&gt;0,MAX($O21:$Q21)=$AB21,COUNTIF($AD21:$AF21,16)=0),IF(Q21=$AB21,17,IF(P21=$AB21,16,IF(O21=$AB21,15,""))),IF(AND($AB21&lt;&gt;0,MAX($S21:$T21)=$AB21,COUNTIF($AD21:$AF21,19)=0),IF(T21=$AB21,20,IF(S21=$AB21,19,"")),""))))))</f>
        <v/>
      </c>
    </row>
    <row r="22">
      <c r="A22" t="n">
        <v>20</v>
      </c>
      <c r="B22" t="inlineStr">
        <is>
          <t>Tyler Cain</t>
        </is>
      </c>
      <c r="S22" t="n">
        <v>205</v>
      </c>
      <c r="W22">
        <f>SUM(LARGE(CHOOSE({1,2,3,4,5,6},MAX(C22:D22),MAX(F22:G22),MAX(I22:J22),MAX(L22:M22),MAX(O22:Q22),MAX(S22:T22)),{1,2,3,4}),V22)</f>
        <v/>
      </c>
      <c r="X22">
        <f>IF((--SUMPRODUCT((CHOOSE({1,2,3,4},MAX(C22:D22),MAX(F22:G22),MAX(I22:J22),MAX(L22:M22))&gt;0)*1)&gt;=3)+(--SUMPRODUCT((CHOOSE({1,2,3,4,5},MAX(#REF!),MAX(O22:Q22),MAX(S22:T22),MAX(#REF!),MAX(#REF!))&gt;0)*1)&gt;=3)=2,"Y","N")</f>
        <v/>
      </c>
      <c r="Y22">
        <f>LARGE(CHOOSE({1,2,3,4,5,6},MAX($C22:$D22),MAX($F22:$G22),MAX($I22:$J22),MAX($L22:$M22),MAX($O22:$Q22),MAX($S22:$T22)),1)</f>
        <v/>
      </c>
      <c r="Z22">
        <f>LARGE(CHOOSE({1,2,3,4,5,6},MAX($C22:$D22),MAX($F22:$G22),MAX($I22:$J22),MAX($L22:$M22),MAX($O22:$Q22),MAX($S22:$T22)),2)</f>
        <v/>
      </c>
      <c r="AA22">
        <f>LARGE(CHOOSE({1,2,3,4,5,6},MAX($C22:$D22),MAX($F22:$G22),MAX($I22:$J22),MAX($L22:$M22),MAX($O22:$Q22),MAX($S22:$T22)),3)</f>
        <v/>
      </c>
      <c r="AB22">
        <f>LARGE(CHOOSE({1,2,3,4,5,6},MAX($C22:$D22),MAX($F22:$G22),MAX($I22:$J22),MAX($L22:$M22),MAX($O22:$Q22),MAX($S22:$T22)),4)</f>
        <v/>
      </c>
      <c r="AD22">
        <f>IF(AND($Y22&lt;&gt;0,MAX($C22:$D22)=$Y22,TRUE),IF(D22=$Y22,4,IF(C22=$Y22,3,"")),IF(AND($Y22&lt;&gt;0,MAX($F22:$G22)=$Y22,TRUE),IF(G22=$Y22,7,IF(F22=$Y22,6,"")),IF(AND($Y22&lt;&gt;0,MAX($I22:$J22)=$Y22,TRUE),IF(J22=$Y22,10,IF(I22=$Y22,9,"")),IF(AND($Y22&lt;&gt;0,MAX($L22:$M22)=$Y22,TRUE),IF(M22=$Y22,13,IF(L22=$Y22,12,"")),IF(AND($Y22&lt;&gt;0,MAX($O22:$Q22)=$Y22,TRUE),IF(Q22=$Y22,17,IF(P22=$Y22,16,IF(O22=$Y22,15,""))),IF(AND($Y22&lt;&gt;0,MAX($S22:$T22)=$Y22,TRUE),IF(T22=$Y22,20,IF(S22=$Y22,19,"")),""))))))</f>
        <v/>
      </c>
      <c r="AE22">
        <f>IF(AND($Z22&lt;&gt;0,MAX($C22:$D22)=$Z22,COUNTIF($AD22:$AD22,4)=0),IF(D22=$Z22,4,IF(C22=$Z22,3,"")),IF(AND($Z22&lt;&gt;0,MAX($F22:$G22)=$Z22,COUNTIF($AD22:$AD22,7)=0),IF(G22=$Z22,7,IF(F22=$Z22,6,"")),IF(AND($Z22&lt;&gt;0,MAX($I22:$J22)=$Z22,COUNTIF($AD22:$AD22,10)=0),IF(J22=$Z22,10,IF(I22=$Z22,9,"")),IF(AND($Z22&lt;&gt;0,MAX($L22:$M22)=$Z22,COUNTIF($AD22:$AD22,13)=0),IF(M22=$Z22,13,IF(L22=$Z22,12,"")),IF(AND($Z22&lt;&gt;0,MAX($O22:$Q22)=$Z22,COUNTIF($AD22:$AD22,16)=0),IF(Q22=$Z22,17,IF(P22=$Z22,16,IF(O22=$Z22,15,""))),IF(AND($Z22&lt;&gt;0,MAX($S22:$T22)=$Z22,COUNTIF($AD22:$AD22,19)=0),IF(T22=$Z22,20,IF(S22=$Z22,19,"")),""))))))</f>
        <v/>
      </c>
      <c r="AF22">
        <f>IF(AND($AA22&lt;&gt;0,MAX($C22:$D22)=$AA22,COUNTIF($AD22:$AE22,4)=0),IF(D22=$AA22,4,IF(C22=$AA22,3,"")),IF(AND($AA22&lt;&gt;0,MAX($F22:$G22)=$AA22,COUNTIF($AD22:$AE22,7)=0),IF(G22=$AA22,7,IF(F22=$AA22,6,"")),IF(AND($AA22&lt;&gt;0,MAX($I22:$J22)=$AA22,COUNTIF($AD22:$AE22,10)=0),IF(J22=$AA22,10,IF(I22=$AA22,9,"")),IF(AND($AA22&lt;&gt;0,MAX($L22:$M22)=$AA22,COUNTIF($AD22:$AE22,13)=0),IF(M22=$AA22,13,IF(L22=$AA22,12,"")),IF(AND($AA22&lt;&gt;0,MAX($O22:$Q22)=$AA22,COUNTIF($AD22:$AE22,16)=0),IF(Q22=$AA22,17,IF(P22=$AA22,16,IF(O22=$AA22,15,""))),IF(AND($AA22&lt;&gt;0,MAX($S22:$T22)=$AA22,COUNTIF($AD22:$AE22,19)=0),IF(T22=$AA22,20,IF(S22=$AA22,19,"")),""))))))</f>
        <v/>
      </c>
      <c r="AG22">
        <f>IF(AND($AB22&lt;&gt;0,MAX($C22:$D22)=$AB22,COUNTIF($AD22:$AF22,4)=0),IF(D22=$AB22,4,IF(C22=$AB22,3,"")),IF(AND($AB22&lt;&gt;0,MAX($F22:$G22)=$AB22,COUNTIF($AD22:$AF22,7)=0),IF(G22=$AB22,7,IF(F22=$AB22,6,"")),IF(AND($AB22&lt;&gt;0,MAX($I22:$J22)=$AB22,COUNTIF($AD22:$AF22,10)=0),IF(J22=$AB22,10,IF(I22=$AB22,9,"")),IF(AND($AB22&lt;&gt;0,MAX($L22:$M22)=$AB22,COUNTIF($AD22:$AF22,13)=0),IF(M22=$AB22,13,IF(L22=$AB22,12,"")),IF(AND($AB22&lt;&gt;0,MAX($O22:$Q22)=$AB22,COUNTIF($AD22:$AF22,16)=0),IF(Q22=$AB22,17,IF(P22=$AB22,16,IF(O22=$AB22,15,""))),IF(AND($AB22&lt;&gt;0,MAX($S22:$T22)=$AB22,COUNTIF($AD22:$AF22,19)=0),IF(T22=$AB22,20,IF(S22=$AB22,19,"")),""))))))</f>
        <v/>
      </c>
    </row>
    <row r="23">
      <c r="A23" t="n">
        <v>21</v>
      </c>
      <c r="B23" t="inlineStr">
        <is>
          <t>Nick Lorena</t>
        </is>
      </c>
      <c r="S23" t="n">
        <v>204</v>
      </c>
      <c r="W23">
        <f>SUM(LARGE(CHOOSE({1,2,3,4,5,6},MAX(C23:D23),MAX(F23:G23),MAX(I23:J23),MAX(L23:M23),MAX(O23:Q23),MAX(S23:T23)),{1,2,3,4}),V23)</f>
        <v/>
      </c>
      <c r="X23">
        <f>IF((--SUMPRODUCT((CHOOSE({1,2,3,4},MAX(C23:D23),MAX(F23:G23),MAX(I23:J23),MAX(L23:M23))&gt;0)*1)&gt;=3)+(--SUMPRODUCT((CHOOSE({1,2,3,4,5},MAX(#REF!),MAX(O23:Q23),MAX(S23:T23),MAX(#REF!),MAX(#REF!))&gt;0)*1)&gt;=3)=2,"Y","N")</f>
        <v/>
      </c>
      <c r="Y23">
        <f>LARGE(CHOOSE({1,2,3,4,5,6},MAX($C23:$D23),MAX($F23:$G23),MAX($I23:$J23),MAX($L23:$M23),MAX($O23:$Q23),MAX($S23:$T23)),1)</f>
        <v/>
      </c>
      <c r="Z23">
        <f>LARGE(CHOOSE({1,2,3,4,5,6},MAX($C23:$D23),MAX($F23:$G23),MAX($I23:$J23),MAX($L23:$M23),MAX($O23:$Q23),MAX($S23:$T23)),2)</f>
        <v/>
      </c>
      <c r="AA23">
        <f>LARGE(CHOOSE({1,2,3,4,5,6},MAX($C23:$D23),MAX($F23:$G23),MAX($I23:$J23),MAX($L23:$M23),MAX($O23:$Q23),MAX($S23:$T23)),3)</f>
        <v/>
      </c>
      <c r="AB23">
        <f>LARGE(CHOOSE({1,2,3,4,5,6},MAX($C23:$D23),MAX($F23:$G23),MAX($I23:$J23),MAX($L23:$M23),MAX($O23:$Q23),MAX($S23:$T23)),4)</f>
        <v/>
      </c>
      <c r="AD23">
        <f>IF(AND($Y23&lt;&gt;0,MAX($C23:$D23)=$Y23,TRUE),IF(D23=$Y23,4,IF(C23=$Y23,3,"")),IF(AND($Y23&lt;&gt;0,MAX($F23:$G23)=$Y23,TRUE),IF(G23=$Y23,7,IF(F23=$Y23,6,"")),IF(AND($Y23&lt;&gt;0,MAX($I23:$J23)=$Y23,TRUE),IF(J23=$Y23,10,IF(I23=$Y23,9,"")),IF(AND($Y23&lt;&gt;0,MAX($L23:$M23)=$Y23,TRUE),IF(M23=$Y23,13,IF(L23=$Y23,12,"")),IF(AND($Y23&lt;&gt;0,MAX($O23:$Q23)=$Y23,TRUE),IF(Q23=$Y23,17,IF(P23=$Y23,16,IF(O23=$Y23,15,""))),IF(AND($Y23&lt;&gt;0,MAX($S23:$T23)=$Y23,TRUE),IF(T23=$Y23,20,IF(S23=$Y23,19,"")),""))))))</f>
        <v/>
      </c>
      <c r="AE23">
        <f>IF(AND($Z23&lt;&gt;0,MAX($C23:$D23)=$Z23,COUNTIF($AD23:$AD23,4)=0),IF(D23=$Z23,4,IF(C23=$Z23,3,"")),IF(AND($Z23&lt;&gt;0,MAX($F23:$G23)=$Z23,COUNTIF($AD23:$AD23,7)=0),IF(G23=$Z23,7,IF(F23=$Z23,6,"")),IF(AND($Z23&lt;&gt;0,MAX($I23:$J23)=$Z23,COUNTIF($AD23:$AD23,10)=0),IF(J23=$Z23,10,IF(I23=$Z23,9,"")),IF(AND($Z23&lt;&gt;0,MAX($L23:$M23)=$Z23,COUNTIF($AD23:$AD23,13)=0),IF(M23=$Z23,13,IF(L23=$Z23,12,"")),IF(AND($Z23&lt;&gt;0,MAX($O23:$Q23)=$Z23,COUNTIF($AD23:$AD23,16)=0),IF(Q23=$Z23,17,IF(P23=$Z23,16,IF(O23=$Z23,15,""))),IF(AND($Z23&lt;&gt;0,MAX($S23:$T23)=$Z23,COUNTIF($AD23:$AD23,19)=0),IF(T23=$Z23,20,IF(S23=$Z23,19,"")),""))))))</f>
        <v/>
      </c>
      <c r="AF23">
        <f>IF(AND($AA23&lt;&gt;0,MAX($C23:$D23)=$AA23,COUNTIF($AD23:$AE23,4)=0),IF(D23=$AA23,4,IF(C23=$AA23,3,"")),IF(AND($AA23&lt;&gt;0,MAX($F23:$G23)=$AA23,COUNTIF($AD23:$AE23,7)=0),IF(G23=$AA23,7,IF(F23=$AA23,6,"")),IF(AND($AA23&lt;&gt;0,MAX($I23:$J23)=$AA23,COUNTIF($AD23:$AE23,10)=0),IF(J23=$AA23,10,IF(I23=$AA23,9,"")),IF(AND($AA23&lt;&gt;0,MAX($L23:$M23)=$AA23,COUNTIF($AD23:$AE23,13)=0),IF(M23=$AA23,13,IF(L23=$AA23,12,"")),IF(AND($AA23&lt;&gt;0,MAX($O23:$Q23)=$AA23,COUNTIF($AD23:$AE23,16)=0),IF(Q23=$AA23,17,IF(P23=$AA23,16,IF(O23=$AA23,15,""))),IF(AND($AA23&lt;&gt;0,MAX($S23:$T23)=$AA23,COUNTIF($AD23:$AE23,19)=0),IF(T23=$AA23,20,IF(S23=$AA23,19,"")),""))))))</f>
        <v/>
      </c>
      <c r="AG23">
        <f>IF(AND($AB23&lt;&gt;0,MAX($C23:$D23)=$AB23,COUNTIF($AD23:$AF23,4)=0),IF(D23=$AB23,4,IF(C23=$AB23,3,"")),IF(AND($AB23&lt;&gt;0,MAX($F23:$G23)=$AB23,COUNTIF($AD23:$AF23,7)=0),IF(G23=$AB23,7,IF(F23=$AB23,6,"")),IF(AND($AB23&lt;&gt;0,MAX($I23:$J23)=$AB23,COUNTIF($AD23:$AF23,10)=0),IF(J23=$AB23,10,IF(I23=$AB23,9,"")),IF(AND($AB23&lt;&gt;0,MAX($L23:$M23)=$AB23,COUNTIF($AD23:$AF23,13)=0),IF(M23=$AB23,13,IF(L23=$AB23,12,"")),IF(AND($AB23&lt;&gt;0,MAX($O23:$Q23)=$AB23,COUNTIF($AD23:$AF23,16)=0),IF(Q23=$AB23,17,IF(P23=$AB23,16,IF(O23=$AB23,15,""))),IF(AND($AB23&lt;&gt;0,MAX($S23:$T23)=$AB23,COUNTIF($AD23:$AF23,19)=0),IF(T23=$AB23,20,IF(S23=$AB23,19,"")),""))))))</f>
        <v/>
      </c>
    </row>
    <row r="24">
      <c r="A24" t="n">
        <v>22</v>
      </c>
      <c r="B24" t="inlineStr">
        <is>
          <t>Jason Parker</t>
        </is>
      </c>
      <c r="L24" t="n">
        <v>198</v>
      </c>
      <c r="M24" t="n">
        <v>196</v>
      </c>
      <c r="W24">
        <f>SUM(LARGE(CHOOSE({1,2,3,4,5,6},MAX(C24:D24),MAX(F24:G24),MAX(I24:J24),MAX(L24:M24),MAX(O24:Q24),MAX(S24:T24)),{1,2,3,4}),V24)</f>
        <v/>
      </c>
      <c r="X24">
        <f>IF((--SUMPRODUCT((CHOOSE({1,2,3,4},MAX(C24:D24),MAX(F24:G24),MAX(I24:J24),MAX(L24:M24))&gt;0)*1)&gt;=3)+(--SUMPRODUCT((CHOOSE({1,2,3,4,5},MAX(#REF!),MAX(O24:Q24),MAX(S24:T24),MAX(#REF!),MAX(#REF!))&gt;0)*1)&gt;=3)=2,"Y","N")</f>
        <v/>
      </c>
      <c r="Y24">
        <f>LARGE(CHOOSE({1,2,3,4,5,6},MAX($C24:$D24),MAX($F24:$G24),MAX($I24:$J24),MAX($L24:$M24),MAX($O24:$Q24),MAX($S24:$T24)),1)</f>
        <v/>
      </c>
      <c r="Z24">
        <f>LARGE(CHOOSE({1,2,3,4,5,6},MAX($C24:$D24),MAX($F24:$G24),MAX($I24:$J24),MAX($L24:$M24),MAX($O24:$Q24),MAX($S24:$T24)),2)</f>
        <v/>
      </c>
      <c r="AA24">
        <f>LARGE(CHOOSE({1,2,3,4,5,6},MAX($C24:$D24),MAX($F24:$G24),MAX($I24:$J24),MAX($L24:$M24),MAX($O24:$Q24),MAX($S24:$T24)),3)</f>
        <v/>
      </c>
      <c r="AB24">
        <f>LARGE(CHOOSE({1,2,3,4,5,6},MAX($C24:$D24),MAX($F24:$G24),MAX($I24:$J24),MAX($L24:$M24),MAX($O24:$Q24),MAX($S24:$T24)),4)</f>
        <v/>
      </c>
      <c r="AD24">
        <f>IF(AND($Y24&lt;&gt;0,MAX($C24:$D24)=$Y24,TRUE),IF(D24=$Y24,4,IF(C24=$Y24,3,"")),IF(AND($Y24&lt;&gt;0,MAX($F24:$G24)=$Y24,TRUE),IF(G24=$Y24,7,IF(F24=$Y24,6,"")),IF(AND($Y24&lt;&gt;0,MAX($I24:$J24)=$Y24,TRUE),IF(J24=$Y24,10,IF(I24=$Y24,9,"")),IF(AND($Y24&lt;&gt;0,MAX($L24:$M24)=$Y24,TRUE),IF(M24=$Y24,13,IF(L24=$Y24,12,"")),IF(AND($Y24&lt;&gt;0,MAX($O24:$Q24)=$Y24,TRUE),IF(Q24=$Y24,17,IF(P24=$Y24,16,IF(O24=$Y24,15,""))),IF(AND($Y24&lt;&gt;0,MAX($S24:$T24)=$Y24,TRUE),IF(T24=$Y24,20,IF(S24=$Y24,19,"")),""))))))</f>
        <v/>
      </c>
      <c r="AE24">
        <f>IF(AND($Z24&lt;&gt;0,MAX($C24:$D24)=$Z24,COUNTIF($AD24:$AD24,4)=0),IF(D24=$Z24,4,IF(C24=$Z24,3,"")),IF(AND($Z24&lt;&gt;0,MAX($F24:$G24)=$Z24,COUNTIF($AD24:$AD24,7)=0),IF(G24=$Z24,7,IF(F24=$Z24,6,"")),IF(AND($Z24&lt;&gt;0,MAX($I24:$J24)=$Z24,COUNTIF($AD24:$AD24,10)=0),IF(J24=$Z24,10,IF(I24=$Z24,9,"")),IF(AND($Z24&lt;&gt;0,MAX($L24:$M24)=$Z24,COUNTIF($AD24:$AD24,13)=0),IF(M24=$Z24,13,IF(L24=$Z24,12,"")),IF(AND($Z24&lt;&gt;0,MAX($O24:$Q24)=$Z24,COUNTIF($AD24:$AD24,16)=0),IF(Q24=$Z24,17,IF(P24=$Z24,16,IF(O24=$Z24,15,""))),IF(AND($Z24&lt;&gt;0,MAX($S24:$T24)=$Z24,COUNTIF($AD24:$AD24,19)=0),IF(T24=$Z24,20,IF(S24=$Z24,19,"")),""))))))</f>
        <v/>
      </c>
      <c r="AF24">
        <f>IF(AND($AA24&lt;&gt;0,MAX($C24:$D24)=$AA24,COUNTIF($AD24:$AE24,4)=0),IF(D24=$AA24,4,IF(C24=$AA24,3,"")),IF(AND($AA24&lt;&gt;0,MAX($F24:$G24)=$AA24,COUNTIF($AD24:$AE24,7)=0),IF(G24=$AA24,7,IF(F24=$AA24,6,"")),IF(AND($AA24&lt;&gt;0,MAX($I24:$J24)=$AA24,COUNTIF($AD24:$AE24,10)=0),IF(J24=$AA24,10,IF(I24=$AA24,9,"")),IF(AND($AA24&lt;&gt;0,MAX($L24:$M24)=$AA24,COUNTIF($AD24:$AE24,13)=0),IF(M24=$AA24,13,IF(L24=$AA24,12,"")),IF(AND($AA24&lt;&gt;0,MAX($O24:$Q24)=$AA24,COUNTIF($AD24:$AE24,16)=0),IF(Q24=$AA24,17,IF(P24=$AA24,16,IF(O24=$AA24,15,""))),IF(AND($AA24&lt;&gt;0,MAX($S24:$T24)=$AA24,COUNTIF($AD24:$AE24,19)=0),IF(T24=$AA24,20,IF(S24=$AA24,19,"")),""))))))</f>
        <v/>
      </c>
      <c r="AG24">
        <f>IF(AND($AB24&lt;&gt;0,MAX($C24:$D24)=$AB24,COUNTIF($AD24:$AF24,4)=0),IF(D24=$AB24,4,IF(C24=$AB24,3,"")),IF(AND($AB24&lt;&gt;0,MAX($F24:$G24)=$AB24,COUNTIF($AD24:$AF24,7)=0),IF(G24=$AB24,7,IF(F24=$AB24,6,"")),IF(AND($AB24&lt;&gt;0,MAX($I24:$J24)=$AB24,COUNTIF($AD24:$AF24,10)=0),IF(J24=$AB24,10,IF(I24=$AB24,9,"")),IF(AND($AB24&lt;&gt;0,MAX($L24:$M24)=$AB24,COUNTIF($AD24:$AF24,13)=0),IF(M24=$AB24,13,IF(L24=$AB24,12,"")),IF(AND($AB24&lt;&gt;0,MAX($O24:$Q24)=$AB24,COUNTIF($AD24:$AF24,16)=0),IF(Q24=$AB24,17,IF(P24=$AB24,16,IF(O24=$AB24,15,""))),IF(AND($AB24&lt;&gt;0,MAX($S24:$T24)=$AB24,COUNTIF($AD24:$AF24,19)=0),IF(T24=$AB24,20,IF(S24=$AB24,19,"")),""))))))</f>
        <v/>
      </c>
    </row>
    <row r="25">
      <c r="A25" t="n">
        <v>23</v>
      </c>
      <c r="B25" t="inlineStr">
        <is>
          <t>Theo Pollack</t>
        </is>
      </c>
      <c r="I25" t="n">
        <v>198</v>
      </c>
      <c r="W25">
        <f>SUM(LARGE(CHOOSE({1,2,3,4,5,6},MAX(C25:D25),MAX(F25:G25),MAX(I25:J25),MAX(L25:M25),MAX(O25:Q25),MAX(S25:T25)),{1,2,3,4}),V25)</f>
        <v/>
      </c>
      <c r="X25">
        <f>IF((--SUMPRODUCT((CHOOSE({1,2,3,4},MAX(C25:D25),MAX(F25:G25),MAX(I25:J25),MAX(L25:M25))&gt;0)*1)&gt;=3)+(--SUMPRODUCT((CHOOSE({1,2,3,4,5},MAX(#REF!),MAX(O25:Q25),MAX(S25:T25),MAX(#REF!),MAX(#REF!))&gt;0)*1)&gt;=3)=2,"Y","N")</f>
        <v/>
      </c>
      <c r="Y25">
        <f>LARGE(CHOOSE({1,2,3,4,5,6},MAX($C25:$D25),MAX($F25:$G25),MAX($I25:$J25),MAX($L25:$M25),MAX($O25:$Q25),MAX($S25:$T25)),1)</f>
        <v/>
      </c>
      <c r="Z25">
        <f>LARGE(CHOOSE({1,2,3,4,5,6},MAX($C25:$D25),MAX($F25:$G25),MAX($I25:$J25),MAX($L25:$M25),MAX($O25:$Q25),MAX($S25:$T25)),2)</f>
        <v/>
      </c>
      <c r="AA25">
        <f>LARGE(CHOOSE({1,2,3,4,5,6},MAX($C25:$D25),MAX($F25:$G25),MAX($I25:$J25),MAX($L25:$M25),MAX($O25:$Q25),MAX($S25:$T25)),3)</f>
        <v/>
      </c>
      <c r="AB25">
        <f>LARGE(CHOOSE({1,2,3,4,5,6},MAX($C25:$D25),MAX($F25:$G25),MAX($I25:$J25),MAX($L25:$M25),MAX($O25:$Q25),MAX($S25:$T25)),4)</f>
        <v/>
      </c>
      <c r="AD25">
        <f>IF(AND($Y25&lt;&gt;0,MAX($C25:$D25)=$Y25,TRUE),IF(D25=$Y25,4,IF(C25=$Y25,3,"")),IF(AND($Y25&lt;&gt;0,MAX($F25:$G25)=$Y25,TRUE),IF(G25=$Y25,7,IF(F25=$Y25,6,"")),IF(AND($Y25&lt;&gt;0,MAX($I25:$J25)=$Y25,TRUE),IF(J25=$Y25,10,IF(I25=$Y25,9,"")),IF(AND($Y25&lt;&gt;0,MAX($L25:$M25)=$Y25,TRUE),IF(M25=$Y25,13,IF(L25=$Y25,12,"")),IF(AND($Y25&lt;&gt;0,MAX($O25:$Q25)=$Y25,TRUE),IF(Q25=$Y25,17,IF(P25=$Y25,16,IF(O25=$Y25,15,""))),IF(AND($Y25&lt;&gt;0,MAX($S25:$T25)=$Y25,TRUE),IF(T25=$Y25,20,IF(S25=$Y25,19,"")),""))))))</f>
        <v/>
      </c>
      <c r="AE25">
        <f>IF(AND($Z25&lt;&gt;0,MAX($C25:$D25)=$Z25,COUNTIF($AD25:$AD25,4)=0),IF(D25=$Z25,4,IF(C25=$Z25,3,"")),IF(AND($Z25&lt;&gt;0,MAX($F25:$G25)=$Z25,COUNTIF($AD25:$AD25,7)=0),IF(G25=$Z25,7,IF(F25=$Z25,6,"")),IF(AND($Z25&lt;&gt;0,MAX($I25:$J25)=$Z25,COUNTIF($AD25:$AD25,10)=0),IF(J25=$Z25,10,IF(I25=$Z25,9,"")),IF(AND($Z25&lt;&gt;0,MAX($L25:$M25)=$Z25,COUNTIF($AD25:$AD25,13)=0),IF(M25=$Z25,13,IF(L25=$Z25,12,"")),IF(AND($Z25&lt;&gt;0,MAX($O25:$Q25)=$Z25,COUNTIF($AD25:$AD25,16)=0),IF(Q25=$Z25,17,IF(P25=$Z25,16,IF(O25=$Z25,15,""))),IF(AND($Z25&lt;&gt;0,MAX($S25:$T25)=$Z25,COUNTIF($AD25:$AD25,19)=0),IF(T25=$Z25,20,IF(S25=$Z25,19,"")),""))))))</f>
        <v/>
      </c>
      <c r="AF25">
        <f>IF(AND($AA25&lt;&gt;0,MAX($C25:$D25)=$AA25,COUNTIF($AD25:$AE25,4)=0),IF(D25=$AA25,4,IF(C25=$AA25,3,"")),IF(AND($AA25&lt;&gt;0,MAX($F25:$G25)=$AA25,COUNTIF($AD25:$AE25,7)=0),IF(G25=$AA25,7,IF(F25=$AA25,6,"")),IF(AND($AA25&lt;&gt;0,MAX($I25:$J25)=$AA25,COUNTIF($AD25:$AE25,10)=0),IF(J25=$AA25,10,IF(I25=$AA25,9,"")),IF(AND($AA25&lt;&gt;0,MAX($L25:$M25)=$AA25,COUNTIF($AD25:$AE25,13)=0),IF(M25=$AA25,13,IF(L25=$AA25,12,"")),IF(AND($AA25&lt;&gt;0,MAX($O25:$Q25)=$AA25,COUNTIF($AD25:$AE25,16)=0),IF(Q25=$AA25,17,IF(P25=$AA25,16,IF(O25=$AA25,15,""))),IF(AND($AA25&lt;&gt;0,MAX($S25:$T25)=$AA25,COUNTIF($AD25:$AE25,19)=0),IF(T25=$AA25,20,IF(S25=$AA25,19,"")),""))))))</f>
        <v/>
      </c>
      <c r="AG25">
        <f>IF(AND($AB25&lt;&gt;0,MAX($C25:$D25)=$AB25,COUNTIF($AD25:$AF25,4)=0),IF(D25=$AB25,4,IF(C25=$AB25,3,"")),IF(AND($AB25&lt;&gt;0,MAX($F25:$G25)=$AB25,COUNTIF($AD25:$AF25,7)=0),IF(G25=$AB25,7,IF(F25=$AB25,6,"")),IF(AND($AB25&lt;&gt;0,MAX($I25:$J25)=$AB25,COUNTIF($AD25:$AF25,10)=0),IF(J25=$AB25,10,IF(I25=$AB25,9,"")),IF(AND($AB25&lt;&gt;0,MAX($L25:$M25)=$AB25,COUNTIF($AD25:$AF25,13)=0),IF(M25=$AB25,13,IF(L25=$AB25,12,"")),IF(AND($AB25&lt;&gt;0,MAX($O25:$Q25)=$AB25,COUNTIF($AD25:$AF25,16)=0),IF(Q25=$AB25,17,IF(P25=$AB25,16,IF(O25=$AB25,15,""))),IF(AND($AB25&lt;&gt;0,MAX($S25:$T25)=$AB25,COUNTIF($AD25:$AF25,19)=0),IF(T25=$AB25,20,IF(S25=$AB25,19,"")),""))))))</f>
        <v/>
      </c>
    </row>
    <row r="26">
      <c r="A26" t="n">
        <v>24</v>
      </c>
      <c r="B26" t="inlineStr">
        <is>
          <t>Bar Beaver</t>
        </is>
      </c>
      <c r="D26" t="n">
        <v>194</v>
      </c>
      <c r="W26">
        <f>SUM(LARGE(CHOOSE({1,2,3,4,5,6},MAX(C26:D26),MAX(F26:G26),MAX(I26:J26),MAX(L26:M26),MAX(O26:Q26),MAX(S26:T26)),{1,2,3,4}),V26)</f>
        <v/>
      </c>
      <c r="X26">
        <f>IF((--SUMPRODUCT((CHOOSE({1,2,3,4},MAX(C26:D26),MAX(F26:G26),MAX(I26:J26),MAX(L26:M26))&gt;0)*1)&gt;=3)+(--SUMPRODUCT((CHOOSE({1,2,3,4,5},MAX(#REF!),MAX(O26:Q26),MAX(S26:T26),MAX(#REF!),MAX(#REF!))&gt;0)*1)&gt;=3)=2,"Y","N")</f>
        <v/>
      </c>
      <c r="Y26">
        <f>LARGE(CHOOSE({1,2,3,4,5,6},MAX($C26:$D26),MAX($F26:$G26),MAX($I26:$J26),MAX($L26:$M26),MAX($O26:$Q26),MAX($S26:$T26)),1)</f>
        <v/>
      </c>
      <c r="Z26">
        <f>LARGE(CHOOSE({1,2,3,4,5,6},MAX($C26:$D26),MAX($F26:$G26),MAX($I26:$J26),MAX($L26:$M26),MAX($O26:$Q26),MAX($S26:$T26)),2)</f>
        <v/>
      </c>
      <c r="AA26">
        <f>LARGE(CHOOSE({1,2,3,4,5,6},MAX($C26:$D26),MAX($F26:$G26),MAX($I26:$J26),MAX($L26:$M26),MAX($O26:$Q26),MAX($S26:$T26)),3)</f>
        <v/>
      </c>
      <c r="AB26">
        <f>LARGE(CHOOSE({1,2,3,4,5,6},MAX($C26:$D26),MAX($F26:$G26),MAX($I26:$J26),MAX($L26:$M26),MAX($O26:$Q26),MAX($S26:$T26)),4)</f>
        <v/>
      </c>
      <c r="AD26">
        <f>IF(AND($Y26&lt;&gt;0,MAX($C26:$D26)=$Y26,TRUE),IF(D26=$Y26,4,IF(C26=$Y26,3,"")),IF(AND($Y26&lt;&gt;0,MAX($F26:$G26)=$Y26,TRUE),IF(G26=$Y26,7,IF(F26=$Y26,6,"")),IF(AND($Y26&lt;&gt;0,MAX($I26:$J26)=$Y26,TRUE),IF(J26=$Y26,10,IF(I26=$Y26,9,"")),IF(AND($Y26&lt;&gt;0,MAX($L26:$M26)=$Y26,TRUE),IF(M26=$Y26,13,IF(L26=$Y26,12,"")),IF(AND($Y26&lt;&gt;0,MAX($O26:$Q26)=$Y26,TRUE),IF(Q26=$Y26,17,IF(P26=$Y26,16,IF(O26=$Y26,15,""))),IF(AND($Y26&lt;&gt;0,MAX($S26:$T26)=$Y26,TRUE),IF(T26=$Y26,20,IF(S26=$Y26,19,"")),""))))))</f>
        <v/>
      </c>
      <c r="AE26">
        <f>IF(AND($Z26&lt;&gt;0,MAX($C26:$D26)=$Z26,COUNTIF($AD26:$AD26,4)=0),IF(D26=$Z26,4,IF(C26=$Z26,3,"")),IF(AND($Z26&lt;&gt;0,MAX($F26:$G26)=$Z26,COUNTIF($AD26:$AD26,7)=0),IF(G26=$Z26,7,IF(F26=$Z26,6,"")),IF(AND($Z26&lt;&gt;0,MAX($I26:$J26)=$Z26,COUNTIF($AD26:$AD26,10)=0),IF(J26=$Z26,10,IF(I26=$Z26,9,"")),IF(AND($Z26&lt;&gt;0,MAX($L26:$M26)=$Z26,COUNTIF($AD26:$AD26,13)=0),IF(M26=$Z26,13,IF(L26=$Z26,12,"")),IF(AND($Z26&lt;&gt;0,MAX($O26:$Q26)=$Z26,COUNTIF($AD26:$AD26,16)=0),IF(Q26=$Z26,17,IF(P26=$Z26,16,IF(O26=$Z26,15,""))),IF(AND($Z26&lt;&gt;0,MAX($S26:$T26)=$Z26,COUNTIF($AD26:$AD26,19)=0),IF(T26=$Z26,20,IF(S26=$Z26,19,"")),""))))))</f>
        <v/>
      </c>
      <c r="AF26">
        <f>IF(AND($AA26&lt;&gt;0,MAX($C26:$D26)=$AA26,COUNTIF($AD26:$AE26,4)=0),IF(D26=$AA26,4,IF(C26=$AA26,3,"")),IF(AND($AA26&lt;&gt;0,MAX($F26:$G26)=$AA26,COUNTIF($AD26:$AE26,7)=0),IF(G26=$AA26,7,IF(F26=$AA26,6,"")),IF(AND($AA26&lt;&gt;0,MAX($I26:$J26)=$AA26,COUNTIF($AD26:$AE26,10)=0),IF(J26=$AA26,10,IF(I26=$AA26,9,"")),IF(AND($AA26&lt;&gt;0,MAX($L26:$M26)=$AA26,COUNTIF($AD26:$AE26,13)=0),IF(M26=$AA26,13,IF(L26=$AA26,12,"")),IF(AND($AA26&lt;&gt;0,MAX($O26:$Q26)=$AA26,COUNTIF($AD26:$AE26,16)=0),IF(Q26=$AA26,17,IF(P26=$AA26,16,IF(O26=$AA26,15,""))),IF(AND($AA26&lt;&gt;0,MAX($S26:$T26)=$AA26,COUNTIF($AD26:$AE26,19)=0),IF(T26=$AA26,20,IF(S26=$AA26,19,"")),""))))))</f>
        <v/>
      </c>
      <c r="AG26">
        <f>IF(AND($AB26&lt;&gt;0,MAX($C26:$D26)=$AB26,COUNTIF($AD26:$AF26,4)=0),IF(D26=$AB26,4,IF(C26=$AB26,3,"")),IF(AND($AB26&lt;&gt;0,MAX($F26:$G26)=$AB26,COUNTIF($AD26:$AF26,7)=0),IF(G26=$AB26,7,IF(F26=$AB26,6,"")),IF(AND($AB26&lt;&gt;0,MAX($I26:$J26)=$AB26,COUNTIF($AD26:$AF26,10)=0),IF(J26=$AB26,10,IF(I26=$AB26,9,"")),IF(AND($AB26&lt;&gt;0,MAX($L26:$M26)=$AB26,COUNTIF($AD26:$AF26,13)=0),IF(M26=$AB26,13,IF(L26=$AB26,12,"")),IF(AND($AB26&lt;&gt;0,MAX($O26:$Q26)=$AB26,COUNTIF($AD26:$AF26,16)=0),IF(Q26=$AB26,17,IF(P26=$AB26,16,IF(O26=$AB26,15,""))),IF(AND($AB26&lt;&gt;0,MAX($S26:$T26)=$AB26,COUNTIF($AD26:$AF26,19)=0),IF(T26=$AB26,20,IF(S26=$AB26,19,"")),""))))))</f>
        <v/>
      </c>
    </row>
    <row r="27">
      <c r="A27" t="n">
        <v>25</v>
      </c>
      <c r="B27" t="inlineStr">
        <is>
          <t>Jerry Plaissance</t>
        </is>
      </c>
      <c r="S27" t="n">
        <v>192</v>
      </c>
      <c r="W27">
        <f>SUM(LARGE(CHOOSE({1,2,3,4,5,6},MAX(C27:D27),MAX(F27:G27),MAX(I27:J27),MAX(L27:M27),MAX(O27:Q27),MAX(S27:T27)),{1,2,3,4}),V27)</f>
        <v/>
      </c>
      <c r="X27">
        <f>IF((--SUMPRODUCT((CHOOSE({1,2,3,4},MAX(C27:D27),MAX(F27:G27),MAX(I27:J27),MAX(L27:M27))&gt;0)*1)&gt;=3)+(--SUMPRODUCT((CHOOSE({1,2,3,4,5},MAX(#REF!),MAX(O27:Q27),MAX(S27:T27),MAX(#REF!),MAX(#REF!))&gt;0)*1)&gt;=3)=2,"Y","N")</f>
        <v/>
      </c>
      <c r="Y27">
        <f>LARGE(CHOOSE({1,2,3,4,5,6},MAX($C27:$D27),MAX($F27:$G27),MAX($I27:$J27),MAX($L27:$M27),MAX($O27:$Q27),MAX($S27:$T27)),1)</f>
        <v/>
      </c>
      <c r="Z27">
        <f>LARGE(CHOOSE({1,2,3,4,5,6},MAX($C27:$D27),MAX($F27:$G27),MAX($I27:$J27),MAX($L27:$M27),MAX($O27:$Q27),MAX($S27:$T27)),2)</f>
        <v/>
      </c>
      <c r="AA27">
        <f>LARGE(CHOOSE({1,2,3,4,5,6},MAX($C27:$D27),MAX($F27:$G27),MAX($I27:$J27),MAX($L27:$M27),MAX($O27:$Q27),MAX($S27:$T27)),3)</f>
        <v/>
      </c>
      <c r="AB27">
        <f>LARGE(CHOOSE({1,2,3,4,5,6},MAX($C27:$D27),MAX($F27:$G27),MAX($I27:$J27),MAX($L27:$M27),MAX($O27:$Q27),MAX($S27:$T27)),4)</f>
        <v/>
      </c>
      <c r="AD27">
        <f>IF(AND($Y27&lt;&gt;0,MAX($C27:$D27)=$Y27,TRUE),IF(D27=$Y27,4,IF(C27=$Y27,3,"")),IF(AND($Y27&lt;&gt;0,MAX($F27:$G27)=$Y27,TRUE),IF(G27=$Y27,7,IF(F27=$Y27,6,"")),IF(AND($Y27&lt;&gt;0,MAX($I27:$J27)=$Y27,TRUE),IF(J27=$Y27,10,IF(I27=$Y27,9,"")),IF(AND($Y27&lt;&gt;0,MAX($L27:$M27)=$Y27,TRUE),IF(M27=$Y27,13,IF(L27=$Y27,12,"")),IF(AND($Y27&lt;&gt;0,MAX($O27:$Q27)=$Y27,TRUE),IF(Q27=$Y27,17,IF(P27=$Y27,16,IF(O27=$Y27,15,""))),IF(AND($Y27&lt;&gt;0,MAX($S27:$T27)=$Y27,TRUE),IF(T27=$Y27,20,IF(S27=$Y27,19,"")),""))))))</f>
        <v/>
      </c>
      <c r="AE27">
        <f>IF(AND($Z27&lt;&gt;0,MAX($C27:$D27)=$Z27,COUNTIF($AD27:$AD27,4)=0),IF(D27=$Z27,4,IF(C27=$Z27,3,"")),IF(AND($Z27&lt;&gt;0,MAX($F27:$G27)=$Z27,COUNTIF($AD27:$AD27,7)=0),IF(G27=$Z27,7,IF(F27=$Z27,6,"")),IF(AND($Z27&lt;&gt;0,MAX($I27:$J27)=$Z27,COUNTIF($AD27:$AD27,10)=0),IF(J27=$Z27,10,IF(I27=$Z27,9,"")),IF(AND($Z27&lt;&gt;0,MAX($L27:$M27)=$Z27,COUNTIF($AD27:$AD27,13)=0),IF(M27=$Z27,13,IF(L27=$Z27,12,"")),IF(AND($Z27&lt;&gt;0,MAX($O27:$Q27)=$Z27,COUNTIF($AD27:$AD27,16)=0),IF(Q27=$Z27,17,IF(P27=$Z27,16,IF(O27=$Z27,15,""))),IF(AND($Z27&lt;&gt;0,MAX($S27:$T27)=$Z27,COUNTIF($AD27:$AD27,19)=0),IF(T27=$Z27,20,IF(S27=$Z27,19,"")),""))))))</f>
        <v/>
      </c>
      <c r="AF27">
        <f>IF(AND($AA27&lt;&gt;0,MAX($C27:$D27)=$AA27,COUNTIF($AD27:$AE27,4)=0),IF(D27=$AA27,4,IF(C27=$AA27,3,"")),IF(AND($AA27&lt;&gt;0,MAX($F27:$G27)=$AA27,COUNTIF($AD27:$AE27,7)=0),IF(G27=$AA27,7,IF(F27=$AA27,6,"")),IF(AND($AA27&lt;&gt;0,MAX($I27:$J27)=$AA27,COUNTIF($AD27:$AE27,10)=0),IF(J27=$AA27,10,IF(I27=$AA27,9,"")),IF(AND($AA27&lt;&gt;0,MAX($L27:$M27)=$AA27,COUNTIF($AD27:$AE27,13)=0),IF(M27=$AA27,13,IF(L27=$AA27,12,"")),IF(AND($AA27&lt;&gt;0,MAX($O27:$Q27)=$AA27,COUNTIF($AD27:$AE27,16)=0),IF(Q27=$AA27,17,IF(P27=$AA27,16,IF(O27=$AA27,15,""))),IF(AND($AA27&lt;&gt;0,MAX($S27:$T27)=$AA27,COUNTIF($AD27:$AE27,19)=0),IF(T27=$AA27,20,IF(S27=$AA27,19,"")),""))))))</f>
        <v/>
      </c>
      <c r="AG27">
        <f>IF(AND($AB27&lt;&gt;0,MAX($C27:$D27)=$AB27,COUNTIF($AD27:$AF27,4)=0),IF(D27=$AB27,4,IF(C27=$AB27,3,"")),IF(AND($AB27&lt;&gt;0,MAX($F27:$G27)=$AB27,COUNTIF($AD27:$AF27,7)=0),IF(G27=$AB27,7,IF(F27=$AB27,6,"")),IF(AND($AB27&lt;&gt;0,MAX($I27:$J27)=$AB27,COUNTIF($AD27:$AF27,10)=0),IF(J27=$AB27,10,IF(I27=$AB27,9,"")),IF(AND($AB27&lt;&gt;0,MAX($L27:$M27)=$AB27,COUNTIF($AD27:$AF27,13)=0),IF(M27=$AB27,13,IF(L27=$AB27,12,"")),IF(AND($AB27&lt;&gt;0,MAX($O27:$Q27)=$AB27,COUNTIF($AD27:$AF27,16)=0),IF(Q27=$AB27,17,IF(P27=$AB27,16,IF(O27=$AB27,15,""))),IF(AND($AB27&lt;&gt;0,MAX($S27:$T27)=$AB27,COUNTIF($AD27:$AF27,19)=0),IF(T27=$AB27,20,IF(S27=$AB27,19,"")),""))))))</f>
        <v/>
      </c>
    </row>
    <row r="28">
      <c r="A28" t="n">
        <v>26</v>
      </c>
      <c r="B28" t="inlineStr">
        <is>
          <t>Cody Ford</t>
        </is>
      </c>
      <c r="I28" t="n">
        <v>190</v>
      </c>
      <c r="W28">
        <f>SUM(LARGE(CHOOSE({1,2,3,4,5,6},MAX(C28:D28),MAX(F28:G28),MAX(I28:J28),MAX(L28:M28),MAX(O28:Q28),MAX(S28:T28)),{1,2,3,4}),V28)</f>
        <v/>
      </c>
      <c r="X28">
        <f>IF((--SUMPRODUCT((CHOOSE({1,2,3,4},MAX(C28:D28),MAX(F28:G28),MAX(I28:J28),MAX(L28:M28))&gt;0)*1)&gt;=3)+(--SUMPRODUCT((CHOOSE({1,2,3,4,5},MAX(#REF!),MAX(O28:Q28),MAX(S28:T28),MAX(#REF!),MAX(#REF!))&gt;0)*1)&gt;=3)=2,"Y","N")</f>
        <v/>
      </c>
      <c r="Y28">
        <f>LARGE(CHOOSE({1,2,3,4,5,6},MAX($C28:$D28),MAX($F28:$G28),MAX($I28:$J28),MAX($L28:$M28),MAX($O28:$Q28),MAX($S28:$T28)),1)</f>
        <v/>
      </c>
      <c r="Z28">
        <f>LARGE(CHOOSE({1,2,3,4,5,6},MAX($C28:$D28),MAX($F28:$G28),MAX($I28:$J28),MAX($L28:$M28),MAX($O28:$Q28),MAX($S28:$T28)),2)</f>
        <v/>
      </c>
      <c r="AA28">
        <f>LARGE(CHOOSE({1,2,3,4,5,6},MAX($C28:$D28),MAX($F28:$G28),MAX($I28:$J28),MAX($L28:$M28),MAX($O28:$Q28),MAX($S28:$T28)),3)</f>
        <v/>
      </c>
      <c r="AB28">
        <f>LARGE(CHOOSE({1,2,3,4,5,6},MAX($C28:$D28),MAX($F28:$G28),MAX($I28:$J28),MAX($L28:$M28),MAX($O28:$Q28),MAX($S28:$T28)),4)</f>
        <v/>
      </c>
      <c r="AD28">
        <f>IF(AND($Y28&lt;&gt;0,MAX($C28:$D28)=$Y28,TRUE),IF(D28=$Y28,4,IF(C28=$Y28,3,"")),IF(AND($Y28&lt;&gt;0,MAX($F28:$G28)=$Y28,TRUE),IF(G28=$Y28,7,IF(F28=$Y28,6,"")),IF(AND($Y28&lt;&gt;0,MAX($I28:$J28)=$Y28,TRUE),IF(J28=$Y28,10,IF(I28=$Y28,9,"")),IF(AND($Y28&lt;&gt;0,MAX($L28:$M28)=$Y28,TRUE),IF(M28=$Y28,13,IF(L28=$Y28,12,"")),IF(AND($Y28&lt;&gt;0,MAX($O28:$Q28)=$Y28,TRUE),IF(Q28=$Y28,17,IF(P28=$Y28,16,IF(O28=$Y28,15,""))),IF(AND($Y28&lt;&gt;0,MAX($S28:$T28)=$Y28,TRUE),IF(T28=$Y28,20,IF(S28=$Y28,19,"")),""))))))</f>
        <v/>
      </c>
      <c r="AE28">
        <f>IF(AND($Z28&lt;&gt;0,MAX($C28:$D28)=$Z28,COUNTIF($AD28:$AD28,4)=0),IF(D28=$Z28,4,IF(C28=$Z28,3,"")),IF(AND($Z28&lt;&gt;0,MAX($F28:$G28)=$Z28,COUNTIF($AD28:$AD28,7)=0),IF(G28=$Z28,7,IF(F28=$Z28,6,"")),IF(AND($Z28&lt;&gt;0,MAX($I28:$J28)=$Z28,COUNTIF($AD28:$AD28,10)=0),IF(J28=$Z28,10,IF(I28=$Z28,9,"")),IF(AND($Z28&lt;&gt;0,MAX($L28:$M28)=$Z28,COUNTIF($AD28:$AD28,13)=0),IF(M28=$Z28,13,IF(L28=$Z28,12,"")),IF(AND($Z28&lt;&gt;0,MAX($O28:$Q28)=$Z28,COUNTIF($AD28:$AD28,16)=0),IF(Q28=$Z28,17,IF(P28=$Z28,16,IF(O28=$Z28,15,""))),IF(AND($Z28&lt;&gt;0,MAX($S28:$T28)=$Z28,COUNTIF($AD28:$AD28,19)=0),IF(T28=$Z28,20,IF(S28=$Z28,19,"")),""))))))</f>
        <v/>
      </c>
      <c r="AF28">
        <f>IF(AND($AA28&lt;&gt;0,MAX($C28:$D28)=$AA28,COUNTIF($AD28:$AE28,4)=0),IF(D28=$AA28,4,IF(C28=$AA28,3,"")),IF(AND($AA28&lt;&gt;0,MAX($F28:$G28)=$AA28,COUNTIF($AD28:$AE28,7)=0),IF(G28=$AA28,7,IF(F28=$AA28,6,"")),IF(AND($AA28&lt;&gt;0,MAX($I28:$J28)=$AA28,COUNTIF($AD28:$AE28,10)=0),IF(J28=$AA28,10,IF(I28=$AA28,9,"")),IF(AND($AA28&lt;&gt;0,MAX($L28:$M28)=$AA28,COUNTIF($AD28:$AE28,13)=0),IF(M28=$AA28,13,IF(L28=$AA28,12,"")),IF(AND($AA28&lt;&gt;0,MAX($O28:$Q28)=$AA28,COUNTIF($AD28:$AE28,16)=0),IF(Q28=$AA28,17,IF(P28=$AA28,16,IF(O28=$AA28,15,""))),IF(AND($AA28&lt;&gt;0,MAX($S28:$T28)=$AA28,COUNTIF($AD28:$AE28,19)=0),IF(T28=$AA28,20,IF(S28=$AA28,19,"")),""))))))</f>
        <v/>
      </c>
      <c r="AG28">
        <f>IF(AND($AB28&lt;&gt;0,MAX($C28:$D28)=$AB28,COUNTIF($AD28:$AF28,4)=0),IF(D28=$AB28,4,IF(C28=$AB28,3,"")),IF(AND($AB28&lt;&gt;0,MAX($F28:$G28)=$AB28,COUNTIF($AD28:$AF28,7)=0),IF(G28=$AB28,7,IF(F28=$AB28,6,"")),IF(AND($AB28&lt;&gt;0,MAX($I28:$J28)=$AB28,COUNTIF($AD28:$AF28,10)=0),IF(J28=$AB28,10,IF(I28=$AB28,9,"")),IF(AND($AB28&lt;&gt;0,MAX($L28:$M28)=$AB28,COUNTIF($AD28:$AF28,13)=0),IF(M28=$AB28,13,IF(L28=$AB28,12,"")),IF(AND($AB28&lt;&gt;0,MAX($O28:$Q28)=$AB28,COUNTIF($AD28:$AF28,16)=0),IF(Q28=$AB28,17,IF(P28=$AB28,16,IF(O28=$AB28,15,""))),IF(AND($AB28&lt;&gt;0,MAX($S28:$T28)=$AB28,COUNTIF($AD28:$AF28,19)=0),IF(T28=$AB28,20,IF(S28=$AB28,19,"")),""))))))</f>
        <v/>
      </c>
    </row>
    <row r="29">
      <c r="A29" t="n">
        <v>27</v>
      </c>
      <c r="B29" t="inlineStr">
        <is>
          <t>Dylan Ford</t>
        </is>
      </c>
      <c r="T29" t="n">
        <v>189</v>
      </c>
      <c r="W29">
        <f>SUM(LARGE(CHOOSE({1,2,3,4,5,6},MAX(C29:D29),MAX(F29:G29),MAX(I29:J29),MAX(L29:M29),MAX(O29:Q29),MAX(S29:T29)),{1,2,3,4}),V29)</f>
        <v/>
      </c>
      <c r="X29">
        <f>IF((--SUMPRODUCT((CHOOSE({1,2,3,4},MAX(C29:D29),MAX(F29:G29),MAX(I29:J29),MAX(L29:M29))&gt;0)*1)&gt;=3)+(--SUMPRODUCT((CHOOSE({1,2,3,4,5},MAX(#REF!),MAX(O29:Q29),MAX(S29:T29),MAX(#REF!),MAX(#REF!))&gt;0)*1)&gt;=3)=2,"Y","N")</f>
        <v/>
      </c>
      <c r="Y29">
        <f>LARGE(CHOOSE({1,2,3,4,5,6},MAX($C29:$D29),MAX($F29:$G29),MAX($I29:$J29),MAX($L29:$M29),MAX($O29:$Q29),MAX($S29:$T29)),1)</f>
        <v/>
      </c>
      <c r="Z29">
        <f>LARGE(CHOOSE({1,2,3,4,5,6},MAX($C29:$D29),MAX($F29:$G29),MAX($I29:$J29),MAX($L29:$M29),MAX($O29:$Q29),MAX($S29:$T29)),2)</f>
        <v/>
      </c>
      <c r="AA29">
        <f>LARGE(CHOOSE({1,2,3,4,5,6},MAX($C29:$D29),MAX($F29:$G29),MAX($I29:$J29),MAX($L29:$M29),MAX($O29:$Q29),MAX($S29:$T29)),3)</f>
        <v/>
      </c>
      <c r="AB29">
        <f>LARGE(CHOOSE({1,2,3,4,5,6},MAX($C29:$D29),MAX($F29:$G29),MAX($I29:$J29),MAX($L29:$M29),MAX($O29:$Q29),MAX($S29:$T29)),4)</f>
        <v/>
      </c>
      <c r="AD29">
        <f>IF(AND($Y29&lt;&gt;0,MAX($C29:$D29)=$Y29,TRUE),IF(D29=$Y29,4,IF(C29=$Y29,3,"")),IF(AND($Y29&lt;&gt;0,MAX($F29:$G29)=$Y29,TRUE),IF(G29=$Y29,7,IF(F29=$Y29,6,"")),IF(AND($Y29&lt;&gt;0,MAX($I29:$J29)=$Y29,TRUE),IF(J29=$Y29,10,IF(I29=$Y29,9,"")),IF(AND($Y29&lt;&gt;0,MAX($L29:$M29)=$Y29,TRUE),IF(M29=$Y29,13,IF(L29=$Y29,12,"")),IF(AND($Y29&lt;&gt;0,MAX($O29:$Q29)=$Y29,TRUE),IF(Q29=$Y29,17,IF(P29=$Y29,16,IF(O29=$Y29,15,""))),IF(AND($Y29&lt;&gt;0,MAX($S29:$T29)=$Y29,TRUE),IF(T29=$Y29,20,IF(S29=$Y29,19,"")),""))))))</f>
        <v/>
      </c>
      <c r="AE29">
        <f>IF(AND($Z29&lt;&gt;0,MAX($C29:$D29)=$Z29,COUNTIF($AD29:$AD29,4)=0),IF(D29=$Z29,4,IF(C29=$Z29,3,"")),IF(AND($Z29&lt;&gt;0,MAX($F29:$G29)=$Z29,COUNTIF($AD29:$AD29,7)=0),IF(G29=$Z29,7,IF(F29=$Z29,6,"")),IF(AND($Z29&lt;&gt;0,MAX($I29:$J29)=$Z29,COUNTIF($AD29:$AD29,10)=0),IF(J29=$Z29,10,IF(I29=$Z29,9,"")),IF(AND($Z29&lt;&gt;0,MAX($L29:$M29)=$Z29,COUNTIF($AD29:$AD29,13)=0),IF(M29=$Z29,13,IF(L29=$Z29,12,"")),IF(AND($Z29&lt;&gt;0,MAX($O29:$Q29)=$Z29,COUNTIF($AD29:$AD29,16)=0),IF(Q29=$Z29,17,IF(P29=$Z29,16,IF(O29=$Z29,15,""))),IF(AND($Z29&lt;&gt;0,MAX($S29:$T29)=$Z29,COUNTIF($AD29:$AD29,19)=0),IF(T29=$Z29,20,IF(S29=$Z29,19,"")),""))))))</f>
        <v/>
      </c>
      <c r="AF29">
        <f>IF(AND($AA29&lt;&gt;0,MAX($C29:$D29)=$AA29,COUNTIF($AD29:$AE29,4)=0),IF(D29=$AA29,4,IF(C29=$AA29,3,"")),IF(AND($AA29&lt;&gt;0,MAX($F29:$G29)=$AA29,COUNTIF($AD29:$AE29,7)=0),IF(G29=$AA29,7,IF(F29=$AA29,6,"")),IF(AND($AA29&lt;&gt;0,MAX($I29:$J29)=$AA29,COUNTIF($AD29:$AE29,10)=0),IF(J29=$AA29,10,IF(I29=$AA29,9,"")),IF(AND($AA29&lt;&gt;0,MAX($L29:$M29)=$AA29,COUNTIF($AD29:$AE29,13)=0),IF(M29=$AA29,13,IF(L29=$AA29,12,"")),IF(AND($AA29&lt;&gt;0,MAX($O29:$Q29)=$AA29,COUNTIF($AD29:$AE29,16)=0),IF(Q29=$AA29,17,IF(P29=$AA29,16,IF(O29=$AA29,15,""))),IF(AND($AA29&lt;&gt;0,MAX($S29:$T29)=$AA29,COUNTIF($AD29:$AE29,19)=0),IF(T29=$AA29,20,IF(S29=$AA29,19,"")),""))))))</f>
        <v/>
      </c>
      <c r="AG29">
        <f>IF(AND($AB29&lt;&gt;0,MAX($C29:$D29)=$AB29,COUNTIF($AD29:$AF29,4)=0),IF(D29=$AB29,4,IF(C29=$AB29,3,"")),IF(AND($AB29&lt;&gt;0,MAX($F29:$G29)=$AB29,COUNTIF($AD29:$AF29,7)=0),IF(G29=$AB29,7,IF(F29=$AB29,6,"")),IF(AND($AB29&lt;&gt;0,MAX($I29:$J29)=$AB29,COUNTIF($AD29:$AF29,10)=0),IF(J29=$AB29,10,IF(I29=$AB29,9,"")),IF(AND($AB29&lt;&gt;0,MAX($L29:$M29)=$AB29,COUNTIF($AD29:$AF29,13)=0),IF(M29=$AB29,13,IF(L29=$AB29,12,"")),IF(AND($AB29&lt;&gt;0,MAX($O29:$Q29)=$AB29,COUNTIF($AD29:$AF29,16)=0),IF(Q29=$AB29,17,IF(P29=$AB29,16,IF(O29=$AB29,15,""))),IF(AND($AB29&lt;&gt;0,MAX($S29:$T29)=$AB29,COUNTIF($AD29:$AF29,19)=0),IF(T29=$AB29,20,IF(S29=$AB29,19,"")),""))))))</f>
        <v/>
      </c>
    </row>
    <row r="30">
      <c r="A30" t="n">
        <v>28</v>
      </c>
      <c r="B30" t="inlineStr">
        <is>
          <t>Russell Rock</t>
        </is>
      </c>
      <c r="S30" t="n">
        <v>184</v>
      </c>
      <c r="W30">
        <f>SUM(LARGE(CHOOSE({1,2,3,4,5,6},MAX(C30:D30),MAX(F30:G30),MAX(I30:J30),MAX(L30:M30),MAX(O30:Q30),MAX(S30:T30)),{1,2,3,4}),V30)</f>
        <v/>
      </c>
      <c r="X30">
        <f>IF((--SUMPRODUCT((CHOOSE({1,2,3,4},MAX(C30:D30),MAX(F30:G30),MAX(I30:J30),MAX(L30:M30))&gt;0)*1)&gt;=3)+(--SUMPRODUCT((CHOOSE({1,2,3,4,5},MAX(#REF!),MAX(O30:Q30),MAX(S30:T30),MAX(#REF!),MAX(#REF!))&gt;0)*1)&gt;=3)=2,"Y","N")</f>
        <v/>
      </c>
      <c r="Y30">
        <f>LARGE(CHOOSE({1,2,3,4,5,6},MAX($C30:$D30),MAX($F30:$G30),MAX($I30:$J30),MAX($L30:$M30),MAX($O30:$Q30),MAX($S30:$T30)),1)</f>
        <v/>
      </c>
      <c r="Z30">
        <f>LARGE(CHOOSE({1,2,3,4,5,6},MAX($C30:$D30),MAX($F30:$G30),MAX($I30:$J30),MAX($L30:$M30),MAX($O30:$Q30),MAX($S30:$T30)),2)</f>
        <v/>
      </c>
      <c r="AA30">
        <f>LARGE(CHOOSE({1,2,3,4,5,6},MAX($C30:$D30),MAX($F30:$G30),MAX($I30:$J30),MAX($L30:$M30),MAX($O30:$Q30),MAX($S30:$T30)),3)</f>
        <v/>
      </c>
      <c r="AB30">
        <f>LARGE(CHOOSE({1,2,3,4,5,6},MAX($C30:$D30),MAX($F30:$G30),MAX($I30:$J30),MAX($L30:$M30),MAX($O30:$Q30),MAX($S30:$T30)),4)</f>
        <v/>
      </c>
      <c r="AD30">
        <f>IF(AND($Y30&lt;&gt;0,MAX($C30:$D30)=$Y30,TRUE),IF(D30=$Y30,4,IF(C30=$Y30,3,"")),IF(AND($Y30&lt;&gt;0,MAX($F30:$G30)=$Y30,TRUE),IF(G30=$Y30,7,IF(F30=$Y30,6,"")),IF(AND($Y30&lt;&gt;0,MAX($I30:$J30)=$Y30,TRUE),IF(J30=$Y30,10,IF(I30=$Y30,9,"")),IF(AND($Y30&lt;&gt;0,MAX($L30:$M30)=$Y30,TRUE),IF(M30=$Y30,13,IF(L30=$Y30,12,"")),IF(AND($Y30&lt;&gt;0,MAX($O30:$Q30)=$Y30,TRUE),IF(Q30=$Y30,17,IF(P30=$Y30,16,IF(O30=$Y30,15,""))),IF(AND($Y30&lt;&gt;0,MAX($S30:$T30)=$Y30,TRUE),IF(T30=$Y30,20,IF(S30=$Y30,19,"")),""))))))</f>
        <v/>
      </c>
      <c r="AE30">
        <f>IF(AND($Z30&lt;&gt;0,MAX($C30:$D30)=$Z30,COUNTIF($AD30:$AD30,4)=0),IF(D30=$Z30,4,IF(C30=$Z30,3,"")),IF(AND($Z30&lt;&gt;0,MAX($F30:$G30)=$Z30,COUNTIF($AD30:$AD30,7)=0),IF(G30=$Z30,7,IF(F30=$Z30,6,"")),IF(AND($Z30&lt;&gt;0,MAX($I30:$J30)=$Z30,COUNTIF($AD30:$AD30,10)=0),IF(J30=$Z30,10,IF(I30=$Z30,9,"")),IF(AND($Z30&lt;&gt;0,MAX($L30:$M30)=$Z30,COUNTIF($AD30:$AD30,13)=0),IF(M30=$Z30,13,IF(L30=$Z30,12,"")),IF(AND($Z30&lt;&gt;0,MAX($O30:$Q30)=$Z30,COUNTIF($AD30:$AD30,16)=0),IF(Q30=$Z30,17,IF(P30=$Z30,16,IF(O30=$Z30,15,""))),IF(AND($Z30&lt;&gt;0,MAX($S30:$T30)=$Z30,COUNTIF($AD30:$AD30,19)=0),IF(T30=$Z30,20,IF(S30=$Z30,19,"")),""))))))</f>
        <v/>
      </c>
      <c r="AF30">
        <f>IF(AND($AA30&lt;&gt;0,MAX($C30:$D30)=$AA30,COUNTIF($AD30:$AE30,4)=0),IF(D30=$AA30,4,IF(C30=$AA30,3,"")),IF(AND($AA30&lt;&gt;0,MAX($F30:$G30)=$AA30,COUNTIF($AD30:$AE30,7)=0),IF(G30=$AA30,7,IF(F30=$AA30,6,"")),IF(AND($AA30&lt;&gt;0,MAX($I30:$J30)=$AA30,COUNTIF($AD30:$AE30,10)=0),IF(J30=$AA30,10,IF(I30=$AA30,9,"")),IF(AND($AA30&lt;&gt;0,MAX($L30:$M30)=$AA30,COUNTIF($AD30:$AE30,13)=0),IF(M30=$AA30,13,IF(L30=$AA30,12,"")),IF(AND($AA30&lt;&gt;0,MAX($O30:$Q30)=$AA30,COUNTIF($AD30:$AE30,16)=0),IF(Q30=$AA30,17,IF(P30=$AA30,16,IF(O30=$AA30,15,""))),IF(AND($AA30&lt;&gt;0,MAX($S30:$T30)=$AA30,COUNTIF($AD30:$AE30,19)=0),IF(T30=$AA30,20,IF(S30=$AA30,19,"")),""))))))</f>
        <v/>
      </c>
      <c r="AG30">
        <f>IF(AND($AB30&lt;&gt;0,MAX($C30:$D30)=$AB30,COUNTIF($AD30:$AF30,4)=0),IF(D30=$AB30,4,IF(C30=$AB30,3,"")),IF(AND($AB30&lt;&gt;0,MAX($F30:$G30)=$AB30,COUNTIF($AD30:$AF30,7)=0),IF(G30=$AB30,7,IF(F30=$AB30,6,"")),IF(AND($AB30&lt;&gt;0,MAX($I30:$J30)=$AB30,COUNTIF($AD30:$AF30,10)=0),IF(J30=$AB30,10,IF(I30=$AB30,9,"")),IF(AND($AB30&lt;&gt;0,MAX($L30:$M30)=$AB30,COUNTIF($AD30:$AF30,13)=0),IF(M30=$AB30,13,IF(L30=$AB30,12,"")),IF(AND($AB30&lt;&gt;0,MAX($O30:$Q30)=$AB30,COUNTIF($AD30:$AF30,16)=0),IF(Q30=$AB30,17,IF(P30=$AB30,16,IF(O30=$AB30,15,""))),IF(AND($AB30&lt;&gt;0,MAX($S30:$T30)=$AB30,COUNTIF($AD30:$AF30,19)=0),IF(T30=$AB30,20,IF(S30=$AB30,19,"")),""))))))</f>
        <v/>
      </c>
    </row>
    <row r="31">
      <c r="A31" t="n">
        <v>29</v>
      </c>
      <c r="B31" t="inlineStr">
        <is>
          <t>Matthew Berryhill</t>
        </is>
      </c>
      <c r="C31" t="n">
        <v>183</v>
      </c>
      <c r="W31">
        <f>SUM(LARGE(CHOOSE({1,2,3,4,5,6},MAX(C31:D31),MAX(F31:G31),MAX(I31:J31),MAX(L31:M31),MAX(O31:Q31),MAX(S31:T31)),{1,2,3,4}),V31)</f>
        <v/>
      </c>
      <c r="X31">
        <f>IF((--SUMPRODUCT((CHOOSE({1,2,3,4},MAX(C31:D31),MAX(F31:G31),MAX(I31:J31),MAX(L31:M31))&gt;0)*1)&gt;=3)+(--SUMPRODUCT((CHOOSE({1,2,3,4,5},MAX(#REF!),MAX(O31:Q31),MAX(S31:T31),MAX(#REF!),MAX(#REF!))&gt;0)*1)&gt;=3)=2,"Y","N")</f>
        <v/>
      </c>
      <c r="Y31">
        <f>LARGE(CHOOSE({1,2,3,4,5,6},MAX($C31:$D31),MAX($F31:$G31),MAX($I31:$J31),MAX($L31:$M31),MAX($O31:$Q31),MAX($S31:$T31)),1)</f>
        <v/>
      </c>
      <c r="Z31">
        <f>LARGE(CHOOSE({1,2,3,4,5,6},MAX($C31:$D31),MAX($F31:$G31),MAX($I31:$J31),MAX($L31:$M31),MAX($O31:$Q31),MAX($S31:$T31)),2)</f>
        <v/>
      </c>
      <c r="AA31">
        <f>LARGE(CHOOSE({1,2,3,4,5,6},MAX($C31:$D31),MAX($F31:$G31),MAX($I31:$J31),MAX($L31:$M31),MAX($O31:$Q31),MAX($S31:$T31)),3)</f>
        <v/>
      </c>
      <c r="AB31">
        <f>LARGE(CHOOSE({1,2,3,4,5,6},MAX($C31:$D31),MAX($F31:$G31),MAX($I31:$J31),MAX($L31:$M31),MAX($O31:$Q31),MAX($S31:$T31)),4)</f>
        <v/>
      </c>
      <c r="AD31">
        <f>IF(AND($Y31&lt;&gt;0,MAX($C31:$D31)=$Y31,TRUE),IF(D31=$Y31,4,IF(C31=$Y31,3,"")),IF(AND($Y31&lt;&gt;0,MAX($F31:$G31)=$Y31,TRUE),IF(G31=$Y31,7,IF(F31=$Y31,6,"")),IF(AND($Y31&lt;&gt;0,MAX($I31:$J31)=$Y31,TRUE),IF(J31=$Y31,10,IF(I31=$Y31,9,"")),IF(AND($Y31&lt;&gt;0,MAX($L31:$M31)=$Y31,TRUE),IF(M31=$Y31,13,IF(L31=$Y31,12,"")),IF(AND($Y31&lt;&gt;0,MAX($O31:$Q31)=$Y31,TRUE),IF(Q31=$Y31,17,IF(P31=$Y31,16,IF(O31=$Y31,15,""))),IF(AND($Y31&lt;&gt;0,MAX($S31:$T31)=$Y31,TRUE),IF(T31=$Y31,20,IF(S31=$Y31,19,"")),""))))))</f>
        <v/>
      </c>
      <c r="AE31">
        <f>IF(AND($Z31&lt;&gt;0,MAX($C31:$D31)=$Z31,COUNTIF($AD31:$AD31,4)=0),IF(D31=$Z31,4,IF(C31=$Z31,3,"")),IF(AND($Z31&lt;&gt;0,MAX($F31:$G31)=$Z31,COUNTIF($AD31:$AD31,7)=0),IF(G31=$Z31,7,IF(F31=$Z31,6,"")),IF(AND($Z31&lt;&gt;0,MAX($I31:$J31)=$Z31,COUNTIF($AD31:$AD31,10)=0),IF(J31=$Z31,10,IF(I31=$Z31,9,"")),IF(AND($Z31&lt;&gt;0,MAX($L31:$M31)=$Z31,COUNTIF($AD31:$AD31,13)=0),IF(M31=$Z31,13,IF(L31=$Z31,12,"")),IF(AND($Z31&lt;&gt;0,MAX($O31:$Q31)=$Z31,COUNTIF($AD31:$AD31,16)=0),IF(Q31=$Z31,17,IF(P31=$Z31,16,IF(O31=$Z31,15,""))),IF(AND($Z31&lt;&gt;0,MAX($S31:$T31)=$Z31,COUNTIF($AD31:$AD31,19)=0),IF(T31=$Z31,20,IF(S31=$Z31,19,"")),""))))))</f>
        <v/>
      </c>
      <c r="AF31">
        <f>IF(AND($AA31&lt;&gt;0,MAX($C31:$D31)=$AA31,COUNTIF($AD31:$AE31,4)=0),IF(D31=$AA31,4,IF(C31=$AA31,3,"")),IF(AND($AA31&lt;&gt;0,MAX($F31:$G31)=$AA31,COUNTIF($AD31:$AE31,7)=0),IF(G31=$AA31,7,IF(F31=$AA31,6,"")),IF(AND($AA31&lt;&gt;0,MAX($I31:$J31)=$AA31,COUNTIF($AD31:$AE31,10)=0),IF(J31=$AA31,10,IF(I31=$AA31,9,"")),IF(AND($AA31&lt;&gt;0,MAX($L31:$M31)=$AA31,COUNTIF($AD31:$AE31,13)=0),IF(M31=$AA31,13,IF(L31=$AA31,12,"")),IF(AND($AA31&lt;&gt;0,MAX($O31:$Q31)=$AA31,COUNTIF($AD31:$AE31,16)=0),IF(Q31=$AA31,17,IF(P31=$AA31,16,IF(O31=$AA31,15,""))),IF(AND($AA31&lt;&gt;0,MAX($S31:$T31)=$AA31,COUNTIF($AD31:$AE31,19)=0),IF(T31=$AA31,20,IF(S31=$AA31,19,"")),""))))))</f>
        <v/>
      </c>
      <c r="AG31">
        <f>IF(AND($AB31&lt;&gt;0,MAX($C31:$D31)=$AB31,COUNTIF($AD31:$AF31,4)=0),IF(D31=$AB31,4,IF(C31=$AB31,3,"")),IF(AND($AB31&lt;&gt;0,MAX($F31:$G31)=$AB31,COUNTIF($AD31:$AF31,7)=0),IF(G31=$AB31,7,IF(F31=$AB31,6,"")),IF(AND($AB31&lt;&gt;0,MAX($I31:$J31)=$AB31,COUNTIF($AD31:$AF31,10)=0),IF(J31=$AB31,10,IF(I31=$AB31,9,"")),IF(AND($AB31&lt;&gt;0,MAX($L31:$M31)=$AB31,COUNTIF($AD31:$AF31,13)=0),IF(M31=$AB31,13,IF(L31=$AB31,12,"")),IF(AND($AB31&lt;&gt;0,MAX($O31:$Q31)=$AB31,COUNTIF($AD31:$AF31,16)=0),IF(Q31=$AB31,17,IF(P31=$AB31,16,IF(O31=$AB31,15,""))),IF(AND($AB31&lt;&gt;0,MAX($S31:$T31)=$AB31,COUNTIF($AD31:$AF31,19)=0),IF(T31=$AB31,20,IF(S31=$AB31,19,"")),""))))))</f>
        <v/>
      </c>
    </row>
    <row r="32">
      <c r="A32" t="n">
        <v>30</v>
      </c>
      <c r="B32" t="inlineStr">
        <is>
          <t>Brad Dupont</t>
        </is>
      </c>
      <c r="S32" t="n">
        <v>176</v>
      </c>
      <c r="W32">
        <f>SUM(LARGE(CHOOSE({1,2,3,4,5,6},MAX(C32:D32),MAX(F32:G32),MAX(I32:J32),MAX(L32:M32),MAX(O32:Q32),MAX(S32:T32)),{1,2,3,4}),V32)</f>
        <v/>
      </c>
      <c r="X32">
        <f>IF((--SUMPRODUCT((CHOOSE({1,2,3,4},MAX(C32:D32),MAX(F32:G32),MAX(I32:J32),MAX(L32:M32))&gt;0)*1)&gt;=3)+(--SUMPRODUCT((CHOOSE({1,2,3,4,5},MAX(#REF!),MAX(O32:Q32),MAX(S32:T32),MAX(#REF!),MAX(#REF!))&gt;0)*1)&gt;=3)=2,"Y","N")</f>
        <v/>
      </c>
      <c r="Y32">
        <f>LARGE(CHOOSE({1,2,3,4,5,6},MAX($C32:$D32),MAX($F32:$G32),MAX($I32:$J32),MAX($L32:$M32),MAX($O32:$Q32),MAX($S32:$T32)),1)</f>
        <v/>
      </c>
      <c r="Z32">
        <f>LARGE(CHOOSE({1,2,3,4,5,6},MAX($C32:$D32),MAX($F32:$G32),MAX($I32:$J32),MAX($L32:$M32),MAX($O32:$Q32),MAX($S32:$T32)),2)</f>
        <v/>
      </c>
      <c r="AA32">
        <f>LARGE(CHOOSE({1,2,3,4,5,6},MAX($C32:$D32),MAX($F32:$G32),MAX($I32:$J32),MAX($L32:$M32),MAX($O32:$Q32),MAX($S32:$T32)),3)</f>
        <v/>
      </c>
      <c r="AB32">
        <f>LARGE(CHOOSE({1,2,3,4,5,6},MAX($C32:$D32),MAX($F32:$G32),MAX($I32:$J32),MAX($L32:$M32),MAX($O32:$Q32),MAX($S32:$T32)),4)</f>
        <v/>
      </c>
      <c r="AD32">
        <f>IF(AND($Y32&lt;&gt;0,MAX($C32:$D32)=$Y32,TRUE),IF(D32=$Y32,4,IF(C32=$Y32,3,"")),IF(AND($Y32&lt;&gt;0,MAX($F32:$G32)=$Y32,TRUE),IF(G32=$Y32,7,IF(F32=$Y32,6,"")),IF(AND($Y32&lt;&gt;0,MAX($I32:$J32)=$Y32,TRUE),IF(J32=$Y32,10,IF(I32=$Y32,9,"")),IF(AND($Y32&lt;&gt;0,MAX($L32:$M32)=$Y32,TRUE),IF(M32=$Y32,13,IF(L32=$Y32,12,"")),IF(AND($Y32&lt;&gt;0,MAX($O32:$Q32)=$Y32,TRUE),IF(Q32=$Y32,17,IF(P32=$Y32,16,IF(O32=$Y32,15,""))),IF(AND($Y32&lt;&gt;0,MAX($S32:$T32)=$Y32,TRUE),IF(T32=$Y32,20,IF(S32=$Y32,19,"")),""))))))</f>
        <v/>
      </c>
      <c r="AE32">
        <f>IF(AND($Z32&lt;&gt;0,MAX($C32:$D32)=$Z32,COUNTIF($AD32:$AD32,4)=0),IF(D32=$Z32,4,IF(C32=$Z32,3,"")),IF(AND($Z32&lt;&gt;0,MAX($F32:$G32)=$Z32,COUNTIF($AD32:$AD32,7)=0),IF(G32=$Z32,7,IF(F32=$Z32,6,"")),IF(AND($Z32&lt;&gt;0,MAX($I32:$J32)=$Z32,COUNTIF($AD32:$AD32,10)=0),IF(J32=$Z32,10,IF(I32=$Z32,9,"")),IF(AND($Z32&lt;&gt;0,MAX($L32:$M32)=$Z32,COUNTIF($AD32:$AD32,13)=0),IF(M32=$Z32,13,IF(L32=$Z32,12,"")),IF(AND($Z32&lt;&gt;0,MAX($O32:$Q32)=$Z32,COUNTIF($AD32:$AD32,16)=0),IF(Q32=$Z32,17,IF(P32=$Z32,16,IF(O32=$Z32,15,""))),IF(AND($Z32&lt;&gt;0,MAX($S32:$T32)=$Z32,COUNTIF($AD32:$AD32,19)=0),IF(T32=$Z32,20,IF(S32=$Z32,19,"")),""))))))</f>
        <v/>
      </c>
      <c r="AF32">
        <f>IF(AND($AA32&lt;&gt;0,MAX($C32:$D32)=$AA32,COUNTIF($AD32:$AE32,4)=0),IF(D32=$AA32,4,IF(C32=$AA32,3,"")),IF(AND($AA32&lt;&gt;0,MAX($F32:$G32)=$AA32,COUNTIF($AD32:$AE32,7)=0),IF(G32=$AA32,7,IF(F32=$AA32,6,"")),IF(AND($AA32&lt;&gt;0,MAX($I32:$J32)=$AA32,COUNTIF($AD32:$AE32,10)=0),IF(J32=$AA32,10,IF(I32=$AA32,9,"")),IF(AND($AA32&lt;&gt;0,MAX($L32:$M32)=$AA32,COUNTIF($AD32:$AE32,13)=0),IF(M32=$AA32,13,IF(L32=$AA32,12,"")),IF(AND($AA32&lt;&gt;0,MAX($O32:$Q32)=$AA32,COUNTIF($AD32:$AE32,16)=0),IF(Q32=$AA32,17,IF(P32=$AA32,16,IF(O32=$AA32,15,""))),IF(AND($AA32&lt;&gt;0,MAX($S32:$T32)=$AA32,COUNTIF($AD32:$AE32,19)=0),IF(T32=$AA32,20,IF(S32=$AA32,19,"")),""))))))</f>
        <v/>
      </c>
      <c r="AG32">
        <f>IF(AND($AB32&lt;&gt;0,MAX($C32:$D32)=$AB32,COUNTIF($AD32:$AF32,4)=0),IF(D32=$AB32,4,IF(C32=$AB32,3,"")),IF(AND($AB32&lt;&gt;0,MAX($F32:$G32)=$AB32,COUNTIF($AD32:$AF32,7)=0),IF(G32=$AB32,7,IF(F32=$AB32,6,"")),IF(AND($AB32&lt;&gt;0,MAX($I32:$J32)=$AB32,COUNTIF($AD32:$AF32,10)=0),IF(J32=$AB32,10,IF(I32=$AB32,9,"")),IF(AND($AB32&lt;&gt;0,MAX($L32:$M32)=$AB32,COUNTIF($AD32:$AF32,13)=0),IF(M32=$AB32,13,IF(L32=$AB32,12,"")),IF(AND($AB32&lt;&gt;0,MAX($O32:$Q32)=$AB32,COUNTIF($AD32:$AF32,16)=0),IF(Q32=$AB32,17,IF(P32=$AB32,16,IF(O32=$AB32,15,""))),IF(AND($AB32&lt;&gt;0,MAX($S32:$T32)=$AB32,COUNTIF($AD32:$AF32,19)=0),IF(T32=$AB32,20,IF(S32=$AB32,19,"")),""))))))</f>
        <v/>
      </c>
    </row>
  </sheetData>
  <conditionalFormatting sqref="C3:T32">
    <cfRule type="expression" priority="1" dxfId="0">
      <formula>=AND(C3&lt;&gt;,COUNTIF($Y3:$AB3,C3)&lt;COUNTIF($C3:$T3,C3))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2025-10-17T04:02:25Z</dcterms:created>
  <dcterms:modified xmlns:dcterms="http://purl.org/dc/terms/" xmlns:xsi="http://www.w3.org/2001/XMLSchema-instance" xsi:type="dcterms:W3CDTF">2026-09-03T13:40:59Z</dcterms:modified>
  <cp:lastModifiedBy>Chi, Banghao</cp:lastModifiedBy>
</cp:coreProperties>
</file>