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eetarena-async-reward-api\data\excelforum\excel-general\task-job-5cd12fc29412660e\"/>
    </mc:Choice>
  </mc:AlternateContent>
  <xr:revisionPtr revIDLastSave="0" documentId="13_ncr:1_{BF38D1A6-6765-47B3-8896-CE177ACB01A7}" xr6:coauthVersionLast="47" xr6:coauthVersionMax="47" xr10:uidLastSave="{00000000-0000-0000-0000-000000000000}"/>
  <bookViews>
    <workbookView xWindow="3120" yWindow="3120" windowWidth="21600" windowHeight="15345" xr2:uid="{00000000-000D-0000-FFFF-FFFF00000000}"/>
  </bookViews>
  <sheets>
    <sheet name="Sheet1" sheetId="1" r:id="rId1"/>
    <sheet name="Staff" sheetId="2" r:id="rId2"/>
    <sheet name="Entries" sheetId="3" r:id="rId3"/>
    <sheet name="Summary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4" l="1"/>
  <c r="C12" i="4"/>
  <c r="B12" i="4"/>
  <c r="D11" i="4"/>
  <c r="C11" i="4"/>
  <c r="B11" i="4"/>
  <c r="J41" i="3"/>
  <c r="J40" i="3"/>
  <c r="J39" i="3"/>
  <c r="J38" i="3"/>
  <c r="J37" i="3"/>
  <c r="J36" i="3"/>
  <c r="C5" i="4" s="1"/>
  <c r="J35" i="3"/>
  <c r="J34" i="3"/>
  <c r="J33" i="3"/>
  <c r="J32" i="3"/>
  <c r="J31" i="3"/>
  <c r="J30" i="3"/>
  <c r="J29" i="3"/>
  <c r="J28" i="3"/>
  <c r="J27" i="3"/>
  <c r="J26" i="3"/>
  <c r="J25" i="3"/>
  <c r="D10" i="4" s="1"/>
  <c r="J24" i="3"/>
  <c r="C9" i="4" s="1"/>
  <c r="J23" i="3"/>
  <c r="B8" i="4" s="1"/>
  <c r="J22" i="3"/>
  <c r="D7" i="4" s="1"/>
  <c r="J21" i="3"/>
  <c r="C6" i="4" s="1"/>
  <c r="J20" i="3"/>
  <c r="B5" i="4" s="1"/>
  <c r="J19" i="3"/>
  <c r="D4" i="4" s="1"/>
  <c r="J18" i="3"/>
  <c r="C3" i="4" s="1"/>
  <c r="J17" i="3"/>
  <c r="B10" i="4" s="1"/>
  <c r="J16" i="3"/>
  <c r="D9" i="4" s="1"/>
  <c r="J15" i="3"/>
  <c r="C8" i="4" s="1"/>
  <c r="J14" i="3"/>
  <c r="B7" i="4" s="1"/>
  <c r="J13" i="3"/>
  <c r="D6" i="4" s="1"/>
  <c r="J12" i="3"/>
  <c r="J11" i="3"/>
  <c r="J10" i="3"/>
  <c r="D3" i="4" s="1"/>
  <c r="J9" i="3"/>
  <c r="C10" i="4" s="1"/>
  <c r="J8" i="3"/>
  <c r="B9" i="4" s="1"/>
  <c r="J7" i="3"/>
  <c r="D8" i="4" s="1"/>
  <c r="J6" i="3"/>
  <c r="C7" i="4" s="1"/>
  <c r="J5" i="3"/>
  <c r="B6" i="4" s="1"/>
  <c r="J4" i="3"/>
  <c r="J3" i="3"/>
  <c r="C4" i="4" s="1"/>
  <c r="J2" i="3"/>
  <c r="B3" i="4" s="1"/>
  <c r="A4" i="1"/>
  <c r="D3" i="1"/>
  <c r="F3" i="1" s="1"/>
  <c r="H3" i="1" s="1"/>
  <c r="J3" i="1" s="1"/>
  <c r="L3" i="1" s="1"/>
  <c r="N3" i="1" s="1"/>
  <c r="P3" i="1" s="1"/>
  <c r="B4" i="4" l="1"/>
  <c r="E4" i="4" s="1"/>
  <c r="D5" i="4"/>
  <c r="E5" i="4" s="1"/>
  <c r="E11" i="4"/>
  <c r="E12" i="4"/>
  <c r="E7" i="4"/>
  <c r="E10" i="4"/>
  <c r="E8" i="4"/>
  <c r="E3" i="4"/>
  <c r="E9" i="4"/>
  <c r="E6" i="4"/>
  <c r="B4" i="1"/>
  <c r="A5" i="1" s="1"/>
  <c r="B5" i="1" l="1"/>
  <c r="A6" i="1" s="1"/>
  <c r="B6" i="1" l="1"/>
  <c r="A7" i="1" s="1"/>
  <c r="B7" i="1" l="1"/>
  <c r="A8" i="1" s="1"/>
  <c r="B8" i="1" l="1"/>
  <c r="A9" i="1"/>
  <c r="B9" i="1" l="1"/>
  <c r="A10" i="1" s="1"/>
  <c r="B10" i="1" l="1"/>
  <c r="A11" i="1" s="1"/>
  <c r="B11" i="1" l="1"/>
  <c r="A12" i="1" s="1"/>
  <c r="B12" i="1" l="1"/>
  <c r="A13" i="1" s="1"/>
  <c r="B13" i="1" l="1"/>
  <c r="A14" i="1"/>
  <c r="B14" i="1" l="1"/>
  <c r="A15" i="1" s="1"/>
  <c r="B15" i="1" l="1"/>
  <c r="A16" i="1" s="1"/>
  <c r="B16" i="1" l="1"/>
  <c r="A17" i="1" s="1"/>
  <c r="B17" i="1" l="1"/>
  <c r="A18" i="1" s="1"/>
  <c r="B18" i="1" l="1"/>
  <c r="A19" i="1" s="1"/>
  <c r="B19" i="1" l="1"/>
  <c r="A20" i="1" s="1"/>
  <c r="B20" i="1" l="1"/>
  <c r="A21" i="1" s="1"/>
  <c r="B21" i="1" l="1"/>
  <c r="A22" i="1" s="1"/>
  <c r="B22" i="1" l="1"/>
  <c r="A23" i="1" s="1"/>
  <c r="B23" i="1" l="1"/>
  <c r="A24" i="1" s="1"/>
  <c r="B24" i="1" l="1"/>
  <c r="A25" i="1" s="1"/>
  <c r="B25" i="1" l="1"/>
  <c r="A26" i="1" s="1"/>
  <c r="B26" i="1" l="1"/>
  <c r="A27" i="1" s="1"/>
  <c r="B27" i="1" l="1"/>
  <c r="A28" i="1" s="1"/>
  <c r="B28" i="1" l="1"/>
  <c r="A29" i="1" s="1"/>
  <c r="B29" i="1" l="1"/>
  <c r="A30" i="1"/>
  <c r="B30" i="1" l="1"/>
  <c r="A31" i="1" s="1"/>
  <c r="B31" i="1" l="1"/>
  <c r="A32" i="1" s="1"/>
  <c r="B32" i="1" l="1"/>
  <c r="A33" i="1" s="1"/>
  <c r="B33" i="1" l="1"/>
  <c r="A34" i="1" s="1"/>
  <c r="B34" i="1" l="1"/>
  <c r="A35" i="1" s="1"/>
  <c r="B35" i="1" l="1"/>
  <c r="A36" i="1" s="1"/>
  <c r="B36" i="1" l="1"/>
  <c r="A37" i="1" s="1"/>
  <c r="B37" i="1" l="1"/>
  <c r="A38" i="1" s="1"/>
  <c r="B38" i="1" l="1"/>
  <c r="A39" i="1" s="1"/>
  <c r="B39" i="1" l="1"/>
  <c r="A40" i="1" s="1"/>
  <c r="B40" i="1" l="1"/>
  <c r="A41" i="1" s="1"/>
  <c r="B41" i="1" l="1"/>
  <c r="A42" i="1" s="1"/>
  <c r="B42" i="1" s="1"/>
</calcChain>
</file>

<file path=xl/sharedStrings.xml><?xml version="1.0" encoding="utf-8"?>
<sst xmlns="http://schemas.openxmlformats.org/spreadsheetml/2006/main" count="282" uniqueCount="75">
  <si>
    <t>Start Date</t>
  </si>
  <si>
    <t>Start Time</t>
  </si>
  <si>
    <t>End Time</t>
  </si>
  <si>
    <t>Time Slot</t>
  </si>
  <si>
    <t>Monday</t>
  </si>
  <si>
    <t>Tuesday</t>
  </si>
  <si>
    <t>Wednesday</t>
  </si>
  <si>
    <t>Thursday</t>
  </si>
  <si>
    <t>Friday</t>
  </si>
  <si>
    <t>Saturday</t>
  </si>
  <si>
    <t>Sunday</t>
  </si>
  <si>
    <t>EmployeeID</t>
  </si>
  <si>
    <t>Name</t>
  </si>
  <si>
    <t>Department</t>
  </si>
  <si>
    <t>Role</t>
  </si>
  <si>
    <t>E001</t>
  </si>
  <si>
    <t>Alex Murphy</t>
  </si>
  <si>
    <t>Design</t>
  </si>
  <si>
    <t>Engineer</t>
  </si>
  <si>
    <t>E002</t>
  </si>
  <si>
    <t>Bianca Patel</t>
  </si>
  <si>
    <t>Construction</t>
  </si>
  <si>
    <t>Foreman</t>
  </si>
  <si>
    <t>E003</t>
  </si>
  <si>
    <t>Carlos Gomez</t>
  </si>
  <si>
    <t>Architect</t>
  </si>
  <si>
    <t>E004</t>
  </si>
  <si>
    <t>Diana Chen</t>
  </si>
  <si>
    <t>Sales</t>
  </si>
  <si>
    <t>Account Manager</t>
  </si>
  <si>
    <t>E005</t>
  </si>
  <si>
    <t>Ethan O'Neill</t>
  </si>
  <si>
    <t>Technician</t>
  </si>
  <si>
    <t>E006</t>
  </si>
  <si>
    <t>Fatima Khan</t>
  </si>
  <si>
    <t>CAD Specialist</t>
  </si>
  <si>
    <t>E007</t>
  </si>
  <si>
    <t>George Li</t>
  </si>
  <si>
    <t>Site Lead</t>
  </si>
  <si>
    <t>E008</t>
  </si>
  <si>
    <t>Hannah Smith</t>
  </si>
  <si>
    <t>BD Executive</t>
  </si>
  <si>
    <t>E009</t>
  </si>
  <si>
    <t>Ivan Petrov</t>
  </si>
  <si>
    <t>Energy Modeler</t>
  </si>
  <si>
    <t>E010</t>
  </si>
  <si>
    <t>Julia Rossi</t>
  </si>
  <si>
    <t>Estimator</t>
  </si>
  <si>
    <t>Date</t>
  </si>
  <si>
    <t>Employee</t>
  </si>
  <si>
    <t>Project</t>
  </si>
  <si>
    <t>Category</t>
  </si>
  <si>
    <t>Task</t>
  </si>
  <si>
    <t>StartTime</t>
  </si>
  <si>
    <t>EndTime</t>
  </si>
  <si>
    <t>BreakMinutes</t>
  </si>
  <si>
    <t>Hours (decimal)</t>
  </si>
  <si>
    <t>Notes</t>
  </si>
  <si>
    <t>Retrofit-101</t>
  </si>
  <si>
    <t>Enquiry</t>
  </si>
  <si>
    <t>Site survey</t>
  </si>
  <si>
    <t>Retrofit-202</t>
  </si>
  <si>
    <t>Tender</t>
  </si>
  <si>
    <t>Design review</t>
  </si>
  <si>
    <t>Audit-Alpha</t>
  </si>
  <si>
    <t>Active</t>
  </si>
  <si>
    <t>Cost estimate</t>
  </si>
  <si>
    <t>HVAC-Upgrade</t>
  </si>
  <si>
    <t>Client meeting</t>
  </si>
  <si>
    <t>Insulation-West</t>
  </si>
  <si>
    <t>Documentation</t>
  </si>
  <si>
    <t>Lighting-Revamp</t>
  </si>
  <si>
    <t>Procurement</t>
  </si>
  <si>
    <t>Total Hours by Employee and Category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</si>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</sst>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centerContinuous"/>
    </xf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workbookViewId="0">
      <selection activeCell="A5" sqref="A5"/>
    </sheetView>
  </sheetViews>
  <sheetFormatPr defaultColWidth="8.85546875" defaultRowHeight="15" x14ac:dyDescent="0.25"/>
  <cols>
    <col min="7" max="7" width="11.140625" bestFit="1" customWidth="1"/>
  </cols>
  <sheetData>
    <row r="1" spans="1:16" x14ac:dyDescent="0.25">
      <c r="A1" t="s">
        <v>0</v>
      </c>
      <c r="B1" s="1">
        <v>45691</v>
      </c>
      <c r="C1" t="s">
        <v>1</v>
      </c>
      <c r="D1" s="2">
        <v>0.33333333333333331</v>
      </c>
      <c r="E1" t="s">
        <v>2</v>
      </c>
      <c r="F1" s="2">
        <v>0.70833333333333337</v>
      </c>
    </row>
    <row r="3" spans="1:16" x14ac:dyDescent="0.25">
      <c r="A3" s="7" t="s">
        <v>3</v>
      </c>
      <c r="B3" s="7"/>
      <c r="C3" s="3" t="s">
        <v>4</v>
      </c>
      <c r="D3" s="4">
        <f>B1</f>
        <v>45691</v>
      </c>
      <c r="E3" s="3" t="s">
        <v>5</v>
      </c>
      <c r="F3" s="4">
        <f>SUM(D3,1)</f>
        <v>45692</v>
      </c>
      <c r="G3" s="3" t="s">
        <v>6</v>
      </c>
      <c r="H3" s="4">
        <f>SUM(F3,1)</f>
        <v>45693</v>
      </c>
      <c r="I3" s="3" t="s">
        <v>7</v>
      </c>
      <c r="J3" s="4">
        <f>SUM(H3,1)</f>
        <v>45694</v>
      </c>
      <c r="K3" s="3" t="s">
        <v>8</v>
      </c>
      <c r="L3" s="4">
        <f>SUM(J3,1)</f>
        <v>45695</v>
      </c>
      <c r="M3" s="3" t="s">
        <v>9</v>
      </c>
      <c r="N3" s="4">
        <f>SUM(L3,1)</f>
        <v>45696</v>
      </c>
      <c r="O3" s="3" t="s">
        <v>10</v>
      </c>
      <c r="P3" s="4">
        <f>SUM(N3,1)</f>
        <v>45697</v>
      </c>
    </row>
    <row r="4" spans="1:16" x14ac:dyDescent="0.25">
      <c r="A4" s="5">
        <f>D1</f>
        <v>0.33333333333333331</v>
      </c>
      <c r="B4" s="6">
        <f t="shared" ref="B4:B42" si="0">IF(A4="","",SUM(A4,15/1440))</f>
        <v>0.34375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6">
        <f t="shared" ref="A5:A42" si="1">IF(OR(A4="",B4=F$1),"",B4)</f>
        <v>0.34375</v>
      </c>
      <c r="B5" s="6">
        <f t="shared" si="0"/>
        <v>0.35416666666666669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6">
        <f t="shared" si="1"/>
        <v>0.35416666666666669</v>
      </c>
      <c r="B6" s="6">
        <f t="shared" si="0"/>
        <v>0.36458333333333337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6">
        <f t="shared" si="1"/>
        <v>0.36458333333333337</v>
      </c>
      <c r="B7" s="6">
        <f t="shared" si="0"/>
        <v>0.37500000000000006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6">
        <f t="shared" si="1"/>
        <v>0.37500000000000006</v>
      </c>
      <c r="B8" s="6">
        <f t="shared" si="0"/>
        <v>0.38541666666666674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6">
        <f t="shared" si="1"/>
        <v>0.38541666666666674</v>
      </c>
      <c r="B9" s="6">
        <f t="shared" si="0"/>
        <v>0.39583333333333343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6">
        <f t="shared" si="1"/>
        <v>0.39583333333333343</v>
      </c>
      <c r="B10" s="6">
        <f t="shared" si="0"/>
        <v>0.40625000000000011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25">
      <c r="A11" s="6">
        <f t="shared" si="1"/>
        <v>0.40625000000000011</v>
      </c>
      <c r="B11" s="6">
        <f t="shared" si="0"/>
        <v>0.4166666666666668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6">
        <f t="shared" si="1"/>
        <v>0.4166666666666668</v>
      </c>
      <c r="B12" s="6">
        <f t="shared" si="0"/>
        <v>0.42708333333333348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6">
        <f t="shared" si="1"/>
        <v>0.42708333333333348</v>
      </c>
      <c r="B13" s="6">
        <f t="shared" si="0"/>
        <v>0.43750000000000017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25">
      <c r="A14" s="6">
        <f t="shared" si="1"/>
        <v>0.43750000000000017</v>
      </c>
      <c r="B14" s="6">
        <f t="shared" si="0"/>
        <v>0.44791666666666685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25">
      <c r="A15" s="6">
        <f t="shared" si="1"/>
        <v>0.44791666666666685</v>
      </c>
      <c r="B15" s="6">
        <f t="shared" si="0"/>
        <v>0.45833333333333354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6">
        <f t="shared" si="1"/>
        <v>0.45833333333333354</v>
      </c>
      <c r="B16" s="6">
        <f t="shared" si="0"/>
        <v>0.46875000000000022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6">
        <f t="shared" si="1"/>
        <v>0.46875000000000022</v>
      </c>
      <c r="B17" s="6">
        <f t="shared" si="0"/>
        <v>0.47916666666666691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6">
        <f t="shared" si="1"/>
        <v>0.47916666666666691</v>
      </c>
      <c r="B18" s="6">
        <f t="shared" si="0"/>
        <v>0.48958333333333359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6">
        <f t="shared" si="1"/>
        <v>0.48958333333333359</v>
      </c>
      <c r="B19" s="6">
        <f t="shared" si="0"/>
        <v>0.50000000000000022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6">
        <f t="shared" si="1"/>
        <v>0.50000000000000022</v>
      </c>
      <c r="B20" s="6">
        <f t="shared" si="0"/>
        <v>0.51041666666666685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6">
        <f t="shared" si="1"/>
        <v>0.51041666666666685</v>
      </c>
      <c r="B21" s="6">
        <f t="shared" si="0"/>
        <v>0.52083333333333348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6">
        <f t="shared" si="1"/>
        <v>0.52083333333333348</v>
      </c>
      <c r="B22" s="6">
        <f t="shared" si="0"/>
        <v>0.53125000000000011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6">
        <f t="shared" si="1"/>
        <v>0.53125000000000011</v>
      </c>
      <c r="B23" s="6">
        <f t="shared" si="0"/>
        <v>0.54166666666666674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6">
        <f t="shared" si="1"/>
        <v>0.54166666666666674</v>
      </c>
      <c r="B24" s="6">
        <f t="shared" si="0"/>
        <v>0.55208333333333337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6">
        <f t="shared" si="1"/>
        <v>0.55208333333333337</v>
      </c>
      <c r="B25" s="6">
        <f t="shared" si="0"/>
        <v>0.5625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6">
        <f t="shared" si="1"/>
        <v>0.5625</v>
      </c>
      <c r="B26" s="6">
        <f t="shared" si="0"/>
        <v>0.57291666666666663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6">
        <f t="shared" si="1"/>
        <v>0.57291666666666663</v>
      </c>
      <c r="B27" s="6">
        <f t="shared" si="0"/>
        <v>0.58333333333333326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5">
      <c r="A28" s="6">
        <f t="shared" si="1"/>
        <v>0.58333333333333326</v>
      </c>
      <c r="B28" s="6">
        <f t="shared" si="0"/>
        <v>0.59374999999999989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5">
      <c r="A29" s="6">
        <f t="shared" si="1"/>
        <v>0.59374999999999989</v>
      </c>
      <c r="B29" s="6">
        <f t="shared" si="0"/>
        <v>0.60416666666666652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5">
      <c r="A30" s="6">
        <f t="shared" si="1"/>
        <v>0.60416666666666652</v>
      </c>
      <c r="B30" s="6">
        <f t="shared" si="0"/>
        <v>0.61458333333333315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5">
      <c r="A31" s="6">
        <f t="shared" si="1"/>
        <v>0.61458333333333315</v>
      </c>
      <c r="B31" s="6">
        <f t="shared" si="0"/>
        <v>0.62499999999999978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5">
      <c r="A32" s="6">
        <f t="shared" si="1"/>
        <v>0.62499999999999978</v>
      </c>
      <c r="B32" s="6">
        <f t="shared" si="0"/>
        <v>0.63541666666666641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5">
      <c r="A33" s="6">
        <f t="shared" si="1"/>
        <v>0.63541666666666641</v>
      </c>
      <c r="B33" s="6">
        <f t="shared" si="0"/>
        <v>0.64583333333333304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5">
      <c r="A34" s="6">
        <f t="shared" si="1"/>
        <v>0.64583333333333304</v>
      </c>
      <c r="B34" s="6">
        <f t="shared" si="0"/>
        <v>0.65624999999999967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5">
      <c r="A35" s="6">
        <f t="shared" si="1"/>
        <v>0.65624999999999967</v>
      </c>
      <c r="B35" s="6">
        <f t="shared" si="0"/>
        <v>0.6666666666666663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6">
        <f t="shared" si="1"/>
        <v>0.6666666666666663</v>
      </c>
      <c r="B36" s="6">
        <f t="shared" si="0"/>
        <v>0.67708333333333293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6">
        <f t="shared" si="1"/>
        <v>0.67708333333333293</v>
      </c>
      <c r="B37" s="6">
        <f t="shared" si="0"/>
        <v>0.68749999999999956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6">
        <f t="shared" si="1"/>
        <v>0.68749999999999956</v>
      </c>
      <c r="B38" s="6">
        <f t="shared" si="0"/>
        <v>0.69791666666666619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6">
        <f t="shared" si="1"/>
        <v>0.69791666666666619</v>
      </c>
      <c r="B39" s="6">
        <f t="shared" si="0"/>
        <v>0.70833333333333282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6" t="str">
        <f t="shared" si="1"/>
        <v/>
      </c>
      <c r="B40" s="6" t="str">
        <f t="shared" si="0"/>
        <v/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6" t="str">
        <f t="shared" si="1"/>
        <v/>
      </c>
      <c r="B41" s="6" t="str">
        <f t="shared" si="0"/>
        <v/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5">
      <c r="A42" s="6" t="str">
        <f t="shared" si="1"/>
        <v/>
      </c>
      <c r="B42" s="6" t="str">
        <f t="shared" si="0"/>
        <v/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ColWidth="8.85546875" defaultRowHeight="15" x14ac:dyDescent="0.25"/>
  <cols>
    <col min="1" max="4" width="18" customWidth="1"/>
  </cols>
  <sheetData>
    <row r="1" spans="1:4" x14ac:dyDescent="0.25">
      <c r="A1" t="s">
        <v>11</v>
      </c>
      <c r="B1" t="s">
        <v>12</v>
      </c>
      <c r="C1" t="s">
        <v>13</v>
      </c>
      <c r="D1" t="s">
        <v>14</v>
      </c>
    </row>
    <row r="2" spans="1:4" x14ac:dyDescent="0.25">
      <c r="A2" t="s">
        <v>15</v>
      </c>
      <c r="B2" t="s">
        <v>16</v>
      </c>
      <c r="C2" t="s">
        <v>17</v>
      </c>
      <c r="D2" t="s">
        <v>18</v>
      </c>
    </row>
    <row r="3" spans="1:4" x14ac:dyDescent="0.25">
      <c r="A3" t="s">
        <v>19</v>
      </c>
      <c r="B3" t="s">
        <v>20</v>
      </c>
      <c r="C3" t="s">
        <v>21</v>
      </c>
      <c r="D3" t="s">
        <v>22</v>
      </c>
    </row>
    <row r="4" spans="1:4" x14ac:dyDescent="0.25">
      <c r="A4" t="s">
        <v>23</v>
      </c>
      <c r="B4" t="s">
        <v>24</v>
      </c>
      <c r="C4" t="s">
        <v>17</v>
      </c>
      <c r="D4" t="s">
        <v>25</v>
      </c>
    </row>
    <row r="5" spans="1:4" x14ac:dyDescent="0.25">
      <c r="A5" t="s">
        <v>26</v>
      </c>
      <c r="B5" t="s">
        <v>27</v>
      </c>
      <c r="C5" t="s">
        <v>28</v>
      </c>
      <c r="D5" t="s">
        <v>29</v>
      </c>
    </row>
    <row r="6" spans="1:4" x14ac:dyDescent="0.25">
      <c r="A6" t="s">
        <v>30</v>
      </c>
      <c r="B6" t="s">
        <v>31</v>
      </c>
      <c r="C6" t="s">
        <v>21</v>
      </c>
      <c r="D6" t="s">
        <v>32</v>
      </c>
    </row>
    <row r="7" spans="1:4" x14ac:dyDescent="0.25">
      <c r="A7" t="s">
        <v>33</v>
      </c>
      <c r="B7" t="s">
        <v>34</v>
      </c>
      <c r="C7" t="s">
        <v>17</v>
      </c>
      <c r="D7" t="s">
        <v>35</v>
      </c>
    </row>
    <row r="8" spans="1:4" x14ac:dyDescent="0.25">
      <c r="A8" t="s">
        <v>36</v>
      </c>
      <c r="B8" t="s">
        <v>37</v>
      </c>
      <c r="C8" t="s">
        <v>21</v>
      </c>
      <c r="D8" t="s">
        <v>38</v>
      </c>
    </row>
    <row r="9" spans="1:4" x14ac:dyDescent="0.25">
      <c r="A9" t="s">
        <v>39</v>
      </c>
      <c r="B9" t="s">
        <v>40</v>
      </c>
      <c r="C9" t="s">
        <v>28</v>
      </c>
      <c r="D9" t="s">
        <v>41</v>
      </c>
    </row>
    <row r="10" spans="1:4" x14ac:dyDescent="0.25">
      <c r="A10" t="s">
        <v>42</v>
      </c>
      <c r="B10" t="s">
        <v>43</v>
      </c>
      <c r="C10" t="s">
        <v>17</v>
      </c>
      <c r="D10" t="s">
        <v>44</v>
      </c>
    </row>
    <row r="11" spans="1:4" x14ac:dyDescent="0.25">
      <c r="A11" t="s">
        <v>45</v>
      </c>
      <c r="B11" t="s">
        <v>46</v>
      </c>
      <c r="C11" t="s">
        <v>21</v>
      </c>
      <c r="D11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workbookViewId="0"/>
  </sheetViews>
  <sheetFormatPr defaultColWidth="8.85546875" defaultRowHeight="15" x14ac:dyDescent="0.25"/>
  <cols>
    <col min="1" max="1" width="12" customWidth="1"/>
    <col min="2" max="2" width="18" customWidth="1"/>
    <col min="3" max="3" width="14" customWidth="1"/>
    <col min="4" max="4" width="18" customWidth="1"/>
    <col min="5" max="5" width="12" customWidth="1"/>
    <col min="6" max="6" width="18" customWidth="1"/>
    <col min="7" max="8" width="10" customWidth="1"/>
    <col min="9" max="9" width="12" customWidth="1"/>
    <col min="10" max="10" width="14" customWidth="1"/>
    <col min="11" max="11" width="24" customWidth="1"/>
  </cols>
  <sheetData>
    <row r="1" spans="1:11" x14ac:dyDescent="0.25">
      <c r="A1" t="s">
        <v>48</v>
      </c>
      <c r="B1" t="s">
        <v>49</v>
      </c>
      <c r="C1" t="s">
        <v>13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</row>
    <row r="2" spans="1:11" x14ac:dyDescent="0.25">
      <c r="A2" s="8">
        <v>45691</v>
      </c>
      <c r="B2" t="s">
        <v>16</v>
      </c>
      <c r="C2" t="s">
        <v>17</v>
      </c>
      <c r="D2" t="s">
        <v>58</v>
      </c>
      <c r="E2" t="s">
        <v>59</v>
      </c>
      <c r="F2" t="s">
        <v>60</v>
      </c>
      <c r="G2" s="2">
        <v>0.33333333333333331</v>
      </c>
      <c r="H2" s="2">
        <v>0.5</v>
      </c>
      <c r="I2">
        <v>15</v>
      </c>
      <c r="J2" s="9">
        <f t="shared" ref="J2:J41" si="0">(( H2 + (H2&lt;G2) ) - G2)*24 - I2/60</f>
        <v>3.75</v>
      </c>
    </row>
    <row r="3" spans="1:11" x14ac:dyDescent="0.25">
      <c r="A3" s="8">
        <v>45692</v>
      </c>
      <c r="B3" t="s">
        <v>20</v>
      </c>
      <c r="C3" t="s">
        <v>21</v>
      </c>
      <c r="D3" t="s">
        <v>61</v>
      </c>
      <c r="E3" t="s">
        <v>62</v>
      </c>
      <c r="F3" t="s">
        <v>63</v>
      </c>
      <c r="G3" s="2">
        <v>0.54166666666666663</v>
      </c>
      <c r="H3" s="2">
        <v>0.70833333333333337</v>
      </c>
      <c r="I3">
        <v>15</v>
      </c>
      <c r="J3" s="9">
        <f t="shared" si="0"/>
        <v>3.7500000000000018</v>
      </c>
    </row>
    <row r="4" spans="1:11" x14ac:dyDescent="0.25">
      <c r="A4" s="8">
        <v>45693</v>
      </c>
      <c r="B4" t="s">
        <v>24</v>
      </c>
      <c r="C4" t="s">
        <v>17</v>
      </c>
      <c r="D4" t="s">
        <v>64</v>
      </c>
      <c r="E4" t="s">
        <v>65</v>
      </c>
      <c r="F4" t="s">
        <v>66</v>
      </c>
      <c r="G4" s="2">
        <v>0.33333333333333331</v>
      </c>
      <c r="H4" s="2">
        <v>0.5</v>
      </c>
      <c r="I4">
        <v>15</v>
      </c>
      <c r="J4" s="9">
        <f t="shared" si="0"/>
        <v>3.75</v>
      </c>
    </row>
    <row r="5" spans="1:11" x14ac:dyDescent="0.25">
      <c r="A5" s="8">
        <v>45694</v>
      </c>
      <c r="B5" t="s">
        <v>27</v>
      </c>
      <c r="C5" t="s">
        <v>28</v>
      </c>
      <c r="D5" t="s">
        <v>67</v>
      </c>
      <c r="E5" t="s">
        <v>59</v>
      </c>
      <c r="F5" t="s">
        <v>68</v>
      </c>
      <c r="G5" s="2">
        <v>0.54166666666666663</v>
      </c>
      <c r="H5" s="2">
        <v>0.70833333333333337</v>
      </c>
      <c r="I5">
        <v>15</v>
      </c>
      <c r="J5" s="9">
        <f t="shared" si="0"/>
        <v>3.7500000000000018</v>
      </c>
    </row>
    <row r="6" spans="1:11" x14ac:dyDescent="0.25">
      <c r="A6" s="8">
        <v>45695</v>
      </c>
      <c r="B6" t="s">
        <v>31</v>
      </c>
      <c r="C6" t="s">
        <v>21</v>
      </c>
      <c r="D6" t="s">
        <v>69</v>
      </c>
      <c r="E6" t="s">
        <v>62</v>
      </c>
      <c r="F6" t="s">
        <v>70</v>
      </c>
      <c r="G6" s="2">
        <v>0.33333333333333331</v>
      </c>
      <c r="H6" s="2">
        <v>0.5</v>
      </c>
      <c r="I6">
        <v>15</v>
      </c>
      <c r="J6" s="9">
        <f t="shared" si="0"/>
        <v>3.75</v>
      </c>
    </row>
    <row r="7" spans="1:11" x14ac:dyDescent="0.25">
      <c r="A7" s="8">
        <v>45691</v>
      </c>
      <c r="B7" t="s">
        <v>34</v>
      </c>
      <c r="C7" t="s">
        <v>17</v>
      </c>
      <c r="D7" t="s">
        <v>71</v>
      </c>
      <c r="E7" t="s">
        <v>65</v>
      </c>
      <c r="F7" t="s">
        <v>72</v>
      </c>
      <c r="G7" s="2">
        <v>0.54166666666666663</v>
      </c>
      <c r="H7" s="2">
        <v>0.70833333333333337</v>
      </c>
      <c r="I7">
        <v>15</v>
      </c>
      <c r="J7" s="9">
        <f t="shared" si="0"/>
        <v>3.7500000000000018</v>
      </c>
    </row>
    <row r="8" spans="1:11" x14ac:dyDescent="0.25">
      <c r="A8" s="8">
        <v>45692</v>
      </c>
      <c r="B8" t="s">
        <v>37</v>
      </c>
      <c r="C8" t="s">
        <v>21</v>
      </c>
      <c r="D8" t="s">
        <v>58</v>
      </c>
      <c r="E8" t="s">
        <v>59</v>
      </c>
      <c r="F8" t="s">
        <v>60</v>
      </c>
      <c r="G8" s="2">
        <v>0.33333333333333331</v>
      </c>
      <c r="H8" s="2">
        <v>0.5</v>
      </c>
      <c r="I8">
        <v>15</v>
      </c>
      <c r="J8" s="9">
        <f t="shared" si="0"/>
        <v>3.75</v>
      </c>
    </row>
    <row r="9" spans="1:11" x14ac:dyDescent="0.25">
      <c r="A9" s="8">
        <v>45693</v>
      </c>
      <c r="B9" t="s">
        <v>40</v>
      </c>
      <c r="C9" t="s">
        <v>28</v>
      </c>
      <c r="D9" t="s">
        <v>61</v>
      </c>
      <c r="E9" t="s">
        <v>62</v>
      </c>
      <c r="F9" t="s">
        <v>63</v>
      </c>
      <c r="G9" s="2">
        <v>0.54166666666666663</v>
      </c>
      <c r="H9" s="2">
        <v>0.70833333333333337</v>
      </c>
      <c r="I9">
        <v>15</v>
      </c>
      <c r="J9" s="9">
        <f t="shared" si="0"/>
        <v>3.7500000000000018</v>
      </c>
    </row>
    <row r="10" spans="1:11" x14ac:dyDescent="0.25">
      <c r="A10" s="8">
        <v>45694</v>
      </c>
      <c r="B10" t="s">
        <v>16</v>
      </c>
      <c r="C10" t="s">
        <v>17</v>
      </c>
      <c r="D10" t="s">
        <v>64</v>
      </c>
      <c r="E10" t="s">
        <v>65</v>
      </c>
      <c r="F10" t="s">
        <v>66</v>
      </c>
      <c r="G10" s="2">
        <v>0.33333333333333331</v>
      </c>
      <c r="H10" s="2">
        <v>0.5</v>
      </c>
      <c r="I10">
        <v>15</v>
      </c>
      <c r="J10" s="9">
        <f t="shared" si="0"/>
        <v>3.75</v>
      </c>
    </row>
    <row r="11" spans="1:11" x14ac:dyDescent="0.25">
      <c r="A11" s="8">
        <v>45695</v>
      </c>
      <c r="B11" t="s">
        <v>20</v>
      </c>
      <c r="C11" t="s">
        <v>21</v>
      </c>
      <c r="D11" t="s">
        <v>67</v>
      </c>
      <c r="E11" t="s">
        <v>59</v>
      </c>
      <c r="F11" t="s">
        <v>68</v>
      </c>
      <c r="G11" s="2">
        <v>0.54166666666666663</v>
      </c>
      <c r="H11" s="2">
        <v>0.70833333333333337</v>
      </c>
      <c r="I11">
        <v>15</v>
      </c>
      <c r="J11" s="9">
        <f t="shared" si="0"/>
        <v>3.7500000000000018</v>
      </c>
    </row>
    <row r="12" spans="1:11" x14ac:dyDescent="0.25">
      <c r="A12" s="8">
        <v>45691</v>
      </c>
      <c r="B12" t="s">
        <v>24</v>
      </c>
      <c r="C12" t="s">
        <v>17</v>
      </c>
      <c r="D12" t="s">
        <v>69</v>
      </c>
      <c r="E12" t="s">
        <v>62</v>
      </c>
      <c r="F12" t="s">
        <v>70</v>
      </c>
      <c r="G12" s="2">
        <v>0.33333333333333331</v>
      </c>
      <c r="H12" s="2">
        <v>0.5</v>
      </c>
      <c r="I12">
        <v>15</v>
      </c>
      <c r="J12" s="9">
        <f t="shared" si="0"/>
        <v>3.75</v>
      </c>
    </row>
    <row r="13" spans="1:11" x14ac:dyDescent="0.25">
      <c r="A13" s="8">
        <v>45692</v>
      </c>
      <c r="B13" t="s">
        <v>27</v>
      </c>
      <c r="C13" t="s">
        <v>28</v>
      </c>
      <c r="D13" t="s">
        <v>71</v>
      </c>
      <c r="E13" t="s">
        <v>65</v>
      </c>
      <c r="F13" t="s">
        <v>72</v>
      </c>
      <c r="G13" s="2">
        <v>0.54166666666666663</v>
      </c>
      <c r="H13" s="2">
        <v>0.70833333333333337</v>
      </c>
      <c r="I13">
        <v>15</v>
      </c>
      <c r="J13" s="9">
        <f t="shared" si="0"/>
        <v>3.7500000000000018</v>
      </c>
    </row>
    <row r="14" spans="1:11" x14ac:dyDescent="0.25">
      <c r="A14" s="8">
        <v>45693</v>
      </c>
      <c r="B14" t="s">
        <v>31</v>
      </c>
      <c r="C14" t="s">
        <v>21</v>
      </c>
      <c r="D14" t="s">
        <v>58</v>
      </c>
      <c r="E14" t="s">
        <v>59</v>
      </c>
      <c r="F14" t="s">
        <v>60</v>
      </c>
      <c r="G14" s="2">
        <v>0.33333333333333331</v>
      </c>
      <c r="H14" s="2">
        <v>0.5</v>
      </c>
      <c r="I14">
        <v>15</v>
      </c>
      <c r="J14" s="9">
        <f t="shared" si="0"/>
        <v>3.75</v>
      </c>
    </row>
    <row r="15" spans="1:11" x14ac:dyDescent="0.25">
      <c r="A15" s="8">
        <v>45694</v>
      </c>
      <c r="B15" t="s">
        <v>34</v>
      </c>
      <c r="C15" t="s">
        <v>17</v>
      </c>
      <c r="D15" t="s">
        <v>61</v>
      </c>
      <c r="E15" t="s">
        <v>62</v>
      </c>
      <c r="F15" t="s">
        <v>63</v>
      </c>
      <c r="G15" s="2">
        <v>0.54166666666666663</v>
      </c>
      <c r="H15" s="2">
        <v>0.70833333333333337</v>
      </c>
      <c r="I15">
        <v>15</v>
      </c>
      <c r="J15" s="9">
        <f t="shared" si="0"/>
        <v>3.7500000000000018</v>
      </c>
    </row>
    <row r="16" spans="1:11" x14ac:dyDescent="0.25">
      <c r="A16" s="8">
        <v>45695</v>
      </c>
      <c r="B16" t="s">
        <v>37</v>
      </c>
      <c r="C16" t="s">
        <v>21</v>
      </c>
      <c r="D16" t="s">
        <v>64</v>
      </c>
      <c r="E16" t="s">
        <v>65</v>
      </c>
      <c r="F16" t="s">
        <v>66</v>
      </c>
      <c r="G16" s="2">
        <v>0.75</v>
      </c>
      <c r="H16" s="2">
        <v>4.1666666666666657E-2</v>
      </c>
      <c r="I16">
        <v>15</v>
      </c>
      <c r="J16" s="9">
        <f t="shared" si="0"/>
        <v>6.7500000000000018</v>
      </c>
    </row>
    <row r="17" spans="1:10" x14ac:dyDescent="0.25">
      <c r="A17" s="8">
        <v>45691</v>
      </c>
      <c r="B17" t="s">
        <v>40</v>
      </c>
      <c r="C17" t="s">
        <v>28</v>
      </c>
      <c r="D17" t="s">
        <v>67</v>
      </c>
      <c r="E17" t="s">
        <v>59</v>
      </c>
      <c r="F17" t="s">
        <v>68</v>
      </c>
      <c r="G17" s="2">
        <v>0.54166666666666663</v>
      </c>
      <c r="H17" s="2">
        <v>0.70833333333333337</v>
      </c>
      <c r="I17">
        <v>15</v>
      </c>
      <c r="J17" s="9">
        <f t="shared" si="0"/>
        <v>3.7500000000000018</v>
      </c>
    </row>
    <row r="18" spans="1:10" x14ac:dyDescent="0.25">
      <c r="A18" s="8">
        <v>45692</v>
      </c>
      <c r="B18" t="s">
        <v>16</v>
      </c>
      <c r="C18" t="s">
        <v>17</v>
      </c>
      <c r="D18" t="s">
        <v>69</v>
      </c>
      <c r="E18" t="s">
        <v>62</v>
      </c>
      <c r="F18" t="s">
        <v>70</v>
      </c>
      <c r="G18" s="2">
        <v>0.33333333333333331</v>
      </c>
      <c r="H18" s="2">
        <v>0.5</v>
      </c>
      <c r="I18">
        <v>15</v>
      </c>
      <c r="J18" s="9">
        <f t="shared" si="0"/>
        <v>3.75</v>
      </c>
    </row>
    <row r="19" spans="1:10" x14ac:dyDescent="0.25">
      <c r="A19" s="8">
        <v>45693</v>
      </c>
      <c r="B19" t="s">
        <v>20</v>
      </c>
      <c r="C19" t="s">
        <v>21</v>
      </c>
      <c r="D19" t="s">
        <v>71</v>
      </c>
      <c r="E19" t="s">
        <v>65</v>
      </c>
      <c r="F19" t="s">
        <v>72</v>
      </c>
      <c r="G19" s="2">
        <v>0.54166666666666663</v>
      </c>
      <c r="H19" s="2">
        <v>0.70833333333333337</v>
      </c>
      <c r="I19">
        <v>15</v>
      </c>
      <c r="J19" s="9">
        <f t="shared" si="0"/>
        <v>3.7500000000000018</v>
      </c>
    </row>
    <row r="20" spans="1:10" x14ac:dyDescent="0.25">
      <c r="A20" s="8">
        <v>45694</v>
      </c>
      <c r="B20" t="s">
        <v>24</v>
      </c>
      <c r="C20" t="s">
        <v>17</v>
      </c>
      <c r="D20" t="s">
        <v>58</v>
      </c>
      <c r="E20" t="s">
        <v>59</v>
      </c>
      <c r="F20" t="s">
        <v>60</v>
      </c>
      <c r="G20" s="2">
        <v>0.33333333333333331</v>
      </c>
      <c r="H20" s="2">
        <v>0.5</v>
      </c>
      <c r="I20">
        <v>15</v>
      </c>
      <c r="J20" s="9">
        <f t="shared" si="0"/>
        <v>3.75</v>
      </c>
    </row>
    <row r="21" spans="1:10" x14ac:dyDescent="0.25">
      <c r="A21" s="8">
        <v>45695</v>
      </c>
      <c r="B21" t="s">
        <v>27</v>
      </c>
      <c r="C21" t="s">
        <v>28</v>
      </c>
      <c r="D21" t="s">
        <v>61</v>
      </c>
      <c r="E21" t="s">
        <v>62</v>
      </c>
      <c r="F21" t="s">
        <v>63</v>
      </c>
      <c r="G21" s="2">
        <v>0.54166666666666663</v>
      </c>
      <c r="H21" s="2">
        <v>0.70833333333333337</v>
      </c>
      <c r="I21">
        <v>15</v>
      </c>
      <c r="J21" s="9">
        <f t="shared" si="0"/>
        <v>3.7500000000000018</v>
      </c>
    </row>
    <row r="22" spans="1:10" x14ac:dyDescent="0.25">
      <c r="A22" s="8">
        <v>45691</v>
      </c>
      <c r="B22" t="s">
        <v>31</v>
      </c>
      <c r="C22" t="s">
        <v>21</v>
      </c>
      <c r="D22" t="s">
        <v>64</v>
      </c>
      <c r="E22" t="s">
        <v>65</v>
      </c>
      <c r="F22" t="s">
        <v>66</v>
      </c>
      <c r="G22" s="2">
        <v>0.33333333333333331</v>
      </c>
      <c r="H22" s="2">
        <v>0.5</v>
      </c>
      <c r="I22">
        <v>15</v>
      </c>
      <c r="J22" s="9">
        <f t="shared" si="0"/>
        <v>3.75</v>
      </c>
    </row>
    <row r="23" spans="1:10" x14ac:dyDescent="0.25">
      <c r="A23" s="8">
        <v>45692</v>
      </c>
      <c r="B23" t="s">
        <v>34</v>
      </c>
      <c r="C23" t="s">
        <v>17</v>
      </c>
      <c r="D23" t="s">
        <v>67</v>
      </c>
      <c r="E23" t="s">
        <v>59</v>
      </c>
      <c r="F23" t="s">
        <v>68</v>
      </c>
      <c r="G23" s="2">
        <v>0.54166666666666663</v>
      </c>
      <c r="H23" s="2">
        <v>0.70833333333333337</v>
      </c>
      <c r="I23">
        <v>15</v>
      </c>
      <c r="J23" s="9">
        <f t="shared" si="0"/>
        <v>3.7500000000000018</v>
      </c>
    </row>
    <row r="24" spans="1:10" x14ac:dyDescent="0.25">
      <c r="A24" s="8">
        <v>45693</v>
      </c>
      <c r="B24" t="s">
        <v>37</v>
      </c>
      <c r="C24" t="s">
        <v>21</v>
      </c>
      <c r="D24" t="s">
        <v>69</v>
      </c>
      <c r="E24" t="s">
        <v>62</v>
      </c>
      <c r="F24" t="s">
        <v>70</v>
      </c>
      <c r="G24" s="2">
        <v>0.33333333333333331</v>
      </c>
      <c r="H24" s="2">
        <v>0.5</v>
      </c>
      <c r="I24">
        <v>15</v>
      </c>
      <c r="J24" s="9">
        <f t="shared" si="0"/>
        <v>3.75</v>
      </c>
    </row>
    <row r="25" spans="1:10" x14ac:dyDescent="0.25">
      <c r="A25" s="8">
        <v>45694</v>
      </c>
      <c r="B25" t="s">
        <v>40</v>
      </c>
      <c r="C25" t="s">
        <v>28</v>
      </c>
      <c r="D25" t="s">
        <v>71</v>
      </c>
      <c r="E25" t="s">
        <v>65</v>
      </c>
      <c r="F25" t="s">
        <v>72</v>
      </c>
      <c r="G25" s="2">
        <v>0.54166666666666663</v>
      </c>
      <c r="H25" s="2">
        <v>0.70833333333333337</v>
      </c>
      <c r="I25">
        <v>15</v>
      </c>
      <c r="J25" s="9">
        <f t="shared" si="0"/>
        <v>3.7500000000000018</v>
      </c>
    </row>
    <row r="26" spans="1:10" x14ac:dyDescent="0.25">
      <c r="A26" s="8">
        <v>45695</v>
      </c>
      <c r="B26" t="s">
        <v>16</v>
      </c>
      <c r="C26" t="s">
        <v>17</v>
      </c>
      <c r="D26" t="s">
        <v>58</v>
      </c>
      <c r="E26" t="s">
        <v>59</v>
      </c>
      <c r="F26" t="s">
        <v>60</v>
      </c>
      <c r="G26" s="2">
        <v>0.33333333333333331</v>
      </c>
      <c r="H26" s="2">
        <v>0.5</v>
      </c>
      <c r="I26">
        <v>15</v>
      </c>
      <c r="J26" s="9">
        <f t="shared" si="0"/>
        <v>3.75</v>
      </c>
    </row>
    <row r="27" spans="1:10" x14ac:dyDescent="0.25">
      <c r="A27" s="8">
        <v>45691</v>
      </c>
      <c r="B27" t="s">
        <v>20</v>
      </c>
      <c r="C27" t="s">
        <v>21</v>
      </c>
      <c r="D27" t="s">
        <v>61</v>
      </c>
      <c r="E27" t="s">
        <v>62</v>
      </c>
      <c r="F27" t="s">
        <v>63</v>
      </c>
      <c r="G27" s="2">
        <v>0.54166666666666663</v>
      </c>
      <c r="H27" s="2">
        <v>0.70833333333333337</v>
      </c>
      <c r="I27">
        <v>15</v>
      </c>
      <c r="J27" s="9">
        <f t="shared" si="0"/>
        <v>3.7500000000000018</v>
      </c>
    </row>
    <row r="28" spans="1:10" x14ac:dyDescent="0.25">
      <c r="A28" s="8">
        <v>45692</v>
      </c>
      <c r="B28" t="s">
        <v>24</v>
      </c>
      <c r="C28" t="s">
        <v>17</v>
      </c>
      <c r="D28" t="s">
        <v>64</v>
      </c>
      <c r="E28" t="s">
        <v>65</v>
      </c>
      <c r="F28" t="s">
        <v>66</v>
      </c>
      <c r="G28" s="2">
        <v>0.33333333333333331</v>
      </c>
      <c r="H28" s="2">
        <v>0.5</v>
      </c>
      <c r="I28">
        <v>15</v>
      </c>
      <c r="J28" s="9">
        <f t="shared" si="0"/>
        <v>3.75</v>
      </c>
    </row>
    <row r="29" spans="1:10" x14ac:dyDescent="0.25">
      <c r="A29" s="8">
        <v>45693</v>
      </c>
      <c r="B29" t="s">
        <v>27</v>
      </c>
      <c r="C29" t="s">
        <v>28</v>
      </c>
      <c r="D29" t="s">
        <v>67</v>
      </c>
      <c r="E29" t="s">
        <v>59</v>
      </c>
      <c r="F29" t="s">
        <v>68</v>
      </c>
      <c r="G29" s="2">
        <v>0.54166666666666663</v>
      </c>
      <c r="H29" s="2">
        <v>0.70833333333333337</v>
      </c>
      <c r="I29">
        <v>15</v>
      </c>
      <c r="J29" s="9">
        <f t="shared" si="0"/>
        <v>3.7500000000000018</v>
      </c>
    </row>
    <row r="30" spans="1:10" x14ac:dyDescent="0.25">
      <c r="A30" s="8">
        <v>45694</v>
      </c>
      <c r="B30" t="s">
        <v>31</v>
      </c>
      <c r="C30" t="s">
        <v>21</v>
      </c>
      <c r="D30" t="s">
        <v>69</v>
      </c>
      <c r="E30" t="s">
        <v>62</v>
      </c>
      <c r="F30" t="s">
        <v>70</v>
      </c>
      <c r="G30" s="2">
        <v>0.33333333333333331</v>
      </c>
      <c r="H30" s="2">
        <v>0.5</v>
      </c>
      <c r="I30">
        <v>15</v>
      </c>
      <c r="J30" s="9">
        <f t="shared" si="0"/>
        <v>3.75</v>
      </c>
    </row>
    <row r="31" spans="1:10" x14ac:dyDescent="0.25">
      <c r="A31" s="8">
        <v>45695</v>
      </c>
      <c r="B31" t="s">
        <v>34</v>
      </c>
      <c r="C31" t="s">
        <v>17</v>
      </c>
      <c r="D31" t="s">
        <v>71</v>
      </c>
      <c r="E31" t="s">
        <v>65</v>
      </c>
      <c r="F31" t="s">
        <v>72</v>
      </c>
      <c r="G31" s="2">
        <v>0.54166666666666663</v>
      </c>
      <c r="H31" s="2">
        <v>0.70833333333333337</v>
      </c>
      <c r="I31">
        <v>15</v>
      </c>
      <c r="J31" s="9">
        <f t="shared" si="0"/>
        <v>3.7500000000000018</v>
      </c>
    </row>
    <row r="32" spans="1:10" x14ac:dyDescent="0.25">
      <c r="A32" s="8">
        <v>45691</v>
      </c>
      <c r="B32" t="s">
        <v>37</v>
      </c>
      <c r="C32" t="s">
        <v>21</v>
      </c>
      <c r="D32" t="s">
        <v>58</v>
      </c>
      <c r="E32" t="s">
        <v>59</v>
      </c>
      <c r="F32" t="s">
        <v>60</v>
      </c>
      <c r="G32" s="2">
        <v>0.33333333333333331</v>
      </c>
      <c r="H32" s="2">
        <v>0.5</v>
      </c>
      <c r="I32">
        <v>15</v>
      </c>
      <c r="J32" s="9">
        <f t="shared" si="0"/>
        <v>3.75</v>
      </c>
    </row>
    <row r="33" spans="1:10" x14ac:dyDescent="0.25">
      <c r="A33" s="8">
        <v>45692</v>
      </c>
      <c r="B33" t="s">
        <v>40</v>
      </c>
      <c r="C33" t="s">
        <v>28</v>
      </c>
      <c r="D33" t="s">
        <v>61</v>
      </c>
      <c r="E33" t="s">
        <v>62</v>
      </c>
      <c r="F33" t="s">
        <v>63</v>
      </c>
      <c r="G33" s="2">
        <v>0.75</v>
      </c>
      <c r="H33" s="2">
        <v>4.1666666666666657E-2</v>
      </c>
      <c r="I33">
        <v>15</v>
      </c>
      <c r="J33" s="9">
        <f t="shared" si="0"/>
        <v>6.7500000000000018</v>
      </c>
    </row>
    <row r="34" spans="1:10" x14ac:dyDescent="0.25">
      <c r="A34" s="8">
        <v>45693</v>
      </c>
      <c r="B34" t="s">
        <v>16</v>
      </c>
      <c r="C34" t="s">
        <v>17</v>
      </c>
      <c r="D34" t="s">
        <v>64</v>
      </c>
      <c r="E34" t="s">
        <v>65</v>
      </c>
      <c r="F34" t="s">
        <v>66</v>
      </c>
      <c r="G34" s="2">
        <v>0.33333333333333331</v>
      </c>
      <c r="H34" s="2">
        <v>0.5</v>
      </c>
      <c r="I34">
        <v>15</v>
      </c>
      <c r="J34" s="9">
        <f t="shared" si="0"/>
        <v>3.75</v>
      </c>
    </row>
    <row r="35" spans="1:10" x14ac:dyDescent="0.25">
      <c r="A35" s="8">
        <v>45694</v>
      </c>
      <c r="B35" t="s">
        <v>20</v>
      </c>
      <c r="C35" t="s">
        <v>21</v>
      </c>
      <c r="D35" t="s">
        <v>67</v>
      </c>
      <c r="E35" t="s">
        <v>59</v>
      </c>
      <c r="F35" t="s">
        <v>68</v>
      </c>
      <c r="G35" s="2">
        <v>0.54166666666666663</v>
      </c>
      <c r="H35" s="2">
        <v>0.70833333333333337</v>
      </c>
      <c r="I35">
        <v>15</v>
      </c>
      <c r="J35" s="9">
        <f t="shared" si="0"/>
        <v>3.7500000000000018</v>
      </c>
    </row>
    <row r="36" spans="1:10" x14ac:dyDescent="0.25">
      <c r="A36" s="8">
        <v>45695</v>
      </c>
      <c r="B36" t="s">
        <v>24</v>
      </c>
      <c r="C36" t="s">
        <v>17</v>
      </c>
      <c r="D36" t="s">
        <v>69</v>
      </c>
      <c r="E36" t="s">
        <v>62</v>
      </c>
      <c r="F36" t="s">
        <v>70</v>
      </c>
      <c r="G36" s="2">
        <v>0.33333333333333331</v>
      </c>
      <c r="H36" s="2">
        <v>0.5</v>
      </c>
      <c r="I36">
        <v>15</v>
      </c>
      <c r="J36" s="9">
        <f t="shared" si="0"/>
        <v>3.75</v>
      </c>
    </row>
    <row r="37" spans="1:10" x14ac:dyDescent="0.25">
      <c r="A37" s="8">
        <v>45691</v>
      </c>
      <c r="B37" t="s">
        <v>27</v>
      </c>
      <c r="C37" t="s">
        <v>28</v>
      </c>
      <c r="D37" t="s">
        <v>71</v>
      </c>
      <c r="E37" t="s">
        <v>65</v>
      </c>
      <c r="F37" t="s">
        <v>72</v>
      </c>
      <c r="G37" s="2">
        <v>0.54166666666666663</v>
      </c>
      <c r="H37" s="2">
        <v>0.70833333333333337</v>
      </c>
      <c r="I37">
        <v>15</v>
      </c>
      <c r="J37" s="9">
        <f t="shared" si="0"/>
        <v>3.7500000000000018</v>
      </c>
    </row>
    <row r="38" spans="1:10" x14ac:dyDescent="0.25">
      <c r="A38" s="8">
        <v>45692</v>
      </c>
      <c r="B38" t="s">
        <v>31</v>
      </c>
      <c r="C38" t="s">
        <v>21</v>
      </c>
      <c r="D38" t="s">
        <v>58</v>
      </c>
      <c r="E38" t="s">
        <v>59</v>
      </c>
      <c r="F38" t="s">
        <v>60</v>
      </c>
      <c r="G38" s="2">
        <v>0.33333333333333331</v>
      </c>
      <c r="H38" s="2">
        <v>0.5</v>
      </c>
      <c r="I38">
        <v>15</v>
      </c>
      <c r="J38" s="9">
        <f t="shared" si="0"/>
        <v>3.75</v>
      </c>
    </row>
    <row r="39" spans="1:10" x14ac:dyDescent="0.25">
      <c r="A39" s="8">
        <v>45693</v>
      </c>
      <c r="B39" t="s">
        <v>34</v>
      </c>
      <c r="C39" t="s">
        <v>17</v>
      </c>
      <c r="D39" t="s">
        <v>61</v>
      </c>
      <c r="E39" t="s">
        <v>62</v>
      </c>
      <c r="F39" t="s">
        <v>63</v>
      </c>
      <c r="G39" s="2">
        <v>0.54166666666666663</v>
      </c>
      <c r="H39" s="2">
        <v>0.70833333333333337</v>
      </c>
      <c r="I39">
        <v>15</v>
      </c>
      <c r="J39" s="9">
        <f t="shared" si="0"/>
        <v>3.7500000000000018</v>
      </c>
    </row>
    <row r="40" spans="1:10" x14ac:dyDescent="0.25">
      <c r="A40" s="8">
        <v>45694</v>
      </c>
      <c r="B40" t="s">
        <v>37</v>
      </c>
      <c r="C40" t="s">
        <v>21</v>
      </c>
      <c r="D40" t="s">
        <v>64</v>
      </c>
      <c r="E40" t="s">
        <v>65</v>
      </c>
      <c r="F40" t="s">
        <v>66</v>
      </c>
      <c r="G40" s="2">
        <v>0.33333333333333331</v>
      </c>
      <c r="H40" s="2">
        <v>0.5</v>
      </c>
      <c r="I40">
        <v>15</v>
      </c>
      <c r="J40" s="9">
        <f t="shared" si="0"/>
        <v>3.75</v>
      </c>
    </row>
    <row r="41" spans="1:10" x14ac:dyDescent="0.25">
      <c r="A41" s="8">
        <v>45695</v>
      </c>
      <c r="B41" t="s">
        <v>40</v>
      </c>
      <c r="C41" t="s">
        <v>28</v>
      </c>
      <c r="D41" t="s">
        <v>67</v>
      </c>
      <c r="E41" t="s">
        <v>59</v>
      </c>
      <c r="F41" t="s">
        <v>68</v>
      </c>
      <c r="G41" s="2">
        <v>0.54166666666666663</v>
      </c>
      <c r="H41" s="2">
        <v>0.70833333333333337</v>
      </c>
      <c r="I41">
        <v>15</v>
      </c>
      <c r="J41" s="9">
        <f t="shared" si="0"/>
        <v>3.7500000000000018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ColWidth="8.85546875" defaultRowHeight="15" x14ac:dyDescent="0.25"/>
  <cols>
    <col min="1" max="1" width="18" customWidth="1"/>
    <col min="2" max="5" width="12" customWidth="1"/>
  </cols>
  <sheetData>
    <row r="1" spans="1:5" x14ac:dyDescent="0.25">
      <c r="A1" t="s">
        <v>73</v>
      </c>
    </row>
    <row r="2" spans="1:5" x14ac:dyDescent="0.25">
      <c r="A2" t="s">
        <v>49</v>
      </c>
      <c r="B2" t="s">
        <v>59</v>
      </c>
      <c r="C2" t="s">
        <v>62</v>
      </c>
      <c r="D2" t="s">
        <v>65</v>
      </c>
      <c r="E2" t="s">
        <v>74</v>
      </c>
    </row>
    <row r="3" spans="1:5" x14ac:dyDescent="0.25">
      <c r="A3" t="s">
        <v>16</v>
      </c>
      <c r="B3" s="9">
        <f>SUMIFS(Entries!$J:$J,Entries!$B:$B,Summary!$A3,Entries!$E:$E,"Enquiry")</f>
        <v>7.5</v>
      </c>
      <c r="C3" s="9">
        <f>SUMIFS(Entries!$J:$J,Entries!$B:$B,Summary!$A3,Entries!$E:$E,"Tender")</f>
        <v>3.75</v>
      </c>
      <c r="D3" s="9">
        <f>SUMIFS(Entries!$J:$J,Entries!$B:$B,Summary!$A3,Entries!$E:$E,"Active")</f>
        <v>7.5</v>
      </c>
      <c r="E3" s="9">
        <f t="shared" ref="E3:E12" si="0">SUM(B3:D3)</f>
        <v>18.75</v>
      </c>
    </row>
    <row r="4" spans="1:5" x14ac:dyDescent="0.25">
      <c r="A4" t="s">
        <v>20</v>
      </c>
      <c r="B4" s="9">
        <f>SUMIFS(Entries!$J:$J,Entries!$B:$B,Summary!$A4,Entries!$E:$E,"Enquiry")</f>
        <v>7.5000000000000036</v>
      </c>
      <c r="C4" s="9">
        <f>SUMIFS(Entries!$J:$J,Entries!$B:$B,Summary!$A4,Entries!$E:$E,"Tender")</f>
        <v>7.5000000000000036</v>
      </c>
      <c r="D4" s="9">
        <f>SUMIFS(Entries!$J:$J,Entries!$B:$B,Summary!$A4,Entries!$E:$E,"Active")</f>
        <v>3.7500000000000018</v>
      </c>
      <c r="E4" s="9">
        <f t="shared" si="0"/>
        <v>18.750000000000007</v>
      </c>
    </row>
    <row r="5" spans="1:5" x14ac:dyDescent="0.25">
      <c r="A5" t="s">
        <v>24</v>
      </c>
      <c r="B5" s="9">
        <f>SUMIFS(Entries!$J:$J,Entries!$B:$B,Summary!$A5,Entries!$E:$E,"Enquiry")</f>
        <v>3.75</v>
      </c>
      <c r="C5" s="9">
        <f>SUMIFS(Entries!$J:$J,Entries!$B:$B,Summary!$A5,Entries!$E:$E,"Tender")</f>
        <v>7.5</v>
      </c>
      <c r="D5" s="9">
        <f>SUMIFS(Entries!$J:$J,Entries!$B:$B,Summary!$A5,Entries!$E:$E,"Active")</f>
        <v>7.5</v>
      </c>
      <c r="E5" s="9">
        <f t="shared" si="0"/>
        <v>18.75</v>
      </c>
    </row>
    <row r="6" spans="1:5" x14ac:dyDescent="0.25">
      <c r="A6" t="s">
        <v>27</v>
      </c>
      <c r="B6" s="9">
        <f>SUMIFS(Entries!$J:$J,Entries!$B:$B,Summary!$A6,Entries!$E:$E,"Enquiry")</f>
        <v>7.5000000000000036</v>
      </c>
      <c r="C6" s="9">
        <f>SUMIFS(Entries!$J:$J,Entries!$B:$B,Summary!$A6,Entries!$E:$E,"Tender")</f>
        <v>3.7500000000000018</v>
      </c>
      <c r="D6" s="9">
        <f>SUMIFS(Entries!$J:$J,Entries!$B:$B,Summary!$A6,Entries!$E:$E,"Active")</f>
        <v>7.5000000000000036</v>
      </c>
      <c r="E6" s="9">
        <f t="shared" si="0"/>
        <v>18.750000000000007</v>
      </c>
    </row>
    <row r="7" spans="1:5" x14ac:dyDescent="0.25">
      <c r="A7" t="s">
        <v>31</v>
      </c>
      <c r="B7" s="9">
        <f>SUMIFS(Entries!$J:$J,Entries!$B:$B,Summary!$A7,Entries!$E:$E,"Enquiry")</f>
        <v>7.5</v>
      </c>
      <c r="C7" s="9">
        <f>SUMIFS(Entries!$J:$J,Entries!$B:$B,Summary!$A7,Entries!$E:$E,"Tender")</f>
        <v>7.5</v>
      </c>
      <c r="D7" s="9">
        <f>SUMIFS(Entries!$J:$J,Entries!$B:$B,Summary!$A7,Entries!$E:$E,"Active")</f>
        <v>3.75</v>
      </c>
      <c r="E7" s="9">
        <f t="shared" si="0"/>
        <v>18.75</v>
      </c>
    </row>
    <row r="8" spans="1:5" x14ac:dyDescent="0.25">
      <c r="A8" t="s">
        <v>34</v>
      </c>
      <c r="B8" s="9">
        <f>SUMIFS(Entries!$J:$J,Entries!$B:$B,Summary!$A8,Entries!$E:$E,"Enquiry")</f>
        <v>3.7500000000000018</v>
      </c>
      <c r="C8" s="9">
        <f>SUMIFS(Entries!$J:$J,Entries!$B:$B,Summary!$A8,Entries!$E:$E,"Tender")</f>
        <v>7.5000000000000036</v>
      </c>
      <c r="D8" s="9">
        <f>SUMIFS(Entries!$J:$J,Entries!$B:$B,Summary!$A8,Entries!$E:$E,"Active")</f>
        <v>7.5000000000000036</v>
      </c>
      <c r="E8" s="9">
        <f t="shared" si="0"/>
        <v>18.750000000000007</v>
      </c>
    </row>
    <row r="9" spans="1:5" x14ac:dyDescent="0.25">
      <c r="A9" t="s">
        <v>37</v>
      </c>
      <c r="B9" s="9">
        <f>SUMIFS(Entries!$J:$J,Entries!$B:$B,Summary!$A9,Entries!$E:$E,"Enquiry")</f>
        <v>7.5</v>
      </c>
      <c r="C9" s="9">
        <f>SUMIFS(Entries!$J:$J,Entries!$B:$B,Summary!$A9,Entries!$E:$E,"Tender")</f>
        <v>3.75</v>
      </c>
      <c r="D9" s="9">
        <f>SUMIFS(Entries!$J:$J,Entries!$B:$B,Summary!$A9,Entries!$E:$E,"Active")</f>
        <v>10.500000000000002</v>
      </c>
      <c r="E9" s="9">
        <f t="shared" si="0"/>
        <v>21.75</v>
      </c>
    </row>
    <row r="10" spans="1:5" x14ac:dyDescent="0.25">
      <c r="A10" t="s">
        <v>40</v>
      </c>
      <c r="B10" s="9">
        <f>SUMIFS(Entries!$J:$J,Entries!$B:$B,Summary!$A10,Entries!$E:$E,"Enquiry")</f>
        <v>7.5000000000000036</v>
      </c>
      <c r="C10" s="9">
        <f>SUMIFS(Entries!$J:$J,Entries!$B:$B,Summary!$A10,Entries!$E:$E,"Tender")</f>
        <v>10.500000000000004</v>
      </c>
      <c r="D10" s="9">
        <f>SUMIFS(Entries!$J:$J,Entries!$B:$B,Summary!$A10,Entries!$E:$E,"Active")</f>
        <v>3.7500000000000018</v>
      </c>
      <c r="E10" s="9">
        <f t="shared" si="0"/>
        <v>21.750000000000007</v>
      </c>
    </row>
    <row r="11" spans="1:5" x14ac:dyDescent="0.25">
      <c r="A11" t="s">
        <v>43</v>
      </c>
      <c r="B11" s="9">
        <f>SUMIFS(Entries!$J:$J,Entries!$B:$B,Summary!$A11,Entries!$E:$E,"Enquiry")</f>
        <v>0</v>
      </c>
      <c r="C11" s="9">
        <f>SUMIFS(Entries!$J:$J,Entries!$B:$B,Summary!$A11,Entries!$E:$E,"Tender")</f>
        <v>0</v>
      </c>
      <c r="D11" s="9">
        <f>SUMIFS(Entries!$J:$J,Entries!$B:$B,Summary!$A11,Entries!$E:$E,"Active")</f>
        <v>0</v>
      </c>
      <c r="E11" s="9">
        <f t="shared" si="0"/>
        <v>0</v>
      </c>
    </row>
    <row r="12" spans="1:5" x14ac:dyDescent="0.25">
      <c r="A12" t="s">
        <v>46</v>
      </c>
      <c r="B12" s="9">
        <f>SUMIFS(Entries!$J:$J,Entries!$B:$B,Summary!$A12,Entries!$E:$E,"Enquiry")</f>
        <v>0</v>
      </c>
      <c r="C12" s="9">
        <f>SUMIFS(Entries!$J:$J,Entries!$B:$B,Summary!$A12,Entries!$E:$E,"Tender")</f>
        <v>0</v>
      </c>
      <c r="D12" s="9">
        <f>SUMIFS(Entries!$J:$J,Entries!$B:$B,Summary!$A12,Entries!$E:$E,"Active")</f>
        <v>0</v>
      </c>
      <c r="E12" s="9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Staff</vt:lpstr>
      <vt:lpstr>Entries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Chi, Banghao</cp:lastModifiedBy>
  <dcterms:created xsi:type="dcterms:W3CDTF">2025-02-06T14:55:28Z</dcterms:created>
  <dcterms:modified xsi:type="dcterms:W3CDTF">2026-06-04T01:34:20Z</dcterms:modified>
</cp:coreProperties>
</file>