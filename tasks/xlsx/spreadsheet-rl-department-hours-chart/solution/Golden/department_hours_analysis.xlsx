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0240" windowHeight="1964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alysis" sheetId="2" state="visible" r:id="rId2"/>
  </sheets>
  <definedNames>
    <definedName name="_xlnm._FilterDatabase" localSheetId="1" hidden="1">'Analysis'!$A$1:$AD$23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hh]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Hours per Department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'Analysis'!$B$1:$AC$1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'Analysis'!$B$2:$AC$2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'Analysis'!$B$3:$AC$3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'Analysis'!$B$4:$AC$4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'Analysis'!$B$5:$AC$5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'Analysis'!$B$6:$AC$6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'Analysis'!$B$7:$AC$7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'Analysis'!$B$8:$AC$8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'Analysis'!$B$9:$AC$9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'Analysis'!$B$10:$AC$10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'Analysis'!$B$11:$AC$11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'Analysis'!$B$12:$AC$12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'Analysis'!$B$13:$AC$13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'Analysis'!$B$14:$AC$14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'Analysis'!$B$15:$AC$15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'Analysis'!$B$16:$AC$16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'Analysis'!$B$17:$AC$17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'Analysis'!$B$18:$AC$18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'Analysis'!$B$19:$AC$19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'Analysis'!$B$20:$AC$20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'Analysis'!$B$21:$AC$21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'Analysis'!$B$22:$AC$22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'Analysis'!$B$1:$AC$1</f>
            </numRef>
          </cat>
          <val>
            <numRef>
              <f>'Analysis'!$B$23:$AC$23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tabSelected="1" workbookViewId="0">
      <selection activeCell="A1" sqref="A1"/>
    </sheetView>
  </sheetViews>
  <sheetFormatPr baseColWidth="10" defaultColWidth="8.83203125" defaultRowHeight="15"/>
  <sheetData>
    <row r="1">
      <c r="C1" t="inlineStr">
        <is>
          <t>Jan 22</t>
        </is>
      </c>
      <c r="D1" t="inlineStr">
        <is>
          <t>Feb 22</t>
        </is>
      </c>
      <c r="E1" t="inlineStr">
        <is>
          <t>Mar 22</t>
        </is>
      </c>
      <c r="F1" t="inlineStr">
        <is>
          <t>Apr 22</t>
        </is>
      </c>
      <c r="G1" t="inlineStr">
        <is>
          <t>May 22</t>
        </is>
      </c>
      <c r="H1" t="inlineStr">
        <is>
          <t>Jun 22</t>
        </is>
      </c>
      <c r="I1" t="inlineStr">
        <is>
          <t>Jul 22</t>
        </is>
      </c>
      <c r="J1" t="inlineStr">
        <is>
          <t>Aug 22</t>
        </is>
      </c>
      <c r="K1" t="inlineStr">
        <is>
          <t>Sep 22</t>
        </is>
      </c>
      <c r="L1" t="inlineStr">
        <is>
          <t>Oct 22</t>
        </is>
      </c>
      <c r="M1" t="inlineStr">
        <is>
          <t>Nov 22</t>
        </is>
      </c>
      <c r="N1" t="inlineStr">
        <is>
          <t>Dec 22</t>
        </is>
      </c>
      <c r="O1" t="inlineStr">
        <is>
          <t>Jan 23</t>
        </is>
      </c>
      <c r="P1" t="inlineStr">
        <is>
          <t>Feb 23</t>
        </is>
      </c>
      <c r="Q1" t="inlineStr">
        <is>
          <t>Mar 23</t>
        </is>
      </c>
      <c r="R1" t="inlineStr">
        <is>
          <t>Apr 23</t>
        </is>
      </c>
      <c r="S1" t="inlineStr">
        <is>
          <t>May 23</t>
        </is>
      </c>
      <c r="T1" t="inlineStr">
        <is>
          <t>Jun 23</t>
        </is>
      </c>
      <c r="U1" t="inlineStr">
        <is>
          <t>Jul 23</t>
        </is>
      </c>
      <c r="V1" t="inlineStr">
        <is>
          <t>Aug 23</t>
        </is>
      </c>
      <c r="W1" t="inlineStr">
        <is>
          <t>Sep 23</t>
        </is>
      </c>
      <c r="X1" t="inlineStr">
        <is>
          <t>Oct 23</t>
        </is>
      </c>
      <c r="Y1" t="inlineStr">
        <is>
          <t>Nov 23</t>
        </is>
      </c>
      <c r="Z1" t="inlineStr">
        <is>
          <t>Dec 23</t>
        </is>
      </c>
      <c r="AA1" t="inlineStr">
        <is>
          <t>Jan 24</t>
        </is>
      </c>
      <c r="AB1" t="inlineStr">
        <is>
          <t>Feb 24</t>
        </is>
      </c>
      <c r="AC1" t="inlineStr">
        <is>
          <t>Mar 24</t>
        </is>
      </c>
      <c r="AD1" t="inlineStr">
        <is>
          <t>Apr 24</t>
        </is>
      </c>
      <c r="AE1" t="inlineStr">
        <is>
          <t>TOTAL</t>
        </is>
      </c>
    </row>
    <row r="2">
      <c r="A2" t="inlineStr"/>
    </row>
    <row r="3">
      <c r="B3" t="inlineStr">
        <is>
          <t>100/FABRIC</t>
        </is>
      </c>
      <c r="C3" s="1" t="n">
        <v>32.38194444444444</v>
      </c>
      <c r="D3" s="1" t="n">
        <v>36.15277777777778</v>
      </c>
      <c r="E3" t="inlineStr">
        <is>
          <t>1,379:47</t>
        </is>
      </c>
      <c r="F3" s="1" t="n">
        <v>32.69861111111111</v>
      </c>
      <c r="G3" s="1" t="n">
        <v>37.71458333333333</v>
      </c>
      <c r="H3" s="1" t="n">
        <v>30.69722222222222</v>
      </c>
      <c r="I3" s="1" t="n">
        <v>22.23402777777778</v>
      </c>
      <c r="J3" s="1" t="n">
        <v>28.62916666666667</v>
      </c>
      <c r="K3" s="1" t="n">
        <v>9.189583333333333</v>
      </c>
      <c r="L3" s="1" t="n">
        <v>13.8875</v>
      </c>
      <c r="M3" s="1" t="n">
        <v>9.513888888888889</v>
      </c>
      <c r="N3" s="1" t="n">
        <v>14.32569444444444</v>
      </c>
      <c r="O3" s="1" t="n">
        <v>23.80277777777778</v>
      </c>
      <c r="P3" s="1" t="n">
        <v>22.75347222222222</v>
      </c>
      <c r="Q3" s="1" t="n">
        <v>19.75138888888889</v>
      </c>
      <c r="R3" s="1" t="n">
        <v>31.41805555555555</v>
      </c>
      <c r="S3" s="1" t="n">
        <v>34.67569444444445</v>
      </c>
      <c r="T3" s="1" t="n">
        <v>16.24513888888889</v>
      </c>
      <c r="U3" s="1" t="n">
        <v>19.26944444444445</v>
      </c>
      <c r="V3" s="1" t="n">
        <v>19.47569444444444</v>
      </c>
      <c r="W3" s="1" t="n">
        <v>28.8625</v>
      </c>
      <c r="X3" s="1" t="n">
        <v>34.39027777777778</v>
      </c>
      <c r="Y3" s="1" t="n">
        <v>24.10486111111111</v>
      </c>
      <c r="Z3" s="1" t="n">
        <v>16.30138888888889</v>
      </c>
      <c r="AA3" s="1" t="n">
        <v>15.72152777777778</v>
      </c>
      <c r="AB3" s="1" t="n">
        <v>10.51666666666667</v>
      </c>
      <c r="AC3" s="1" t="n">
        <v>2.188888888888889</v>
      </c>
      <c r="AD3" s="1" t="n">
        <v>15.80486111111111</v>
      </c>
      <c r="AE3">
        <f>ROUND(SUM(C3:AD3),5)</f>
        <v/>
      </c>
    </row>
    <row r="4">
      <c r="B4" t="inlineStr">
        <is>
          <t>200/METAL</t>
        </is>
      </c>
      <c r="C4" s="1" t="n">
        <v>7.858333333333333</v>
      </c>
      <c r="D4" s="1" t="n">
        <v>6.388888888888889</v>
      </c>
      <c r="E4" s="1" t="n">
        <v>7.129861111111111</v>
      </c>
      <c r="F4" s="1" t="n">
        <v>8.314583333333333</v>
      </c>
      <c r="G4" s="1" t="n">
        <v>5.477083333333334</v>
      </c>
      <c r="H4" s="1" t="n">
        <v>4.881944444444445</v>
      </c>
      <c r="I4" s="1" t="n">
        <v>4.932638888888889</v>
      </c>
      <c r="J4" s="1" t="n">
        <v>2.570138888888889</v>
      </c>
      <c r="K4" s="1" t="n">
        <v>2.244444444444444</v>
      </c>
      <c r="L4" s="1" t="n">
        <v>2.724305555555556</v>
      </c>
      <c r="M4" s="1" t="n">
        <v>1.295138888888889</v>
      </c>
      <c r="N4" s="1" t="n">
        <v>1.998611111111111</v>
      </c>
      <c r="O4" s="1" t="n">
        <v>1.461111111111111</v>
      </c>
      <c r="P4" s="1" t="n">
        <v>2.438888888888889</v>
      </c>
      <c r="Q4" s="1" t="n">
        <v>4.029166666666667</v>
      </c>
      <c r="R4" s="1" t="n">
        <v>2.134027777777778</v>
      </c>
      <c r="S4" s="1" t="n">
        <v>5.288888888888889</v>
      </c>
      <c r="T4" s="1" t="n">
        <v>1.861805555555555</v>
      </c>
      <c r="U4" s="1" t="n">
        <v>5.645833333333333</v>
      </c>
      <c r="V4" s="1" t="n">
        <v>2.890972222222222</v>
      </c>
      <c r="W4" s="1" t="n">
        <v>0.66875</v>
      </c>
      <c r="X4" s="1" t="n">
        <v>6.738888888888889</v>
      </c>
      <c r="Y4" s="1" t="n">
        <v>3.759722222222222</v>
      </c>
      <c r="Z4" s="1" t="n">
        <v>4.075694444444444</v>
      </c>
      <c r="AA4" s="1" t="n">
        <v>4.427777777777778</v>
      </c>
      <c r="AB4" s="1" t="n">
        <v>0.2708333333333333</v>
      </c>
      <c r="AC4" s="1" t="n">
        <v>0.4513888888888889</v>
      </c>
      <c r="AD4" s="1" t="n">
        <v>1.613888888888889</v>
      </c>
      <c r="AE4">
        <f>ROUND(SUM(C4:AD4),5)</f>
        <v/>
      </c>
    </row>
    <row r="5">
      <c r="B5" t="inlineStr">
        <is>
          <t>210/METAL-B</t>
        </is>
      </c>
      <c r="C5" s="1" t="n">
        <v>1.568055555555556</v>
      </c>
      <c r="D5" s="1" t="n">
        <v>3.1125</v>
      </c>
      <c r="E5" s="1" t="n">
        <v>7.288194444444445</v>
      </c>
      <c r="F5" s="1" t="n">
        <v>3.478472222222222</v>
      </c>
      <c r="G5" s="1" t="n">
        <v>3.894444444444444</v>
      </c>
      <c r="H5" s="1" t="n">
        <v>4.059722222222222</v>
      </c>
      <c r="I5" s="1" t="n">
        <v>4.465277777777778</v>
      </c>
      <c r="J5" s="1" t="n">
        <v>3.1875</v>
      </c>
      <c r="K5" s="1" t="n">
        <v>2.119444444444444</v>
      </c>
      <c r="L5" s="1" t="n">
        <v>4.595138888888889</v>
      </c>
      <c r="M5" s="1" t="n">
        <v>1.727777777777778</v>
      </c>
      <c r="N5" s="1" t="n">
        <v>0.4569444444444444</v>
      </c>
      <c r="O5" s="1" t="n">
        <v>4.9</v>
      </c>
      <c r="P5" s="1" t="n">
        <v>2.444444444444445</v>
      </c>
      <c r="Q5" s="1" t="n">
        <v>2.343055555555555</v>
      </c>
      <c r="R5" s="1" t="n">
        <v>1.428472222222222</v>
      </c>
      <c r="S5" s="1" t="n">
        <v>0.09166666666666666</v>
      </c>
      <c r="T5" s="1" t="n">
        <v>0.6631944444444444</v>
      </c>
      <c r="U5" s="1" t="n">
        <v>0.4944444444444445</v>
      </c>
      <c r="V5" s="1" t="n">
        <v>2.931944444444444</v>
      </c>
      <c r="W5" s="1" t="n">
        <v>1.467361111111111</v>
      </c>
      <c r="X5" s="1" t="n">
        <v>3.322222222222222</v>
      </c>
      <c r="Y5" s="1" t="n">
        <v>3.193055555555556</v>
      </c>
      <c r="Z5" s="1" t="n">
        <v>0.09305555555555556</v>
      </c>
      <c r="AA5" s="1" t="n">
        <v>4.334722222222222</v>
      </c>
      <c r="AB5" s="1" t="n">
        <v>0.7166666666666667</v>
      </c>
      <c r="AC5" s="1" t="n">
        <v>0</v>
      </c>
      <c r="AD5" s="1" t="n">
        <v>0.2416666666666667</v>
      </c>
      <c r="AE5">
        <f>ROUND(SUM(C5:AD5),5)</f>
        <v/>
      </c>
    </row>
    <row r="6">
      <c r="B6" t="inlineStr">
        <is>
          <t>230/METAL-Br</t>
        </is>
      </c>
      <c r="C6" s="1" t="n">
        <v>1.795138888888889</v>
      </c>
      <c r="D6" s="1" t="n">
        <v>2.55625</v>
      </c>
      <c r="E6" s="1" t="n">
        <v>7.540277777777778</v>
      </c>
      <c r="F6" s="1" t="n">
        <v>6.080555555555556</v>
      </c>
      <c r="G6" s="1" t="n">
        <v>5.596527777777778</v>
      </c>
      <c r="H6" s="1" t="n">
        <v>2.970833333333333</v>
      </c>
      <c r="I6" s="1" t="n">
        <v>5.023611111111111</v>
      </c>
      <c r="J6" s="1" t="n">
        <v>2.167361111111111</v>
      </c>
      <c r="K6" s="1" t="n">
        <v>1.125694444444445</v>
      </c>
      <c r="L6" s="1" t="n">
        <v>2.752083333333333</v>
      </c>
      <c r="M6" s="1" t="n">
        <v>1.611805555555555</v>
      </c>
      <c r="N6" s="1" t="n">
        <v>1.113888888888889</v>
      </c>
      <c r="O6" s="1" t="n">
        <v>0.8618055555555556</v>
      </c>
      <c r="P6" s="1" t="n">
        <v>2.4125</v>
      </c>
      <c r="Q6" s="1" t="n">
        <v>2.678472222222222</v>
      </c>
      <c r="R6" s="1" t="n">
        <v>6.975694444444445</v>
      </c>
      <c r="S6" s="1" t="n">
        <v>18.06527777777778</v>
      </c>
      <c r="T6" s="1" t="n">
        <v>11.13611111111111</v>
      </c>
      <c r="U6" s="1" t="n">
        <v>2.409722222222222</v>
      </c>
      <c r="V6" s="1" t="n">
        <v>2.106944444444444</v>
      </c>
      <c r="W6" s="1" t="n">
        <v>1.489583333333333</v>
      </c>
      <c r="X6" s="1" t="n">
        <v>3.170138888888889</v>
      </c>
      <c r="Y6" s="1" t="n">
        <v>4.570138888888889</v>
      </c>
      <c r="Z6" s="1" t="n">
        <v>2.438194444444445</v>
      </c>
      <c r="AA6" s="1" t="n">
        <v>5.867361111111111</v>
      </c>
      <c r="AB6" s="1" t="n">
        <v>0.7618055555555555</v>
      </c>
      <c r="AC6" s="1" t="n">
        <v>0.8076388888888889</v>
      </c>
      <c r="AD6" s="1" t="n">
        <v>0.7708333333333334</v>
      </c>
      <c r="AE6">
        <f>ROUND(SUM(C6:AD6),5)</f>
        <v/>
      </c>
    </row>
    <row r="7">
      <c r="B7" t="inlineStr">
        <is>
          <t>300/F&amp;W</t>
        </is>
      </c>
      <c r="C7" s="1" t="n">
        <v>31.15416666666667</v>
      </c>
      <c r="D7" s="1" t="n">
        <v>36.10833333333333</v>
      </c>
      <c r="E7" s="1" t="n">
        <v>27.12986111111111</v>
      </c>
      <c r="F7" s="1" t="n">
        <v>30.87986111111111</v>
      </c>
      <c r="G7" s="1" t="n">
        <v>34.1625</v>
      </c>
      <c r="H7" s="1" t="n">
        <v>17.35902777777778</v>
      </c>
      <c r="I7" s="1" t="n">
        <v>26.54930555555556</v>
      </c>
      <c r="J7" s="1" t="n">
        <v>35.64652777777778</v>
      </c>
      <c r="K7" s="1" t="n">
        <v>14.22916666666667</v>
      </c>
      <c r="L7" s="1" t="n">
        <v>13.34791666666667</v>
      </c>
      <c r="M7" s="1" t="n">
        <v>22.50138888888889</v>
      </c>
      <c r="N7" s="1" t="n">
        <v>14.05763888888889</v>
      </c>
      <c r="O7" s="1" t="n">
        <v>22.53402777777778</v>
      </c>
      <c r="P7" s="1" t="n">
        <v>34.76388888888889</v>
      </c>
      <c r="Q7" s="1" t="n">
        <v>12.94305555555556</v>
      </c>
      <c r="R7" s="1" t="n">
        <v>20.15763888888889</v>
      </c>
      <c r="S7" s="1" t="n">
        <v>25.15486111111111</v>
      </c>
      <c r="T7" s="1" t="n">
        <v>23.57013888888889</v>
      </c>
      <c r="U7" s="1" t="n">
        <v>27.92361111111111</v>
      </c>
      <c r="V7" s="1" t="n">
        <v>31.64236111111111</v>
      </c>
      <c r="W7" s="1" t="n">
        <v>31.91319444444444</v>
      </c>
      <c r="X7" s="1" t="n">
        <v>10.66597222222222</v>
      </c>
      <c r="Y7" s="1" t="n">
        <v>21.70902777777778</v>
      </c>
      <c r="Z7" s="1" t="n">
        <v>10.57152777777778</v>
      </c>
      <c r="AA7" s="1" t="n">
        <v>10.98263888888889</v>
      </c>
      <c r="AB7" s="1" t="n">
        <v>7.734027777777778</v>
      </c>
      <c r="AC7" s="1" t="n">
        <v>9.80625</v>
      </c>
      <c r="AD7" s="1" t="n">
        <v>9.847222222222221</v>
      </c>
      <c r="AE7">
        <f>ROUND(SUM(C7:AD7),5)</f>
        <v/>
      </c>
    </row>
    <row r="8">
      <c r="B8" t="inlineStr">
        <is>
          <t>400/S&amp;P</t>
        </is>
      </c>
      <c r="C8" s="1" t="n">
        <v>5.020833333333333</v>
      </c>
      <c r="D8" s="1" t="n">
        <v>4.359027777777778</v>
      </c>
      <c r="E8" s="1" t="n">
        <v>13.50972222222222</v>
      </c>
      <c r="F8" s="1" t="n">
        <v>6.825694444444444</v>
      </c>
      <c r="G8" s="1" t="n">
        <v>11.14444444444444</v>
      </c>
      <c r="H8" s="1" t="n">
        <v>7.459027777777778</v>
      </c>
      <c r="I8" s="1" t="n">
        <v>6.718055555555556</v>
      </c>
      <c r="J8" s="1" t="n">
        <v>5.656944444444444</v>
      </c>
      <c r="K8" s="1" t="n">
        <v>1.426388888888889</v>
      </c>
      <c r="L8" s="1" t="n">
        <v>1.188194444444445</v>
      </c>
      <c r="M8" s="1" t="n">
        <v>3.713194444444444</v>
      </c>
      <c r="N8" s="1" t="n">
        <v>2.184722222222222</v>
      </c>
      <c r="O8" s="1" t="n">
        <v>6.907638888888889</v>
      </c>
      <c r="P8" s="1" t="n">
        <v>1.580555555555555</v>
      </c>
      <c r="Q8" s="1" t="n">
        <v>2.586111111111111</v>
      </c>
      <c r="R8" s="1" t="n">
        <v>3.51875</v>
      </c>
      <c r="S8" s="1" t="n">
        <v>0.4270833333333333</v>
      </c>
      <c r="T8" s="1" t="n">
        <v>1.948611111111111</v>
      </c>
      <c r="U8" s="1" t="n">
        <v>3.330555555555556</v>
      </c>
      <c r="V8" s="1" t="n">
        <v>3.615277777777778</v>
      </c>
      <c r="W8" s="1" t="n">
        <v>3.041666666666667</v>
      </c>
      <c r="X8" s="1" t="n">
        <v>1.831944444444444</v>
      </c>
      <c r="Y8" s="1" t="n">
        <v>2.80625</v>
      </c>
      <c r="Z8" s="1" t="n">
        <v>1.628472222222222</v>
      </c>
      <c r="AA8" s="1" t="n">
        <v>1.782638888888889</v>
      </c>
      <c r="AB8" s="1" t="n">
        <v>0.2743055555555556</v>
      </c>
      <c r="AC8" s="1" t="n">
        <v>1.455555555555555</v>
      </c>
      <c r="AD8" s="1" t="n">
        <v>2.127083333333333</v>
      </c>
      <c r="AE8">
        <f>ROUND(SUM(C8:AD8),5)</f>
        <v/>
      </c>
    </row>
    <row r="9">
      <c r="B9" t="inlineStr">
        <is>
          <t>500/Assembly</t>
        </is>
      </c>
      <c r="C9" s="1" t="n">
        <v>2.350694444444445</v>
      </c>
      <c r="D9" s="1" t="n">
        <v>4.390972222222222</v>
      </c>
      <c r="E9" s="1" t="n">
        <v>14.02569444444444</v>
      </c>
      <c r="F9" s="1" t="n">
        <v>7.153472222222222</v>
      </c>
      <c r="G9" s="1" t="n">
        <v>2.43125</v>
      </c>
      <c r="H9" s="1" t="n">
        <v>17.58541666666667</v>
      </c>
      <c r="I9" s="1" t="n">
        <v>6.001388888888889</v>
      </c>
      <c r="J9" s="1" t="n">
        <v>10.06527777777778</v>
      </c>
      <c r="K9" s="1" t="n">
        <v>6.692361111111111</v>
      </c>
      <c r="L9" s="1" t="n">
        <v>0.7243055555555555</v>
      </c>
      <c r="M9" s="1" t="n">
        <v>2.525</v>
      </c>
      <c r="N9" s="1" t="n">
        <v>3.53125</v>
      </c>
      <c r="O9" s="1" t="n">
        <v>9.253472222222221</v>
      </c>
      <c r="P9" s="1" t="n">
        <v>4.774305555555555</v>
      </c>
      <c r="Q9" s="1" t="n">
        <v>3.3625</v>
      </c>
      <c r="R9" s="1" t="n">
        <v>4.742361111111111</v>
      </c>
      <c r="S9" s="1" t="n">
        <v>0.03125</v>
      </c>
      <c r="T9" s="1" t="n">
        <v>0.1243055555555556</v>
      </c>
      <c r="U9" s="1" t="n">
        <v>2.139583333333333</v>
      </c>
      <c r="V9" s="1" t="n">
        <v>0.6930555555555555</v>
      </c>
      <c r="W9" s="1" t="n">
        <v>1.093055555555555</v>
      </c>
      <c r="X9" s="1" t="n">
        <v>7.359027777777778</v>
      </c>
      <c r="Y9" s="1" t="n">
        <v>4.746527777777778</v>
      </c>
      <c r="Z9" s="1" t="n">
        <v>5.300694444444445</v>
      </c>
      <c r="AA9" s="1" t="n">
        <v>2.315972222222222</v>
      </c>
      <c r="AB9" s="1" t="n">
        <v>0</v>
      </c>
      <c r="AC9" s="1" t="n">
        <v>2.172222222222222</v>
      </c>
      <c r="AD9" s="1" t="n">
        <v>0.8847222222222222</v>
      </c>
      <c r="AE9">
        <f>ROUND(SUM(C9:AD9),5)</f>
        <v/>
      </c>
    </row>
    <row r="10">
      <c r="B10" t="inlineStr">
        <is>
          <t>600/Shipping</t>
        </is>
      </c>
      <c r="C10" s="1" t="n">
        <v>0.2916666666666667</v>
      </c>
      <c r="D10" s="1" t="n">
        <v>0.9423611111111111</v>
      </c>
      <c r="E10" s="1" t="n">
        <v>3.790277777777778</v>
      </c>
      <c r="F10" s="1" t="n">
        <v>1.096527777777778</v>
      </c>
      <c r="G10" s="1" t="n">
        <v>1.218055555555555</v>
      </c>
      <c r="H10" s="1" t="n">
        <v>3.826388888888889</v>
      </c>
      <c r="I10" s="1" t="n">
        <v>1.356944444444445</v>
      </c>
      <c r="J10" s="1" t="n">
        <v>0.2458333333333333</v>
      </c>
      <c r="K10" s="1" t="n">
        <v>2.461805555555555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0.2375</v>
      </c>
      <c r="Q10" s="1" t="n">
        <v>3.159027777777778</v>
      </c>
      <c r="R10" s="1" t="n">
        <v>0</v>
      </c>
      <c r="S10" s="1" t="n">
        <v>0.3333333333333333</v>
      </c>
      <c r="T10" s="1" t="n">
        <v>0</v>
      </c>
      <c r="U10" s="1" t="n">
        <v>0.5034722222222222</v>
      </c>
      <c r="V10" s="1" t="n">
        <v>0.08402777777777778</v>
      </c>
      <c r="W10" s="1" t="n">
        <v>0</v>
      </c>
      <c r="X10" s="1" t="n">
        <v>0</v>
      </c>
      <c r="Y10" s="1" t="n">
        <v>0</v>
      </c>
      <c r="Z10" s="1" t="n">
        <v>0.1097222222222222</v>
      </c>
      <c r="AA10" s="1" t="n">
        <v>0</v>
      </c>
      <c r="AB10" s="1" t="n">
        <v>0.3333333333333333</v>
      </c>
      <c r="AC10" s="1" t="n">
        <v>0</v>
      </c>
      <c r="AD10" s="1" t="n">
        <v>0</v>
      </c>
      <c r="AE10">
        <f>ROUND(SUM(C10:AD10),5)</f>
        <v/>
      </c>
    </row>
    <row r="11">
      <c r="B11" t="inlineStr">
        <is>
          <t>709/REWORK</t>
        </is>
      </c>
      <c r="C11" s="1" t="n">
        <v>0</v>
      </c>
      <c r="D11" s="1" t="n">
        <v>0.2083333333333333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>
        <f>ROUND(SUM(C11:AD11),5)</f>
        <v/>
      </c>
    </row>
    <row r="12">
      <c r="B12" t="inlineStr">
        <is>
          <t>800/OH</t>
        </is>
      </c>
      <c r="C12" s="1" t="n">
        <v>11.46527777777778</v>
      </c>
      <c r="D12" s="1" t="n">
        <v>2.11875</v>
      </c>
      <c r="E12" s="1" t="n">
        <v>0.09097222222222222</v>
      </c>
      <c r="F12" s="1" t="n">
        <v>0.04513888888888889</v>
      </c>
      <c r="G12" s="1" t="n">
        <v>0</v>
      </c>
      <c r="H12" s="1" t="n">
        <v>0</v>
      </c>
      <c r="I12" s="1" t="n">
        <v>0.1097222222222222</v>
      </c>
      <c r="J12" s="1" t="n">
        <v>0.5041666666666667</v>
      </c>
      <c r="K12" s="1" t="n">
        <v>0.4069444444444444</v>
      </c>
      <c r="L12" s="1" t="n">
        <v>0</v>
      </c>
      <c r="M12" s="1" t="n">
        <v>3.914583333333333</v>
      </c>
      <c r="N12" s="1" t="n">
        <v>5.407638888888889</v>
      </c>
      <c r="O12" s="1" t="n">
        <v>0.2986111111111111</v>
      </c>
      <c r="P12" s="1" t="n">
        <v>0.02430555555555556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1.747222222222222</v>
      </c>
      <c r="W12" s="1" t="n">
        <v>0</v>
      </c>
      <c r="X12" s="1" t="n">
        <v>0.08263888888888889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>
        <f>ROUND(SUM(C12:AD12),5)</f>
        <v/>
      </c>
    </row>
    <row r="13">
      <c r="B13" t="inlineStr">
        <is>
          <t>801/Cleaning</t>
        </is>
      </c>
      <c r="C13" s="1" t="n">
        <v>0</v>
      </c>
      <c r="D13" s="1" t="n">
        <v>0.2243055555555556</v>
      </c>
      <c r="E13" s="1" t="n">
        <v>0.04583333333333333</v>
      </c>
      <c r="F13" s="1" t="n">
        <v>0.2159722222222222</v>
      </c>
      <c r="G13" s="1" t="n">
        <v>0.2208333333333333</v>
      </c>
      <c r="H13" s="1" t="n">
        <v>2.526388888888889</v>
      </c>
      <c r="I13" s="1" t="n">
        <v>4.573611111111111</v>
      </c>
      <c r="J13" s="1" t="n">
        <v>7.309722222222222</v>
      </c>
      <c r="K13" s="1" t="n">
        <v>19.04166666666667</v>
      </c>
      <c r="L13" s="1" t="n">
        <v>29.52708333333333</v>
      </c>
      <c r="M13" s="1" t="n">
        <v>34.02708333333333</v>
      </c>
      <c r="N13" s="1" t="n">
        <v>9.089583333333334</v>
      </c>
      <c r="O13" s="1" t="n">
        <v>13.16875</v>
      </c>
      <c r="P13" s="1" t="n">
        <v>6.389583333333333</v>
      </c>
      <c r="Q13" s="1" t="n">
        <v>7.063194444444444</v>
      </c>
      <c r="R13" s="1" t="n">
        <v>1.138888888888889</v>
      </c>
      <c r="S13" s="1" t="n">
        <v>0.2708333333333333</v>
      </c>
      <c r="T13" s="1" t="n">
        <v>0.04513888888888889</v>
      </c>
      <c r="U13" s="1" t="n">
        <v>0.3604166666666667</v>
      </c>
      <c r="V13" s="1" t="n">
        <v>0.5166666666666667</v>
      </c>
      <c r="W13" s="1" t="n">
        <v>0.2263888888888889</v>
      </c>
      <c r="X13" s="1" t="n">
        <v>6.297222222222222</v>
      </c>
      <c r="Y13" s="1" t="n">
        <v>2.91875</v>
      </c>
      <c r="Z13" s="1" t="n">
        <v>3.583333333333333</v>
      </c>
      <c r="AA13" s="1" t="n">
        <v>23.21875</v>
      </c>
      <c r="AB13" s="1" t="n">
        <v>37.74166666666667</v>
      </c>
      <c r="AC13" s="1" t="n">
        <v>37.55416666666667</v>
      </c>
      <c r="AD13" s="1" t="n">
        <v>25.76458333333333</v>
      </c>
      <c r="AE13">
        <f>ROUND(SUM(C13:AD13),5)</f>
        <v/>
      </c>
    </row>
    <row r="14">
      <c r="B14" t="inlineStr">
        <is>
          <t>802/Maint</t>
        </is>
      </c>
      <c r="C14" s="1" t="n">
        <v>0</v>
      </c>
      <c r="D14" s="1" t="n">
        <v>0.3152777777777778</v>
      </c>
      <c r="E14" s="1" t="n">
        <v>0.1909722222222222</v>
      </c>
      <c r="F14" s="1" t="n">
        <v>0.1006944444444444</v>
      </c>
      <c r="G14" s="1" t="n">
        <v>0.7291666666666666</v>
      </c>
      <c r="H14" s="1" t="n">
        <v>4.663194444444445</v>
      </c>
      <c r="I14" s="1" t="n">
        <v>1.777083333333333</v>
      </c>
      <c r="J14" s="1" t="n">
        <v>1.272916666666667</v>
      </c>
      <c r="K14" s="1" t="n">
        <v>7.554861111111111</v>
      </c>
      <c r="L14" s="1" t="n">
        <v>0.3277777777777778</v>
      </c>
      <c r="M14" s="1" t="n">
        <v>0.31875</v>
      </c>
      <c r="N14" s="1" t="n">
        <v>0.8333333333333334</v>
      </c>
      <c r="O14" s="1" t="n">
        <v>1.557638888888889</v>
      </c>
      <c r="P14" s="1" t="n">
        <v>0.3875</v>
      </c>
      <c r="Q14" s="1" t="n">
        <v>1.040277777777778</v>
      </c>
      <c r="R14" s="1" t="n">
        <v>0.1875</v>
      </c>
      <c r="S14" s="1" t="n">
        <v>1.176388888888889</v>
      </c>
      <c r="T14" s="1" t="n">
        <v>2.175</v>
      </c>
      <c r="U14" s="1" t="n">
        <v>1.627777777777778</v>
      </c>
      <c r="V14" s="1" t="n">
        <v>1.780555555555555</v>
      </c>
      <c r="W14" s="1" t="n">
        <v>1.622222222222222</v>
      </c>
      <c r="X14" s="1" t="n">
        <v>3.58125</v>
      </c>
      <c r="Y14" s="1" t="n">
        <v>0.55625</v>
      </c>
      <c r="Z14" s="1" t="n">
        <v>9.115277777777777</v>
      </c>
      <c r="AA14" s="1" t="n">
        <v>0.8833333333333333</v>
      </c>
      <c r="AB14" s="1" t="n">
        <v>0.1506944444444444</v>
      </c>
      <c r="AC14" s="1" t="n">
        <v>0</v>
      </c>
      <c r="AD14" s="1" t="n">
        <v>0.5847222222222223</v>
      </c>
      <c r="AE14">
        <f>ROUND(SUM(C14:AD14),5)</f>
        <v/>
      </c>
    </row>
    <row r="15">
      <c r="B15" t="inlineStr">
        <is>
          <t>803/Training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0.8055555555555556</v>
      </c>
      <c r="L15" s="1" t="n">
        <v>1.161805555555556</v>
      </c>
      <c r="M15" s="1" t="n">
        <v>0</v>
      </c>
      <c r="N15" s="1" t="n">
        <v>0</v>
      </c>
      <c r="O15" s="1" t="n">
        <v>0.1666666666666667</v>
      </c>
      <c r="P15" s="1" t="n">
        <v>0</v>
      </c>
      <c r="Q15" s="1" t="n">
        <v>0</v>
      </c>
      <c r="R15" s="1" t="n">
        <v>0</v>
      </c>
      <c r="S15" s="1" t="n">
        <v>0.9895833333333334</v>
      </c>
      <c r="T15" s="1" t="n">
        <v>0</v>
      </c>
      <c r="U15" s="1" t="n">
        <v>0.06805555555555555</v>
      </c>
      <c r="V15" s="1" t="n">
        <v>0</v>
      </c>
      <c r="W15" s="1" t="n">
        <v>0</v>
      </c>
      <c r="X15" s="1" t="n">
        <v>1.731944444444445</v>
      </c>
      <c r="Y15" s="1" t="n">
        <v>1.318055555555556</v>
      </c>
      <c r="Z15" s="1" t="n">
        <v>0.3506944444444444</v>
      </c>
      <c r="AA15" s="1" t="n">
        <v>0.8569444444444444</v>
      </c>
      <c r="AB15" s="1" t="n">
        <v>0</v>
      </c>
      <c r="AC15" s="1" t="n">
        <v>0</v>
      </c>
      <c r="AD15" s="1" t="n">
        <v>0.5263888888888889</v>
      </c>
      <c r="AE15">
        <f>ROUND(SUM(C15:AD15),5)</f>
        <v/>
      </c>
    </row>
    <row r="16">
      <c r="B16" t="inlineStr">
        <is>
          <t>805/Bachmann</t>
        </is>
      </c>
      <c r="C16" s="1" t="n">
        <v>0</v>
      </c>
      <c r="D16" s="1" t="n">
        <v>0.14375</v>
      </c>
      <c r="E16" s="1" t="n">
        <v>0.24375</v>
      </c>
      <c r="F16" s="1" t="n">
        <v>0.05486111111111111</v>
      </c>
      <c r="G16" s="1" t="n">
        <v>0.5090277777777777</v>
      </c>
      <c r="H16" s="1" t="n">
        <v>0.5805555555555556</v>
      </c>
      <c r="I16" s="1" t="n">
        <v>0.2416666666666667</v>
      </c>
      <c r="J16" s="1" t="n">
        <v>0.8527777777777777</v>
      </c>
      <c r="K16" s="1" t="n">
        <v>0.01388888888888889</v>
      </c>
      <c r="L16" s="1" t="n">
        <v>0</v>
      </c>
      <c r="M16" s="1" t="n">
        <v>0.08402777777777778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>
        <f>ROUND(SUM(C16:AD16),5)</f>
        <v/>
      </c>
    </row>
    <row r="17">
      <c r="B17" t="inlineStr">
        <is>
          <t>830/Holiday</t>
        </is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4.333333333333333</v>
      </c>
      <c r="H17" s="1" t="n">
        <v>0</v>
      </c>
      <c r="I17" s="1" t="n">
        <v>3.666666666666667</v>
      </c>
      <c r="J17" s="1" t="n">
        <v>0</v>
      </c>
      <c r="K17" s="1" t="n">
        <v>1.666666666666667</v>
      </c>
      <c r="L17" s="1" t="n">
        <v>0</v>
      </c>
      <c r="M17" s="1" t="n">
        <v>9.333333333333334</v>
      </c>
      <c r="N17" s="1" t="n">
        <v>0</v>
      </c>
      <c r="O17" s="1" t="n">
        <v>4.333333333333333</v>
      </c>
      <c r="P17" s="1" t="n">
        <v>0</v>
      </c>
      <c r="Q17" s="1" t="n">
        <v>0</v>
      </c>
      <c r="R17" s="1" t="n">
        <v>0</v>
      </c>
      <c r="S17" s="1" t="n">
        <v>4.666666666666667</v>
      </c>
      <c r="T17" s="1" t="n">
        <v>0</v>
      </c>
      <c r="U17" s="1" t="n">
        <v>2.666666666666667</v>
      </c>
      <c r="V17" s="1" t="n">
        <v>0</v>
      </c>
      <c r="W17" s="1" t="n">
        <v>3</v>
      </c>
      <c r="X17" s="1" t="n">
        <v>0</v>
      </c>
      <c r="Y17" s="1" t="n">
        <v>0</v>
      </c>
      <c r="Z17" s="1" t="n">
        <v>15</v>
      </c>
      <c r="AA17" s="1" t="n">
        <v>0</v>
      </c>
      <c r="AB17" s="1" t="n">
        <v>0</v>
      </c>
      <c r="AC17" s="1" t="n">
        <v>0</v>
      </c>
      <c r="AD17" s="1" t="n">
        <v>0</v>
      </c>
      <c r="AE17">
        <f>ROUND(SUM(C17:AD17),5)</f>
        <v/>
      </c>
    </row>
    <row r="18">
      <c r="B18" t="inlineStr">
        <is>
          <t>840/Vacation</t>
        </is>
      </c>
      <c r="C18" s="1" t="n">
        <v>0</v>
      </c>
      <c r="D18" s="1" t="n">
        <v>0.5416666666666666</v>
      </c>
      <c r="E18" s="1" t="n">
        <v>1.208333333333333</v>
      </c>
      <c r="F18" s="1" t="n">
        <v>0.3333333333333333</v>
      </c>
      <c r="G18" s="1" t="n">
        <v>0</v>
      </c>
      <c r="H18" s="1" t="n">
        <v>0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>
        <f>ROUND(SUM(C18:AD18),5)</f>
        <v/>
      </c>
    </row>
    <row r="19">
      <c r="B19" t="inlineStr">
        <is>
          <t>850/Sick</t>
        </is>
      </c>
      <c r="C19" s="1" t="n">
        <v>0</v>
      </c>
      <c r="D19" s="1" t="n">
        <v>2.945833333333333</v>
      </c>
      <c r="E19" s="1" t="n">
        <v>1.583333333333333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>
        <f>ROUND(SUM(C19:AD19),5)</f>
        <v/>
      </c>
    </row>
    <row r="20">
      <c r="B20" t="inlineStr">
        <is>
          <t>880/PTO</t>
        </is>
      </c>
      <c r="C20" s="1" t="n">
        <v>0</v>
      </c>
      <c r="D20" s="1" t="n">
        <v>0</v>
      </c>
      <c r="E20" s="1" t="n">
        <v>0</v>
      </c>
      <c r="F20" s="1" t="n">
        <v>0.6666666666666666</v>
      </c>
      <c r="G20" s="1" t="n">
        <v>2.625</v>
      </c>
      <c r="H20" s="1" t="n">
        <v>2</v>
      </c>
      <c r="I20" s="1" t="n">
        <v>3.333333333333333</v>
      </c>
      <c r="J20" s="1" t="n">
        <v>2.365277777777778</v>
      </c>
      <c r="K20" s="1" t="n">
        <v>0.2694444444444444</v>
      </c>
      <c r="L20" s="1" t="n">
        <v>0</v>
      </c>
      <c r="M20" s="1" t="n">
        <v>2.356944444444444</v>
      </c>
      <c r="N20" s="1" t="n">
        <v>3.751388888888889</v>
      </c>
      <c r="O20" s="1" t="n">
        <v>1.667361111111111</v>
      </c>
      <c r="P20" s="1" t="n">
        <v>0</v>
      </c>
      <c r="Q20" s="1" t="n">
        <v>0</v>
      </c>
      <c r="R20" s="1" t="n">
        <v>0</v>
      </c>
      <c r="S20" s="1" t="n">
        <v>1.638194444444445</v>
      </c>
      <c r="T20" s="1" t="n">
        <v>0.6666666666666666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>
        <f>ROUND(SUM(C20:AD20),5)</f>
        <v/>
      </c>
    </row>
    <row r="21">
      <c r="B21" t="inlineStr">
        <is>
          <t>890/Shipping Misc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2.19375</v>
      </c>
      <c r="H21" s="1" t="n">
        <v>4.059027777777778</v>
      </c>
      <c r="I21" s="1" t="n">
        <v>0.5958333333333333</v>
      </c>
      <c r="J21" s="1" t="n">
        <v>4.309027777777778</v>
      </c>
      <c r="K21" s="1" t="n">
        <v>6.26875</v>
      </c>
      <c r="L21" s="1" t="n">
        <v>6.879861111111111</v>
      </c>
      <c r="M21" s="1" t="n">
        <v>6.186111111111111</v>
      </c>
      <c r="N21" s="1" t="n">
        <v>5.147222222222222</v>
      </c>
      <c r="O21" s="1" t="n">
        <v>11.00069444444444</v>
      </c>
      <c r="P21" s="1" t="n">
        <v>10.50347222222222</v>
      </c>
      <c r="Q21" s="1" t="n">
        <v>7.495138888888889</v>
      </c>
      <c r="R21" s="1" t="n">
        <v>12.12083333333333</v>
      </c>
      <c r="S21" s="1" t="n">
        <v>13.22708333333333</v>
      </c>
      <c r="T21" s="1" t="n">
        <v>10.26319444444444</v>
      </c>
      <c r="U21" s="1" t="n">
        <v>6.739583333333333</v>
      </c>
      <c r="V21" s="1" t="n">
        <v>3.041666666666667</v>
      </c>
      <c r="W21" s="1" t="n">
        <v>10.625</v>
      </c>
      <c r="X21" s="1" t="n">
        <v>19.80416666666667</v>
      </c>
      <c r="Y21" s="1" t="n">
        <v>5.065277777777778</v>
      </c>
      <c r="Z21" s="1" t="n">
        <v>1.084722222222222</v>
      </c>
      <c r="AA21" s="1" t="n">
        <v>0.33125</v>
      </c>
      <c r="AB21" s="1" t="n">
        <v>0.3333333333333333</v>
      </c>
      <c r="AC21" s="1" t="n">
        <v>0</v>
      </c>
      <c r="AD21" s="1" t="n">
        <v>0.3326388888888889</v>
      </c>
      <c r="AE21">
        <f>ROUND(SUM(C21:AD21),5)</f>
        <v/>
      </c>
    </row>
    <row r="22">
      <c r="B22" t="inlineStr">
        <is>
          <t>999-WarrantyJob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8.548611111111111</v>
      </c>
      <c r="L22" s="1" t="n">
        <v>14.24722222222222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>
        <f>ROUND(SUM(C22:AD22),5)</f>
        <v/>
      </c>
    </row>
    <row r="23">
      <c r="B23" t="inlineStr">
        <is>
          <t>OH-Workers Comp Claim</t>
        </is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3.104166666666667</v>
      </c>
      <c r="T23" s="1" t="n">
        <v>0</v>
      </c>
      <c r="U23" s="1" t="n">
        <v>0.1930555555555556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>
        <f>ROUND(SUM(C23:AD23),5)</f>
        <v/>
      </c>
    </row>
    <row r="24">
      <c r="B24" t="inlineStr">
        <is>
          <t>No item assigned</t>
        </is>
      </c>
      <c r="C24" s="1" t="n">
        <v>0.6666666666666666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0.3333333333333333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>
        <f>ROUND(SUM(C24:AD24),5)</f>
        <v/>
      </c>
    </row>
    <row r="25">
      <c r="A25" t="inlineStr">
        <is>
          <t>TOTAL</t>
        </is>
      </c>
      <c r="C25">
        <f>ROUND(SUM(C2:C24),5)</f>
        <v/>
      </c>
      <c r="D25">
        <f>ROUND(SUM(D2:D24),5)</f>
        <v/>
      </c>
      <c r="E25">
        <f>ROUND(SUM(E2:E24),5)</f>
        <v/>
      </c>
      <c r="F25">
        <f>ROUND(SUM(F2:F24),5)</f>
        <v/>
      </c>
      <c r="G25">
        <f>ROUND(SUM(G2:G24),5)</f>
        <v/>
      </c>
      <c r="H25">
        <f>ROUND(SUM(H2:H24),5)</f>
        <v/>
      </c>
      <c r="I25">
        <f>ROUND(SUM(I2:I24),5)</f>
        <v/>
      </c>
      <c r="J25">
        <f>ROUND(SUM(J2:J24),5)</f>
        <v/>
      </c>
      <c r="K25">
        <f>ROUND(SUM(K2:K24),5)</f>
        <v/>
      </c>
      <c r="L25">
        <f>ROUND(SUM(L2:L24),5)</f>
        <v/>
      </c>
      <c r="M25">
        <f>ROUND(SUM(M2:M24),5)</f>
        <v/>
      </c>
      <c r="N25">
        <f>ROUND(SUM(N2:N24),5)</f>
        <v/>
      </c>
      <c r="O25">
        <f>ROUND(SUM(O2:O24),5)</f>
        <v/>
      </c>
      <c r="P25">
        <f>ROUND(SUM(P2:P24),5)</f>
        <v/>
      </c>
      <c r="Q25">
        <f>ROUND(SUM(Q2:Q24),5)</f>
        <v/>
      </c>
      <c r="R25">
        <f>ROUND(SUM(R2:R24),5)</f>
        <v/>
      </c>
      <c r="S25">
        <f>ROUND(SUM(S2:S24),5)</f>
        <v/>
      </c>
      <c r="T25">
        <f>ROUND(SUM(T2:T24),5)</f>
        <v/>
      </c>
      <c r="U25">
        <f>ROUND(SUM(U2:U24),5)</f>
        <v/>
      </c>
      <c r="V25">
        <f>ROUND(SUM(V2:V24),5)</f>
        <v/>
      </c>
      <c r="W25">
        <f>ROUND(SUM(W2:W24),5)</f>
        <v/>
      </c>
      <c r="X25">
        <f>ROUND(SUM(X2:X24),5)</f>
        <v/>
      </c>
      <c r="Y25">
        <f>ROUND(SUM(Y2:Y24),5)</f>
        <v/>
      </c>
      <c r="Z25">
        <f>ROUND(SUM(Z2:Z24),5)</f>
        <v/>
      </c>
      <c r="AA25">
        <f>ROUND(SUM(AA2:AA24),5)</f>
        <v/>
      </c>
      <c r="AB25">
        <f>ROUND(SUM(AB2:AB24),5)</f>
        <v/>
      </c>
      <c r="AC25">
        <f>ROUND(SUM(AC2:AC24),5)</f>
        <v/>
      </c>
      <c r="AD25">
        <f>ROUND(SUM(AD2:AD24),5)</f>
        <v/>
      </c>
      <c r="AE25">
        <f>ROUND(SUM(C25:AD25),5)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Department</t>
        </is>
      </c>
      <c r="B1" s="2" t="inlineStr">
        <is>
          <t>Jan 22</t>
        </is>
      </c>
      <c r="C1" s="2" t="inlineStr">
        <is>
          <t>Feb 22</t>
        </is>
      </c>
      <c r="D1" s="2" t="inlineStr">
        <is>
          <t>Mar 22</t>
        </is>
      </c>
      <c r="E1" s="2" t="inlineStr">
        <is>
          <t>Apr 22</t>
        </is>
      </c>
      <c r="F1" s="2" t="inlineStr">
        <is>
          <t>May 22</t>
        </is>
      </c>
      <c r="G1" s="2" t="inlineStr">
        <is>
          <t>Jun 22</t>
        </is>
      </c>
      <c r="H1" s="2" t="inlineStr">
        <is>
          <t>Jul 22</t>
        </is>
      </c>
      <c r="I1" s="2" t="inlineStr">
        <is>
          <t>Aug 22</t>
        </is>
      </c>
      <c r="J1" s="2" t="inlineStr">
        <is>
          <t>Sep 22</t>
        </is>
      </c>
      <c r="K1" s="2" t="inlineStr">
        <is>
          <t>Oct 22</t>
        </is>
      </c>
      <c r="L1" s="2" t="inlineStr">
        <is>
          <t>Nov 22</t>
        </is>
      </c>
      <c r="M1" s="2" t="inlineStr">
        <is>
          <t>Dec 22</t>
        </is>
      </c>
      <c r="N1" s="2" t="inlineStr">
        <is>
          <t>Jan 23</t>
        </is>
      </c>
      <c r="O1" s="2" t="inlineStr">
        <is>
          <t>Feb 23</t>
        </is>
      </c>
      <c r="P1" s="2" t="inlineStr">
        <is>
          <t>Mar 23</t>
        </is>
      </c>
      <c r="Q1" s="2" t="inlineStr">
        <is>
          <t>Apr 23</t>
        </is>
      </c>
      <c r="R1" s="2" t="inlineStr">
        <is>
          <t>May 23</t>
        </is>
      </c>
      <c r="S1" s="2" t="inlineStr">
        <is>
          <t>Jun 23</t>
        </is>
      </c>
      <c r="T1" s="2" t="inlineStr">
        <is>
          <t>Jul 23</t>
        </is>
      </c>
      <c r="U1" s="2" t="inlineStr">
        <is>
          <t>Aug 23</t>
        </is>
      </c>
      <c r="V1" s="2" t="inlineStr">
        <is>
          <t>Sep 23</t>
        </is>
      </c>
      <c r="W1" s="2" t="inlineStr">
        <is>
          <t>Oct 23</t>
        </is>
      </c>
      <c r="X1" s="2" t="inlineStr">
        <is>
          <t>Nov 23</t>
        </is>
      </c>
      <c r="Y1" s="2" t="inlineStr">
        <is>
          <t>Dec 23</t>
        </is>
      </c>
      <c r="Z1" s="2" t="inlineStr">
        <is>
          <t>Jan 24</t>
        </is>
      </c>
      <c r="AA1" s="2" t="inlineStr">
        <is>
          <t>Feb 24</t>
        </is>
      </c>
      <c r="AB1" s="2" t="inlineStr">
        <is>
          <t>Mar 24</t>
        </is>
      </c>
      <c r="AC1" s="2" t="inlineStr">
        <is>
          <t>Apr 24</t>
        </is>
      </c>
      <c r="AD1" s="2" t="inlineStr">
        <is>
          <t>TOTAL</t>
        </is>
      </c>
    </row>
    <row r="2">
      <c r="A2">
        <f>Data!B3</f>
        <v/>
      </c>
      <c r="B2">
        <f>IF(ISNUMBER(Data!C3),Data!C3*24,IFERROR(VALUE(SUBSTITUTE(LEFT(Data!C3,SEARCH(":",Data!C3)-1),",","")),0)+IFERROR(VALUE(RIGHT(Data!C3,LEN(Data!C3)-SEARCH(":",Data!C3)))/60,0))</f>
        <v/>
      </c>
      <c r="C2">
        <f>IF(ISNUMBER(Data!D3),Data!D3*24,IFERROR(VALUE(SUBSTITUTE(LEFT(Data!D3,SEARCH(":",Data!D3)-1),",","")),0)+IFERROR(VALUE(RIGHT(Data!D3,LEN(Data!D3)-SEARCH(":",Data!D3)))/60,0))</f>
        <v/>
      </c>
      <c r="D2">
        <f>IF(ISNUMBER(Data!E3),Data!E3*24,IFERROR(VALUE(SUBSTITUTE(LEFT(Data!E3,SEARCH(":",Data!E3)-1),",","")),0)+IFERROR(VALUE(RIGHT(Data!E3,LEN(Data!E3)-SEARCH(":",Data!E3)))/60,0))</f>
        <v/>
      </c>
      <c r="E2">
        <f>IF(ISNUMBER(Data!F3),Data!F3*24,IFERROR(VALUE(SUBSTITUTE(LEFT(Data!F3,SEARCH(":",Data!F3)-1),",","")),0)+IFERROR(VALUE(RIGHT(Data!F3,LEN(Data!F3)-SEARCH(":",Data!F3)))/60,0))</f>
        <v/>
      </c>
      <c r="F2">
        <f>IF(ISNUMBER(Data!G3),Data!G3*24,IFERROR(VALUE(SUBSTITUTE(LEFT(Data!G3,SEARCH(":",Data!G3)-1),",","")),0)+IFERROR(VALUE(RIGHT(Data!G3,LEN(Data!G3)-SEARCH(":",Data!G3)))/60,0))</f>
        <v/>
      </c>
      <c r="G2">
        <f>IF(ISNUMBER(Data!H3),Data!H3*24,IFERROR(VALUE(SUBSTITUTE(LEFT(Data!H3,SEARCH(":",Data!H3)-1),",","")),0)+IFERROR(VALUE(RIGHT(Data!H3,LEN(Data!H3)-SEARCH(":",Data!H3)))/60,0))</f>
        <v/>
      </c>
      <c r="H2">
        <f>IF(ISNUMBER(Data!I3),Data!I3*24,IFERROR(VALUE(SUBSTITUTE(LEFT(Data!I3,SEARCH(":",Data!I3)-1),",","")),0)+IFERROR(VALUE(RIGHT(Data!I3,LEN(Data!I3)-SEARCH(":",Data!I3)))/60,0))</f>
        <v/>
      </c>
      <c r="I2">
        <f>IF(ISNUMBER(Data!J3),Data!J3*24,IFERROR(VALUE(SUBSTITUTE(LEFT(Data!J3,SEARCH(":",Data!J3)-1),",","")),0)+IFERROR(VALUE(RIGHT(Data!J3,LEN(Data!J3)-SEARCH(":",Data!J3)))/60,0))</f>
        <v/>
      </c>
      <c r="J2">
        <f>IF(ISNUMBER(Data!K3),Data!K3*24,IFERROR(VALUE(SUBSTITUTE(LEFT(Data!K3,SEARCH(":",Data!K3)-1),",","")),0)+IFERROR(VALUE(RIGHT(Data!K3,LEN(Data!K3)-SEARCH(":",Data!K3)))/60,0))</f>
        <v/>
      </c>
      <c r="K2">
        <f>IF(ISNUMBER(Data!L3),Data!L3*24,IFERROR(VALUE(SUBSTITUTE(LEFT(Data!L3,SEARCH(":",Data!L3)-1),",","")),0)+IFERROR(VALUE(RIGHT(Data!L3,LEN(Data!L3)-SEARCH(":",Data!L3)))/60,0))</f>
        <v/>
      </c>
      <c r="L2">
        <f>IF(ISNUMBER(Data!M3),Data!M3*24,IFERROR(VALUE(SUBSTITUTE(LEFT(Data!M3,SEARCH(":",Data!M3)-1),",","")),0)+IFERROR(VALUE(RIGHT(Data!M3,LEN(Data!M3)-SEARCH(":",Data!M3)))/60,0))</f>
        <v/>
      </c>
      <c r="M2">
        <f>IF(ISNUMBER(Data!N3),Data!N3*24,IFERROR(VALUE(SUBSTITUTE(LEFT(Data!N3,SEARCH(":",Data!N3)-1),",","")),0)+IFERROR(VALUE(RIGHT(Data!N3,LEN(Data!N3)-SEARCH(":",Data!N3)))/60,0))</f>
        <v/>
      </c>
      <c r="N2">
        <f>IF(ISNUMBER(Data!O3),Data!O3*24,IFERROR(VALUE(SUBSTITUTE(LEFT(Data!O3,SEARCH(":",Data!O3)-1),",","")),0)+IFERROR(VALUE(RIGHT(Data!O3,LEN(Data!O3)-SEARCH(":",Data!O3)))/60,0))</f>
        <v/>
      </c>
      <c r="O2">
        <f>IF(ISNUMBER(Data!P3),Data!P3*24,IFERROR(VALUE(SUBSTITUTE(LEFT(Data!P3,SEARCH(":",Data!P3)-1),",","")),0)+IFERROR(VALUE(RIGHT(Data!P3,LEN(Data!P3)-SEARCH(":",Data!P3)))/60,0))</f>
        <v/>
      </c>
      <c r="P2">
        <f>IF(ISNUMBER(Data!Q3),Data!Q3*24,IFERROR(VALUE(SUBSTITUTE(LEFT(Data!Q3,SEARCH(":",Data!Q3)-1),",","")),0)+IFERROR(VALUE(RIGHT(Data!Q3,LEN(Data!Q3)-SEARCH(":",Data!Q3)))/60,0))</f>
        <v/>
      </c>
      <c r="Q2">
        <f>IF(ISNUMBER(Data!R3),Data!R3*24,IFERROR(VALUE(SUBSTITUTE(LEFT(Data!R3,SEARCH(":",Data!R3)-1),",","")),0)+IFERROR(VALUE(RIGHT(Data!R3,LEN(Data!R3)-SEARCH(":",Data!R3)))/60,0))</f>
        <v/>
      </c>
      <c r="R2">
        <f>IF(ISNUMBER(Data!S3),Data!S3*24,IFERROR(VALUE(SUBSTITUTE(LEFT(Data!S3,SEARCH(":",Data!S3)-1),",","")),0)+IFERROR(VALUE(RIGHT(Data!S3,LEN(Data!S3)-SEARCH(":",Data!S3)))/60,0))</f>
        <v/>
      </c>
      <c r="S2">
        <f>IF(ISNUMBER(Data!T3),Data!T3*24,IFERROR(VALUE(SUBSTITUTE(LEFT(Data!T3,SEARCH(":",Data!T3)-1),",","")),0)+IFERROR(VALUE(RIGHT(Data!T3,LEN(Data!T3)-SEARCH(":",Data!T3)))/60,0))</f>
        <v/>
      </c>
      <c r="T2">
        <f>IF(ISNUMBER(Data!U3),Data!U3*24,IFERROR(VALUE(SUBSTITUTE(LEFT(Data!U3,SEARCH(":",Data!U3)-1),",","")),0)+IFERROR(VALUE(RIGHT(Data!U3,LEN(Data!U3)-SEARCH(":",Data!U3)))/60,0))</f>
        <v/>
      </c>
      <c r="U2">
        <f>IF(ISNUMBER(Data!V3),Data!V3*24,IFERROR(VALUE(SUBSTITUTE(LEFT(Data!V3,SEARCH(":",Data!V3)-1),",","")),0)+IFERROR(VALUE(RIGHT(Data!V3,LEN(Data!V3)-SEARCH(":",Data!V3)))/60,0))</f>
        <v/>
      </c>
      <c r="V2">
        <f>IF(ISNUMBER(Data!W3),Data!W3*24,IFERROR(VALUE(SUBSTITUTE(LEFT(Data!W3,SEARCH(":",Data!W3)-1),",","")),0)+IFERROR(VALUE(RIGHT(Data!W3,LEN(Data!W3)-SEARCH(":",Data!W3)))/60,0))</f>
        <v/>
      </c>
      <c r="W2">
        <f>IF(ISNUMBER(Data!X3),Data!X3*24,IFERROR(VALUE(SUBSTITUTE(LEFT(Data!X3,SEARCH(":",Data!X3)-1),",","")),0)+IFERROR(VALUE(RIGHT(Data!X3,LEN(Data!X3)-SEARCH(":",Data!X3)))/60,0))</f>
        <v/>
      </c>
      <c r="X2">
        <f>IF(ISNUMBER(Data!Y3),Data!Y3*24,IFERROR(VALUE(SUBSTITUTE(LEFT(Data!Y3,SEARCH(":",Data!Y3)-1),",","")),0)+IFERROR(VALUE(RIGHT(Data!Y3,LEN(Data!Y3)-SEARCH(":",Data!Y3)))/60,0))</f>
        <v/>
      </c>
      <c r="Y2">
        <f>IF(ISNUMBER(Data!Z3),Data!Z3*24,IFERROR(VALUE(SUBSTITUTE(LEFT(Data!Z3,SEARCH(":",Data!Z3)-1),",","")),0)+IFERROR(VALUE(RIGHT(Data!Z3,LEN(Data!Z3)-SEARCH(":",Data!Z3)))/60,0))</f>
        <v/>
      </c>
      <c r="Z2">
        <f>IF(ISNUMBER(Data!AA3),Data!AA3*24,IFERROR(VALUE(SUBSTITUTE(LEFT(Data!AA3,SEARCH(":",Data!AA3)-1),",","")),0)+IFERROR(VALUE(RIGHT(Data!AA3,LEN(Data!AA3)-SEARCH(":",Data!AA3)))/60,0))</f>
        <v/>
      </c>
      <c r="AA2">
        <f>IF(ISNUMBER(Data!AB3),Data!AB3*24,IFERROR(VALUE(SUBSTITUTE(LEFT(Data!AB3,SEARCH(":",Data!AB3)-1),",","")),0)+IFERROR(VALUE(RIGHT(Data!AB3,LEN(Data!AB3)-SEARCH(":",Data!AB3)))/60,0))</f>
        <v/>
      </c>
      <c r="AB2">
        <f>IF(ISNUMBER(Data!AC3),Data!AC3*24,IFERROR(VALUE(SUBSTITUTE(LEFT(Data!AC3,SEARCH(":",Data!AC3)-1),",","")),0)+IFERROR(VALUE(RIGHT(Data!AC3,LEN(Data!AC3)-SEARCH(":",Data!AC3)))/60,0))</f>
        <v/>
      </c>
      <c r="AC2">
        <f>IF(ISNUMBER(Data!AD3),Data!AD3*24,IFERROR(VALUE(SUBSTITUTE(LEFT(Data!AD3,SEARCH(":",Data!AD3)-1),",","")),0)+IFERROR(VALUE(RIGHT(Data!AD3,LEN(Data!AD3)-SEARCH(":",Data!AD3)))/60,0))</f>
        <v/>
      </c>
      <c r="AD2">
        <f>SUM(B2:AC2)</f>
        <v/>
      </c>
    </row>
    <row r="3">
      <c r="A3">
        <f>Data!B4</f>
        <v/>
      </c>
      <c r="B3">
        <f>IF(ISNUMBER(Data!C4),Data!C4*24,IFERROR(VALUE(SUBSTITUTE(LEFT(Data!C4,SEARCH(":",Data!C4)-1),",","")),0)+IFERROR(VALUE(RIGHT(Data!C4,LEN(Data!C4)-SEARCH(":",Data!C4)))/60,0))</f>
        <v/>
      </c>
      <c r="C3">
        <f>IF(ISNUMBER(Data!D4),Data!D4*24,IFERROR(VALUE(SUBSTITUTE(LEFT(Data!D4,SEARCH(":",Data!D4)-1),",","")),0)+IFERROR(VALUE(RIGHT(Data!D4,LEN(Data!D4)-SEARCH(":",Data!D4)))/60,0))</f>
        <v/>
      </c>
      <c r="D3">
        <f>IF(ISNUMBER(Data!E4),Data!E4*24,IFERROR(VALUE(SUBSTITUTE(LEFT(Data!E4,SEARCH(":",Data!E4)-1),",","")),0)+IFERROR(VALUE(RIGHT(Data!E4,LEN(Data!E4)-SEARCH(":",Data!E4)))/60,0))</f>
        <v/>
      </c>
      <c r="E3">
        <f>IF(ISNUMBER(Data!F4),Data!F4*24,IFERROR(VALUE(SUBSTITUTE(LEFT(Data!F4,SEARCH(":",Data!F4)-1),",","")),0)+IFERROR(VALUE(RIGHT(Data!F4,LEN(Data!F4)-SEARCH(":",Data!F4)))/60,0))</f>
        <v/>
      </c>
      <c r="F3">
        <f>IF(ISNUMBER(Data!G4),Data!G4*24,IFERROR(VALUE(SUBSTITUTE(LEFT(Data!G4,SEARCH(":",Data!G4)-1),",","")),0)+IFERROR(VALUE(RIGHT(Data!G4,LEN(Data!G4)-SEARCH(":",Data!G4)))/60,0))</f>
        <v/>
      </c>
      <c r="G3">
        <f>IF(ISNUMBER(Data!H4),Data!H4*24,IFERROR(VALUE(SUBSTITUTE(LEFT(Data!H4,SEARCH(":",Data!H4)-1),",","")),0)+IFERROR(VALUE(RIGHT(Data!H4,LEN(Data!H4)-SEARCH(":",Data!H4)))/60,0))</f>
        <v/>
      </c>
      <c r="H3">
        <f>IF(ISNUMBER(Data!I4),Data!I4*24,IFERROR(VALUE(SUBSTITUTE(LEFT(Data!I4,SEARCH(":",Data!I4)-1),",","")),0)+IFERROR(VALUE(RIGHT(Data!I4,LEN(Data!I4)-SEARCH(":",Data!I4)))/60,0))</f>
        <v/>
      </c>
      <c r="I3">
        <f>IF(ISNUMBER(Data!J4),Data!J4*24,IFERROR(VALUE(SUBSTITUTE(LEFT(Data!J4,SEARCH(":",Data!J4)-1),",","")),0)+IFERROR(VALUE(RIGHT(Data!J4,LEN(Data!J4)-SEARCH(":",Data!J4)))/60,0))</f>
        <v/>
      </c>
      <c r="J3">
        <f>IF(ISNUMBER(Data!K4),Data!K4*24,IFERROR(VALUE(SUBSTITUTE(LEFT(Data!K4,SEARCH(":",Data!K4)-1),",","")),0)+IFERROR(VALUE(RIGHT(Data!K4,LEN(Data!K4)-SEARCH(":",Data!K4)))/60,0))</f>
        <v/>
      </c>
      <c r="K3">
        <f>IF(ISNUMBER(Data!L4),Data!L4*24,IFERROR(VALUE(SUBSTITUTE(LEFT(Data!L4,SEARCH(":",Data!L4)-1),",","")),0)+IFERROR(VALUE(RIGHT(Data!L4,LEN(Data!L4)-SEARCH(":",Data!L4)))/60,0))</f>
        <v/>
      </c>
      <c r="L3">
        <f>IF(ISNUMBER(Data!M4),Data!M4*24,IFERROR(VALUE(SUBSTITUTE(LEFT(Data!M4,SEARCH(":",Data!M4)-1),",","")),0)+IFERROR(VALUE(RIGHT(Data!M4,LEN(Data!M4)-SEARCH(":",Data!M4)))/60,0))</f>
        <v/>
      </c>
      <c r="M3">
        <f>IF(ISNUMBER(Data!N4),Data!N4*24,IFERROR(VALUE(SUBSTITUTE(LEFT(Data!N4,SEARCH(":",Data!N4)-1),",","")),0)+IFERROR(VALUE(RIGHT(Data!N4,LEN(Data!N4)-SEARCH(":",Data!N4)))/60,0))</f>
        <v/>
      </c>
      <c r="N3">
        <f>IF(ISNUMBER(Data!O4),Data!O4*24,IFERROR(VALUE(SUBSTITUTE(LEFT(Data!O4,SEARCH(":",Data!O4)-1),",","")),0)+IFERROR(VALUE(RIGHT(Data!O4,LEN(Data!O4)-SEARCH(":",Data!O4)))/60,0))</f>
        <v/>
      </c>
      <c r="O3">
        <f>IF(ISNUMBER(Data!P4),Data!P4*24,IFERROR(VALUE(SUBSTITUTE(LEFT(Data!P4,SEARCH(":",Data!P4)-1),",","")),0)+IFERROR(VALUE(RIGHT(Data!P4,LEN(Data!P4)-SEARCH(":",Data!P4)))/60,0))</f>
        <v/>
      </c>
      <c r="P3">
        <f>IF(ISNUMBER(Data!Q4),Data!Q4*24,IFERROR(VALUE(SUBSTITUTE(LEFT(Data!Q4,SEARCH(":",Data!Q4)-1),",","")),0)+IFERROR(VALUE(RIGHT(Data!Q4,LEN(Data!Q4)-SEARCH(":",Data!Q4)))/60,0))</f>
        <v/>
      </c>
      <c r="Q3">
        <f>IF(ISNUMBER(Data!R4),Data!R4*24,IFERROR(VALUE(SUBSTITUTE(LEFT(Data!R4,SEARCH(":",Data!R4)-1),",","")),0)+IFERROR(VALUE(RIGHT(Data!R4,LEN(Data!R4)-SEARCH(":",Data!R4)))/60,0))</f>
        <v/>
      </c>
      <c r="R3">
        <f>IF(ISNUMBER(Data!S4),Data!S4*24,IFERROR(VALUE(SUBSTITUTE(LEFT(Data!S4,SEARCH(":",Data!S4)-1),",","")),0)+IFERROR(VALUE(RIGHT(Data!S4,LEN(Data!S4)-SEARCH(":",Data!S4)))/60,0))</f>
        <v/>
      </c>
      <c r="S3">
        <f>IF(ISNUMBER(Data!T4),Data!T4*24,IFERROR(VALUE(SUBSTITUTE(LEFT(Data!T4,SEARCH(":",Data!T4)-1),",","")),0)+IFERROR(VALUE(RIGHT(Data!T4,LEN(Data!T4)-SEARCH(":",Data!T4)))/60,0))</f>
        <v/>
      </c>
      <c r="T3">
        <f>IF(ISNUMBER(Data!U4),Data!U4*24,IFERROR(VALUE(SUBSTITUTE(LEFT(Data!U4,SEARCH(":",Data!U4)-1),",","")),0)+IFERROR(VALUE(RIGHT(Data!U4,LEN(Data!U4)-SEARCH(":",Data!U4)))/60,0))</f>
        <v/>
      </c>
      <c r="U3">
        <f>IF(ISNUMBER(Data!V4),Data!V4*24,IFERROR(VALUE(SUBSTITUTE(LEFT(Data!V4,SEARCH(":",Data!V4)-1),",","")),0)+IFERROR(VALUE(RIGHT(Data!V4,LEN(Data!V4)-SEARCH(":",Data!V4)))/60,0))</f>
        <v/>
      </c>
      <c r="V3">
        <f>IF(ISNUMBER(Data!W4),Data!W4*24,IFERROR(VALUE(SUBSTITUTE(LEFT(Data!W4,SEARCH(":",Data!W4)-1),",","")),0)+IFERROR(VALUE(RIGHT(Data!W4,LEN(Data!W4)-SEARCH(":",Data!W4)))/60,0))</f>
        <v/>
      </c>
      <c r="W3">
        <f>IF(ISNUMBER(Data!X4),Data!X4*24,IFERROR(VALUE(SUBSTITUTE(LEFT(Data!X4,SEARCH(":",Data!X4)-1),",","")),0)+IFERROR(VALUE(RIGHT(Data!X4,LEN(Data!X4)-SEARCH(":",Data!X4)))/60,0))</f>
        <v/>
      </c>
      <c r="X3">
        <f>IF(ISNUMBER(Data!Y4),Data!Y4*24,IFERROR(VALUE(SUBSTITUTE(LEFT(Data!Y4,SEARCH(":",Data!Y4)-1),",","")),0)+IFERROR(VALUE(RIGHT(Data!Y4,LEN(Data!Y4)-SEARCH(":",Data!Y4)))/60,0))</f>
        <v/>
      </c>
      <c r="Y3">
        <f>IF(ISNUMBER(Data!Z4),Data!Z4*24,IFERROR(VALUE(SUBSTITUTE(LEFT(Data!Z4,SEARCH(":",Data!Z4)-1),",","")),0)+IFERROR(VALUE(RIGHT(Data!Z4,LEN(Data!Z4)-SEARCH(":",Data!Z4)))/60,0))</f>
        <v/>
      </c>
      <c r="Z3">
        <f>IF(ISNUMBER(Data!AA4),Data!AA4*24,IFERROR(VALUE(SUBSTITUTE(LEFT(Data!AA4,SEARCH(":",Data!AA4)-1),",","")),0)+IFERROR(VALUE(RIGHT(Data!AA4,LEN(Data!AA4)-SEARCH(":",Data!AA4)))/60,0))</f>
        <v/>
      </c>
      <c r="AA3">
        <f>IF(ISNUMBER(Data!AB4),Data!AB4*24,IFERROR(VALUE(SUBSTITUTE(LEFT(Data!AB4,SEARCH(":",Data!AB4)-1),",","")),0)+IFERROR(VALUE(RIGHT(Data!AB4,LEN(Data!AB4)-SEARCH(":",Data!AB4)))/60,0))</f>
        <v/>
      </c>
      <c r="AB3">
        <f>IF(ISNUMBER(Data!AC4),Data!AC4*24,IFERROR(VALUE(SUBSTITUTE(LEFT(Data!AC4,SEARCH(":",Data!AC4)-1),",","")),0)+IFERROR(VALUE(RIGHT(Data!AC4,LEN(Data!AC4)-SEARCH(":",Data!AC4)))/60,0))</f>
        <v/>
      </c>
      <c r="AC3">
        <f>IF(ISNUMBER(Data!AD4),Data!AD4*24,IFERROR(VALUE(SUBSTITUTE(LEFT(Data!AD4,SEARCH(":",Data!AD4)-1),",","")),0)+IFERROR(VALUE(RIGHT(Data!AD4,LEN(Data!AD4)-SEARCH(":",Data!AD4)))/60,0))</f>
        <v/>
      </c>
      <c r="AD3">
        <f>SUM(B3:AC3)</f>
        <v/>
      </c>
    </row>
    <row r="4">
      <c r="A4">
        <f>Data!B5</f>
        <v/>
      </c>
      <c r="B4">
        <f>IF(ISNUMBER(Data!C5),Data!C5*24,IFERROR(VALUE(SUBSTITUTE(LEFT(Data!C5,SEARCH(":",Data!C5)-1),",","")),0)+IFERROR(VALUE(RIGHT(Data!C5,LEN(Data!C5)-SEARCH(":",Data!C5)))/60,0))</f>
        <v/>
      </c>
      <c r="C4">
        <f>IF(ISNUMBER(Data!D5),Data!D5*24,IFERROR(VALUE(SUBSTITUTE(LEFT(Data!D5,SEARCH(":",Data!D5)-1),",","")),0)+IFERROR(VALUE(RIGHT(Data!D5,LEN(Data!D5)-SEARCH(":",Data!D5)))/60,0))</f>
        <v/>
      </c>
      <c r="D4">
        <f>IF(ISNUMBER(Data!E5),Data!E5*24,IFERROR(VALUE(SUBSTITUTE(LEFT(Data!E5,SEARCH(":",Data!E5)-1),",","")),0)+IFERROR(VALUE(RIGHT(Data!E5,LEN(Data!E5)-SEARCH(":",Data!E5)))/60,0))</f>
        <v/>
      </c>
      <c r="E4">
        <f>IF(ISNUMBER(Data!F5),Data!F5*24,IFERROR(VALUE(SUBSTITUTE(LEFT(Data!F5,SEARCH(":",Data!F5)-1),",","")),0)+IFERROR(VALUE(RIGHT(Data!F5,LEN(Data!F5)-SEARCH(":",Data!F5)))/60,0))</f>
        <v/>
      </c>
      <c r="F4">
        <f>IF(ISNUMBER(Data!G5),Data!G5*24,IFERROR(VALUE(SUBSTITUTE(LEFT(Data!G5,SEARCH(":",Data!G5)-1),",","")),0)+IFERROR(VALUE(RIGHT(Data!G5,LEN(Data!G5)-SEARCH(":",Data!G5)))/60,0))</f>
        <v/>
      </c>
      <c r="G4">
        <f>IF(ISNUMBER(Data!H5),Data!H5*24,IFERROR(VALUE(SUBSTITUTE(LEFT(Data!H5,SEARCH(":",Data!H5)-1),",","")),0)+IFERROR(VALUE(RIGHT(Data!H5,LEN(Data!H5)-SEARCH(":",Data!H5)))/60,0))</f>
        <v/>
      </c>
      <c r="H4">
        <f>IF(ISNUMBER(Data!I5),Data!I5*24,IFERROR(VALUE(SUBSTITUTE(LEFT(Data!I5,SEARCH(":",Data!I5)-1),",","")),0)+IFERROR(VALUE(RIGHT(Data!I5,LEN(Data!I5)-SEARCH(":",Data!I5)))/60,0))</f>
        <v/>
      </c>
      <c r="I4">
        <f>IF(ISNUMBER(Data!J5),Data!J5*24,IFERROR(VALUE(SUBSTITUTE(LEFT(Data!J5,SEARCH(":",Data!J5)-1),",","")),0)+IFERROR(VALUE(RIGHT(Data!J5,LEN(Data!J5)-SEARCH(":",Data!J5)))/60,0))</f>
        <v/>
      </c>
      <c r="J4">
        <f>IF(ISNUMBER(Data!K5),Data!K5*24,IFERROR(VALUE(SUBSTITUTE(LEFT(Data!K5,SEARCH(":",Data!K5)-1),",","")),0)+IFERROR(VALUE(RIGHT(Data!K5,LEN(Data!K5)-SEARCH(":",Data!K5)))/60,0))</f>
        <v/>
      </c>
      <c r="K4">
        <f>IF(ISNUMBER(Data!L5),Data!L5*24,IFERROR(VALUE(SUBSTITUTE(LEFT(Data!L5,SEARCH(":",Data!L5)-1),",","")),0)+IFERROR(VALUE(RIGHT(Data!L5,LEN(Data!L5)-SEARCH(":",Data!L5)))/60,0))</f>
        <v/>
      </c>
      <c r="L4">
        <f>IF(ISNUMBER(Data!M5),Data!M5*24,IFERROR(VALUE(SUBSTITUTE(LEFT(Data!M5,SEARCH(":",Data!M5)-1),",","")),0)+IFERROR(VALUE(RIGHT(Data!M5,LEN(Data!M5)-SEARCH(":",Data!M5)))/60,0))</f>
        <v/>
      </c>
      <c r="M4">
        <f>IF(ISNUMBER(Data!N5),Data!N5*24,IFERROR(VALUE(SUBSTITUTE(LEFT(Data!N5,SEARCH(":",Data!N5)-1),",","")),0)+IFERROR(VALUE(RIGHT(Data!N5,LEN(Data!N5)-SEARCH(":",Data!N5)))/60,0))</f>
        <v/>
      </c>
      <c r="N4">
        <f>IF(ISNUMBER(Data!O5),Data!O5*24,IFERROR(VALUE(SUBSTITUTE(LEFT(Data!O5,SEARCH(":",Data!O5)-1),",","")),0)+IFERROR(VALUE(RIGHT(Data!O5,LEN(Data!O5)-SEARCH(":",Data!O5)))/60,0))</f>
        <v/>
      </c>
      <c r="O4">
        <f>IF(ISNUMBER(Data!P5),Data!P5*24,IFERROR(VALUE(SUBSTITUTE(LEFT(Data!P5,SEARCH(":",Data!P5)-1),",","")),0)+IFERROR(VALUE(RIGHT(Data!P5,LEN(Data!P5)-SEARCH(":",Data!P5)))/60,0))</f>
        <v/>
      </c>
      <c r="P4">
        <f>IF(ISNUMBER(Data!Q5),Data!Q5*24,IFERROR(VALUE(SUBSTITUTE(LEFT(Data!Q5,SEARCH(":",Data!Q5)-1),",","")),0)+IFERROR(VALUE(RIGHT(Data!Q5,LEN(Data!Q5)-SEARCH(":",Data!Q5)))/60,0))</f>
        <v/>
      </c>
      <c r="Q4">
        <f>IF(ISNUMBER(Data!R5),Data!R5*24,IFERROR(VALUE(SUBSTITUTE(LEFT(Data!R5,SEARCH(":",Data!R5)-1),",","")),0)+IFERROR(VALUE(RIGHT(Data!R5,LEN(Data!R5)-SEARCH(":",Data!R5)))/60,0))</f>
        <v/>
      </c>
      <c r="R4">
        <f>IF(ISNUMBER(Data!S5),Data!S5*24,IFERROR(VALUE(SUBSTITUTE(LEFT(Data!S5,SEARCH(":",Data!S5)-1),",","")),0)+IFERROR(VALUE(RIGHT(Data!S5,LEN(Data!S5)-SEARCH(":",Data!S5)))/60,0))</f>
        <v/>
      </c>
      <c r="S4">
        <f>IF(ISNUMBER(Data!T5),Data!T5*24,IFERROR(VALUE(SUBSTITUTE(LEFT(Data!T5,SEARCH(":",Data!T5)-1),",","")),0)+IFERROR(VALUE(RIGHT(Data!T5,LEN(Data!T5)-SEARCH(":",Data!T5)))/60,0))</f>
        <v/>
      </c>
      <c r="T4">
        <f>IF(ISNUMBER(Data!U5),Data!U5*24,IFERROR(VALUE(SUBSTITUTE(LEFT(Data!U5,SEARCH(":",Data!U5)-1),",","")),0)+IFERROR(VALUE(RIGHT(Data!U5,LEN(Data!U5)-SEARCH(":",Data!U5)))/60,0))</f>
        <v/>
      </c>
      <c r="U4">
        <f>IF(ISNUMBER(Data!V5),Data!V5*24,IFERROR(VALUE(SUBSTITUTE(LEFT(Data!V5,SEARCH(":",Data!V5)-1),",","")),0)+IFERROR(VALUE(RIGHT(Data!V5,LEN(Data!V5)-SEARCH(":",Data!V5)))/60,0))</f>
        <v/>
      </c>
      <c r="V4">
        <f>IF(ISNUMBER(Data!W5),Data!W5*24,IFERROR(VALUE(SUBSTITUTE(LEFT(Data!W5,SEARCH(":",Data!W5)-1),",","")),0)+IFERROR(VALUE(RIGHT(Data!W5,LEN(Data!W5)-SEARCH(":",Data!W5)))/60,0))</f>
        <v/>
      </c>
      <c r="W4">
        <f>IF(ISNUMBER(Data!X5),Data!X5*24,IFERROR(VALUE(SUBSTITUTE(LEFT(Data!X5,SEARCH(":",Data!X5)-1),",","")),0)+IFERROR(VALUE(RIGHT(Data!X5,LEN(Data!X5)-SEARCH(":",Data!X5)))/60,0))</f>
        <v/>
      </c>
      <c r="X4">
        <f>IF(ISNUMBER(Data!Y5),Data!Y5*24,IFERROR(VALUE(SUBSTITUTE(LEFT(Data!Y5,SEARCH(":",Data!Y5)-1),",","")),0)+IFERROR(VALUE(RIGHT(Data!Y5,LEN(Data!Y5)-SEARCH(":",Data!Y5)))/60,0))</f>
        <v/>
      </c>
      <c r="Y4">
        <f>IF(ISNUMBER(Data!Z5),Data!Z5*24,IFERROR(VALUE(SUBSTITUTE(LEFT(Data!Z5,SEARCH(":",Data!Z5)-1),",","")),0)+IFERROR(VALUE(RIGHT(Data!Z5,LEN(Data!Z5)-SEARCH(":",Data!Z5)))/60,0))</f>
        <v/>
      </c>
      <c r="Z4">
        <f>IF(ISNUMBER(Data!AA5),Data!AA5*24,IFERROR(VALUE(SUBSTITUTE(LEFT(Data!AA5,SEARCH(":",Data!AA5)-1),",","")),0)+IFERROR(VALUE(RIGHT(Data!AA5,LEN(Data!AA5)-SEARCH(":",Data!AA5)))/60,0))</f>
        <v/>
      </c>
      <c r="AA4">
        <f>IF(ISNUMBER(Data!AB5),Data!AB5*24,IFERROR(VALUE(SUBSTITUTE(LEFT(Data!AB5,SEARCH(":",Data!AB5)-1),",","")),0)+IFERROR(VALUE(RIGHT(Data!AB5,LEN(Data!AB5)-SEARCH(":",Data!AB5)))/60,0))</f>
        <v/>
      </c>
      <c r="AB4">
        <f>IF(ISNUMBER(Data!AC5),Data!AC5*24,IFERROR(VALUE(SUBSTITUTE(LEFT(Data!AC5,SEARCH(":",Data!AC5)-1),",","")),0)+IFERROR(VALUE(RIGHT(Data!AC5,LEN(Data!AC5)-SEARCH(":",Data!AC5)))/60,0))</f>
        <v/>
      </c>
      <c r="AC4">
        <f>IF(ISNUMBER(Data!AD5),Data!AD5*24,IFERROR(VALUE(SUBSTITUTE(LEFT(Data!AD5,SEARCH(":",Data!AD5)-1),",","")),0)+IFERROR(VALUE(RIGHT(Data!AD5,LEN(Data!AD5)-SEARCH(":",Data!AD5)))/60,0))</f>
        <v/>
      </c>
      <c r="AD4">
        <f>SUM(B4:AC4)</f>
        <v/>
      </c>
    </row>
    <row r="5">
      <c r="A5">
        <f>Data!B6</f>
        <v/>
      </c>
      <c r="B5">
        <f>IF(ISNUMBER(Data!C6),Data!C6*24,IFERROR(VALUE(SUBSTITUTE(LEFT(Data!C6,SEARCH(":",Data!C6)-1),",","")),0)+IFERROR(VALUE(RIGHT(Data!C6,LEN(Data!C6)-SEARCH(":",Data!C6)))/60,0))</f>
        <v/>
      </c>
      <c r="C5">
        <f>IF(ISNUMBER(Data!D6),Data!D6*24,IFERROR(VALUE(SUBSTITUTE(LEFT(Data!D6,SEARCH(":",Data!D6)-1),",","")),0)+IFERROR(VALUE(RIGHT(Data!D6,LEN(Data!D6)-SEARCH(":",Data!D6)))/60,0))</f>
        <v/>
      </c>
      <c r="D5">
        <f>IF(ISNUMBER(Data!E6),Data!E6*24,IFERROR(VALUE(SUBSTITUTE(LEFT(Data!E6,SEARCH(":",Data!E6)-1),",","")),0)+IFERROR(VALUE(RIGHT(Data!E6,LEN(Data!E6)-SEARCH(":",Data!E6)))/60,0))</f>
        <v/>
      </c>
      <c r="E5">
        <f>IF(ISNUMBER(Data!F6),Data!F6*24,IFERROR(VALUE(SUBSTITUTE(LEFT(Data!F6,SEARCH(":",Data!F6)-1),",","")),0)+IFERROR(VALUE(RIGHT(Data!F6,LEN(Data!F6)-SEARCH(":",Data!F6)))/60,0))</f>
        <v/>
      </c>
      <c r="F5">
        <f>IF(ISNUMBER(Data!G6),Data!G6*24,IFERROR(VALUE(SUBSTITUTE(LEFT(Data!G6,SEARCH(":",Data!G6)-1),",","")),0)+IFERROR(VALUE(RIGHT(Data!G6,LEN(Data!G6)-SEARCH(":",Data!G6)))/60,0))</f>
        <v/>
      </c>
      <c r="G5">
        <f>IF(ISNUMBER(Data!H6),Data!H6*24,IFERROR(VALUE(SUBSTITUTE(LEFT(Data!H6,SEARCH(":",Data!H6)-1),",","")),0)+IFERROR(VALUE(RIGHT(Data!H6,LEN(Data!H6)-SEARCH(":",Data!H6)))/60,0))</f>
        <v/>
      </c>
      <c r="H5">
        <f>IF(ISNUMBER(Data!I6),Data!I6*24,IFERROR(VALUE(SUBSTITUTE(LEFT(Data!I6,SEARCH(":",Data!I6)-1),",","")),0)+IFERROR(VALUE(RIGHT(Data!I6,LEN(Data!I6)-SEARCH(":",Data!I6)))/60,0))</f>
        <v/>
      </c>
      <c r="I5">
        <f>IF(ISNUMBER(Data!J6),Data!J6*24,IFERROR(VALUE(SUBSTITUTE(LEFT(Data!J6,SEARCH(":",Data!J6)-1),",","")),0)+IFERROR(VALUE(RIGHT(Data!J6,LEN(Data!J6)-SEARCH(":",Data!J6)))/60,0))</f>
        <v/>
      </c>
      <c r="J5">
        <f>IF(ISNUMBER(Data!K6),Data!K6*24,IFERROR(VALUE(SUBSTITUTE(LEFT(Data!K6,SEARCH(":",Data!K6)-1),",","")),0)+IFERROR(VALUE(RIGHT(Data!K6,LEN(Data!K6)-SEARCH(":",Data!K6)))/60,0))</f>
        <v/>
      </c>
      <c r="K5">
        <f>IF(ISNUMBER(Data!L6),Data!L6*24,IFERROR(VALUE(SUBSTITUTE(LEFT(Data!L6,SEARCH(":",Data!L6)-1),",","")),0)+IFERROR(VALUE(RIGHT(Data!L6,LEN(Data!L6)-SEARCH(":",Data!L6)))/60,0))</f>
        <v/>
      </c>
      <c r="L5">
        <f>IF(ISNUMBER(Data!M6),Data!M6*24,IFERROR(VALUE(SUBSTITUTE(LEFT(Data!M6,SEARCH(":",Data!M6)-1),",","")),0)+IFERROR(VALUE(RIGHT(Data!M6,LEN(Data!M6)-SEARCH(":",Data!M6)))/60,0))</f>
        <v/>
      </c>
      <c r="M5">
        <f>IF(ISNUMBER(Data!N6),Data!N6*24,IFERROR(VALUE(SUBSTITUTE(LEFT(Data!N6,SEARCH(":",Data!N6)-1),",","")),0)+IFERROR(VALUE(RIGHT(Data!N6,LEN(Data!N6)-SEARCH(":",Data!N6)))/60,0))</f>
        <v/>
      </c>
      <c r="N5">
        <f>IF(ISNUMBER(Data!O6),Data!O6*24,IFERROR(VALUE(SUBSTITUTE(LEFT(Data!O6,SEARCH(":",Data!O6)-1),",","")),0)+IFERROR(VALUE(RIGHT(Data!O6,LEN(Data!O6)-SEARCH(":",Data!O6)))/60,0))</f>
        <v/>
      </c>
      <c r="O5">
        <f>IF(ISNUMBER(Data!P6),Data!P6*24,IFERROR(VALUE(SUBSTITUTE(LEFT(Data!P6,SEARCH(":",Data!P6)-1),",","")),0)+IFERROR(VALUE(RIGHT(Data!P6,LEN(Data!P6)-SEARCH(":",Data!P6)))/60,0))</f>
        <v/>
      </c>
      <c r="P5">
        <f>IF(ISNUMBER(Data!Q6),Data!Q6*24,IFERROR(VALUE(SUBSTITUTE(LEFT(Data!Q6,SEARCH(":",Data!Q6)-1),",","")),0)+IFERROR(VALUE(RIGHT(Data!Q6,LEN(Data!Q6)-SEARCH(":",Data!Q6)))/60,0))</f>
        <v/>
      </c>
      <c r="Q5">
        <f>IF(ISNUMBER(Data!R6),Data!R6*24,IFERROR(VALUE(SUBSTITUTE(LEFT(Data!R6,SEARCH(":",Data!R6)-1),",","")),0)+IFERROR(VALUE(RIGHT(Data!R6,LEN(Data!R6)-SEARCH(":",Data!R6)))/60,0))</f>
        <v/>
      </c>
      <c r="R5">
        <f>IF(ISNUMBER(Data!S6),Data!S6*24,IFERROR(VALUE(SUBSTITUTE(LEFT(Data!S6,SEARCH(":",Data!S6)-1),",","")),0)+IFERROR(VALUE(RIGHT(Data!S6,LEN(Data!S6)-SEARCH(":",Data!S6)))/60,0))</f>
        <v/>
      </c>
      <c r="S5">
        <f>IF(ISNUMBER(Data!T6),Data!T6*24,IFERROR(VALUE(SUBSTITUTE(LEFT(Data!T6,SEARCH(":",Data!T6)-1),",","")),0)+IFERROR(VALUE(RIGHT(Data!T6,LEN(Data!T6)-SEARCH(":",Data!T6)))/60,0))</f>
        <v/>
      </c>
      <c r="T5">
        <f>IF(ISNUMBER(Data!U6),Data!U6*24,IFERROR(VALUE(SUBSTITUTE(LEFT(Data!U6,SEARCH(":",Data!U6)-1),",","")),0)+IFERROR(VALUE(RIGHT(Data!U6,LEN(Data!U6)-SEARCH(":",Data!U6)))/60,0))</f>
        <v/>
      </c>
      <c r="U5">
        <f>IF(ISNUMBER(Data!V6),Data!V6*24,IFERROR(VALUE(SUBSTITUTE(LEFT(Data!V6,SEARCH(":",Data!V6)-1),",","")),0)+IFERROR(VALUE(RIGHT(Data!V6,LEN(Data!V6)-SEARCH(":",Data!V6)))/60,0))</f>
        <v/>
      </c>
      <c r="V5">
        <f>IF(ISNUMBER(Data!W6),Data!W6*24,IFERROR(VALUE(SUBSTITUTE(LEFT(Data!W6,SEARCH(":",Data!W6)-1),",","")),0)+IFERROR(VALUE(RIGHT(Data!W6,LEN(Data!W6)-SEARCH(":",Data!W6)))/60,0))</f>
        <v/>
      </c>
      <c r="W5">
        <f>IF(ISNUMBER(Data!X6),Data!X6*24,IFERROR(VALUE(SUBSTITUTE(LEFT(Data!X6,SEARCH(":",Data!X6)-1),",","")),0)+IFERROR(VALUE(RIGHT(Data!X6,LEN(Data!X6)-SEARCH(":",Data!X6)))/60,0))</f>
        <v/>
      </c>
      <c r="X5">
        <f>IF(ISNUMBER(Data!Y6),Data!Y6*24,IFERROR(VALUE(SUBSTITUTE(LEFT(Data!Y6,SEARCH(":",Data!Y6)-1),",","")),0)+IFERROR(VALUE(RIGHT(Data!Y6,LEN(Data!Y6)-SEARCH(":",Data!Y6)))/60,0))</f>
        <v/>
      </c>
      <c r="Y5">
        <f>IF(ISNUMBER(Data!Z6),Data!Z6*24,IFERROR(VALUE(SUBSTITUTE(LEFT(Data!Z6,SEARCH(":",Data!Z6)-1),",","")),0)+IFERROR(VALUE(RIGHT(Data!Z6,LEN(Data!Z6)-SEARCH(":",Data!Z6)))/60,0))</f>
        <v/>
      </c>
      <c r="Z5">
        <f>IF(ISNUMBER(Data!AA6),Data!AA6*24,IFERROR(VALUE(SUBSTITUTE(LEFT(Data!AA6,SEARCH(":",Data!AA6)-1),",","")),0)+IFERROR(VALUE(RIGHT(Data!AA6,LEN(Data!AA6)-SEARCH(":",Data!AA6)))/60,0))</f>
        <v/>
      </c>
      <c r="AA5">
        <f>IF(ISNUMBER(Data!AB6),Data!AB6*24,IFERROR(VALUE(SUBSTITUTE(LEFT(Data!AB6,SEARCH(":",Data!AB6)-1),",","")),0)+IFERROR(VALUE(RIGHT(Data!AB6,LEN(Data!AB6)-SEARCH(":",Data!AB6)))/60,0))</f>
        <v/>
      </c>
      <c r="AB5">
        <f>IF(ISNUMBER(Data!AC6),Data!AC6*24,IFERROR(VALUE(SUBSTITUTE(LEFT(Data!AC6,SEARCH(":",Data!AC6)-1),",","")),0)+IFERROR(VALUE(RIGHT(Data!AC6,LEN(Data!AC6)-SEARCH(":",Data!AC6)))/60,0))</f>
        <v/>
      </c>
      <c r="AC5">
        <f>IF(ISNUMBER(Data!AD6),Data!AD6*24,IFERROR(VALUE(SUBSTITUTE(LEFT(Data!AD6,SEARCH(":",Data!AD6)-1),",","")),0)+IFERROR(VALUE(RIGHT(Data!AD6,LEN(Data!AD6)-SEARCH(":",Data!AD6)))/60,0))</f>
        <v/>
      </c>
      <c r="AD5">
        <f>SUM(B5:AC5)</f>
        <v/>
      </c>
    </row>
    <row r="6">
      <c r="A6">
        <f>Data!B7</f>
        <v/>
      </c>
      <c r="B6">
        <f>IF(ISNUMBER(Data!C7),Data!C7*24,IFERROR(VALUE(SUBSTITUTE(LEFT(Data!C7,SEARCH(":",Data!C7)-1),",","")),0)+IFERROR(VALUE(RIGHT(Data!C7,LEN(Data!C7)-SEARCH(":",Data!C7)))/60,0))</f>
        <v/>
      </c>
      <c r="C6">
        <f>IF(ISNUMBER(Data!D7),Data!D7*24,IFERROR(VALUE(SUBSTITUTE(LEFT(Data!D7,SEARCH(":",Data!D7)-1),",","")),0)+IFERROR(VALUE(RIGHT(Data!D7,LEN(Data!D7)-SEARCH(":",Data!D7)))/60,0))</f>
        <v/>
      </c>
      <c r="D6">
        <f>IF(ISNUMBER(Data!E7),Data!E7*24,IFERROR(VALUE(SUBSTITUTE(LEFT(Data!E7,SEARCH(":",Data!E7)-1),",","")),0)+IFERROR(VALUE(RIGHT(Data!E7,LEN(Data!E7)-SEARCH(":",Data!E7)))/60,0))</f>
        <v/>
      </c>
      <c r="E6">
        <f>IF(ISNUMBER(Data!F7),Data!F7*24,IFERROR(VALUE(SUBSTITUTE(LEFT(Data!F7,SEARCH(":",Data!F7)-1),",","")),0)+IFERROR(VALUE(RIGHT(Data!F7,LEN(Data!F7)-SEARCH(":",Data!F7)))/60,0))</f>
        <v/>
      </c>
      <c r="F6">
        <f>IF(ISNUMBER(Data!G7),Data!G7*24,IFERROR(VALUE(SUBSTITUTE(LEFT(Data!G7,SEARCH(":",Data!G7)-1),",","")),0)+IFERROR(VALUE(RIGHT(Data!G7,LEN(Data!G7)-SEARCH(":",Data!G7)))/60,0))</f>
        <v/>
      </c>
      <c r="G6">
        <f>IF(ISNUMBER(Data!H7),Data!H7*24,IFERROR(VALUE(SUBSTITUTE(LEFT(Data!H7,SEARCH(":",Data!H7)-1),",","")),0)+IFERROR(VALUE(RIGHT(Data!H7,LEN(Data!H7)-SEARCH(":",Data!H7)))/60,0))</f>
        <v/>
      </c>
      <c r="H6">
        <f>IF(ISNUMBER(Data!I7),Data!I7*24,IFERROR(VALUE(SUBSTITUTE(LEFT(Data!I7,SEARCH(":",Data!I7)-1),",","")),0)+IFERROR(VALUE(RIGHT(Data!I7,LEN(Data!I7)-SEARCH(":",Data!I7)))/60,0))</f>
        <v/>
      </c>
      <c r="I6">
        <f>IF(ISNUMBER(Data!J7),Data!J7*24,IFERROR(VALUE(SUBSTITUTE(LEFT(Data!J7,SEARCH(":",Data!J7)-1),",","")),0)+IFERROR(VALUE(RIGHT(Data!J7,LEN(Data!J7)-SEARCH(":",Data!J7)))/60,0))</f>
        <v/>
      </c>
      <c r="J6">
        <f>IF(ISNUMBER(Data!K7),Data!K7*24,IFERROR(VALUE(SUBSTITUTE(LEFT(Data!K7,SEARCH(":",Data!K7)-1),",","")),0)+IFERROR(VALUE(RIGHT(Data!K7,LEN(Data!K7)-SEARCH(":",Data!K7)))/60,0))</f>
        <v/>
      </c>
      <c r="K6">
        <f>IF(ISNUMBER(Data!L7),Data!L7*24,IFERROR(VALUE(SUBSTITUTE(LEFT(Data!L7,SEARCH(":",Data!L7)-1),",","")),0)+IFERROR(VALUE(RIGHT(Data!L7,LEN(Data!L7)-SEARCH(":",Data!L7)))/60,0))</f>
        <v/>
      </c>
      <c r="L6">
        <f>IF(ISNUMBER(Data!M7),Data!M7*24,IFERROR(VALUE(SUBSTITUTE(LEFT(Data!M7,SEARCH(":",Data!M7)-1),",","")),0)+IFERROR(VALUE(RIGHT(Data!M7,LEN(Data!M7)-SEARCH(":",Data!M7)))/60,0))</f>
        <v/>
      </c>
      <c r="M6">
        <f>IF(ISNUMBER(Data!N7),Data!N7*24,IFERROR(VALUE(SUBSTITUTE(LEFT(Data!N7,SEARCH(":",Data!N7)-1),",","")),0)+IFERROR(VALUE(RIGHT(Data!N7,LEN(Data!N7)-SEARCH(":",Data!N7)))/60,0))</f>
        <v/>
      </c>
      <c r="N6">
        <f>IF(ISNUMBER(Data!O7),Data!O7*24,IFERROR(VALUE(SUBSTITUTE(LEFT(Data!O7,SEARCH(":",Data!O7)-1),",","")),0)+IFERROR(VALUE(RIGHT(Data!O7,LEN(Data!O7)-SEARCH(":",Data!O7)))/60,0))</f>
        <v/>
      </c>
      <c r="O6">
        <f>IF(ISNUMBER(Data!P7),Data!P7*24,IFERROR(VALUE(SUBSTITUTE(LEFT(Data!P7,SEARCH(":",Data!P7)-1),",","")),0)+IFERROR(VALUE(RIGHT(Data!P7,LEN(Data!P7)-SEARCH(":",Data!P7)))/60,0))</f>
        <v/>
      </c>
      <c r="P6">
        <f>IF(ISNUMBER(Data!Q7),Data!Q7*24,IFERROR(VALUE(SUBSTITUTE(LEFT(Data!Q7,SEARCH(":",Data!Q7)-1),",","")),0)+IFERROR(VALUE(RIGHT(Data!Q7,LEN(Data!Q7)-SEARCH(":",Data!Q7)))/60,0))</f>
        <v/>
      </c>
      <c r="Q6">
        <f>IF(ISNUMBER(Data!R7),Data!R7*24,IFERROR(VALUE(SUBSTITUTE(LEFT(Data!R7,SEARCH(":",Data!R7)-1),",","")),0)+IFERROR(VALUE(RIGHT(Data!R7,LEN(Data!R7)-SEARCH(":",Data!R7)))/60,0))</f>
        <v/>
      </c>
      <c r="R6">
        <f>IF(ISNUMBER(Data!S7),Data!S7*24,IFERROR(VALUE(SUBSTITUTE(LEFT(Data!S7,SEARCH(":",Data!S7)-1),",","")),0)+IFERROR(VALUE(RIGHT(Data!S7,LEN(Data!S7)-SEARCH(":",Data!S7)))/60,0))</f>
        <v/>
      </c>
      <c r="S6">
        <f>IF(ISNUMBER(Data!T7),Data!T7*24,IFERROR(VALUE(SUBSTITUTE(LEFT(Data!T7,SEARCH(":",Data!T7)-1),",","")),0)+IFERROR(VALUE(RIGHT(Data!T7,LEN(Data!T7)-SEARCH(":",Data!T7)))/60,0))</f>
        <v/>
      </c>
      <c r="T6">
        <f>IF(ISNUMBER(Data!U7),Data!U7*24,IFERROR(VALUE(SUBSTITUTE(LEFT(Data!U7,SEARCH(":",Data!U7)-1),",","")),0)+IFERROR(VALUE(RIGHT(Data!U7,LEN(Data!U7)-SEARCH(":",Data!U7)))/60,0))</f>
        <v/>
      </c>
      <c r="U6">
        <f>IF(ISNUMBER(Data!V7),Data!V7*24,IFERROR(VALUE(SUBSTITUTE(LEFT(Data!V7,SEARCH(":",Data!V7)-1),",","")),0)+IFERROR(VALUE(RIGHT(Data!V7,LEN(Data!V7)-SEARCH(":",Data!V7)))/60,0))</f>
        <v/>
      </c>
      <c r="V6">
        <f>IF(ISNUMBER(Data!W7),Data!W7*24,IFERROR(VALUE(SUBSTITUTE(LEFT(Data!W7,SEARCH(":",Data!W7)-1),",","")),0)+IFERROR(VALUE(RIGHT(Data!W7,LEN(Data!W7)-SEARCH(":",Data!W7)))/60,0))</f>
        <v/>
      </c>
      <c r="W6">
        <f>IF(ISNUMBER(Data!X7),Data!X7*24,IFERROR(VALUE(SUBSTITUTE(LEFT(Data!X7,SEARCH(":",Data!X7)-1),",","")),0)+IFERROR(VALUE(RIGHT(Data!X7,LEN(Data!X7)-SEARCH(":",Data!X7)))/60,0))</f>
        <v/>
      </c>
      <c r="X6">
        <f>IF(ISNUMBER(Data!Y7),Data!Y7*24,IFERROR(VALUE(SUBSTITUTE(LEFT(Data!Y7,SEARCH(":",Data!Y7)-1),",","")),0)+IFERROR(VALUE(RIGHT(Data!Y7,LEN(Data!Y7)-SEARCH(":",Data!Y7)))/60,0))</f>
        <v/>
      </c>
      <c r="Y6">
        <f>IF(ISNUMBER(Data!Z7),Data!Z7*24,IFERROR(VALUE(SUBSTITUTE(LEFT(Data!Z7,SEARCH(":",Data!Z7)-1),",","")),0)+IFERROR(VALUE(RIGHT(Data!Z7,LEN(Data!Z7)-SEARCH(":",Data!Z7)))/60,0))</f>
        <v/>
      </c>
      <c r="Z6">
        <f>IF(ISNUMBER(Data!AA7),Data!AA7*24,IFERROR(VALUE(SUBSTITUTE(LEFT(Data!AA7,SEARCH(":",Data!AA7)-1),",","")),0)+IFERROR(VALUE(RIGHT(Data!AA7,LEN(Data!AA7)-SEARCH(":",Data!AA7)))/60,0))</f>
        <v/>
      </c>
      <c r="AA6">
        <f>IF(ISNUMBER(Data!AB7),Data!AB7*24,IFERROR(VALUE(SUBSTITUTE(LEFT(Data!AB7,SEARCH(":",Data!AB7)-1),",","")),0)+IFERROR(VALUE(RIGHT(Data!AB7,LEN(Data!AB7)-SEARCH(":",Data!AB7)))/60,0))</f>
        <v/>
      </c>
      <c r="AB6">
        <f>IF(ISNUMBER(Data!AC7),Data!AC7*24,IFERROR(VALUE(SUBSTITUTE(LEFT(Data!AC7,SEARCH(":",Data!AC7)-1),",","")),0)+IFERROR(VALUE(RIGHT(Data!AC7,LEN(Data!AC7)-SEARCH(":",Data!AC7)))/60,0))</f>
        <v/>
      </c>
      <c r="AC6">
        <f>IF(ISNUMBER(Data!AD7),Data!AD7*24,IFERROR(VALUE(SUBSTITUTE(LEFT(Data!AD7,SEARCH(":",Data!AD7)-1),",","")),0)+IFERROR(VALUE(RIGHT(Data!AD7,LEN(Data!AD7)-SEARCH(":",Data!AD7)))/60,0))</f>
        <v/>
      </c>
      <c r="AD6">
        <f>SUM(B6:AC6)</f>
        <v/>
      </c>
    </row>
    <row r="7">
      <c r="A7">
        <f>Data!B8</f>
        <v/>
      </c>
      <c r="B7">
        <f>IF(ISNUMBER(Data!C8),Data!C8*24,IFERROR(VALUE(SUBSTITUTE(LEFT(Data!C8,SEARCH(":",Data!C8)-1),",","")),0)+IFERROR(VALUE(RIGHT(Data!C8,LEN(Data!C8)-SEARCH(":",Data!C8)))/60,0))</f>
        <v/>
      </c>
      <c r="C7">
        <f>IF(ISNUMBER(Data!D8),Data!D8*24,IFERROR(VALUE(SUBSTITUTE(LEFT(Data!D8,SEARCH(":",Data!D8)-1),",","")),0)+IFERROR(VALUE(RIGHT(Data!D8,LEN(Data!D8)-SEARCH(":",Data!D8)))/60,0))</f>
        <v/>
      </c>
      <c r="D7">
        <f>IF(ISNUMBER(Data!E8),Data!E8*24,IFERROR(VALUE(SUBSTITUTE(LEFT(Data!E8,SEARCH(":",Data!E8)-1),",","")),0)+IFERROR(VALUE(RIGHT(Data!E8,LEN(Data!E8)-SEARCH(":",Data!E8)))/60,0))</f>
        <v/>
      </c>
      <c r="E7">
        <f>IF(ISNUMBER(Data!F8),Data!F8*24,IFERROR(VALUE(SUBSTITUTE(LEFT(Data!F8,SEARCH(":",Data!F8)-1),",","")),0)+IFERROR(VALUE(RIGHT(Data!F8,LEN(Data!F8)-SEARCH(":",Data!F8)))/60,0))</f>
        <v/>
      </c>
      <c r="F7">
        <f>IF(ISNUMBER(Data!G8),Data!G8*24,IFERROR(VALUE(SUBSTITUTE(LEFT(Data!G8,SEARCH(":",Data!G8)-1),",","")),0)+IFERROR(VALUE(RIGHT(Data!G8,LEN(Data!G8)-SEARCH(":",Data!G8)))/60,0))</f>
        <v/>
      </c>
      <c r="G7">
        <f>IF(ISNUMBER(Data!H8),Data!H8*24,IFERROR(VALUE(SUBSTITUTE(LEFT(Data!H8,SEARCH(":",Data!H8)-1),",","")),0)+IFERROR(VALUE(RIGHT(Data!H8,LEN(Data!H8)-SEARCH(":",Data!H8)))/60,0))</f>
        <v/>
      </c>
      <c r="H7">
        <f>IF(ISNUMBER(Data!I8),Data!I8*24,IFERROR(VALUE(SUBSTITUTE(LEFT(Data!I8,SEARCH(":",Data!I8)-1),",","")),0)+IFERROR(VALUE(RIGHT(Data!I8,LEN(Data!I8)-SEARCH(":",Data!I8)))/60,0))</f>
        <v/>
      </c>
      <c r="I7">
        <f>IF(ISNUMBER(Data!J8),Data!J8*24,IFERROR(VALUE(SUBSTITUTE(LEFT(Data!J8,SEARCH(":",Data!J8)-1),",","")),0)+IFERROR(VALUE(RIGHT(Data!J8,LEN(Data!J8)-SEARCH(":",Data!J8)))/60,0))</f>
        <v/>
      </c>
      <c r="J7">
        <f>IF(ISNUMBER(Data!K8),Data!K8*24,IFERROR(VALUE(SUBSTITUTE(LEFT(Data!K8,SEARCH(":",Data!K8)-1),",","")),0)+IFERROR(VALUE(RIGHT(Data!K8,LEN(Data!K8)-SEARCH(":",Data!K8)))/60,0))</f>
        <v/>
      </c>
      <c r="K7">
        <f>IF(ISNUMBER(Data!L8),Data!L8*24,IFERROR(VALUE(SUBSTITUTE(LEFT(Data!L8,SEARCH(":",Data!L8)-1),",","")),0)+IFERROR(VALUE(RIGHT(Data!L8,LEN(Data!L8)-SEARCH(":",Data!L8)))/60,0))</f>
        <v/>
      </c>
      <c r="L7">
        <f>IF(ISNUMBER(Data!M8),Data!M8*24,IFERROR(VALUE(SUBSTITUTE(LEFT(Data!M8,SEARCH(":",Data!M8)-1),",","")),0)+IFERROR(VALUE(RIGHT(Data!M8,LEN(Data!M8)-SEARCH(":",Data!M8)))/60,0))</f>
        <v/>
      </c>
      <c r="M7">
        <f>IF(ISNUMBER(Data!N8),Data!N8*24,IFERROR(VALUE(SUBSTITUTE(LEFT(Data!N8,SEARCH(":",Data!N8)-1),",","")),0)+IFERROR(VALUE(RIGHT(Data!N8,LEN(Data!N8)-SEARCH(":",Data!N8)))/60,0))</f>
        <v/>
      </c>
      <c r="N7">
        <f>IF(ISNUMBER(Data!O8),Data!O8*24,IFERROR(VALUE(SUBSTITUTE(LEFT(Data!O8,SEARCH(":",Data!O8)-1),",","")),0)+IFERROR(VALUE(RIGHT(Data!O8,LEN(Data!O8)-SEARCH(":",Data!O8)))/60,0))</f>
        <v/>
      </c>
      <c r="O7">
        <f>IF(ISNUMBER(Data!P8),Data!P8*24,IFERROR(VALUE(SUBSTITUTE(LEFT(Data!P8,SEARCH(":",Data!P8)-1),",","")),0)+IFERROR(VALUE(RIGHT(Data!P8,LEN(Data!P8)-SEARCH(":",Data!P8)))/60,0))</f>
        <v/>
      </c>
      <c r="P7">
        <f>IF(ISNUMBER(Data!Q8),Data!Q8*24,IFERROR(VALUE(SUBSTITUTE(LEFT(Data!Q8,SEARCH(":",Data!Q8)-1),",","")),0)+IFERROR(VALUE(RIGHT(Data!Q8,LEN(Data!Q8)-SEARCH(":",Data!Q8)))/60,0))</f>
        <v/>
      </c>
      <c r="Q7">
        <f>IF(ISNUMBER(Data!R8),Data!R8*24,IFERROR(VALUE(SUBSTITUTE(LEFT(Data!R8,SEARCH(":",Data!R8)-1),",","")),0)+IFERROR(VALUE(RIGHT(Data!R8,LEN(Data!R8)-SEARCH(":",Data!R8)))/60,0))</f>
        <v/>
      </c>
      <c r="R7">
        <f>IF(ISNUMBER(Data!S8),Data!S8*24,IFERROR(VALUE(SUBSTITUTE(LEFT(Data!S8,SEARCH(":",Data!S8)-1),",","")),0)+IFERROR(VALUE(RIGHT(Data!S8,LEN(Data!S8)-SEARCH(":",Data!S8)))/60,0))</f>
        <v/>
      </c>
      <c r="S7">
        <f>IF(ISNUMBER(Data!T8),Data!T8*24,IFERROR(VALUE(SUBSTITUTE(LEFT(Data!T8,SEARCH(":",Data!T8)-1),",","")),0)+IFERROR(VALUE(RIGHT(Data!T8,LEN(Data!T8)-SEARCH(":",Data!T8)))/60,0))</f>
        <v/>
      </c>
      <c r="T7">
        <f>IF(ISNUMBER(Data!U8),Data!U8*24,IFERROR(VALUE(SUBSTITUTE(LEFT(Data!U8,SEARCH(":",Data!U8)-1),",","")),0)+IFERROR(VALUE(RIGHT(Data!U8,LEN(Data!U8)-SEARCH(":",Data!U8)))/60,0))</f>
        <v/>
      </c>
      <c r="U7">
        <f>IF(ISNUMBER(Data!V8),Data!V8*24,IFERROR(VALUE(SUBSTITUTE(LEFT(Data!V8,SEARCH(":",Data!V8)-1),",","")),0)+IFERROR(VALUE(RIGHT(Data!V8,LEN(Data!V8)-SEARCH(":",Data!V8)))/60,0))</f>
        <v/>
      </c>
      <c r="V7">
        <f>IF(ISNUMBER(Data!W8),Data!W8*24,IFERROR(VALUE(SUBSTITUTE(LEFT(Data!W8,SEARCH(":",Data!W8)-1),",","")),0)+IFERROR(VALUE(RIGHT(Data!W8,LEN(Data!W8)-SEARCH(":",Data!W8)))/60,0))</f>
        <v/>
      </c>
      <c r="W7">
        <f>IF(ISNUMBER(Data!X8),Data!X8*24,IFERROR(VALUE(SUBSTITUTE(LEFT(Data!X8,SEARCH(":",Data!X8)-1),",","")),0)+IFERROR(VALUE(RIGHT(Data!X8,LEN(Data!X8)-SEARCH(":",Data!X8)))/60,0))</f>
        <v/>
      </c>
      <c r="X7">
        <f>IF(ISNUMBER(Data!Y8),Data!Y8*24,IFERROR(VALUE(SUBSTITUTE(LEFT(Data!Y8,SEARCH(":",Data!Y8)-1),",","")),0)+IFERROR(VALUE(RIGHT(Data!Y8,LEN(Data!Y8)-SEARCH(":",Data!Y8)))/60,0))</f>
        <v/>
      </c>
      <c r="Y7">
        <f>IF(ISNUMBER(Data!Z8),Data!Z8*24,IFERROR(VALUE(SUBSTITUTE(LEFT(Data!Z8,SEARCH(":",Data!Z8)-1),",","")),0)+IFERROR(VALUE(RIGHT(Data!Z8,LEN(Data!Z8)-SEARCH(":",Data!Z8)))/60,0))</f>
        <v/>
      </c>
      <c r="Z7">
        <f>IF(ISNUMBER(Data!AA8),Data!AA8*24,IFERROR(VALUE(SUBSTITUTE(LEFT(Data!AA8,SEARCH(":",Data!AA8)-1),",","")),0)+IFERROR(VALUE(RIGHT(Data!AA8,LEN(Data!AA8)-SEARCH(":",Data!AA8)))/60,0))</f>
        <v/>
      </c>
      <c r="AA7">
        <f>IF(ISNUMBER(Data!AB8),Data!AB8*24,IFERROR(VALUE(SUBSTITUTE(LEFT(Data!AB8,SEARCH(":",Data!AB8)-1),",","")),0)+IFERROR(VALUE(RIGHT(Data!AB8,LEN(Data!AB8)-SEARCH(":",Data!AB8)))/60,0))</f>
        <v/>
      </c>
      <c r="AB7">
        <f>IF(ISNUMBER(Data!AC8),Data!AC8*24,IFERROR(VALUE(SUBSTITUTE(LEFT(Data!AC8,SEARCH(":",Data!AC8)-1),",","")),0)+IFERROR(VALUE(RIGHT(Data!AC8,LEN(Data!AC8)-SEARCH(":",Data!AC8)))/60,0))</f>
        <v/>
      </c>
      <c r="AC7">
        <f>IF(ISNUMBER(Data!AD8),Data!AD8*24,IFERROR(VALUE(SUBSTITUTE(LEFT(Data!AD8,SEARCH(":",Data!AD8)-1),",","")),0)+IFERROR(VALUE(RIGHT(Data!AD8,LEN(Data!AD8)-SEARCH(":",Data!AD8)))/60,0))</f>
        <v/>
      </c>
      <c r="AD7">
        <f>SUM(B7:AC7)</f>
        <v/>
      </c>
    </row>
    <row r="8">
      <c r="A8">
        <f>Data!B9</f>
        <v/>
      </c>
      <c r="B8">
        <f>IF(ISNUMBER(Data!C9),Data!C9*24,IFERROR(VALUE(SUBSTITUTE(LEFT(Data!C9,SEARCH(":",Data!C9)-1),",","")),0)+IFERROR(VALUE(RIGHT(Data!C9,LEN(Data!C9)-SEARCH(":",Data!C9)))/60,0))</f>
        <v/>
      </c>
      <c r="C8">
        <f>IF(ISNUMBER(Data!D9),Data!D9*24,IFERROR(VALUE(SUBSTITUTE(LEFT(Data!D9,SEARCH(":",Data!D9)-1),",","")),0)+IFERROR(VALUE(RIGHT(Data!D9,LEN(Data!D9)-SEARCH(":",Data!D9)))/60,0))</f>
        <v/>
      </c>
      <c r="D8">
        <f>IF(ISNUMBER(Data!E9),Data!E9*24,IFERROR(VALUE(SUBSTITUTE(LEFT(Data!E9,SEARCH(":",Data!E9)-1),",","")),0)+IFERROR(VALUE(RIGHT(Data!E9,LEN(Data!E9)-SEARCH(":",Data!E9)))/60,0))</f>
        <v/>
      </c>
      <c r="E8">
        <f>IF(ISNUMBER(Data!F9),Data!F9*24,IFERROR(VALUE(SUBSTITUTE(LEFT(Data!F9,SEARCH(":",Data!F9)-1),",","")),0)+IFERROR(VALUE(RIGHT(Data!F9,LEN(Data!F9)-SEARCH(":",Data!F9)))/60,0))</f>
        <v/>
      </c>
      <c r="F8">
        <f>IF(ISNUMBER(Data!G9),Data!G9*24,IFERROR(VALUE(SUBSTITUTE(LEFT(Data!G9,SEARCH(":",Data!G9)-1),",","")),0)+IFERROR(VALUE(RIGHT(Data!G9,LEN(Data!G9)-SEARCH(":",Data!G9)))/60,0))</f>
        <v/>
      </c>
      <c r="G8">
        <f>IF(ISNUMBER(Data!H9),Data!H9*24,IFERROR(VALUE(SUBSTITUTE(LEFT(Data!H9,SEARCH(":",Data!H9)-1),",","")),0)+IFERROR(VALUE(RIGHT(Data!H9,LEN(Data!H9)-SEARCH(":",Data!H9)))/60,0))</f>
        <v/>
      </c>
      <c r="H8">
        <f>IF(ISNUMBER(Data!I9),Data!I9*24,IFERROR(VALUE(SUBSTITUTE(LEFT(Data!I9,SEARCH(":",Data!I9)-1),",","")),0)+IFERROR(VALUE(RIGHT(Data!I9,LEN(Data!I9)-SEARCH(":",Data!I9)))/60,0))</f>
        <v/>
      </c>
      <c r="I8">
        <f>IF(ISNUMBER(Data!J9),Data!J9*24,IFERROR(VALUE(SUBSTITUTE(LEFT(Data!J9,SEARCH(":",Data!J9)-1),",","")),0)+IFERROR(VALUE(RIGHT(Data!J9,LEN(Data!J9)-SEARCH(":",Data!J9)))/60,0))</f>
        <v/>
      </c>
      <c r="J8">
        <f>IF(ISNUMBER(Data!K9),Data!K9*24,IFERROR(VALUE(SUBSTITUTE(LEFT(Data!K9,SEARCH(":",Data!K9)-1),",","")),0)+IFERROR(VALUE(RIGHT(Data!K9,LEN(Data!K9)-SEARCH(":",Data!K9)))/60,0))</f>
        <v/>
      </c>
      <c r="K8">
        <f>IF(ISNUMBER(Data!L9),Data!L9*24,IFERROR(VALUE(SUBSTITUTE(LEFT(Data!L9,SEARCH(":",Data!L9)-1),",","")),0)+IFERROR(VALUE(RIGHT(Data!L9,LEN(Data!L9)-SEARCH(":",Data!L9)))/60,0))</f>
        <v/>
      </c>
      <c r="L8">
        <f>IF(ISNUMBER(Data!M9),Data!M9*24,IFERROR(VALUE(SUBSTITUTE(LEFT(Data!M9,SEARCH(":",Data!M9)-1),",","")),0)+IFERROR(VALUE(RIGHT(Data!M9,LEN(Data!M9)-SEARCH(":",Data!M9)))/60,0))</f>
        <v/>
      </c>
      <c r="M8">
        <f>IF(ISNUMBER(Data!N9),Data!N9*24,IFERROR(VALUE(SUBSTITUTE(LEFT(Data!N9,SEARCH(":",Data!N9)-1),",","")),0)+IFERROR(VALUE(RIGHT(Data!N9,LEN(Data!N9)-SEARCH(":",Data!N9)))/60,0))</f>
        <v/>
      </c>
      <c r="N8">
        <f>IF(ISNUMBER(Data!O9),Data!O9*24,IFERROR(VALUE(SUBSTITUTE(LEFT(Data!O9,SEARCH(":",Data!O9)-1),",","")),0)+IFERROR(VALUE(RIGHT(Data!O9,LEN(Data!O9)-SEARCH(":",Data!O9)))/60,0))</f>
        <v/>
      </c>
      <c r="O8">
        <f>IF(ISNUMBER(Data!P9),Data!P9*24,IFERROR(VALUE(SUBSTITUTE(LEFT(Data!P9,SEARCH(":",Data!P9)-1),",","")),0)+IFERROR(VALUE(RIGHT(Data!P9,LEN(Data!P9)-SEARCH(":",Data!P9)))/60,0))</f>
        <v/>
      </c>
      <c r="P8">
        <f>IF(ISNUMBER(Data!Q9),Data!Q9*24,IFERROR(VALUE(SUBSTITUTE(LEFT(Data!Q9,SEARCH(":",Data!Q9)-1),",","")),0)+IFERROR(VALUE(RIGHT(Data!Q9,LEN(Data!Q9)-SEARCH(":",Data!Q9)))/60,0))</f>
        <v/>
      </c>
      <c r="Q8">
        <f>IF(ISNUMBER(Data!R9),Data!R9*24,IFERROR(VALUE(SUBSTITUTE(LEFT(Data!R9,SEARCH(":",Data!R9)-1),",","")),0)+IFERROR(VALUE(RIGHT(Data!R9,LEN(Data!R9)-SEARCH(":",Data!R9)))/60,0))</f>
        <v/>
      </c>
      <c r="R8">
        <f>IF(ISNUMBER(Data!S9),Data!S9*24,IFERROR(VALUE(SUBSTITUTE(LEFT(Data!S9,SEARCH(":",Data!S9)-1),",","")),0)+IFERROR(VALUE(RIGHT(Data!S9,LEN(Data!S9)-SEARCH(":",Data!S9)))/60,0))</f>
        <v/>
      </c>
      <c r="S8">
        <f>IF(ISNUMBER(Data!T9),Data!T9*24,IFERROR(VALUE(SUBSTITUTE(LEFT(Data!T9,SEARCH(":",Data!T9)-1),",","")),0)+IFERROR(VALUE(RIGHT(Data!T9,LEN(Data!T9)-SEARCH(":",Data!T9)))/60,0))</f>
        <v/>
      </c>
      <c r="T8">
        <f>IF(ISNUMBER(Data!U9),Data!U9*24,IFERROR(VALUE(SUBSTITUTE(LEFT(Data!U9,SEARCH(":",Data!U9)-1),",","")),0)+IFERROR(VALUE(RIGHT(Data!U9,LEN(Data!U9)-SEARCH(":",Data!U9)))/60,0))</f>
        <v/>
      </c>
      <c r="U8">
        <f>IF(ISNUMBER(Data!V9),Data!V9*24,IFERROR(VALUE(SUBSTITUTE(LEFT(Data!V9,SEARCH(":",Data!V9)-1),",","")),0)+IFERROR(VALUE(RIGHT(Data!V9,LEN(Data!V9)-SEARCH(":",Data!V9)))/60,0))</f>
        <v/>
      </c>
      <c r="V8">
        <f>IF(ISNUMBER(Data!W9),Data!W9*24,IFERROR(VALUE(SUBSTITUTE(LEFT(Data!W9,SEARCH(":",Data!W9)-1),",","")),0)+IFERROR(VALUE(RIGHT(Data!W9,LEN(Data!W9)-SEARCH(":",Data!W9)))/60,0))</f>
        <v/>
      </c>
      <c r="W8">
        <f>IF(ISNUMBER(Data!X9),Data!X9*24,IFERROR(VALUE(SUBSTITUTE(LEFT(Data!X9,SEARCH(":",Data!X9)-1),",","")),0)+IFERROR(VALUE(RIGHT(Data!X9,LEN(Data!X9)-SEARCH(":",Data!X9)))/60,0))</f>
        <v/>
      </c>
      <c r="X8">
        <f>IF(ISNUMBER(Data!Y9),Data!Y9*24,IFERROR(VALUE(SUBSTITUTE(LEFT(Data!Y9,SEARCH(":",Data!Y9)-1),",","")),0)+IFERROR(VALUE(RIGHT(Data!Y9,LEN(Data!Y9)-SEARCH(":",Data!Y9)))/60,0))</f>
        <v/>
      </c>
      <c r="Y8">
        <f>IF(ISNUMBER(Data!Z9),Data!Z9*24,IFERROR(VALUE(SUBSTITUTE(LEFT(Data!Z9,SEARCH(":",Data!Z9)-1),",","")),0)+IFERROR(VALUE(RIGHT(Data!Z9,LEN(Data!Z9)-SEARCH(":",Data!Z9)))/60,0))</f>
        <v/>
      </c>
      <c r="Z8">
        <f>IF(ISNUMBER(Data!AA9),Data!AA9*24,IFERROR(VALUE(SUBSTITUTE(LEFT(Data!AA9,SEARCH(":",Data!AA9)-1),",","")),0)+IFERROR(VALUE(RIGHT(Data!AA9,LEN(Data!AA9)-SEARCH(":",Data!AA9)))/60,0))</f>
        <v/>
      </c>
      <c r="AA8">
        <f>IF(ISNUMBER(Data!AB9),Data!AB9*24,IFERROR(VALUE(SUBSTITUTE(LEFT(Data!AB9,SEARCH(":",Data!AB9)-1),",","")),0)+IFERROR(VALUE(RIGHT(Data!AB9,LEN(Data!AB9)-SEARCH(":",Data!AB9)))/60,0))</f>
        <v/>
      </c>
      <c r="AB8">
        <f>IF(ISNUMBER(Data!AC9),Data!AC9*24,IFERROR(VALUE(SUBSTITUTE(LEFT(Data!AC9,SEARCH(":",Data!AC9)-1),",","")),0)+IFERROR(VALUE(RIGHT(Data!AC9,LEN(Data!AC9)-SEARCH(":",Data!AC9)))/60,0))</f>
        <v/>
      </c>
      <c r="AC8">
        <f>IF(ISNUMBER(Data!AD9),Data!AD9*24,IFERROR(VALUE(SUBSTITUTE(LEFT(Data!AD9,SEARCH(":",Data!AD9)-1),",","")),0)+IFERROR(VALUE(RIGHT(Data!AD9,LEN(Data!AD9)-SEARCH(":",Data!AD9)))/60,0))</f>
        <v/>
      </c>
      <c r="AD8">
        <f>SUM(B8:AC8)</f>
        <v/>
      </c>
    </row>
    <row r="9">
      <c r="A9">
        <f>Data!B10</f>
        <v/>
      </c>
      <c r="B9">
        <f>IF(ISNUMBER(Data!C10),Data!C10*24,IFERROR(VALUE(SUBSTITUTE(LEFT(Data!C10,SEARCH(":",Data!C10)-1),",","")),0)+IFERROR(VALUE(RIGHT(Data!C10,LEN(Data!C10)-SEARCH(":",Data!C10)))/60,0))</f>
        <v/>
      </c>
      <c r="C9">
        <f>IF(ISNUMBER(Data!D10),Data!D10*24,IFERROR(VALUE(SUBSTITUTE(LEFT(Data!D10,SEARCH(":",Data!D10)-1),",","")),0)+IFERROR(VALUE(RIGHT(Data!D10,LEN(Data!D10)-SEARCH(":",Data!D10)))/60,0))</f>
        <v/>
      </c>
      <c r="D9">
        <f>IF(ISNUMBER(Data!E10),Data!E10*24,IFERROR(VALUE(SUBSTITUTE(LEFT(Data!E10,SEARCH(":",Data!E10)-1),",","")),0)+IFERROR(VALUE(RIGHT(Data!E10,LEN(Data!E10)-SEARCH(":",Data!E10)))/60,0))</f>
        <v/>
      </c>
      <c r="E9">
        <f>IF(ISNUMBER(Data!F10),Data!F10*24,IFERROR(VALUE(SUBSTITUTE(LEFT(Data!F10,SEARCH(":",Data!F10)-1),",","")),0)+IFERROR(VALUE(RIGHT(Data!F10,LEN(Data!F10)-SEARCH(":",Data!F10)))/60,0))</f>
        <v/>
      </c>
      <c r="F9">
        <f>IF(ISNUMBER(Data!G10),Data!G10*24,IFERROR(VALUE(SUBSTITUTE(LEFT(Data!G10,SEARCH(":",Data!G10)-1),",","")),0)+IFERROR(VALUE(RIGHT(Data!G10,LEN(Data!G10)-SEARCH(":",Data!G10)))/60,0))</f>
        <v/>
      </c>
      <c r="G9">
        <f>IF(ISNUMBER(Data!H10),Data!H10*24,IFERROR(VALUE(SUBSTITUTE(LEFT(Data!H10,SEARCH(":",Data!H10)-1),",","")),0)+IFERROR(VALUE(RIGHT(Data!H10,LEN(Data!H10)-SEARCH(":",Data!H10)))/60,0))</f>
        <v/>
      </c>
      <c r="H9">
        <f>IF(ISNUMBER(Data!I10),Data!I10*24,IFERROR(VALUE(SUBSTITUTE(LEFT(Data!I10,SEARCH(":",Data!I10)-1),",","")),0)+IFERROR(VALUE(RIGHT(Data!I10,LEN(Data!I10)-SEARCH(":",Data!I10)))/60,0))</f>
        <v/>
      </c>
      <c r="I9">
        <f>IF(ISNUMBER(Data!J10),Data!J10*24,IFERROR(VALUE(SUBSTITUTE(LEFT(Data!J10,SEARCH(":",Data!J10)-1),",","")),0)+IFERROR(VALUE(RIGHT(Data!J10,LEN(Data!J10)-SEARCH(":",Data!J10)))/60,0))</f>
        <v/>
      </c>
      <c r="J9">
        <f>IF(ISNUMBER(Data!K10),Data!K10*24,IFERROR(VALUE(SUBSTITUTE(LEFT(Data!K10,SEARCH(":",Data!K10)-1),",","")),0)+IFERROR(VALUE(RIGHT(Data!K10,LEN(Data!K10)-SEARCH(":",Data!K10)))/60,0))</f>
        <v/>
      </c>
      <c r="K9">
        <f>IF(ISNUMBER(Data!L10),Data!L10*24,IFERROR(VALUE(SUBSTITUTE(LEFT(Data!L10,SEARCH(":",Data!L10)-1),",","")),0)+IFERROR(VALUE(RIGHT(Data!L10,LEN(Data!L10)-SEARCH(":",Data!L10)))/60,0))</f>
        <v/>
      </c>
      <c r="L9">
        <f>IF(ISNUMBER(Data!M10),Data!M10*24,IFERROR(VALUE(SUBSTITUTE(LEFT(Data!M10,SEARCH(":",Data!M10)-1),",","")),0)+IFERROR(VALUE(RIGHT(Data!M10,LEN(Data!M10)-SEARCH(":",Data!M10)))/60,0))</f>
        <v/>
      </c>
      <c r="M9">
        <f>IF(ISNUMBER(Data!N10),Data!N10*24,IFERROR(VALUE(SUBSTITUTE(LEFT(Data!N10,SEARCH(":",Data!N10)-1),",","")),0)+IFERROR(VALUE(RIGHT(Data!N10,LEN(Data!N10)-SEARCH(":",Data!N10)))/60,0))</f>
        <v/>
      </c>
      <c r="N9">
        <f>IF(ISNUMBER(Data!O10),Data!O10*24,IFERROR(VALUE(SUBSTITUTE(LEFT(Data!O10,SEARCH(":",Data!O10)-1),",","")),0)+IFERROR(VALUE(RIGHT(Data!O10,LEN(Data!O10)-SEARCH(":",Data!O10)))/60,0))</f>
        <v/>
      </c>
      <c r="O9">
        <f>IF(ISNUMBER(Data!P10),Data!P10*24,IFERROR(VALUE(SUBSTITUTE(LEFT(Data!P10,SEARCH(":",Data!P10)-1),",","")),0)+IFERROR(VALUE(RIGHT(Data!P10,LEN(Data!P10)-SEARCH(":",Data!P10)))/60,0))</f>
        <v/>
      </c>
      <c r="P9">
        <f>IF(ISNUMBER(Data!Q10),Data!Q10*24,IFERROR(VALUE(SUBSTITUTE(LEFT(Data!Q10,SEARCH(":",Data!Q10)-1),",","")),0)+IFERROR(VALUE(RIGHT(Data!Q10,LEN(Data!Q10)-SEARCH(":",Data!Q10)))/60,0))</f>
        <v/>
      </c>
      <c r="Q9">
        <f>IF(ISNUMBER(Data!R10),Data!R10*24,IFERROR(VALUE(SUBSTITUTE(LEFT(Data!R10,SEARCH(":",Data!R10)-1),",","")),0)+IFERROR(VALUE(RIGHT(Data!R10,LEN(Data!R10)-SEARCH(":",Data!R10)))/60,0))</f>
        <v/>
      </c>
      <c r="R9">
        <f>IF(ISNUMBER(Data!S10),Data!S10*24,IFERROR(VALUE(SUBSTITUTE(LEFT(Data!S10,SEARCH(":",Data!S10)-1),",","")),0)+IFERROR(VALUE(RIGHT(Data!S10,LEN(Data!S10)-SEARCH(":",Data!S10)))/60,0))</f>
        <v/>
      </c>
      <c r="S9">
        <f>IF(ISNUMBER(Data!T10),Data!T10*24,IFERROR(VALUE(SUBSTITUTE(LEFT(Data!T10,SEARCH(":",Data!T10)-1),",","")),0)+IFERROR(VALUE(RIGHT(Data!T10,LEN(Data!T10)-SEARCH(":",Data!T10)))/60,0))</f>
        <v/>
      </c>
      <c r="T9">
        <f>IF(ISNUMBER(Data!U10),Data!U10*24,IFERROR(VALUE(SUBSTITUTE(LEFT(Data!U10,SEARCH(":",Data!U10)-1),",","")),0)+IFERROR(VALUE(RIGHT(Data!U10,LEN(Data!U10)-SEARCH(":",Data!U10)))/60,0))</f>
        <v/>
      </c>
      <c r="U9">
        <f>IF(ISNUMBER(Data!V10),Data!V10*24,IFERROR(VALUE(SUBSTITUTE(LEFT(Data!V10,SEARCH(":",Data!V10)-1),",","")),0)+IFERROR(VALUE(RIGHT(Data!V10,LEN(Data!V10)-SEARCH(":",Data!V10)))/60,0))</f>
        <v/>
      </c>
      <c r="V9">
        <f>IF(ISNUMBER(Data!W10),Data!W10*24,IFERROR(VALUE(SUBSTITUTE(LEFT(Data!W10,SEARCH(":",Data!W10)-1),",","")),0)+IFERROR(VALUE(RIGHT(Data!W10,LEN(Data!W10)-SEARCH(":",Data!W10)))/60,0))</f>
        <v/>
      </c>
      <c r="W9">
        <f>IF(ISNUMBER(Data!X10),Data!X10*24,IFERROR(VALUE(SUBSTITUTE(LEFT(Data!X10,SEARCH(":",Data!X10)-1),",","")),0)+IFERROR(VALUE(RIGHT(Data!X10,LEN(Data!X10)-SEARCH(":",Data!X10)))/60,0))</f>
        <v/>
      </c>
      <c r="X9">
        <f>IF(ISNUMBER(Data!Y10),Data!Y10*24,IFERROR(VALUE(SUBSTITUTE(LEFT(Data!Y10,SEARCH(":",Data!Y10)-1),",","")),0)+IFERROR(VALUE(RIGHT(Data!Y10,LEN(Data!Y10)-SEARCH(":",Data!Y10)))/60,0))</f>
        <v/>
      </c>
      <c r="Y9">
        <f>IF(ISNUMBER(Data!Z10),Data!Z10*24,IFERROR(VALUE(SUBSTITUTE(LEFT(Data!Z10,SEARCH(":",Data!Z10)-1),",","")),0)+IFERROR(VALUE(RIGHT(Data!Z10,LEN(Data!Z10)-SEARCH(":",Data!Z10)))/60,0))</f>
        <v/>
      </c>
      <c r="Z9">
        <f>IF(ISNUMBER(Data!AA10),Data!AA10*24,IFERROR(VALUE(SUBSTITUTE(LEFT(Data!AA10,SEARCH(":",Data!AA10)-1),",","")),0)+IFERROR(VALUE(RIGHT(Data!AA10,LEN(Data!AA10)-SEARCH(":",Data!AA10)))/60,0))</f>
        <v/>
      </c>
      <c r="AA9">
        <f>IF(ISNUMBER(Data!AB10),Data!AB10*24,IFERROR(VALUE(SUBSTITUTE(LEFT(Data!AB10,SEARCH(":",Data!AB10)-1),",","")),0)+IFERROR(VALUE(RIGHT(Data!AB10,LEN(Data!AB10)-SEARCH(":",Data!AB10)))/60,0))</f>
        <v/>
      </c>
      <c r="AB9">
        <f>IF(ISNUMBER(Data!AC10),Data!AC10*24,IFERROR(VALUE(SUBSTITUTE(LEFT(Data!AC10,SEARCH(":",Data!AC10)-1),",","")),0)+IFERROR(VALUE(RIGHT(Data!AC10,LEN(Data!AC10)-SEARCH(":",Data!AC10)))/60,0))</f>
        <v/>
      </c>
      <c r="AC9">
        <f>IF(ISNUMBER(Data!AD10),Data!AD10*24,IFERROR(VALUE(SUBSTITUTE(LEFT(Data!AD10,SEARCH(":",Data!AD10)-1),",","")),0)+IFERROR(VALUE(RIGHT(Data!AD10,LEN(Data!AD10)-SEARCH(":",Data!AD10)))/60,0))</f>
        <v/>
      </c>
      <c r="AD9">
        <f>SUM(B9:AC9)</f>
        <v/>
      </c>
    </row>
    <row r="10">
      <c r="A10">
        <f>Data!B11</f>
        <v/>
      </c>
      <c r="B10">
        <f>IF(ISNUMBER(Data!C11),Data!C11*24,IFERROR(VALUE(SUBSTITUTE(LEFT(Data!C11,SEARCH(":",Data!C11)-1),",","")),0)+IFERROR(VALUE(RIGHT(Data!C11,LEN(Data!C11)-SEARCH(":",Data!C11)))/60,0))</f>
        <v/>
      </c>
      <c r="C10">
        <f>IF(ISNUMBER(Data!D11),Data!D11*24,IFERROR(VALUE(SUBSTITUTE(LEFT(Data!D11,SEARCH(":",Data!D11)-1),",","")),0)+IFERROR(VALUE(RIGHT(Data!D11,LEN(Data!D11)-SEARCH(":",Data!D11)))/60,0))</f>
        <v/>
      </c>
      <c r="D10">
        <f>IF(ISNUMBER(Data!E11),Data!E11*24,IFERROR(VALUE(SUBSTITUTE(LEFT(Data!E11,SEARCH(":",Data!E11)-1),",","")),0)+IFERROR(VALUE(RIGHT(Data!E11,LEN(Data!E11)-SEARCH(":",Data!E11)))/60,0))</f>
        <v/>
      </c>
      <c r="E10">
        <f>IF(ISNUMBER(Data!F11),Data!F11*24,IFERROR(VALUE(SUBSTITUTE(LEFT(Data!F11,SEARCH(":",Data!F11)-1),",","")),0)+IFERROR(VALUE(RIGHT(Data!F11,LEN(Data!F11)-SEARCH(":",Data!F11)))/60,0))</f>
        <v/>
      </c>
      <c r="F10">
        <f>IF(ISNUMBER(Data!G11),Data!G11*24,IFERROR(VALUE(SUBSTITUTE(LEFT(Data!G11,SEARCH(":",Data!G11)-1),",","")),0)+IFERROR(VALUE(RIGHT(Data!G11,LEN(Data!G11)-SEARCH(":",Data!G11)))/60,0))</f>
        <v/>
      </c>
      <c r="G10">
        <f>IF(ISNUMBER(Data!H11),Data!H11*24,IFERROR(VALUE(SUBSTITUTE(LEFT(Data!H11,SEARCH(":",Data!H11)-1),",","")),0)+IFERROR(VALUE(RIGHT(Data!H11,LEN(Data!H11)-SEARCH(":",Data!H11)))/60,0))</f>
        <v/>
      </c>
      <c r="H10">
        <f>IF(ISNUMBER(Data!I11),Data!I11*24,IFERROR(VALUE(SUBSTITUTE(LEFT(Data!I11,SEARCH(":",Data!I11)-1),",","")),0)+IFERROR(VALUE(RIGHT(Data!I11,LEN(Data!I11)-SEARCH(":",Data!I11)))/60,0))</f>
        <v/>
      </c>
      <c r="I10">
        <f>IF(ISNUMBER(Data!J11),Data!J11*24,IFERROR(VALUE(SUBSTITUTE(LEFT(Data!J11,SEARCH(":",Data!J11)-1),",","")),0)+IFERROR(VALUE(RIGHT(Data!J11,LEN(Data!J11)-SEARCH(":",Data!J11)))/60,0))</f>
        <v/>
      </c>
      <c r="J10">
        <f>IF(ISNUMBER(Data!K11),Data!K11*24,IFERROR(VALUE(SUBSTITUTE(LEFT(Data!K11,SEARCH(":",Data!K11)-1),",","")),0)+IFERROR(VALUE(RIGHT(Data!K11,LEN(Data!K11)-SEARCH(":",Data!K11)))/60,0))</f>
        <v/>
      </c>
      <c r="K10">
        <f>IF(ISNUMBER(Data!L11),Data!L11*24,IFERROR(VALUE(SUBSTITUTE(LEFT(Data!L11,SEARCH(":",Data!L11)-1),",","")),0)+IFERROR(VALUE(RIGHT(Data!L11,LEN(Data!L11)-SEARCH(":",Data!L11)))/60,0))</f>
        <v/>
      </c>
      <c r="L10">
        <f>IF(ISNUMBER(Data!M11),Data!M11*24,IFERROR(VALUE(SUBSTITUTE(LEFT(Data!M11,SEARCH(":",Data!M11)-1),",","")),0)+IFERROR(VALUE(RIGHT(Data!M11,LEN(Data!M11)-SEARCH(":",Data!M11)))/60,0))</f>
        <v/>
      </c>
      <c r="M10">
        <f>IF(ISNUMBER(Data!N11),Data!N11*24,IFERROR(VALUE(SUBSTITUTE(LEFT(Data!N11,SEARCH(":",Data!N11)-1),",","")),0)+IFERROR(VALUE(RIGHT(Data!N11,LEN(Data!N11)-SEARCH(":",Data!N11)))/60,0))</f>
        <v/>
      </c>
      <c r="N10">
        <f>IF(ISNUMBER(Data!O11),Data!O11*24,IFERROR(VALUE(SUBSTITUTE(LEFT(Data!O11,SEARCH(":",Data!O11)-1),",","")),0)+IFERROR(VALUE(RIGHT(Data!O11,LEN(Data!O11)-SEARCH(":",Data!O11)))/60,0))</f>
        <v/>
      </c>
      <c r="O10">
        <f>IF(ISNUMBER(Data!P11),Data!P11*24,IFERROR(VALUE(SUBSTITUTE(LEFT(Data!P11,SEARCH(":",Data!P11)-1),",","")),0)+IFERROR(VALUE(RIGHT(Data!P11,LEN(Data!P11)-SEARCH(":",Data!P11)))/60,0))</f>
        <v/>
      </c>
      <c r="P10">
        <f>IF(ISNUMBER(Data!Q11),Data!Q11*24,IFERROR(VALUE(SUBSTITUTE(LEFT(Data!Q11,SEARCH(":",Data!Q11)-1),",","")),0)+IFERROR(VALUE(RIGHT(Data!Q11,LEN(Data!Q11)-SEARCH(":",Data!Q11)))/60,0))</f>
        <v/>
      </c>
      <c r="Q10">
        <f>IF(ISNUMBER(Data!R11),Data!R11*24,IFERROR(VALUE(SUBSTITUTE(LEFT(Data!R11,SEARCH(":",Data!R11)-1),",","")),0)+IFERROR(VALUE(RIGHT(Data!R11,LEN(Data!R11)-SEARCH(":",Data!R11)))/60,0))</f>
        <v/>
      </c>
      <c r="R10">
        <f>IF(ISNUMBER(Data!S11),Data!S11*24,IFERROR(VALUE(SUBSTITUTE(LEFT(Data!S11,SEARCH(":",Data!S11)-1),",","")),0)+IFERROR(VALUE(RIGHT(Data!S11,LEN(Data!S11)-SEARCH(":",Data!S11)))/60,0))</f>
        <v/>
      </c>
      <c r="S10">
        <f>IF(ISNUMBER(Data!T11),Data!T11*24,IFERROR(VALUE(SUBSTITUTE(LEFT(Data!T11,SEARCH(":",Data!T11)-1),",","")),0)+IFERROR(VALUE(RIGHT(Data!T11,LEN(Data!T11)-SEARCH(":",Data!T11)))/60,0))</f>
        <v/>
      </c>
      <c r="T10">
        <f>IF(ISNUMBER(Data!U11),Data!U11*24,IFERROR(VALUE(SUBSTITUTE(LEFT(Data!U11,SEARCH(":",Data!U11)-1),",","")),0)+IFERROR(VALUE(RIGHT(Data!U11,LEN(Data!U11)-SEARCH(":",Data!U11)))/60,0))</f>
        <v/>
      </c>
      <c r="U10">
        <f>IF(ISNUMBER(Data!V11),Data!V11*24,IFERROR(VALUE(SUBSTITUTE(LEFT(Data!V11,SEARCH(":",Data!V11)-1),",","")),0)+IFERROR(VALUE(RIGHT(Data!V11,LEN(Data!V11)-SEARCH(":",Data!V11)))/60,0))</f>
        <v/>
      </c>
      <c r="V10">
        <f>IF(ISNUMBER(Data!W11),Data!W11*24,IFERROR(VALUE(SUBSTITUTE(LEFT(Data!W11,SEARCH(":",Data!W11)-1),",","")),0)+IFERROR(VALUE(RIGHT(Data!W11,LEN(Data!W11)-SEARCH(":",Data!W11)))/60,0))</f>
        <v/>
      </c>
      <c r="W10">
        <f>IF(ISNUMBER(Data!X11),Data!X11*24,IFERROR(VALUE(SUBSTITUTE(LEFT(Data!X11,SEARCH(":",Data!X11)-1),",","")),0)+IFERROR(VALUE(RIGHT(Data!X11,LEN(Data!X11)-SEARCH(":",Data!X11)))/60,0))</f>
        <v/>
      </c>
      <c r="X10">
        <f>IF(ISNUMBER(Data!Y11),Data!Y11*24,IFERROR(VALUE(SUBSTITUTE(LEFT(Data!Y11,SEARCH(":",Data!Y11)-1),",","")),0)+IFERROR(VALUE(RIGHT(Data!Y11,LEN(Data!Y11)-SEARCH(":",Data!Y11)))/60,0))</f>
        <v/>
      </c>
      <c r="Y10">
        <f>IF(ISNUMBER(Data!Z11),Data!Z11*24,IFERROR(VALUE(SUBSTITUTE(LEFT(Data!Z11,SEARCH(":",Data!Z11)-1),",","")),0)+IFERROR(VALUE(RIGHT(Data!Z11,LEN(Data!Z11)-SEARCH(":",Data!Z11)))/60,0))</f>
        <v/>
      </c>
      <c r="Z10">
        <f>IF(ISNUMBER(Data!AA11),Data!AA11*24,IFERROR(VALUE(SUBSTITUTE(LEFT(Data!AA11,SEARCH(":",Data!AA11)-1),",","")),0)+IFERROR(VALUE(RIGHT(Data!AA11,LEN(Data!AA11)-SEARCH(":",Data!AA11)))/60,0))</f>
        <v/>
      </c>
      <c r="AA10">
        <f>IF(ISNUMBER(Data!AB11),Data!AB11*24,IFERROR(VALUE(SUBSTITUTE(LEFT(Data!AB11,SEARCH(":",Data!AB11)-1),",","")),0)+IFERROR(VALUE(RIGHT(Data!AB11,LEN(Data!AB11)-SEARCH(":",Data!AB11)))/60,0))</f>
        <v/>
      </c>
      <c r="AB10">
        <f>IF(ISNUMBER(Data!AC11),Data!AC11*24,IFERROR(VALUE(SUBSTITUTE(LEFT(Data!AC11,SEARCH(":",Data!AC11)-1),",","")),0)+IFERROR(VALUE(RIGHT(Data!AC11,LEN(Data!AC11)-SEARCH(":",Data!AC11)))/60,0))</f>
        <v/>
      </c>
      <c r="AC10">
        <f>IF(ISNUMBER(Data!AD11),Data!AD11*24,IFERROR(VALUE(SUBSTITUTE(LEFT(Data!AD11,SEARCH(":",Data!AD11)-1),",","")),0)+IFERROR(VALUE(RIGHT(Data!AD11,LEN(Data!AD11)-SEARCH(":",Data!AD11)))/60,0))</f>
        <v/>
      </c>
      <c r="AD10">
        <f>SUM(B10:AC10)</f>
        <v/>
      </c>
    </row>
    <row r="11">
      <c r="A11">
        <f>Data!B12</f>
        <v/>
      </c>
      <c r="B11">
        <f>IF(ISNUMBER(Data!C12),Data!C12*24,IFERROR(VALUE(SUBSTITUTE(LEFT(Data!C12,SEARCH(":",Data!C12)-1),",","")),0)+IFERROR(VALUE(RIGHT(Data!C12,LEN(Data!C12)-SEARCH(":",Data!C12)))/60,0))</f>
        <v/>
      </c>
      <c r="C11">
        <f>IF(ISNUMBER(Data!D12),Data!D12*24,IFERROR(VALUE(SUBSTITUTE(LEFT(Data!D12,SEARCH(":",Data!D12)-1),",","")),0)+IFERROR(VALUE(RIGHT(Data!D12,LEN(Data!D12)-SEARCH(":",Data!D12)))/60,0))</f>
        <v/>
      </c>
      <c r="D11">
        <f>IF(ISNUMBER(Data!E12),Data!E12*24,IFERROR(VALUE(SUBSTITUTE(LEFT(Data!E12,SEARCH(":",Data!E12)-1),",","")),0)+IFERROR(VALUE(RIGHT(Data!E12,LEN(Data!E12)-SEARCH(":",Data!E12)))/60,0))</f>
        <v/>
      </c>
      <c r="E11">
        <f>IF(ISNUMBER(Data!F12),Data!F12*24,IFERROR(VALUE(SUBSTITUTE(LEFT(Data!F12,SEARCH(":",Data!F12)-1),",","")),0)+IFERROR(VALUE(RIGHT(Data!F12,LEN(Data!F12)-SEARCH(":",Data!F12)))/60,0))</f>
        <v/>
      </c>
      <c r="F11">
        <f>IF(ISNUMBER(Data!G12),Data!G12*24,IFERROR(VALUE(SUBSTITUTE(LEFT(Data!G12,SEARCH(":",Data!G12)-1),",","")),0)+IFERROR(VALUE(RIGHT(Data!G12,LEN(Data!G12)-SEARCH(":",Data!G12)))/60,0))</f>
        <v/>
      </c>
      <c r="G11">
        <f>IF(ISNUMBER(Data!H12),Data!H12*24,IFERROR(VALUE(SUBSTITUTE(LEFT(Data!H12,SEARCH(":",Data!H12)-1),",","")),0)+IFERROR(VALUE(RIGHT(Data!H12,LEN(Data!H12)-SEARCH(":",Data!H12)))/60,0))</f>
        <v/>
      </c>
      <c r="H11">
        <f>IF(ISNUMBER(Data!I12),Data!I12*24,IFERROR(VALUE(SUBSTITUTE(LEFT(Data!I12,SEARCH(":",Data!I12)-1),",","")),0)+IFERROR(VALUE(RIGHT(Data!I12,LEN(Data!I12)-SEARCH(":",Data!I12)))/60,0))</f>
        <v/>
      </c>
      <c r="I11">
        <f>IF(ISNUMBER(Data!J12),Data!J12*24,IFERROR(VALUE(SUBSTITUTE(LEFT(Data!J12,SEARCH(":",Data!J12)-1),",","")),0)+IFERROR(VALUE(RIGHT(Data!J12,LEN(Data!J12)-SEARCH(":",Data!J12)))/60,0))</f>
        <v/>
      </c>
      <c r="J11">
        <f>IF(ISNUMBER(Data!K12),Data!K12*24,IFERROR(VALUE(SUBSTITUTE(LEFT(Data!K12,SEARCH(":",Data!K12)-1),",","")),0)+IFERROR(VALUE(RIGHT(Data!K12,LEN(Data!K12)-SEARCH(":",Data!K12)))/60,0))</f>
        <v/>
      </c>
      <c r="K11">
        <f>IF(ISNUMBER(Data!L12),Data!L12*24,IFERROR(VALUE(SUBSTITUTE(LEFT(Data!L12,SEARCH(":",Data!L12)-1),",","")),0)+IFERROR(VALUE(RIGHT(Data!L12,LEN(Data!L12)-SEARCH(":",Data!L12)))/60,0))</f>
        <v/>
      </c>
      <c r="L11">
        <f>IF(ISNUMBER(Data!M12),Data!M12*24,IFERROR(VALUE(SUBSTITUTE(LEFT(Data!M12,SEARCH(":",Data!M12)-1),",","")),0)+IFERROR(VALUE(RIGHT(Data!M12,LEN(Data!M12)-SEARCH(":",Data!M12)))/60,0))</f>
        <v/>
      </c>
      <c r="M11">
        <f>IF(ISNUMBER(Data!N12),Data!N12*24,IFERROR(VALUE(SUBSTITUTE(LEFT(Data!N12,SEARCH(":",Data!N12)-1),",","")),0)+IFERROR(VALUE(RIGHT(Data!N12,LEN(Data!N12)-SEARCH(":",Data!N12)))/60,0))</f>
        <v/>
      </c>
      <c r="N11">
        <f>IF(ISNUMBER(Data!O12),Data!O12*24,IFERROR(VALUE(SUBSTITUTE(LEFT(Data!O12,SEARCH(":",Data!O12)-1),",","")),0)+IFERROR(VALUE(RIGHT(Data!O12,LEN(Data!O12)-SEARCH(":",Data!O12)))/60,0))</f>
        <v/>
      </c>
      <c r="O11">
        <f>IF(ISNUMBER(Data!P12),Data!P12*24,IFERROR(VALUE(SUBSTITUTE(LEFT(Data!P12,SEARCH(":",Data!P12)-1),",","")),0)+IFERROR(VALUE(RIGHT(Data!P12,LEN(Data!P12)-SEARCH(":",Data!P12)))/60,0))</f>
        <v/>
      </c>
      <c r="P11">
        <f>IF(ISNUMBER(Data!Q12),Data!Q12*24,IFERROR(VALUE(SUBSTITUTE(LEFT(Data!Q12,SEARCH(":",Data!Q12)-1),",","")),0)+IFERROR(VALUE(RIGHT(Data!Q12,LEN(Data!Q12)-SEARCH(":",Data!Q12)))/60,0))</f>
        <v/>
      </c>
      <c r="Q11">
        <f>IF(ISNUMBER(Data!R12),Data!R12*24,IFERROR(VALUE(SUBSTITUTE(LEFT(Data!R12,SEARCH(":",Data!R12)-1),",","")),0)+IFERROR(VALUE(RIGHT(Data!R12,LEN(Data!R12)-SEARCH(":",Data!R12)))/60,0))</f>
        <v/>
      </c>
      <c r="R11">
        <f>IF(ISNUMBER(Data!S12),Data!S12*24,IFERROR(VALUE(SUBSTITUTE(LEFT(Data!S12,SEARCH(":",Data!S12)-1),",","")),0)+IFERROR(VALUE(RIGHT(Data!S12,LEN(Data!S12)-SEARCH(":",Data!S12)))/60,0))</f>
        <v/>
      </c>
      <c r="S11">
        <f>IF(ISNUMBER(Data!T12),Data!T12*24,IFERROR(VALUE(SUBSTITUTE(LEFT(Data!T12,SEARCH(":",Data!T12)-1),",","")),0)+IFERROR(VALUE(RIGHT(Data!T12,LEN(Data!T12)-SEARCH(":",Data!T12)))/60,0))</f>
        <v/>
      </c>
      <c r="T11">
        <f>IF(ISNUMBER(Data!U12),Data!U12*24,IFERROR(VALUE(SUBSTITUTE(LEFT(Data!U12,SEARCH(":",Data!U12)-1),",","")),0)+IFERROR(VALUE(RIGHT(Data!U12,LEN(Data!U12)-SEARCH(":",Data!U12)))/60,0))</f>
        <v/>
      </c>
      <c r="U11">
        <f>IF(ISNUMBER(Data!V12),Data!V12*24,IFERROR(VALUE(SUBSTITUTE(LEFT(Data!V12,SEARCH(":",Data!V12)-1),",","")),0)+IFERROR(VALUE(RIGHT(Data!V12,LEN(Data!V12)-SEARCH(":",Data!V12)))/60,0))</f>
        <v/>
      </c>
      <c r="V11">
        <f>IF(ISNUMBER(Data!W12),Data!W12*24,IFERROR(VALUE(SUBSTITUTE(LEFT(Data!W12,SEARCH(":",Data!W12)-1),",","")),0)+IFERROR(VALUE(RIGHT(Data!W12,LEN(Data!W12)-SEARCH(":",Data!W12)))/60,0))</f>
        <v/>
      </c>
      <c r="W11">
        <f>IF(ISNUMBER(Data!X12),Data!X12*24,IFERROR(VALUE(SUBSTITUTE(LEFT(Data!X12,SEARCH(":",Data!X12)-1),",","")),0)+IFERROR(VALUE(RIGHT(Data!X12,LEN(Data!X12)-SEARCH(":",Data!X12)))/60,0))</f>
        <v/>
      </c>
      <c r="X11">
        <f>IF(ISNUMBER(Data!Y12),Data!Y12*24,IFERROR(VALUE(SUBSTITUTE(LEFT(Data!Y12,SEARCH(":",Data!Y12)-1),",","")),0)+IFERROR(VALUE(RIGHT(Data!Y12,LEN(Data!Y12)-SEARCH(":",Data!Y12)))/60,0))</f>
        <v/>
      </c>
      <c r="Y11">
        <f>IF(ISNUMBER(Data!Z12),Data!Z12*24,IFERROR(VALUE(SUBSTITUTE(LEFT(Data!Z12,SEARCH(":",Data!Z12)-1),",","")),0)+IFERROR(VALUE(RIGHT(Data!Z12,LEN(Data!Z12)-SEARCH(":",Data!Z12)))/60,0))</f>
        <v/>
      </c>
      <c r="Z11">
        <f>IF(ISNUMBER(Data!AA12),Data!AA12*24,IFERROR(VALUE(SUBSTITUTE(LEFT(Data!AA12,SEARCH(":",Data!AA12)-1),",","")),0)+IFERROR(VALUE(RIGHT(Data!AA12,LEN(Data!AA12)-SEARCH(":",Data!AA12)))/60,0))</f>
        <v/>
      </c>
      <c r="AA11">
        <f>IF(ISNUMBER(Data!AB12),Data!AB12*24,IFERROR(VALUE(SUBSTITUTE(LEFT(Data!AB12,SEARCH(":",Data!AB12)-1),",","")),0)+IFERROR(VALUE(RIGHT(Data!AB12,LEN(Data!AB12)-SEARCH(":",Data!AB12)))/60,0))</f>
        <v/>
      </c>
      <c r="AB11">
        <f>IF(ISNUMBER(Data!AC12),Data!AC12*24,IFERROR(VALUE(SUBSTITUTE(LEFT(Data!AC12,SEARCH(":",Data!AC12)-1),",","")),0)+IFERROR(VALUE(RIGHT(Data!AC12,LEN(Data!AC12)-SEARCH(":",Data!AC12)))/60,0))</f>
        <v/>
      </c>
      <c r="AC11">
        <f>IF(ISNUMBER(Data!AD12),Data!AD12*24,IFERROR(VALUE(SUBSTITUTE(LEFT(Data!AD12,SEARCH(":",Data!AD12)-1),",","")),0)+IFERROR(VALUE(RIGHT(Data!AD12,LEN(Data!AD12)-SEARCH(":",Data!AD12)))/60,0))</f>
        <v/>
      </c>
      <c r="AD11">
        <f>SUM(B11:AC11)</f>
        <v/>
      </c>
    </row>
    <row r="12">
      <c r="A12">
        <f>Data!B13</f>
        <v/>
      </c>
      <c r="B12">
        <f>IF(ISNUMBER(Data!C13),Data!C13*24,IFERROR(VALUE(SUBSTITUTE(LEFT(Data!C13,SEARCH(":",Data!C13)-1),",","")),0)+IFERROR(VALUE(RIGHT(Data!C13,LEN(Data!C13)-SEARCH(":",Data!C13)))/60,0))</f>
        <v/>
      </c>
      <c r="C12">
        <f>IF(ISNUMBER(Data!D13),Data!D13*24,IFERROR(VALUE(SUBSTITUTE(LEFT(Data!D13,SEARCH(":",Data!D13)-1),",","")),0)+IFERROR(VALUE(RIGHT(Data!D13,LEN(Data!D13)-SEARCH(":",Data!D13)))/60,0))</f>
        <v/>
      </c>
      <c r="D12">
        <f>IF(ISNUMBER(Data!E13),Data!E13*24,IFERROR(VALUE(SUBSTITUTE(LEFT(Data!E13,SEARCH(":",Data!E13)-1),",","")),0)+IFERROR(VALUE(RIGHT(Data!E13,LEN(Data!E13)-SEARCH(":",Data!E13)))/60,0))</f>
        <v/>
      </c>
      <c r="E12">
        <f>IF(ISNUMBER(Data!F13),Data!F13*24,IFERROR(VALUE(SUBSTITUTE(LEFT(Data!F13,SEARCH(":",Data!F13)-1),",","")),0)+IFERROR(VALUE(RIGHT(Data!F13,LEN(Data!F13)-SEARCH(":",Data!F13)))/60,0))</f>
        <v/>
      </c>
      <c r="F12">
        <f>IF(ISNUMBER(Data!G13),Data!G13*24,IFERROR(VALUE(SUBSTITUTE(LEFT(Data!G13,SEARCH(":",Data!G13)-1),",","")),0)+IFERROR(VALUE(RIGHT(Data!G13,LEN(Data!G13)-SEARCH(":",Data!G13)))/60,0))</f>
        <v/>
      </c>
      <c r="G12">
        <f>IF(ISNUMBER(Data!H13),Data!H13*24,IFERROR(VALUE(SUBSTITUTE(LEFT(Data!H13,SEARCH(":",Data!H13)-1),",","")),0)+IFERROR(VALUE(RIGHT(Data!H13,LEN(Data!H13)-SEARCH(":",Data!H13)))/60,0))</f>
        <v/>
      </c>
      <c r="H12">
        <f>IF(ISNUMBER(Data!I13),Data!I13*24,IFERROR(VALUE(SUBSTITUTE(LEFT(Data!I13,SEARCH(":",Data!I13)-1),",","")),0)+IFERROR(VALUE(RIGHT(Data!I13,LEN(Data!I13)-SEARCH(":",Data!I13)))/60,0))</f>
        <v/>
      </c>
      <c r="I12">
        <f>IF(ISNUMBER(Data!J13),Data!J13*24,IFERROR(VALUE(SUBSTITUTE(LEFT(Data!J13,SEARCH(":",Data!J13)-1),",","")),0)+IFERROR(VALUE(RIGHT(Data!J13,LEN(Data!J13)-SEARCH(":",Data!J13)))/60,0))</f>
        <v/>
      </c>
      <c r="J12">
        <f>IF(ISNUMBER(Data!K13),Data!K13*24,IFERROR(VALUE(SUBSTITUTE(LEFT(Data!K13,SEARCH(":",Data!K13)-1),",","")),0)+IFERROR(VALUE(RIGHT(Data!K13,LEN(Data!K13)-SEARCH(":",Data!K13)))/60,0))</f>
        <v/>
      </c>
      <c r="K12">
        <f>IF(ISNUMBER(Data!L13),Data!L13*24,IFERROR(VALUE(SUBSTITUTE(LEFT(Data!L13,SEARCH(":",Data!L13)-1),",","")),0)+IFERROR(VALUE(RIGHT(Data!L13,LEN(Data!L13)-SEARCH(":",Data!L13)))/60,0))</f>
        <v/>
      </c>
      <c r="L12">
        <f>IF(ISNUMBER(Data!M13),Data!M13*24,IFERROR(VALUE(SUBSTITUTE(LEFT(Data!M13,SEARCH(":",Data!M13)-1),",","")),0)+IFERROR(VALUE(RIGHT(Data!M13,LEN(Data!M13)-SEARCH(":",Data!M13)))/60,0))</f>
        <v/>
      </c>
      <c r="M12">
        <f>IF(ISNUMBER(Data!N13),Data!N13*24,IFERROR(VALUE(SUBSTITUTE(LEFT(Data!N13,SEARCH(":",Data!N13)-1),",","")),0)+IFERROR(VALUE(RIGHT(Data!N13,LEN(Data!N13)-SEARCH(":",Data!N13)))/60,0))</f>
        <v/>
      </c>
      <c r="N12">
        <f>IF(ISNUMBER(Data!O13),Data!O13*24,IFERROR(VALUE(SUBSTITUTE(LEFT(Data!O13,SEARCH(":",Data!O13)-1),",","")),0)+IFERROR(VALUE(RIGHT(Data!O13,LEN(Data!O13)-SEARCH(":",Data!O13)))/60,0))</f>
        <v/>
      </c>
      <c r="O12">
        <f>IF(ISNUMBER(Data!P13),Data!P13*24,IFERROR(VALUE(SUBSTITUTE(LEFT(Data!P13,SEARCH(":",Data!P13)-1),",","")),0)+IFERROR(VALUE(RIGHT(Data!P13,LEN(Data!P13)-SEARCH(":",Data!P13)))/60,0))</f>
        <v/>
      </c>
      <c r="P12">
        <f>IF(ISNUMBER(Data!Q13),Data!Q13*24,IFERROR(VALUE(SUBSTITUTE(LEFT(Data!Q13,SEARCH(":",Data!Q13)-1),",","")),0)+IFERROR(VALUE(RIGHT(Data!Q13,LEN(Data!Q13)-SEARCH(":",Data!Q13)))/60,0))</f>
        <v/>
      </c>
      <c r="Q12">
        <f>IF(ISNUMBER(Data!R13),Data!R13*24,IFERROR(VALUE(SUBSTITUTE(LEFT(Data!R13,SEARCH(":",Data!R13)-1),",","")),0)+IFERROR(VALUE(RIGHT(Data!R13,LEN(Data!R13)-SEARCH(":",Data!R13)))/60,0))</f>
        <v/>
      </c>
      <c r="R12">
        <f>IF(ISNUMBER(Data!S13),Data!S13*24,IFERROR(VALUE(SUBSTITUTE(LEFT(Data!S13,SEARCH(":",Data!S13)-1),",","")),0)+IFERROR(VALUE(RIGHT(Data!S13,LEN(Data!S13)-SEARCH(":",Data!S13)))/60,0))</f>
        <v/>
      </c>
      <c r="S12">
        <f>IF(ISNUMBER(Data!T13),Data!T13*24,IFERROR(VALUE(SUBSTITUTE(LEFT(Data!T13,SEARCH(":",Data!T13)-1),",","")),0)+IFERROR(VALUE(RIGHT(Data!T13,LEN(Data!T13)-SEARCH(":",Data!T13)))/60,0))</f>
        <v/>
      </c>
      <c r="T12">
        <f>IF(ISNUMBER(Data!U13),Data!U13*24,IFERROR(VALUE(SUBSTITUTE(LEFT(Data!U13,SEARCH(":",Data!U13)-1),",","")),0)+IFERROR(VALUE(RIGHT(Data!U13,LEN(Data!U13)-SEARCH(":",Data!U13)))/60,0))</f>
        <v/>
      </c>
      <c r="U12">
        <f>IF(ISNUMBER(Data!V13),Data!V13*24,IFERROR(VALUE(SUBSTITUTE(LEFT(Data!V13,SEARCH(":",Data!V13)-1),",","")),0)+IFERROR(VALUE(RIGHT(Data!V13,LEN(Data!V13)-SEARCH(":",Data!V13)))/60,0))</f>
        <v/>
      </c>
      <c r="V12">
        <f>IF(ISNUMBER(Data!W13),Data!W13*24,IFERROR(VALUE(SUBSTITUTE(LEFT(Data!W13,SEARCH(":",Data!W13)-1),",","")),0)+IFERROR(VALUE(RIGHT(Data!W13,LEN(Data!W13)-SEARCH(":",Data!W13)))/60,0))</f>
        <v/>
      </c>
      <c r="W12">
        <f>IF(ISNUMBER(Data!X13),Data!X13*24,IFERROR(VALUE(SUBSTITUTE(LEFT(Data!X13,SEARCH(":",Data!X13)-1),",","")),0)+IFERROR(VALUE(RIGHT(Data!X13,LEN(Data!X13)-SEARCH(":",Data!X13)))/60,0))</f>
        <v/>
      </c>
      <c r="X12">
        <f>IF(ISNUMBER(Data!Y13),Data!Y13*24,IFERROR(VALUE(SUBSTITUTE(LEFT(Data!Y13,SEARCH(":",Data!Y13)-1),",","")),0)+IFERROR(VALUE(RIGHT(Data!Y13,LEN(Data!Y13)-SEARCH(":",Data!Y13)))/60,0))</f>
        <v/>
      </c>
      <c r="Y12">
        <f>IF(ISNUMBER(Data!Z13),Data!Z13*24,IFERROR(VALUE(SUBSTITUTE(LEFT(Data!Z13,SEARCH(":",Data!Z13)-1),",","")),0)+IFERROR(VALUE(RIGHT(Data!Z13,LEN(Data!Z13)-SEARCH(":",Data!Z13)))/60,0))</f>
        <v/>
      </c>
      <c r="Z12">
        <f>IF(ISNUMBER(Data!AA13),Data!AA13*24,IFERROR(VALUE(SUBSTITUTE(LEFT(Data!AA13,SEARCH(":",Data!AA13)-1),",","")),0)+IFERROR(VALUE(RIGHT(Data!AA13,LEN(Data!AA13)-SEARCH(":",Data!AA13)))/60,0))</f>
        <v/>
      </c>
      <c r="AA12">
        <f>IF(ISNUMBER(Data!AB13),Data!AB13*24,IFERROR(VALUE(SUBSTITUTE(LEFT(Data!AB13,SEARCH(":",Data!AB13)-1),",","")),0)+IFERROR(VALUE(RIGHT(Data!AB13,LEN(Data!AB13)-SEARCH(":",Data!AB13)))/60,0))</f>
        <v/>
      </c>
      <c r="AB12">
        <f>IF(ISNUMBER(Data!AC13),Data!AC13*24,IFERROR(VALUE(SUBSTITUTE(LEFT(Data!AC13,SEARCH(":",Data!AC13)-1),",","")),0)+IFERROR(VALUE(RIGHT(Data!AC13,LEN(Data!AC13)-SEARCH(":",Data!AC13)))/60,0))</f>
        <v/>
      </c>
      <c r="AC12">
        <f>IF(ISNUMBER(Data!AD13),Data!AD13*24,IFERROR(VALUE(SUBSTITUTE(LEFT(Data!AD13,SEARCH(":",Data!AD13)-1),",","")),0)+IFERROR(VALUE(RIGHT(Data!AD13,LEN(Data!AD13)-SEARCH(":",Data!AD13)))/60,0))</f>
        <v/>
      </c>
      <c r="AD12">
        <f>SUM(B12:AC12)</f>
        <v/>
      </c>
    </row>
    <row r="13">
      <c r="A13">
        <f>Data!B14</f>
        <v/>
      </c>
      <c r="B13">
        <f>IF(ISNUMBER(Data!C14),Data!C14*24,IFERROR(VALUE(SUBSTITUTE(LEFT(Data!C14,SEARCH(":",Data!C14)-1),",","")),0)+IFERROR(VALUE(RIGHT(Data!C14,LEN(Data!C14)-SEARCH(":",Data!C14)))/60,0))</f>
        <v/>
      </c>
      <c r="C13">
        <f>IF(ISNUMBER(Data!D14),Data!D14*24,IFERROR(VALUE(SUBSTITUTE(LEFT(Data!D14,SEARCH(":",Data!D14)-1),",","")),0)+IFERROR(VALUE(RIGHT(Data!D14,LEN(Data!D14)-SEARCH(":",Data!D14)))/60,0))</f>
        <v/>
      </c>
      <c r="D13">
        <f>IF(ISNUMBER(Data!E14),Data!E14*24,IFERROR(VALUE(SUBSTITUTE(LEFT(Data!E14,SEARCH(":",Data!E14)-1),",","")),0)+IFERROR(VALUE(RIGHT(Data!E14,LEN(Data!E14)-SEARCH(":",Data!E14)))/60,0))</f>
        <v/>
      </c>
      <c r="E13">
        <f>IF(ISNUMBER(Data!F14),Data!F14*24,IFERROR(VALUE(SUBSTITUTE(LEFT(Data!F14,SEARCH(":",Data!F14)-1),",","")),0)+IFERROR(VALUE(RIGHT(Data!F14,LEN(Data!F14)-SEARCH(":",Data!F14)))/60,0))</f>
        <v/>
      </c>
      <c r="F13">
        <f>IF(ISNUMBER(Data!G14),Data!G14*24,IFERROR(VALUE(SUBSTITUTE(LEFT(Data!G14,SEARCH(":",Data!G14)-1),",","")),0)+IFERROR(VALUE(RIGHT(Data!G14,LEN(Data!G14)-SEARCH(":",Data!G14)))/60,0))</f>
        <v/>
      </c>
      <c r="G13">
        <f>IF(ISNUMBER(Data!H14),Data!H14*24,IFERROR(VALUE(SUBSTITUTE(LEFT(Data!H14,SEARCH(":",Data!H14)-1),",","")),0)+IFERROR(VALUE(RIGHT(Data!H14,LEN(Data!H14)-SEARCH(":",Data!H14)))/60,0))</f>
        <v/>
      </c>
      <c r="H13">
        <f>IF(ISNUMBER(Data!I14),Data!I14*24,IFERROR(VALUE(SUBSTITUTE(LEFT(Data!I14,SEARCH(":",Data!I14)-1),",","")),0)+IFERROR(VALUE(RIGHT(Data!I14,LEN(Data!I14)-SEARCH(":",Data!I14)))/60,0))</f>
        <v/>
      </c>
      <c r="I13">
        <f>IF(ISNUMBER(Data!J14),Data!J14*24,IFERROR(VALUE(SUBSTITUTE(LEFT(Data!J14,SEARCH(":",Data!J14)-1),",","")),0)+IFERROR(VALUE(RIGHT(Data!J14,LEN(Data!J14)-SEARCH(":",Data!J14)))/60,0))</f>
        <v/>
      </c>
      <c r="J13">
        <f>IF(ISNUMBER(Data!K14),Data!K14*24,IFERROR(VALUE(SUBSTITUTE(LEFT(Data!K14,SEARCH(":",Data!K14)-1),",","")),0)+IFERROR(VALUE(RIGHT(Data!K14,LEN(Data!K14)-SEARCH(":",Data!K14)))/60,0))</f>
        <v/>
      </c>
      <c r="K13">
        <f>IF(ISNUMBER(Data!L14),Data!L14*24,IFERROR(VALUE(SUBSTITUTE(LEFT(Data!L14,SEARCH(":",Data!L14)-1),",","")),0)+IFERROR(VALUE(RIGHT(Data!L14,LEN(Data!L14)-SEARCH(":",Data!L14)))/60,0))</f>
        <v/>
      </c>
      <c r="L13">
        <f>IF(ISNUMBER(Data!M14),Data!M14*24,IFERROR(VALUE(SUBSTITUTE(LEFT(Data!M14,SEARCH(":",Data!M14)-1),",","")),0)+IFERROR(VALUE(RIGHT(Data!M14,LEN(Data!M14)-SEARCH(":",Data!M14)))/60,0))</f>
        <v/>
      </c>
      <c r="M13">
        <f>IF(ISNUMBER(Data!N14),Data!N14*24,IFERROR(VALUE(SUBSTITUTE(LEFT(Data!N14,SEARCH(":",Data!N14)-1),",","")),0)+IFERROR(VALUE(RIGHT(Data!N14,LEN(Data!N14)-SEARCH(":",Data!N14)))/60,0))</f>
        <v/>
      </c>
      <c r="N13">
        <f>IF(ISNUMBER(Data!O14),Data!O14*24,IFERROR(VALUE(SUBSTITUTE(LEFT(Data!O14,SEARCH(":",Data!O14)-1),",","")),0)+IFERROR(VALUE(RIGHT(Data!O14,LEN(Data!O14)-SEARCH(":",Data!O14)))/60,0))</f>
        <v/>
      </c>
      <c r="O13">
        <f>IF(ISNUMBER(Data!P14),Data!P14*24,IFERROR(VALUE(SUBSTITUTE(LEFT(Data!P14,SEARCH(":",Data!P14)-1),",","")),0)+IFERROR(VALUE(RIGHT(Data!P14,LEN(Data!P14)-SEARCH(":",Data!P14)))/60,0))</f>
        <v/>
      </c>
      <c r="P13">
        <f>IF(ISNUMBER(Data!Q14),Data!Q14*24,IFERROR(VALUE(SUBSTITUTE(LEFT(Data!Q14,SEARCH(":",Data!Q14)-1),",","")),0)+IFERROR(VALUE(RIGHT(Data!Q14,LEN(Data!Q14)-SEARCH(":",Data!Q14)))/60,0))</f>
        <v/>
      </c>
      <c r="Q13">
        <f>IF(ISNUMBER(Data!R14),Data!R14*24,IFERROR(VALUE(SUBSTITUTE(LEFT(Data!R14,SEARCH(":",Data!R14)-1),",","")),0)+IFERROR(VALUE(RIGHT(Data!R14,LEN(Data!R14)-SEARCH(":",Data!R14)))/60,0))</f>
        <v/>
      </c>
      <c r="R13">
        <f>IF(ISNUMBER(Data!S14),Data!S14*24,IFERROR(VALUE(SUBSTITUTE(LEFT(Data!S14,SEARCH(":",Data!S14)-1),",","")),0)+IFERROR(VALUE(RIGHT(Data!S14,LEN(Data!S14)-SEARCH(":",Data!S14)))/60,0))</f>
        <v/>
      </c>
      <c r="S13">
        <f>IF(ISNUMBER(Data!T14),Data!T14*24,IFERROR(VALUE(SUBSTITUTE(LEFT(Data!T14,SEARCH(":",Data!T14)-1),",","")),0)+IFERROR(VALUE(RIGHT(Data!T14,LEN(Data!T14)-SEARCH(":",Data!T14)))/60,0))</f>
        <v/>
      </c>
      <c r="T13">
        <f>IF(ISNUMBER(Data!U14),Data!U14*24,IFERROR(VALUE(SUBSTITUTE(LEFT(Data!U14,SEARCH(":",Data!U14)-1),",","")),0)+IFERROR(VALUE(RIGHT(Data!U14,LEN(Data!U14)-SEARCH(":",Data!U14)))/60,0))</f>
        <v/>
      </c>
      <c r="U13">
        <f>IF(ISNUMBER(Data!V14),Data!V14*24,IFERROR(VALUE(SUBSTITUTE(LEFT(Data!V14,SEARCH(":",Data!V14)-1),",","")),0)+IFERROR(VALUE(RIGHT(Data!V14,LEN(Data!V14)-SEARCH(":",Data!V14)))/60,0))</f>
        <v/>
      </c>
      <c r="V13">
        <f>IF(ISNUMBER(Data!W14),Data!W14*24,IFERROR(VALUE(SUBSTITUTE(LEFT(Data!W14,SEARCH(":",Data!W14)-1),",","")),0)+IFERROR(VALUE(RIGHT(Data!W14,LEN(Data!W14)-SEARCH(":",Data!W14)))/60,0))</f>
        <v/>
      </c>
      <c r="W13">
        <f>IF(ISNUMBER(Data!X14),Data!X14*24,IFERROR(VALUE(SUBSTITUTE(LEFT(Data!X14,SEARCH(":",Data!X14)-1),",","")),0)+IFERROR(VALUE(RIGHT(Data!X14,LEN(Data!X14)-SEARCH(":",Data!X14)))/60,0))</f>
        <v/>
      </c>
      <c r="X13">
        <f>IF(ISNUMBER(Data!Y14),Data!Y14*24,IFERROR(VALUE(SUBSTITUTE(LEFT(Data!Y14,SEARCH(":",Data!Y14)-1),",","")),0)+IFERROR(VALUE(RIGHT(Data!Y14,LEN(Data!Y14)-SEARCH(":",Data!Y14)))/60,0))</f>
        <v/>
      </c>
      <c r="Y13">
        <f>IF(ISNUMBER(Data!Z14),Data!Z14*24,IFERROR(VALUE(SUBSTITUTE(LEFT(Data!Z14,SEARCH(":",Data!Z14)-1),",","")),0)+IFERROR(VALUE(RIGHT(Data!Z14,LEN(Data!Z14)-SEARCH(":",Data!Z14)))/60,0))</f>
        <v/>
      </c>
      <c r="Z13">
        <f>IF(ISNUMBER(Data!AA14),Data!AA14*24,IFERROR(VALUE(SUBSTITUTE(LEFT(Data!AA14,SEARCH(":",Data!AA14)-1),",","")),0)+IFERROR(VALUE(RIGHT(Data!AA14,LEN(Data!AA14)-SEARCH(":",Data!AA14)))/60,0))</f>
        <v/>
      </c>
      <c r="AA13">
        <f>IF(ISNUMBER(Data!AB14),Data!AB14*24,IFERROR(VALUE(SUBSTITUTE(LEFT(Data!AB14,SEARCH(":",Data!AB14)-1),",","")),0)+IFERROR(VALUE(RIGHT(Data!AB14,LEN(Data!AB14)-SEARCH(":",Data!AB14)))/60,0))</f>
        <v/>
      </c>
      <c r="AB13">
        <f>IF(ISNUMBER(Data!AC14),Data!AC14*24,IFERROR(VALUE(SUBSTITUTE(LEFT(Data!AC14,SEARCH(":",Data!AC14)-1),",","")),0)+IFERROR(VALUE(RIGHT(Data!AC14,LEN(Data!AC14)-SEARCH(":",Data!AC14)))/60,0))</f>
        <v/>
      </c>
      <c r="AC13">
        <f>IF(ISNUMBER(Data!AD14),Data!AD14*24,IFERROR(VALUE(SUBSTITUTE(LEFT(Data!AD14,SEARCH(":",Data!AD14)-1),",","")),0)+IFERROR(VALUE(RIGHT(Data!AD14,LEN(Data!AD14)-SEARCH(":",Data!AD14)))/60,0))</f>
        <v/>
      </c>
      <c r="AD13">
        <f>SUM(B13:AC13)</f>
        <v/>
      </c>
    </row>
    <row r="14">
      <c r="A14">
        <f>Data!B15</f>
        <v/>
      </c>
      <c r="B14">
        <f>IF(ISNUMBER(Data!C15),Data!C15*24,IFERROR(VALUE(SUBSTITUTE(LEFT(Data!C15,SEARCH(":",Data!C15)-1),",","")),0)+IFERROR(VALUE(RIGHT(Data!C15,LEN(Data!C15)-SEARCH(":",Data!C15)))/60,0))</f>
        <v/>
      </c>
      <c r="C14">
        <f>IF(ISNUMBER(Data!D15),Data!D15*24,IFERROR(VALUE(SUBSTITUTE(LEFT(Data!D15,SEARCH(":",Data!D15)-1),",","")),0)+IFERROR(VALUE(RIGHT(Data!D15,LEN(Data!D15)-SEARCH(":",Data!D15)))/60,0))</f>
        <v/>
      </c>
      <c r="D14">
        <f>IF(ISNUMBER(Data!E15),Data!E15*24,IFERROR(VALUE(SUBSTITUTE(LEFT(Data!E15,SEARCH(":",Data!E15)-1),",","")),0)+IFERROR(VALUE(RIGHT(Data!E15,LEN(Data!E15)-SEARCH(":",Data!E15)))/60,0))</f>
        <v/>
      </c>
      <c r="E14">
        <f>IF(ISNUMBER(Data!F15),Data!F15*24,IFERROR(VALUE(SUBSTITUTE(LEFT(Data!F15,SEARCH(":",Data!F15)-1),",","")),0)+IFERROR(VALUE(RIGHT(Data!F15,LEN(Data!F15)-SEARCH(":",Data!F15)))/60,0))</f>
        <v/>
      </c>
      <c r="F14">
        <f>IF(ISNUMBER(Data!G15),Data!G15*24,IFERROR(VALUE(SUBSTITUTE(LEFT(Data!G15,SEARCH(":",Data!G15)-1),",","")),0)+IFERROR(VALUE(RIGHT(Data!G15,LEN(Data!G15)-SEARCH(":",Data!G15)))/60,0))</f>
        <v/>
      </c>
      <c r="G14">
        <f>IF(ISNUMBER(Data!H15),Data!H15*24,IFERROR(VALUE(SUBSTITUTE(LEFT(Data!H15,SEARCH(":",Data!H15)-1),",","")),0)+IFERROR(VALUE(RIGHT(Data!H15,LEN(Data!H15)-SEARCH(":",Data!H15)))/60,0))</f>
        <v/>
      </c>
      <c r="H14">
        <f>IF(ISNUMBER(Data!I15),Data!I15*24,IFERROR(VALUE(SUBSTITUTE(LEFT(Data!I15,SEARCH(":",Data!I15)-1),",","")),0)+IFERROR(VALUE(RIGHT(Data!I15,LEN(Data!I15)-SEARCH(":",Data!I15)))/60,0))</f>
        <v/>
      </c>
      <c r="I14">
        <f>IF(ISNUMBER(Data!J15),Data!J15*24,IFERROR(VALUE(SUBSTITUTE(LEFT(Data!J15,SEARCH(":",Data!J15)-1),",","")),0)+IFERROR(VALUE(RIGHT(Data!J15,LEN(Data!J15)-SEARCH(":",Data!J15)))/60,0))</f>
        <v/>
      </c>
      <c r="J14">
        <f>IF(ISNUMBER(Data!K15),Data!K15*24,IFERROR(VALUE(SUBSTITUTE(LEFT(Data!K15,SEARCH(":",Data!K15)-1),",","")),0)+IFERROR(VALUE(RIGHT(Data!K15,LEN(Data!K15)-SEARCH(":",Data!K15)))/60,0))</f>
        <v/>
      </c>
      <c r="K14">
        <f>IF(ISNUMBER(Data!L15),Data!L15*24,IFERROR(VALUE(SUBSTITUTE(LEFT(Data!L15,SEARCH(":",Data!L15)-1),",","")),0)+IFERROR(VALUE(RIGHT(Data!L15,LEN(Data!L15)-SEARCH(":",Data!L15)))/60,0))</f>
        <v/>
      </c>
      <c r="L14">
        <f>IF(ISNUMBER(Data!M15),Data!M15*24,IFERROR(VALUE(SUBSTITUTE(LEFT(Data!M15,SEARCH(":",Data!M15)-1),",","")),0)+IFERROR(VALUE(RIGHT(Data!M15,LEN(Data!M15)-SEARCH(":",Data!M15)))/60,0))</f>
        <v/>
      </c>
      <c r="M14">
        <f>IF(ISNUMBER(Data!N15),Data!N15*24,IFERROR(VALUE(SUBSTITUTE(LEFT(Data!N15,SEARCH(":",Data!N15)-1),",","")),0)+IFERROR(VALUE(RIGHT(Data!N15,LEN(Data!N15)-SEARCH(":",Data!N15)))/60,0))</f>
        <v/>
      </c>
      <c r="N14">
        <f>IF(ISNUMBER(Data!O15),Data!O15*24,IFERROR(VALUE(SUBSTITUTE(LEFT(Data!O15,SEARCH(":",Data!O15)-1),",","")),0)+IFERROR(VALUE(RIGHT(Data!O15,LEN(Data!O15)-SEARCH(":",Data!O15)))/60,0))</f>
        <v/>
      </c>
      <c r="O14">
        <f>IF(ISNUMBER(Data!P15),Data!P15*24,IFERROR(VALUE(SUBSTITUTE(LEFT(Data!P15,SEARCH(":",Data!P15)-1),",","")),0)+IFERROR(VALUE(RIGHT(Data!P15,LEN(Data!P15)-SEARCH(":",Data!P15)))/60,0))</f>
        <v/>
      </c>
      <c r="P14">
        <f>IF(ISNUMBER(Data!Q15),Data!Q15*24,IFERROR(VALUE(SUBSTITUTE(LEFT(Data!Q15,SEARCH(":",Data!Q15)-1),",","")),0)+IFERROR(VALUE(RIGHT(Data!Q15,LEN(Data!Q15)-SEARCH(":",Data!Q15)))/60,0))</f>
        <v/>
      </c>
      <c r="Q14">
        <f>IF(ISNUMBER(Data!R15),Data!R15*24,IFERROR(VALUE(SUBSTITUTE(LEFT(Data!R15,SEARCH(":",Data!R15)-1),",","")),0)+IFERROR(VALUE(RIGHT(Data!R15,LEN(Data!R15)-SEARCH(":",Data!R15)))/60,0))</f>
        <v/>
      </c>
      <c r="R14">
        <f>IF(ISNUMBER(Data!S15),Data!S15*24,IFERROR(VALUE(SUBSTITUTE(LEFT(Data!S15,SEARCH(":",Data!S15)-1),",","")),0)+IFERROR(VALUE(RIGHT(Data!S15,LEN(Data!S15)-SEARCH(":",Data!S15)))/60,0))</f>
        <v/>
      </c>
      <c r="S14">
        <f>IF(ISNUMBER(Data!T15),Data!T15*24,IFERROR(VALUE(SUBSTITUTE(LEFT(Data!T15,SEARCH(":",Data!T15)-1),",","")),0)+IFERROR(VALUE(RIGHT(Data!T15,LEN(Data!T15)-SEARCH(":",Data!T15)))/60,0))</f>
        <v/>
      </c>
      <c r="T14">
        <f>IF(ISNUMBER(Data!U15),Data!U15*24,IFERROR(VALUE(SUBSTITUTE(LEFT(Data!U15,SEARCH(":",Data!U15)-1),",","")),0)+IFERROR(VALUE(RIGHT(Data!U15,LEN(Data!U15)-SEARCH(":",Data!U15)))/60,0))</f>
        <v/>
      </c>
      <c r="U14">
        <f>IF(ISNUMBER(Data!V15),Data!V15*24,IFERROR(VALUE(SUBSTITUTE(LEFT(Data!V15,SEARCH(":",Data!V15)-1),",","")),0)+IFERROR(VALUE(RIGHT(Data!V15,LEN(Data!V15)-SEARCH(":",Data!V15)))/60,0))</f>
        <v/>
      </c>
      <c r="V14">
        <f>IF(ISNUMBER(Data!W15),Data!W15*24,IFERROR(VALUE(SUBSTITUTE(LEFT(Data!W15,SEARCH(":",Data!W15)-1),",","")),0)+IFERROR(VALUE(RIGHT(Data!W15,LEN(Data!W15)-SEARCH(":",Data!W15)))/60,0))</f>
        <v/>
      </c>
      <c r="W14">
        <f>IF(ISNUMBER(Data!X15),Data!X15*24,IFERROR(VALUE(SUBSTITUTE(LEFT(Data!X15,SEARCH(":",Data!X15)-1),",","")),0)+IFERROR(VALUE(RIGHT(Data!X15,LEN(Data!X15)-SEARCH(":",Data!X15)))/60,0))</f>
        <v/>
      </c>
      <c r="X14">
        <f>IF(ISNUMBER(Data!Y15),Data!Y15*24,IFERROR(VALUE(SUBSTITUTE(LEFT(Data!Y15,SEARCH(":",Data!Y15)-1),",","")),0)+IFERROR(VALUE(RIGHT(Data!Y15,LEN(Data!Y15)-SEARCH(":",Data!Y15)))/60,0))</f>
        <v/>
      </c>
      <c r="Y14">
        <f>IF(ISNUMBER(Data!Z15),Data!Z15*24,IFERROR(VALUE(SUBSTITUTE(LEFT(Data!Z15,SEARCH(":",Data!Z15)-1),",","")),0)+IFERROR(VALUE(RIGHT(Data!Z15,LEN(Data!Z15)-SEARCH(":",Data!Z15)))/60,0))</f>
        <v/>
      </c>
      <c r="Z14">
        <f>IF(ISNUMBER(Data!AA15),Data!AA15*24,IFERROR(VALUE(SUBSTITUTE(LEFT(Data!AA15,SEARCH(":",Data!AA15)-1),",","")),0)+IFERROR(VALUE(RIGHT(Data!AA15,LEN(Data!AA15)-SEARCH(":",Data!AA15)))/60,0))</f>
        <v/>
      </c>
      <c r="AA14">
        <f>IF(ISNUMBER(Data!AB15),Data!AB15*24,IFERROR(VALUE(SUBSTITUTE(LEFT(Data!AB15,SEARCH(":",Data!AB15)-1),",","")),0)+IFERROR(VALUE(RIGHT(Data!AB15,LEN(Data!AB15)-SEARCH(":",Data!AB15)))/60,0))</f>
        <v/>
      </c>
      <c r="AB14">
        <f>IF(ISNUMBER(Data!AC15),Data!AC15*24,IFERROR(VALUE(SUBSTITUTE(LEFT(Data!AC15,SEARCH(":",Data!AC15)-1),",","")),0)+IFERROR(VALUE(RIGHT(Data!AC15,LEN(Data!AC15)-SEARCH(":",Data!AC15)))/60,0))</f>
        <v/>
      </c>
      <c r="AC14">
        <f>IF(ISNUMBER(Data!AD15),Data!AD15*24,IFERROR(VALUE(SUBSTITUTE(LEFT(Data!AD15,SEARCH(":",Data!AD15)-1),",","")),0)+IFERROR(VALUE(RIGHT(Data!AD15,LEN(Data!AD15)-SEARCH(":",Data!AD15)))/60,0))</f>
        <v/>
      </c>
      <c r="AD14">
        <f>SUM(B14:AC14)</f>
        <v/>
      </c>
    </row>
    <row r="15">
      <c r="A15">
        <f>Data!B16</f>
        <v/>
      </c>
      <c r="B15">
        <f>IF(ISNUMBER(Data!C16),Data!C16*24,IFERROR(VALUE(SUBSTITUTE(LEFT(Data!C16,SEARCH(":",Data!C16)-1),",","")),0)+IFERROR(VALUE(RIGHT(Data!C16,LEN(Data!C16)-SEARCH(":",Data!C16)))/60,0))</f>
        <v/>
      </c>
      <c r="C15">
        <f>IF(ISNUMBER(Data!D16),Data!D16*24,IFERROR(VALUE(SUBSTITUTE(LEFT(Data!D16,SEARCH(":",Data!D16)-1),",","")),0)+IFERROR(VALUE(RIGHT(Data!D16,LEN(Data!D16)-SEARCH(":",Data!D16)))/60,0))</f>
        <v/>
      </c>
      <c r="D15">
        <f>IF(ISNUMBER(Data!E16),Data!E16*24,IFERROR(VALUE(SUBSTITUTE(LEFT(Data!E16,SEARCH(":",Data!E16)-1),",","")),0)+IFERROR(VALUE(RIGHT(Data!E16,LEN(Data!E16)-SEARCH(":",Data!E16)))/60,0))</f>
        <v/>
      </c>
      <c r="E15">
        <f>IF(ISNUMBER(Data!F16),Data!F16*24,IFERROR(VALUE(SUBSTITUTE(LEFT(Data!F16,SEARCH(":",Data!F16)-1),",","")),0)+IFERROR(VALUE(RIGHT(Data!F16,LEN(Data!F16)-SEARCH(":",Data!F16)))/60,0))</f>
        <v/>
      </c>
      <c r="F15">
        <f>IF(ISNUMBER(Data!G16),Data!G16*24,IFERROR(VALUE(SUBSTITUTE(LEFT(Data!G16,SEARCH(":",Data!G16)-1),",","")),0)+IFERROR(VALUE(RIGHT(Data!G16,LEN(Data!G16)-SEARCH(":",Data!G16)))/60,0))</f>
        <v/>
      </c>
      <c r="G15">
        <f>IF(ISNUMBER(Data!H16),Data!H16*24,IFERROR(VALUE(SUBSTITUTE(LEFT(Data!H16,SEARCH(":",Data!H16)-1),",","")),0)+IFERROR(VALUE(RIGHT(Data!H16,LEN(Data!H16)-SEARCH(":",Data!H16)))/60,0))</f>
        <v/>
      </c>
      <c r="H15">
        <f>IF(ISNUMBER(Data!I16),Data!I16*24,IFERROR(VALUE(SUBSTITUTE(LEFT(Data!I16,SEARCH(":",Data!I16)-1),",","")),0)+IFERROR(VALUE(RIGHT(Data!I16,LEN(Data!I16)-SEARCH(":",Data!I16)))/60,0))</f>
        <v/>
      </c>
      <c r="I15">
        <f>IF(ISNUMBER(Data!J16),Data!J16*24,IFERROR(VALUE(SUBSTITUTE(LEFT(Data!J16,SEARCH(":",Data!J16)-1),",","")),0)+IFERROR(VALUE(RIGHT(Data!J16,LEN(Data!J16)-SEARCH(":",Data!J16)))/60,0))</f>
        <v/>
      </c>
      <c r="J15">
        <f>IF(ISNUMBER(Data!K16),Data!K16*24,IFERROR(VALUE(SUBSTITUTE(LEFT(Data!K16,SEARCH(":",Data!K16)-1),",","")),0)+IFERROR(VALUE(RIGHT(Data!K16,LEN(Data!K16)-SEARCH(":",Data!K16)))/60,0))</f>
        <v/>
      </c>
      <c r="K15">
        <f>IF(ISNUMBER(Data!L16),Data!L16*24,IFERROR(VALUE(SUBSTITUTE(LEFT(Data!L16,SEARCH(":",Data!L16)-1),",","")),0)+IFERROR(VALUE(RIGHT(Data!L16,LEN(Data!L16)-SEARCH(":",Data!L16)))/60,0))</f>
        <v/>
      </c>
      <c r="L15">
        <f>IF(ISNUMBER(Data!M16),Data!M16*24,IFERROR(VALUE(SUBSTITUTE(LEFT(Data!M16,SEARCH(":",Data!M16)-1),",","")),0)+IFERROR(VALUE(RIGHT(Data!M16,LEN(Data!M16)-SEARCH(":",Data!M16)))/60,0))</f>
        <v/>
      </c>
      <c r="M15">
        <f>IF(ISNUMBER(Data!N16),Data!N16*24,IFERROR(VALUE(SUBSTITUTE(LEFT(Data!N16,SEARCH(":",Data!N16)-1),",","")),0)+IFERROR(VALUE(RIGHT(Data!N16,LEN(Data!N16)-SEARCH(":",Data!N16)))/60,0))</f>
        <v/>
      </c>
      <c r="N15">
        <f>IF(ISNUMBER(Data!O16),Data!O16*24,IFERROR(VALUE(SUBSTITUTE(LEFT(Data!O16,SEARCH(":",Data!O16)-1),",","")),0)+IFERROR(VALUE(RIGHT(Data!O16,LEN(Data!O16)-SEARCH(":",Data!O16)))/60,0))</f>
        <v/>
      </c>
      <c r="O15">
        <f>IF(ISNUMBER(Data!P16),Data!P16*24,IFERROR(VALUE(SUBSTITUTE(LEFT(Data!P16,SEARCH(":",Data!P16)-1),",","")),0)+IFERROR(VALUE(RIGHT(Data!P16,LEN(Data!P16)-SEARCH(":",Data!P16)))/60,0))</f>
        <v/>
      </c>
      <c r="P15">
        <f>IF(ISNUMBER(Data!Q16),Data!Q16*24,IFERROR(VALUE(SUBSTITUTE(LEFT(Data!Q16,SEARCH(":",Data!Q16)-1),",","")),0)+IFERROR(VALUE(RIGHT(Data!Q16,LEN(Data!Q16)-SEARCH(":",Data!Q16)))/60,0))</f>
        <v/>
      </c>
      <c r="Q15">
        <f>IF(ISNUMBER(Data!R16),Data!R16*24,IFERROR(VALUE(SUBSTITUTE(LEFT(Data!R16,SEARCH(":",Data!R16)-1),",","")),0)+IFERROR(VALUE(RIGHT(Data!R16,LEN(Data!R16)-SEARCH(":",Data!R16)))/60,0))</f>
        <v/>
      </c>
      <c r="R15">
        <f>IF(ISNUMBER(Data!S16),Data!S16*24,IFERROR(VALUE(SUBSTITUTE(LEFT(Data!S16,SEARCH(":",Data!S16)-1),",","")),0)+IFERROR(VALUE(RIGHT(Data!S16,LEN(Data!S16)-SEARCH(":",Data!S16)))/60,0))</f>
        <v/>
      </c>
      <c r="S15">
        <f>IF(ISNUMBER(Data!T16),Data!T16*24,IFERROR(VALUE(SUBSTITUTE(LEFT(Data!T16,SEARCH(":",Data!T16)-1),",","")),0)+IFERROR(VALUE(RIGHT(Data!T16,LEN(Data!T16)-SEARCH(":",Data!T16)))/60,0))</f>
        <v/>
      </c>
      <c r="T15">
        <f>IF(ISNUMBER(Data!U16),Data!U16*24,IFERROR(VALUE(SUBSTITUTE(LEFT(Data!U16,SEARCH(":",Data!U16)-1),",","")),0)+IFERROR(VALUE(RIGHT(Data!U16,LEN(Data!U16)-SEARCH(":",Data!U16)))/60,0))</f>
        <v/>
      </c>
      <c r="U15">
        <f>IF(ISNUMBER(Data!V16),Data!V16*24,IFERROR(VALUE(SUBSTITUTE(LEFT(Data!V16,SEARCH(":",Data!V16)-1),",","")),0)+IFERROR(VALUE(RIGHT(Data!V16,LEN(Data!V16)-SEARCH(":",Data!V16)))/60,0))</f>
        <v/>
      </c>
      <c r="V15">
        <f>IF(ISNUMBER(Data!W16),Data!W16*24,IFERROR(VALUE(SUBSTITUTE(LEFT(Data!W16,SEARCH(":",Data!W16)-1),",","")),0)+IFERROR(VALUE(RIGHT(Data!W16,LEN(Data!W16)-SEARCH(":",Data!W16)))/60,0))</f>
        <v/>
      </c>
      <c r="W15">
        <f>IF(ISNUMBER(Data!X16),Data!X16*24,IFERROR(VALUE(SUBSTITUTE(LEFT(Data!X16,SEARCH(":",Data!X16)-1),",","")),0)+IFERROR(VALUE(RIGHT(Data!X16,LEN(Data!X16)-SEARCH(":",Data!X16)))/60,0))</f>
        <v/>
      </c>
      <c r="X15">
        <f>IF(ISNUMBER(Data!Y16),Data!Y16*24,IFERROR(VALUE(SUBSTITUTE(LEFT(Data!Y16,SEARCH(":",Data!Y16)-1),",","")),0)+IFERROR(VALUE(RIGHT(Data!Y16,LEN(Data!Y16)-SEARCH(":",Data!Y16)))/60,0))</f>
        <v/>
      </c>
      <c r="Y15">
        <f>IF(ISNUMBER(Data!Z16),Data!Z16*24,IFERROR(VALUE(SUBSTITUTE(LEFT(Data!Z16,SEARCH(":",Data!Z16)-1),",","")),0)+IFERROR(VALUE(RIGHT(Data!Z16,LEN(Data!Z16)-SEARCH(":",Data!Z16)))/60,0))</f>
        <v/>
      </c>
      <c r="Z15">
        <f>IF(ISNUMBER(Data!AA16),Data!AA16*24,IFERROR(VALUE(SUBSTITUTE(LEFT(Data!AA16,SEARCH(":",Data!AA16)-1),",","")),0)+IFERROR(VALUE(RIGHT(Data!AA16,LEN(Data!AA16)-SEARCH(":",Data!AA16)))/60,0))</f>
        <v/>
      </c>
      <c r="AA15">
        <f>IF(ISNUMBER(Data!AB16),Data!AB16*24,IFERROR(VALUE(SUBSTITUTE(LEFT(Data!AB16,SEARCH(":",Data!AB16)-1),",","")),0)+IFERROR(VALUE(RIGHT(Data!AB16,LEN(Data!AB16)-SEARCH(":",Data!AB16)))/60,0))</f>
        <v/>
      </c>
      <c r="AB15">
        <f>IF(ISNUMBER(Data!AC16),Data!AC16*24,IFERROR(VALUE(SUBSTITUTE(LEFT(Data!AC16,SEARCH(":",Data!AC16)-1),",","")),0)+IFERROR(VALUE(RIGHT(Data!AC16,LEN(Data!AC16)-SEARCH(":",Data!AC16)))/60,0))</f>
        <v/>
      </c>
      <c r="AC15">
        <f>IF(ISNUMBER(Data!AD16),Data!AD16*24,IFERROR(VALUE(SUBSTITUTE(LEFT(Data!AD16,SEARCH(":",Data!AD16)-1),",","")),0)+IFERROR(VALUE(RIGHT(Data!AD16,LEN(Data!AD16)-SEARCH(":",Data!AD16)))/60,0))</f>
        <v/>
      </c>
      <c r="AD15">
        <f>SUM(B15:AC15)</f>
        <v/>
      </c>
    </row>
    <row r="16">
      <c r="A16">
        <f>Data!B17</f>
        <v/>
      </c>
      <c r="B16">
        <f>IF(ISNUMBER(Data!C17),Data!C17*24,IFERROR(VALUE(SUBSTITUTE(LEFT(Data!C17,SEARCH(":",Data!C17)-1),",","")),0)+IFERROR(VALUE(RIGHT(Data!C17,LEN(Data!C17)-SEARCH(":",Data!C17)))/60,0))</f>
        <v/>
      </c>
      <c r="C16">
        <f>IF(ISNUMBER(Data!D17),Data!D17*24,IFERROR(VALUE(SUBSTITUTE(LEFT(Data!D17,SEARCH(":",Data!D17)-1),",","")),0)+IFERROR(VALUE(RIGHT(Data!D17,LEN(Data!D17)-SEARCH(":",Data!D17)))/60,0))</f>
        <v/>
      </c>
      <c r="D16">
        <f>IF(ISNUMBER(Data!E17),Data!E17*24,IFERROR(VALUE(SUBSTITUTE(LEFT(Data!E17,SEARCH(":",Data!E17)-1),",","")),0)+IFERROR(VALUE(RIGHT(Data!E17,LEN(Data!E17)-SEARCH(":",Data!E17)))/60,0))</f>
        <v/>
      </c>
      <c r="E16">
        <f>IF(ISNUMBER(Data!F17),Data!F17*24,IFERROR(VALUE(SUBSTITUTE(LEFT(Data!F17,SEARCH(":",Data!F17)-1),",","")),0)+IFERROR(VALUE(RIGHT(Data!F17,LEN(Data!F17)-SEARCH(":",Data!F17)))/60,0))</f>
        <v/>
      </c>
      <c r="F16">
        <f>IF(ISNUMBER(Data!G17),Data!G17*24,IFERROR(VALUE(SUBSTITUTE(LEFT(Data!G17,SEARCH(":",Data!G17)-1),",","")),0)+IFERROR(VALUE(RIGHT(Data!G17,LEN(Data!G17)-SEARCH(":",Data!G17)))/60,0))</f>
        <v/>
      </c>
      <c r="G16">
        <f>IF(ISNUMBER(Data!H17),Data!H17*24,IFERROR(VALUE(SUBSTITUTE(LEFT(Data!H17,SEARCH(":",Data!H17)-1),",","")),0)+IFERROR(VALUE(RIGHT(Data!H17,LEN(Data!H17)-SEARCH(":",Data!H17)))/60,0))</f>
        <v/>
      </c>
      <c r="H16">
        <f>IF(ISNUMBER(Data!I17),Data!I17*24,IFERROR(VALUE(SUBSTITUTE(LEFT(Data!I17,SEARCH(":",Data!I17)-1),",","")),0)+IFERROR(VALUE(RIGHT(Data!I17,LEN(Data!I17)-SEARCH(":",Data!I17)))/60,0))</f>
        <v/>
      </c>
      <c r="I16">
        <f>IF(ISNUMBER(Data!J17),Data!J17*24,IFERROR(VALUE(SUBSTITUTE(LEFT(Data!J17,SEARCH(":",Data!J17)-1),",","")),0)+IFERROR(VALUE(RIGHT(Data!J17,LEN(Data!J17)-SEARCH(":",Data!J17)))/60,0))</f>
        <v/>
      </c>
      <c r="J16">
        <f>IF(ISNUMBER(Data!K17),Data!K17*24,IFERROR(VALUE(SUBSTITUTE(LEFT(Data!K17,SEARCH(":",Data!K17)-1),",","")),0)+IFERROR(VALUE(RIGHT(Data!K17,LEN(Data!K17)-SEARCH(":",Data!K17)))/60,0))</f>
        <v/>
      </c>
      <c r="K16">
        <f>IF(ISNUMBER(Data!L17),Data!L17*24,IFERROR(VALUE(SUBSTITUTE(LEFT(Data!L17,SEARCH(":",Data!L17)-1),",","")),0)+IFERROR(VALUE(RIGHT(Data!L17,LEN(Data!L17)-SEARCH(":",Data!L17)))/60,0))</f>
        <v/>
      </c>
      <c r="L16">
        <f>IF(ISNUMBER(Data!M17),Data!M17*24,IFERROR(VALUE(SUBSTITUTE(LEFT(Data!M17,SEARCH(":",Data!M17)-1),",","")),0)+IFERROR(VALUE(RIGHT(Data!M17,LEN(Data!M17)-SEARCH(":",Data!M17)))/60,0))</f>
        <v/>
      </c>
      <c r="M16">
        <f>IF(ISNUMBER(Data!N17),Data!N17*24,IFERROR(VALUE(SUBSTITUTE(LEFT(Data!N17,SEARCH(":",Data!N17)-1),",","")),0)+IFERROR(VALUE(RIGHT(Data!N17,LEN(Data!N17)-SEARCH(":",Data!N17)))/60,0))</f>
        <v/>
      </c>
      <c r="N16">
        <f>IF(ISNUMBER(Data!O17),Data!O17*24,IFERROR(VALUE(SUBSTITUTE(LEFT(Data!O17,SEARCH(":",Data!O17)-1),",","")),0)+IFERROR(VALUE(RIGHT(Data!O17,LEN(Data!O17)-SEARCH(":",Data!O17)))/60,0))</f>
        <v/>
      </c>
      <c r="O16">
        <f>IF(ISNUMBER(Data!P17),Data!P17*24,IFERROR(VALUE(SUBSTITUTE(LEFT(Data!P17,SEARCH(":",Data!P17)-1),",","")),0)+IFERROR(VALUE(RIGHT(Data!P17,LEN(Data!P17)-SEARCH(":",Data!P17)))/60,0))</f>
        <v/>
      </c>
      <c r="P16">
        <f>IF(ISNUMBER(Data!Q17),Data!Q17*24,IFERROR(VALUE(SUBSTITUTE(LEFT(Data!Q17,SEARCH(":",Data!Q17)-1),",","")),0)+IFERROR(VALUE(RIGHT(Data!Q17,LEN(Data!Q17)-SEARCH(":",Data!Q17)))/60,0))</f>
        <v/>
      </c>
      <c r="Q16">
        <f>IF(ISNUMBER(Data!R17),Data!R17*24,IFERROR(VALUE(SUBSTITUTE(LEFT(Data!R17,SEARCH(":",Data!R17)-1),",","")),0)+IFERROR(VALUE(RIGHT(Data!R17,LEN(Data!R17)-SEARCH(":",Data!R17)))/60,0))</f>
        <v/>
      </c>
      <c r="R16">
        <f>IF(ISNUMBER(Data!S17),Data!S17*24,IFERROR(VALUE(SUBSTITUTE(LEFT(Data!S17,SEARCH(":",Data!S17)-1),",","")),0)+IFERROR(VALUE(RIGHT(Data!S17,LEN(Data!S17)-SEARCH(":",Data!S17)))/60,0))</f>
        <v/>
      </c>
      <c r="S16">
        <f>IF(ISNUMBER(Data!T17),Data!T17*24,IFERROR(VALUE(SUBSTITUTE(LEFT(Data!T17,SEARCH(":",Data!T17)-1),",","")),0)+IFERROR(VALUE(RIGHT(Data!T17,LEN(Data!T17)-SEARCH(":",Data!T17)))/60,0))</f>
        <v/>
      </c>
      <c r="T16">
        <f>IF(ISNUMBER(Data!U17),Data!U17*24,IFERROR(VALUE(SUBSTITUTE(LEFT(Data!U17,SEARCH(":",Data!U17)-1),",","")),0)+IFERROR(VALUE(RIGHT(Data!U17,LEN(Data!U17)-SEARCH(":",Data!U17)))/60,0))</f>
        <v/>
      </c>
      <c r="U16">
        <f>IF(ISNUMBER(Data!V17),Data!V17*24,IFERROR(VALUE(SUBSTITUTE(LEFT(Data!V17,SEARCH(":",Data!V17)-1),",","")),0)+IFERROR(VALUE(RIGHT(Data!V17,LEN(Data!V17)-SEARCH(":",Data!V17)))/60,0))</f>
        <v/>
      </c>
      <c r="V16">
        <f>IF(ISNUMBER(Data!W17),Data!W17*24,IFERROR(VALUE(SUBSTITUTE(LEFT(Data!W17,SEARCH(":",Data!W17)-1),",","")),0)+IFERROR(VALUE(RIGHT(Data!W17,LEN(Data!W17)-SEARCH(":",Data!W17)))/60,0))</f>
        <v/>
      </c>
      <c r="W16">
        <f>IF(ISNUMBER(Data!X17),Data!X17*24,IFERROR(VALUE(SUBSTITUTE(LEFT(Data!X17,SEARCH(":",Data!X17)-1),",","")),0)+IFERROR(VALUE(RIGHT(Data!X17,LEN(Data!X17)-SEARCH(":",Data!X17)))/60,0))</f>
        <v/>
      </c>
      <c r="X16">
        <f>IF(ISNUMBER(Data!Y17),Data!Y17*24,IFERROR(VALUE(SUBSTITUTE(LEFT(Data!Y17,SEARCH(":",Data!Y17)-1),",","")),0)+IFERROR(VALUE(RIGHT(Data!Y17,LEN(Data!Y17)-SEARCH(":",Data!Y17)))/60,0))</f>
        <v/>
      </c>
      <c r="Y16">
        <f>IF(ISNUMBER(Data!Z17),Data!Z17*24,IFERROR(VALUE(SUBSTITUTE(LEFT(Data!Z17,SEARCH(":",Data!Z17)-1),",","")),0)+IFERROR(VALUE(RIGHT(Data!Z17,LEN(Data!Z17)-SEARCH(":",Data!Z17)))/60,0))</f>
        <v/>
      </c>
      <c r="Z16">
        <f>IF(ISNUMBER(Data!AA17),Data!AA17*24,IFERROR(VALUE(SUBSTITUTE(LEFT(Data!AA17,SEARCH(":",Data!AA17)-1),",","")),0)+IFERROR(VALUE(RIGHT(Data!AA17,LEN(Data!AA17)-SEARCH(":",Data!AA17)))/60,0))</f>
        <v/>
      </c>
      <c r="AA16">
        <f>IF(ISNUMBER(Data!AB17),Data!AB17*24,IFERROR(VALUE(SUBSTITUTE(LEFT(Data!AB17,SEARCH(":",Data!AB17)-1),",","")),0)+IFERROR(VALUE(RIGHT(Data!AB17,LEN(Data!AB17)-SEARCH(":",Data!AB17)))/60,0))</f>
        <v/>
      </c>
      <c r="AB16">
        <f>IF(ISNUMBER(Data!AC17),Data!AC17*24,IFERROR(VALUE(SUBSTITUTE(LEFT(Data!AC17,SEARCH(":",Data!AC17)-1),",","")),0)+IFERROR(VALUE(RIGHT(Data!AC17,LEN(Data!AC17)-SEARCH(":",Data!AC17)))/60,0))</f>
        <v/>
      </c>
      <c r="AC16">
        <f>IF(ISNUMBER(Data!AD17),Data!AD17*24,IFERROR(VALUE(SUBSTITUTE(LEFT(Data!AD17,SEARCH(":",Data!AD17)-1),",","")),0)+IFERROR(VALUE(RIGHT(Data!AD17,LEN(Data!AD17)-SEARCH(":",Data!AD17)))/60,0))</f>
        <v/>
      </c>
      <c r="AD16">
        <f>SUM(B16:AC16)</f>
        <v/>
      </c>
    </row>
    <row r="17">
      <c r="A17">
        <f>Data!B18</f>
        <v/>
      </c>
      <c r="B17">
        <f>IF(ISNUMBER(Data!C18),Data!C18*24,IFERROR(VALUE(SUBSTITUTE(LEFT(Data!C18,SEARCH(":",Data!C18)-1),",","")),0)+IFERROR(VALUE(RIGHT(Data!C18,LEN(Data!C18)-SEARCH(":",Data!C18)))/60,0))</f>
        <v/>
      </c>
      <c r="C17">
        <f>IF(ISNUMBER(Data!D18),Data!D18*24,IFERROR(VALUE(SUBSTITUTE(LEFT(Data!D18,SEARCH(":",Data!D18)-1),",","")),0)+IFERROR(VALUE(RIGHT(Data!D18,LEN(Data!D18)-SEARCH(":",Data!D18)))/60,0))</f>
        <v/>
      </c>
      <c r="D17">
        <f>IF(ISNUMBER(Data!E18),Data!E18*24,IFERROR(VALUE(SUBSTITUTE(LEFT(Data!E18,SEARCH(":",Data!E18)-1),",","")),0)+IFERROR(VALUE(RIGHT(Data!E18,LEN(Data!E18)-SEARCH(":",Data!E18)))/60,0))</f>
        <v/>
      </c>
      <c r="E17">
        <f>IF(ISNUMBER(Data!F18),Data!F18*24,IFERROR(VALUE(SUBSTITUTE(LEFT(Data!F18,SEARCH(":",Data!F18)-1),",","")),0)+IFERROR(VALUE(RIGHT(Data!F18,LEN(Data!F18)-SEARCH(":",Data!F18)))/60,0))</f>
        <v/>
      </c>
      <c r="F17">
        <f>IF(ISNUMBER(Data!G18),Data!G18*24,IFERROR(VALUE(SUBSTITUTE(LEFT(Data!G18,SEARCH(":",Data!G18)-1),",","")),0)+IFERROR(VALUE(RIGHT(Data!G18,LEN(Data!G18)-SEARCH(":",Data!G18)))/60,0))</f>
        <v/>
      </c>
      <c r="G17">
        <f>IF(ISNUMBER(Data!H18),Data!H18*24,IFERROR(VALUE(SUBSTITUTE(LEFT(Data!H18,SEARCH(":",Data!H18)-1),",","")),0)+IFERROR(VALUE(RIGHT(Data!H18,LEN(Data!H18)-SEARCH(":",Data!H18)))/60,0))</f>
        <v/>
      </c>
      <c r="H17">
        <f>IF(ISNUMBER(Data!I18),Data!I18*24,IFERROR(VALUE(SUBSTITUTE(LEFT(Data!I18,SEARCH(":",Data!I18)-1),",","")),0)+IFERROR(VALUE(RIGHT(Data!I18,LEN(Data!I18)-SEARCH(":",Data!I18)))/60,0))</f>
        <v/>
      </c>
      <c r="I17">
        <f>IF(ISNUMBER(Data!J18),Data!J18*24,IFERROR(VALUE(SUBSTITUTE(LEFT(Data!J18,SEARCH(":",Data!J18)-1),",","")),0)+IFERROR(VALUE(RIGHT(Data!J18,LEN(Data!J18)-SEARCH(":",Data!J18)))/60,0))</f>
        <v/>
      </c>
      <c r="J17">
        <f>IF(ISNUMBER(Data!K18),Data!K18*24,IFERROR(VALUE(SUBSTITUTE(LEFT(Data!K18,SEARCH(":",Data!K18)-1),",","")),0)+IFERROR(VALUE(RIGHT(Data!K18,LEN(Data!K18)-SEARCH(":",Data!K18)))/60,0))</f>
        <v/>
      </c>
      <c r="K17">
        <f>IF(ISNUMBER(Data!L18),Data!L18*24,IFERROR(VALUE(SUBSTITUTE(LEFT(Data!L18,SEARCH(":",Data!L18)-1),",","")),0)+IFERROR(VALUE(RIGHT(Data!L18,LEN(Data!L18)-SEARCH(":",Data!L18)))/60,0))</f>
        <v/>
      </c>
      <c r="L17">
        <f>IF(ISNUMBER(Data!M18),Data!M18*24,IFERROR(VALUE(SUBSTITUTE(LEFT(Data!M18,SEARCH(":",Data!M18)-1),",","")),0)+IFERROR(VALUE(RIGHT(Data!M18,LEN(Data!M18)-SEARCH(":",Data!M18)))/60,0))</f>
        <v/>
      </c>
      <c r="M17">
        <f>IF(ISNUMBER(Data!N18),Data!N18*24,IFERROR(VALUE(SUBSTITUTE(LEFT(Data!N18,SEARCH(":",Data!N18)-1),",","")),0)+IFERROR(VALUE(RIGHT(Data!N18,LEN(Data!N18)-SEARCH(":",Data!N18)))/60,0))</f>
        <v/>
      </c>
      <c r="N17">
        <f>IF(ISNUMBER(Data!O18),Data!O18*24,IFERROR(VALUE(SUBSTITUTE(LEFT(Data!O18,SEARCH(":",Data!O18)-1),",","")),0)+IFERROR(VALUE(RIGHT(Data!O18,LEN(Data!O18)-SEARCH(":",Data!O18)))/60,0))</f>
        <v/>
      </c>
      <c r="O17">
        <f>IF(ISNUMBER(Data!P18),Data!P18*24,IFERROR(VALUE(SUBSTITUTE(LEFT(Data!P18,SEARCH(":",Data!P18)-1),",","")),0)+IFERROR(VALUE(RIGHT(Data!P18,LEN(Data!P18)-SEARCH(":",Data!P18)))/60,0))</f>
        <v/>
      </c>
      <c r="P17">
        <f>IF(ISNUMBER(Data!Q18),Data!Q18*24,IFERROR(VALUE(SUBSTITUTE(LEFT(Data!Q18,SEARCH(":",Data!Q18)-1),",","")),0)+IFERROR(VALUE(RIGHT(Data!Q18,LEN(Data!Q18)-SEARCH(":",Data!Q18)))/60,0))</f>
        <v/>
      </c>
      <c r="Q17">
        <f>IF(ISNUMBER(Data!R18),Data!R18*24,IFERROR(VALUE(SUBSTITUTE(LEFT(Data!R18,SEARCH(":",Data!R18)-1),",","")),0)+IFERROR(VALUE(RIGHT(Data!R18,LEN(Data!R18)-SEARCH(":",Data!R18)))/60,0))</f>
        <v/>
      </c>
      <c r="R17">
        <f>IF(ISNUMBER(Data!S18),Data!S18*24,IFERROR(VALUE(SUBSTITUTE(LEFT(Data!S18,SEARCH(":",Data!S18)-1),",","")),0)+IFERROR(VALUE(RIGHT(Data!S18,LEN(Data!S18)-SEARCH(":",Data!S18)))/60,0))</f>
        <v/>
      </c>
      <c r="S17">
        <f>IF(ISNUMBER(Data!T18),Data!T18*24,IFERROR(VALUE(SUBSTITUTE(LEFT(Data!T18,SEARCH(":",Data!T18)-1),",","")),0)+IFERROR(VALUE(RIGHT(Data!T18,LEN(Data!T18)-SEARCH(":",Data!T18)))/60,0))</f>
        <v/>
      </c>
      <c r="T17">
        <f>IF(ISNUMBER(Data!U18),Data!U18*24,IFERROR(VALUE(SUBSTITUTE(LEFT(Data!U18,SEARCH(":",Data!U18)-1),",","")),0)+IFERROR(VALUE(RIGHT(Data!U18,LEN(Data!U18)-SEARCH(":",Data!U18)))/60,0))</f>
        <v/>
      </c>
      <c r="U17">
        <f>IF(ISNUMBER(Data!V18),Data!V18*24,IFERROR(VALUE(SUBSTITUTE(LEFT(Data!V18,SEARCH(":",Data!V18)-1),",","")),0)+IFERROR(VALUE(RIGHT(Data!V18,LEN(Data!V18)-SEARCH(":",Data!V18)))/60,0))</f>
        <v/>
      </c>
      <c r="V17">
        <f>IF(ISNUMBER(Data!W18),Data!W18*24,IFERROR(VALUE(SUBSTITUTE(LEFT(Data!W18,SEARCH(":",Data!W18)-1),",","")),0)+IFERROR(VALUE(RIGHT(Data!W18,LEN(Data!W18)-SEARCH(":",Data!W18)))/60,0))</f>
        <v/>
      </c>
      <c r="W17">
        <f>IF(ISNUMBER(Data!X18),Data!X18*24,IFERROR(VALUE(SUBSTITUTE(LEFT(Data!X18,SEARCH(":",Data!X18)-1),",","")),0)+IFERROR(VALUE(RIGHT(Data!X18,LEN(Data!X18)-SEARCH(":",Data!X18)))/60,0))</f>
        <v/>
      </c>
      <c r="X17">
        <f>IF(ISNUMBER(Data!Y18),Data!Y18*24,IFERROR(VALUE(SUBSTITUTE(LEFT(Data!Y18,SEARCH(":",Data!Y18)-1),",","")),0)+IFERROR(VALUE(RIGHT(Data!Y18,LEN(Data!Y18)-SEARCH(":",Data!Y18)))/60,0))</f>
        <v/>
      </c>
      <c r="Y17">
        <f>IF(ISNUMBER(Data!Z18),Data!Z18*24,IFERROR(VALUE(SUBSTITUTE(LEFT(Data!Z18,SEARCH(":",Data!Z18)-1),",","")),0)+IFERROR(VALUE(RIGHT(Data!Z18,LEN(Data!Z18)-SEARCH(":",Data!Z18)))/60,0))</f>
        <v/>
      </c>
      <c r="Z17">
        <f>IF(ISNUMBER(Data!AA18),Data!AA18*24,IFERROR(VALUE(SUBSTITUTE(LEFT(Data!AA18,SEARCH(":",Data!AA18)-1),",","")),0)+IFERROR(VALUE(RIGHT(Data!AA18,LEN(Data!AA18)-SEARCH(":",Data!AA18)))/60,0))</f>
        <v/>
      </c>
      <c r="AA17">
        <f>IF(ISNUMBER(Data!AB18),Data!AB18*24,IFERROR(VALUE(SUBSTITUTE(LEFT(Data!AB18,SEARCH(":",Data!AB18)-1),",","")),0)+IFERROR(VALUE(RIGHT(Data!AB18,LEN(Data!AB18)-SEARCH(":",Data!AB18)))/60,0))</f>
        <v/>
      </c>
      <c r="AB17">
        <f>IF(ISNUMBER(Data!AC18),Data!AC18*24,IFERROR(VALUE(SUBSTITUTE(LEFT(Data!AC18,SEARCH(":",Data!AC18)-1),",","")),0)+IFERROR(VALUE(RIGHT(Data!AC18,LEN(Data!AC18)-SEARCH(":",Data!AC18)))/60,0))</f>
        <v/>
      </c>
      <c r="AC17">
        <f>IF(ISNUMBER(Data!AD18),Data!AD18*24,IFERROR(VALUE(SUBSTITUTE(LEFT(Data!AD18,SEARCH(":",Data!AD18)-1),",","")),0)+IFERROR(VALUE(RIGHT(Data!AD18,LEN(Data!AD18)-SEARCH(":",Data!AD18)))/60,0))</f>
        <v/>
      </c>
      <c r="AD17">
        <f>SUM(B17:AC17)</f>
        <v/>
      </c>
    </row>
    <row r="18">
      <c r="A18">
        <f>Data!B19</f>
        <v/>
      </c>
      <c r="B18">
        <f>IF(ISNUMBER(Data!C19),Data!C19*24,IFERROR(VALUE(SUBSTITUTE(LEFT(Data!C19,SEARCH(":",Data!C19)-1),",","")),0)+IFERROR(VALUE(RIGHT(Data!C19,LEN(Data!C19)-SEARCH(":",Data!C19)))/60,0))</f>
        <v/>
      </c>
      <c r="C18">
        <f>IF(ISNUMBER(Data!D19),Data!D19*24,IFERROR(VALUE(SUBSTITUTE(LEFT(Data!D19,SEARCH(":",Data!D19)-1),",","")),0)+IFERROR(VALUE(RIGHT(Data!D19,LEN(Data!D19)-SEARCH(":",Data!D19)))/60,0))</f>
        <v/>
      </c>
      <c r="D18">
        <f>IF(ISNUMBER(Data!E19),Data!E19*24,IFERROR(VALUE(SUBSTITUTE(LEFT(Data!E19,SEARCH(":",Data!E19)-1),",","")),0)+IFERROR(VALUE(RIGHT(Data!E19,LEN(Data!E19)-SEARCH(":",Data!E19)))/60,0))</f>
        <v/>
      </c>
      <c r="E18">
        <f>IF(ISNUMBER(Data!F19),Data!F19*24,IFERROR(VALUE(SUBSTITUTE(LEFT(Data!F19,SEARCH(":",Data!F19)-1),",","")),0)+IFERROR(VALUE(RIGHT(Data!F19,LEN(Data!F19)-SEARCH(":",Data!F19)))/60,0))</f>
        <v/>
      </c>
      <c r="F18">
        <f>IF(ISNUMBER(Data!G19),Data!G19*24,IFERROR(VALUE(SUBSTITUTE(LEFT(Data!G19,SEARCH(":",Data!G19)-1),",","")),0)+IFERROR(VALUE(RIGHT(Data!G19,LEN(Data!G19)-SEARCH(":",Data!G19)))/60,0))</f>
        <v/>
      </c>
      <c r="G18">
        <f>IF(ISNUMBER(Data!H19),Data!H19*24,IFERROR(VALUE(SUBSTITUTE(LEFT(Data!H19,SEARCH(":",Data!H19)-1),",","")),0)+IFERROR(VALUE(RIGHT(Data!H19,LEN(Data!H19)-SEARCH(":",Data!H19)))/60,0))</f>
        <v/>
      </c>
      <c r="H18">
        <f>IF(ISNUMBER(Data!I19),Data!I19*24,IFERROR(VALUE(SUBSTITUTE(LEFT(Data!I19,SEARCH(":",Data!I19)-1),",","")),0)+IFERROR(VALUE(RIGHT(Data!I19,LEN(Data!I19)-SEARCH(":",Data!I19)))/60,0))</f>
        <v/>
      </c>
      <c r="I18">
        <f>IF(ISNUMBER(Data!J19),Data!J19*24,IFERROR(VALUE(SUBSTITUTE(LEFT(Data!J19,SEARCH(":",Data!J19)-1),",","")),0)+IFERROR(VALUE(RIGHT(Data!J19,LEN(Data!J19)-SEARCH(":",Data!J19)))/60,0))</f>
        <v/>
      </c>
      <c r="J18">
        <f>IF(ISNUMBER(Data!K19),Data!K19*24,IFERROR(VALUE(SUBSTITUTE(LEFT(Data!K19,SEARCH(":",Data!K19)-1),",","")),0)+IFERROR(VALUE(RIGHT(Data!K19,LEN(Data!K19)-SEARCH(":",Data!K19)))/60,0))</f>
        <v/>
      </c>
      <c r="K18">
        <f>IF(ISNUMBER(Data!L19),Data!L19*24,IFERROR(VALUE(SUBSTITUTE(LEFT(Data!L19,SEARCH(":",Data!L19)-1),",","")),0)+IFERROR(VALUE(RIGHT(Data!L19,LEN(Data!L19)-SEARCH(":",Data!L19)))/60,0))</f>
        <v/>
      </c>
      <c r="L18">
        <f>IF(ISNUMBER(Data!M19),Data!M19*24,IFERROR(VALUE(SUBSTITUTE(LEFT(Data!M19,SEARCH(":",Data!M19)-1),",","")),0)+IFERROR(VALUE(RIGHT(Data!M19,LEN(Data!M19)-SEARCH(":",Data!M19)))/60,0))</f>
        <v/>
      </c>
      <c r="M18">
        <f>IF(ISNUMBER(Data!N19),Data!N19*24,IFERROR(VALUE(SUBSTITUTE(LEFT(Data!N19,SEARCH(":",Data!N19)-1),",","")),0)+IFERROR(VALUE(RIGHT(Data!N19,LEN(Data!N19)-SEARCH(":",Data!N19)))/60,0))</f>
        <v/>
      </c>
      <c r="N18">
        <f>IF(ISNUMBER(Data!O19),Data!O19*24,IFERROR(VALUE(SUBSTITUTE(LEFT(Data!O19,SEARCH(":",Data!O19)-1),",","")),0)+IFERROR(VALUE(RIGHT(Data!O19,LEN(Data!O19)-SEARCH(":",Data!O19)))/60,0))</f>
        <v/>
      </c>
      <c r="O18">
        <f>IF(ISNUMBER(Data!P19),Data!P19*24,IFERROR(VALUE(SUBSTITUTE(LEFT(Data!P19,SEARCH(":",Data!P19)-1),",","")),0)+IFERROR(VALUE(RIGHT(Data!P19,LEN(Data!P19)-SEARCH(":",Data!P19)))/60,0))</f>
        <v/>
      </c>
      <c r="P18">
        <f>IF(ISNUMBER(Data!Q19),Data!Q19*24,IFERROR(VALUE(SUBSTITUTE(LEFT(Data!Q19,SEARCH(":",Data!Q19)-1),",","")),0)+IFERROR(VALUE(RIGHT(Data!Q19,LEN(Data!Q19)-SEARCH(":",Data!Q19)))/60,0))</f>
        <v/>
      </c>
      <c r="Q18">
        <f>IF(ISNUMBER(Data!R19),Data!R19*24,IFERROR(VALUE(SUBSTITUTE(LEFT(Data!R19,SEARCH(":",Data!R19)-1),",","")),0)+IFERROR(VALUE(RIGHT(Data!R19,LEN(Data!R19)-SEARCH(":",Data!R19)))/60,0))</f>
        <v/>
      </c>
      <c r="R18">
        <f>IF(ISNUMBER(Data!S19),Data!S19*24,IFERROR(VALUE(SUBSTITUTE(LEFT(Data!S19,SEARCH(":",Data!S19)-1),",","")),0)+IFERROR(VALUE(RIGHT(Data!S19,LEN(Data!S19)-SEARCH(":",Data!S19)))/60,0))</f>
        <v/>
      </c>
      <c r="S18">
        <f>IF(ISNUMBER(Data!T19),Data!T19*24,IFERROR(VALUE(SUBSTITUTE(LEFT(Data!T19,SEARCH(":",Data!T19)-1),",","")),0)+IFERROR(VALUE(RIGHT(Data!T19,LEN(Data!T19)-SEARCH(":",Data!T19)))/60,0))</f>
        <v/>
      </c>
      <c r="T18">
        <f>IF(ISNUMBER(Data!U19),Data!U19*24,IFERROR(VALUE(SUBSTITUTE(LEFT(Data!U19,SEARCH(":",Data!U19)-1),",","")),0)+IFERROR(VALUE(RIGHT(Data!U19,LEN(Data!U19)-SEARCH(":",Data!U19)))/60,0))</f>
        <v/>
      </c>
      <c r="U18">
        <f>IF(ISNUMBER(Data!V19),Data!V19*24,IFERROR(VALUE(SUBSTITUTE(LEFT(Data!V19,SEARCH(":",Data!V19)-1),",","")),0)+IFERROR(VALUE(RIGHT(Data!V19,LEN(Data!V19)-SEARCH(":",Data!V19)))/60,0))</f>
        <v/>
      </c>
      <c r="V18">
        <f>IF(ISNUMBER(Data!W19),Data!W19*24,IFERROR(VALUE(SUBSTITUTE(LEFT(Data!W19,SEARCH(":",Data!W19)-1),",","")),0)+IFERROR(VALUE(RIGHT(Data!W19,LEN(Data!W19)-SEARCH(":",Data!W19)))/60,0))</f>
        <v/>
      </c>
      <c r="W18">
        <f>IF(ISNUMBER(Data!X19),Data!X19*24,IFERROR(VALUE(SUBSTITUTE(LEFT(Data!X19,SEARCH(":",Data!X19)-1),",","")),0)+IFERROR(VALUE(RIGHT(Data!X19,LEN(Data!X19)-SEARCH(":",Data!X19)))/60,0))</f>
        <v/>
      </c>
      <c r="X18">
        <f>IF(ISNUMBER(Data!Y19),Data!Y19*24,IFERROR(VALUE(SUBSTITUTE(LEFT(Data!Y19,SEARCH(":",Data!Y19)-1),",","")),0)+IFERROR(VALUE(RIGHT(Data!Y19,LEN(Data!Y19)-SEARCH(":",Data!Y19)))/60,0))</f>
        <v/>
      </c>
      <c r="Y18">
        <f>IF(ISNUMBER(Data!Z19),Data!Z19*24,IFERROR(VALUE(SUBSTITUTE(LEFT(Data!Z19,SEARCH(":",Data!Z19)-1),",","")),0)+IFERROR(VALUE(RIGHT(Data!Z19,LEN(Data!Z19)-SEARCH(":",Data!Z19)))/60,0))</f>
        <v/>
      </c>
      <c r="Z18">
        <f>IF(ISNUMBER(Data!AA19),Data!AA19*24,IFERROR(VALUE(SUBSTITUTE(LEFT(Data!AA19,SEARCH(":",Data!AA19)-1),",","")),0)+IFERROR(VALUE(RIGHT(Data!AA19,LEN(Data!AA19)-SEARCH(":",Data!AA19)))/60,0))</f>
        <v/>
      </c>
      <c r="AA18">
        <f>IF(ISNUMBER(Data!AB19),Data!AB19*24,IFERROR(VALUE(SUBSTITUTE(LEFT(Data!AB19,SEARCH(":",Data!AB19)-1),",","")),0)+IFERROR(VALUE(RIGHT(Data!AB19,LEN(Data!AB19)-SEARCH(":",Data!AB19)))/60,0))</f>
        <v/>
      </c>
      <c r="AB18">
        <f>IF(ISNUMBER(Data!AC19),Data!AC19*24,IFERROR(VALUE(SUBSTITUTE(LEFT(Data!AC19,SEARCH(":",Data!AC19)-1),",","")),0)+IFERROR(VALUE(RIGHT(Data!AC19,LEN(Data!AC19)-SEARCH(":",Data!AC19)))/60,0))</f>
        <v/>
      </c>
      <c r="AC18">
        <f>IF(ISNUMBER(Data!AD19),Data!AD19*24,IFERROR(VALUE(SUBSTITUTE(LEFT(Data!AD19,SEARCH(":",Data!AD19)-1),",","")),0)+IFERROR(VALUE(RIGHT(Data!AD19,LEN(Data!AD19)-SEARCH(":",Data!AD19)))/60,0))</f>
        <v/>
      </c>
      <c r="AD18">
        <f>SUM(B18:AC18)</f>
        <v/>
      </c>
    </row>
    <row r="19">
      <c r="A19">
        <f>Data!B20</f>
        <v/>
      </c>
      <c r="B19">
        <f>IF(ISNUMBER(Data!C20),Data!C20*24,IFERROR(VALUE(SUBSTITUTE(LEFT(Data!C20,SEARCH(":",Data!C20)-1),",","")),0)+IFERROR(VALUE(RIGHT(Data!C20,LEN(Data!C20)-SEARCH(":",Data!C20)))/60,0))</f>
        <v/>
      </c>
      <c r="C19">
        <f>IF(ISNUMBER(Data!D20),Data!D20*24,IFERROR(VALUE(SUBSTITUTE(LEFT(Data!D20,SEARCH(":",Data!D20)-1),",","")),0)+IFERROR(VALUE(RIGHT(Data!D20,LEN(Data!D20)-SEARCH(":",Data!D20)))/60,0))</f>
        <v/>
      </c>
      <c r="D19">
        <f>IF(ISNUMBER(Data!E20),Data!E20*24,IFERROR(VALUE(SUBSTITUTE(LEFT(Data!E20,SEARCH(":",Data!E20)-1),",","")),0)+IFERROR(VALUE(RIGHT(Data!E20,LEN(Data!E20)-SEARCH(":",Data!E20)))/60,0))</f>
        <v/>
      </c>
      <c r="E19">
        <f>IF(ISNUMBER(Data!F20),Data!F20*24,IFERROR(VALUE(SUBSTITUTE(LEFT(Data!F20,SEARCH(":",Data!F20)-1),",","")),0)+IFERROR(VALUE(RIGHT(Data!F20,LEN(Data!F20)-SEARCH(":",Data!F20)))/60,0))</f>
        <v/>
      </c>
      <c r="F19">
        <f>IF(ISNUMBER(Data!G20),Data!G20*24,IFERROR(VALUE(SUBSTITUTE(LEFT(Data!G20,SEARCH(":",Data!G20)-1),",","")),0)+IFERROR(VALUE(RIGHT(Data!G20,LEN(Data!G20)-SEARCH(":",Data!G20)))/60,0))</f>
        <v/>
      </c>
      <c r="G19">
        <f>IF(ISNUMBER(Data!H20),Data!H20*24,IFERROR(VALUE(SUBSTITUTE(LEFT(Data!H20,SEARCH(":",Data!H20)-1),",","")),0)+IFERROR(VALUE(RIGHT(Data!H20,LEN(Data!H20)-SEARCH(":",Data!H20)))/60,0))</f>
        <v/>
      </c>
      <c r="H19">
        <f>IF(ISNUMBER(Data!I20),Data!I20*24,IFERROR(VALUE(SUBSTITUTE(LEFT(Data!I20,SEARCH(":",Data!I20)-1),",","")),0)+IFERROR(VALUE(RIGHT(Data!I20,LEN(Data!I20)-SEARCH(":",Data!I20)))/60,0))</f>
        <v/>
      </c>
      <c r="I19">
        <f>IF(ISNUMBER(Data!J20),Data!J20*24,IFERROR(VALUE(SUBSTITUTE(LEFT(Data!J20,SEARCH(":",Data!J20)-1),",","")),0)+IFERROR(VALUE(RIGHT(Data!J20,LEN(Data!J20)-SEARCH(":",Data!J20)))/60,0))</f>
        <v/>
      </c>
      <c r="J19">
        <f>IF(ISNUMBER(Data!K20),Data!K20*24,IFERROR(VALUE(SUBSTITUTE(LEFT(Data!K20,SEARCH(":",Data!K20)-1),",","")),0)+IFERROR(VALUE(RIGHT(Data!K20,LEN(Data!K20)-SEARCH(":",Data!K20)))/60,0))</f>
        <v/>
      </c>
      <c r="K19">
        <f>IF(ISNUMBER(Data!L20),Data!L20*24,IFERROR(VALUE(SUBSTITUTE(LEFT(Data!L20,SEARCH(":",Data!L20)-1),",","")),0)+IFERROR(VALUE(RIGHT(Data!L20,LEN(Data!L20)-SEARCH(":",Data!L20)))/60,0))</f>
        <v/>
      </c>
      <c r="L19">
        <f>IF(ISNUMBER(Data!M20),Data!M20*24,IFERROR(VALUE(SUBSTITUTE(LEFT(Data!M20,SEARCH(":",Data!M20)-1),",","")),0)+IFERROR(VALUE(RIGHT(Data!M20,LEN(Data!M20)-SEARCH(":",Data!M20)))/60,0))</f>
        <v/>
      </c>
      <c r="M19">
        <f>IF(ISNUMBER(Data!N20),Data!N20*24,IFERROR(VALUE(SUBSTITUTE(LEFT(Data!N20,SEARCH(":",Data!N20)-1),",","")),0)+IFERROR(VALUE(RIGHT(Data!N20,LEN(Data!N20)-SEARCH(":",Data!N20)))/60,0))</f>
        <v/>
      </c>
      <c r="N19">
        <f>IF(ISNUMBER(Data!O20),Data!O20*24,IFERROR(VALUE(SUBSTITUTE(LEFT(Data!O20,SEARCH(":",Data!O20)-1),",","")),0)+IFERROR(VALUE(RIGHT(Data!O20,LEN(Data!O20)-SEARCH(":",Data!O20)))/60,0))</f>
        <v/>
      </c>
      <c r="O19">
        <f>IF(ISNUMBER(Data!P20),Data!P20*24,IFERROR(VALUE(SUBSTITUTE(LEFT(Data!P20,SEARCH(":",Data!P20)-1),",","")),0)+IFERROR(VALUE(RIGHT(Data!P20,LEN(Data!P20)-SEARCH(":",Data!P20)))/60,0))</f>
        <v/>
      </c>
      <c r="P19">
        <f>IF(ISNUMBER(Data!Q20),Data!Q20*24,IFERROR(VALUE(SUBSTITUTE(LEFT(Data!Q20,SEARCH(":",Data!Q20)-1),",","")),0)+IFERROR(VALUE(RIGHT(Data!Q20,LEN(Data!Q20)-SEARCH(":",Data!Q20)))/60,0))</f>
        <v/>
      </c>
      <c r="Q19">
        <f>IF(ISNUMBER(Data!R20),Data!R20*24,IFERROR(VALUE(SUBSTITUTE(LEFT(Data!R20,SEARCH(":",Data!R20)-1),",","")),0)+IFERROR(VALUE(RIGHT(Data!R20,LEN(Data!R20)-SEARCH(":",Data!R20)))/60,0))</f>
        <v/>
      </c>
      <c r="R19">
        <f>IF(ISNUMBER(Data!S20),Data!S20*24,IFERROR(VALUE(SUBSTITUTE(LEFT(Data!S20,SEARCH(":",Data!S20)-1),",","")),0)+IFERROR(VALUE(RIGHT(Data!S20,LEN(Data!S20)-SEARCH(":",Data!S20)))/60,0))</f>
        <v/>
      </c>
      <c r="S19">
        <f>IF(ISNUMBER(Data!T20),Data!T20*24,IFERROR(VALUE(SUBSTITUTE(LEFT(Data!T20,SEARCH(":",Data!T20)-1),",","")),0)+IFERROR(VALUE(RIGHT(Data!T20,LEN(Data!T20)-SEARCH(":",Data!T20)))/60,0))</f>
        <v/>
      </c>
      <c r="T19">
        <f>IF(ISNUMBER(Data!U20),Data!U20*24,IFERROR(VALUE(SUBSTITUTE(LEFT(Data!U20,SEARCH(":",Data!U20)-1),",","")),0)+IFERROR(VALUE(RIGHT(Data!U20,LEN(Data!U20)-SEARCH(":",Data!U20)))/60,0))</f>
        <v/>
      </c>
      <c r="U19">
        <f>IF(ISNUMBER(Data!V20),Data!V20*24,IFERROR(VALUE(SUBSTITUTE(LEFT(Data!V20,SEARCH(":",Data!V20)-1),",","")),0)+IFERROR(VALUE(RIGHT(Data!V20,LEN(Data!V20)-SEARCH(":",Data!V20)))/60,0))</f>
        <v/>
      </c>
      <c r="V19">
        <f>IF(ISNUMBER(Data!W20),Data!W20*24,IFERROR(VALUE(SUBSTITUTE(LEFT(Data!W20,SEARCH(":",Data!W20)-1),",","")),0)+IFERROR(VALUE(RIGHT(Data!W20,LEN(Data!W20)-SEARCH(":",Data!W20)))/60,0))</f>
        <v/>
      </c>
      <c r="W19">
        <f>IF(ISNUMBER(Data!X20),Data!X20*24,IFERROR(VALUE(SUBSTITUTE(LEFT(Data!X20,SEARCH(":",Data!X20)-1),",","")),0)+IFERROR(VALUE(RIGHT(Data!X20,LEN(Data!X20)-SEARCH(":",Data!X20)))/60,0))</f>
        <v/>
      </c>
      <c r="X19">
        <f>IF(ISNUMBER(Data!Y20),Data!Y20*24,IFERROR(VALUE(SUBSTITUTE(LEFT(Data!Y20,SEARCH(":",Data!Y20)-1),",","")),0)+IFERROR(VALUE(RIGHT(Data!Y20,LEN(Data!Y20)-SEARCH(":",Data!Y20)))/60,0))</f>
        <v/>
      </c>
      <c r="Y19">
        <f>IF(ISNUMBER(Data!Z20),Data!Z20*24,IFERROR(VALUE(SUBSTITUTE(LEFT(Data!Z20,SEARCH(":",Data!Z20)-1),",","")),0)+IFERROR(VALUE(RIGHT(Data!Z20,LEN(Data!Z20)-SEARCH(":",Data!Z20)))/60,0))</f>
        <v/>
      </c>
      <c r="Z19">
        <f>IF(ISNUMBER(Data!AA20),Data!AA20*24,IFERROR(VALUE(SUBSTITUTE(LEFT(Data!AA20,SEARCH(":",Data!AA20)-1),",","")),0)+IFERROR(VALUE(RIGHT(Data!AA20,LEN(Data!AA20)-SEARCH(":",Data!AA20)))/60,0))</f>
        <v/>
      </c>
      <c r="AA19">
        <f>IF(ISNUMBER(Data!AB20),Data!AB20*24,IFERROR(VALUE(SUBSTITUTE(LEFT(Data!AB20,SEARCH(":",Data!AB20)-1),",","")),0)+IFERROR(VALUE(RIGHT(Data!AB20,LEN(Data!AB20)-SEARCH(":",Data!AB20)))/60,0))</f>
        <v/>
      </c>
      <c r="AB19">
        <f>IF(ISNUMBER(Data!AC20),Data!AC20*24,IFERROR(VALUE(SUBSTITUTE(LEFT(Data!AC20,SEARCH(":",Data!AC20)-1),",","")),0)+IFERROR(VALUE(RIGHT(Data!AC20,LEN(Data!AC20)-SEARCH(":",Data!AC20)))/60,0))</f>
        <v/>
      </c>
      <c r="AC19">
        <f>IF(ISNUMBER(Data!AD20),Data!AD20*24,IFERROR(VALUE(SUBSTITUTE(LEFT(Data!AD20,SEARCH(":",Data!AD20)-1),",","")),0)+IFERROR(VALUE(RIGHT(Data!AD20,LEN(Data!AD20)-SEARCH(":",Data!AD20)))/60,0))</f>
        <v/>
      </c>
      <c r="AD19">
        <f>SUM(B19:AC19)</f>
        <v/>
      </c>
    </row>
    <row r="20">
      <c r="A20">
        <f>Data!B21</f>
        <v/>
      </c>
      <c r="B20">
        <f>IF(ISNUMBER(Data!C21),Data!C21*24,IFERROR(VALUE(SUBSTITUTE(LEFT(Data!C21,SEARCH(":",Data!C21)-1),",","")),0)+IFERROR(VALUE(RIGHT(Data!C21,LEN(Data!C21)-SEARCH(":",Data!C21)))/60,0))</f>
        <v/>
      </c>
      <c r="C20">
        <f>IF(ISNUMBER(Data!D21),Data!D21*24,IFERROR(VALUE(SUBSTITUTE(LEFT(Data!D21,SEARCH(":",Data!D21)-1),",","")),0)+IFERROR(VALUE(RIGHT(Data!D21,LEN(Data!D21)-SEARCH(":",Data!D21)))/60,0))</f>
        <v/>
      </c>
      <c r="D20">
        <f>IF(ISNUMBER(Data!E21),Data!E21*24,IFERROR(VALUE(SUBSTITUTE(LEFT(Data!E21,SEARCH(":",Data!E21)-1),",","")),0)+IFERROR(VALUE(RIGHT(Data!E21,LEN(Data!E21)-SEARCH(":",Data!E21)))/60,0))</f>
        <v/>
      </c>
      <c r="E20">
        <f>IF(ISNUMBER(Data!F21),Data!F21*24,IFERROR(VALUE(SUBSTITUTE(LEFT(Data!F21,SEARCH(":",Data!F21)-1),",","")),0)+IFERROR(VALUE(RIGHT(Data!F21,LEN(Data!F21)-SEARCH(":",Data!F21)))/60,0))</f>
        <v/>
      </c>
      <c r="F20">
        <f>IF(ISNUMBER(Data!G21),Data!G21*24,IFERROR(VALUE(SUBSTITUTE(LEFT(Data!G21,SEARCH(":",Data!G21)-1),",","")),0)+IFERROR(VALUE(RIGHT(Data!G21,LEN(Data!G21)-SEARCH(":",Data!G21)))/60,0))</f>
        <v/>
      </c>
      <c r="G20">
        <f>IF(ISNUMBER(Data!H21),Data!H21*24,IFERROR(VALUE(SUBSTITUTE(LEFT(Data!H21,SEARCH(":",Data!H21)-1),",","")),0)+IFERROR(VALUE(RIGHT(Data!H21,LEN(Data!H21)-SEARCH(":",Data!H21)))/60,0))</f>
        <v/>
      </c>
      <c r="H20">
        <f>IF(ISNUMBER(Data!I21),Data!I21*24,IFERROR(VALUE(SUBSTITUTE(LEFT(Data!I21,SEARCH(":",Data!I21)-1),",","")),0)+IFERROR(VALUE(RIGHT(Data!I21,LEN(Data!I21)-SEARCH(":",Data!I21)))/60,0))</f>
        <v/>
      </c>
      <c r="I20">
        <f>IF(ISNUMBER(Data!J21),Data!J21*24,IFERROR(VALUE(SUBSTITUTE(LEFT(Data!J21,SEARCH(":",Data!J21)-1),",","")),0)+IFERROR(VALUE(RIGHT(Data!J21,LEN(Data!J21)-SEARCH(":",Data!J21)))/60,0))</f>
        <v/>
      </c>
      <c r="J20">
        <f>IF(ISNUMBER(Data!K21),Data!K21*24,IFERROR(VALUE(SUBSTITUTE(LEFT(Data!K21,SEARCH(":",Data!K21)-1),",","")),0)+IFERROR(VALUE(RIGHT(Data!K21,LEN(Data!K21)-SEARCH(":",Data!K21)))/60,0))</f>
        <v/>
      </c>
      <c r="K20">
        <f>IF(ISNUMBER(Data!L21),Data!L21*24,IFERROR(VALUE(SUBSTITUTE(LEFT(Data!L21,SEARCH(":",Data!L21)-1),",","")),0)+IFERROR(VALUE(RIGHT(Data!L21,LEN(Data!L21)-SEARCH(":",Data!L21)))/60,0))</f>
        <v/>
      </c>
      <c r="L20">
        <f>IF(ISNUMBER(Data!M21),Data!M21*24,IFERROR(VALUE(SUBSTITUTE(LEFT(Data!M21,SEARCH(":",Data!M21)-1),",","")),0)+IFERROR(VALUE(RIGHT(Data!M21,LEN(Data!M21)-SEARCH(":",Data!M21)))/60,0))</f>
        <v/>
      </c>
      <c r="M20">
        <f>IF(ISNUMBER(Data!N21),Data!N21*24,IFERROR(VALUE(SUBSTITUTE(LEFT(Data!N21,SEARCH(":",Data!N21)-1),",","")),0)+IFERROR(VALUE(RIGHT(Data!N21,LEN(Data!N21)-SEARCH(":",Data!N21)))/60,0))</f>
        <v/>
      </c>
      <c r="N20">
        <f>IF(ISNUMBER(Data!O21),Data!O21*24,IFERROR(VALUE(SUBSTITUTE(LEFT(Data!O21,SEARCH(":",Data!O21)-1),",","")),0)+IFERROR(VALUE(RIGHT(Data!O21,LEN(Data!O21)-SEARCH(":",Data!O21)))/60,0))</f>
        <v/>
      </c>
      <c r="O20">
        <f>IF(ISNUMBER(Data!P21),Data!P21*24,IFERROR(VALUE(SUBSTITUTE(LEFT(Data!P21,SEARCH(":",Data!P21)-1),",","")),0)+IFERROR(VALUE(RIGHT(Data!P21,LEN(Data!P21)-SEARCH(":",Data!P21)))/60,0))</f>
        <v/>
      </c>
      <c r="P20">
        <f>IF(ISNUMBER(Data!Q21),Data!Q21*24,IFERROR(VALUE(SUBSTITUTE(LEFT(Data!Q21,SEARCH(":",Data!Q21)-1),",","")),0)+IFERROR(VALUE(RIGHT(Data!Q21,LEN(Data!Q21)-SEARCH(":",Data!Q21)))/60,0))</f>
        <v/>
      </c>
      <c r="Q20">
        <f>IF(ISNUMBER(Data!R21),Data!R21*24,IFERROR(VALUE(SUBSTITUTE(LEFT(Data!R21,SEARCH(":",Data!R21)-1),",","")),0)+IFERROR(VALUE(RIGHT(Data!R21,LEN(Data!R21)-SEARCH(":",Data!R21)))/60,0))</f>
        <v/>
      </c>
      <c r="R20">
        <f>IF(ISNUMBER(Data!S21),Data!S21*24,IFERROR(VALUE(SUBSTITUTE(LEFT(Data!S21,SEARCH(":",Data!S21)-1),",","")),0)+IFERROR(VALUE(RIGHT(Data!S21,LEN(Data!S21)-SEARCH(":",Data!S21)))/60,0))</f>
        <v/>
      </c>
      <c r="S20">
        <f>IF(ISNUMBER(Data!T21),Data!T21*24,IFERROR(VALUE(SUBSTITUTE(LEFT(Data!T21,SEARCH(":",Data!T21)-1),",","")),0)+IFERROR(VALUE(RIGHT(Data!T21,LEN(Data!T21)-SEARCH(":",Data!T21)))/60,0))</f>
        <v/>
      </c>
      <c r="T20">
        <f>IF(ISNUMBER(Data!U21),Data!U21*24,IFERROR(VALUE(SUBSTITUTE(LEFT(Data!U21,SEARCH(":",Data!U21)-1),",","")),0)+IFERROR(VALUE(RIGHT(Data!U21,LEN(Data!U21)-SEARCH(":",Data!U21)))/60,0))</f>
        <v/>
      </c>
      <c r="U20">
        <f>IF(ISNUMBER(Data!V21),Data!V21*24,IFERROR(VALUE(SUBSTITUTE(LEFT(Data!V21,SEARCH(":",Data!V21)-1),",","")),0)+IFERROR(VALUE(RIGHT(Data!V21,LEN(Data!V21)-SEARCH(":",Data!V21)))/60,0))</f>
        <v/>
      </c>
      <c r="V20">
        <f>IF(ISNUMBER(Data!W21),Data!W21*24,IFERROR(VALUE(SUBSTITUTE(LEFT(Data!W21,SEARCH(":",Data!W21)-1),",","")),0)+IFERROR(VALUE(RIGHT(Data!W21,LEN(Data!W21)-SEARCH(":",Data!W21)))/60,0))</f>
        <v/>
      </c>
      <c r="W20">
        <f>IF(ISNUMBER(Data!X21),Data!X21*24,IFERROR(VALUE(SUBSTITUTE(LEFT(Data!X21,SEARCH(":",Data!X21)-1),",","")),0)+IFERROR(VALUE(RIGHT(Data!X21,LEN(Data!X21)-SEARCH(":",Data!X21)))/60,0))</f>
        <v/>
      </c>
      <c r="X20">
        <f>IF(ISNUMBER(Data!Y21),Data!Y21*24,IFERROR(VALUE(SUBSTITUTE(LEFT(Data!Y21,SEARCH(":",Data!Y21)-1),",","")),0)+IFERROR(VALUE(RIGHT(Data!Y21,LEN(Data!Y21)-SEARCH(":",Data!Y21)))/60,0))</f>
        <v/>
      </c>
      <c r="Y20">
        <f>IF(ISNUMBER(Data!Z21),Data!Z21*24,IFERROR(VALUE(SUBSTITUTE(LEFT(Data!Z21,SEARCH(":",Data!Z21)-1),",","")),0)+IFERROR(VALUE(RIGHT(Data!Z21,LEN(Data!Z21)-SEARCH(":",Data!Z21)))/60,0))</f>
        <v/>
      </c>
      <c r="Z20">
        <f>IF(ISNUMBER(Data!AA21),Data!AA21*24,IFERROR(VALUE(SUBSTITUTE(LEFT(Data!AA21,SEARCH(":",Data!AA21)-1),",","")),0)+IFERROR(VALUE(RIGHT(Data!AA21,LEN(Data!AA21)-SEARCH(":",Data!AA21)))/60,0))</f>
        <v/>
      </c>
      <c r="AA20">
        <f>IF(ISNUMBER(Data!AB21),Data!AB21*24,IFERROR(VALUE(SUBSTITUTE(LEFT(Data!AB21,SEARCH(":",Data!AB21)-1),",","")),0)+IFERROR(VALUE(RIGHT(Data!AB21,LEN(Data!AB21)-SEARCH(":",Data!AB21)))/60,0))</f>
        <v/>
      </c>
      <c r="AB20">
        <f>IF(ISNUMBER(Data!AC21),Data!AC21*24,IFERROR(VALUE(SUBSTITUTE(LEFT(Data!AC21,SEARCH(":",Data!AC21)-1),",","")),0)+IFERROR(VALUE(RIGHT(Data!AC21,LEN(Data!AC21)-SEARCH(":",Data!AC21)))/60,0))</f>
        <v/>
      </c>
      <c r="AC20">
        <f>IF(ISNUMBER(Data!AD21),Data!AD21*24,IFERROR(VALUE(SUBSTITUTE(LEFT(Data!AD21,SEARCH(":",Data!AD21)-1),",","")),0)+IFERROR(VALUE(RIGHT(Data!AD21,LEN(Data!AD21)-SEARCH(":",Data!AD21)))/60,0))</f>
        <v/>
      </c>
      <c r="AD20">
        <f>SUM(B20:AC20)</f>
        <v/>
      </c>
    </row>
    <row r="21">
      <c r="A21">
        <f>Data!B22</f>
        <v/>
      </c>
      <c r="B21">
        <f>IF(ISNUMBER(Data!C22),Data!C22*24,IFERROR(VALUE(SUBSTITUTE(LEFT(Data!C22,SEARCH(":",Data!C22)-1),",","")),0)+IFERROR(VALUE(RIGHT(Data!C22,LEN(Data!C22)-SEARCH(":",Data!C22)))/60,0))</f>
        <v/>
      </c>
      <c r="C21">
        <f>IF(ISNUMBER(Data!D22),Data!D22*24,IFERROR(VALUE(SUBSTITUTE(LEFT(Data!D22,SEARCH(":",Data!D22)-1),",","")),0)+IFERROR(VALUE(RIGHT(Data!D22,LEN(Data!D22)-SEARCH(":",Data!D22)))/60,0))</f>
        <v/>
      </c>
      <c r="D21">
        <f>IF(ISNUMBER(Data!E22),Data!E22*24,IFERROR(VALUE(SUBSTITUTE(LEFT(Data!E22,SEARCH(":",Data!E22)-1),",","")),0)+IFERROR(VALUE(RIGHT(Data!E22,LEN(Data!E22)-SEARCH(":",Data!E22)))/60,0))</f>
        <v/>
      </c>
      <c r="E21">
        <f>IF(ISNUMBER(Data!F22),Data!F22*24,IFERROR(VALUE(SUBSTITUTE(LEFT(Data!F22,SEARCH(":",Data!F22)-1),",","")),0)+IFERROR(VALUE(RIGHT(Data!F22,LEN(Data!F22)-SEARCH(":",Data!F22)))/60,0))</f>
        <v/>
      </c>
      <c r="F21">
        <f>IF(ISNUMBER(Data!G22),Data!G22*24,IFERROR(VALUE(SUBSTITUTE(LEFT(Data!G22,SEARCH(":",Data!G22)-1),",","")),0)+IFERROR(VALUE(RIGHT(Data!G22,LEN(Data!G22)-SEARCH(":",Data!G22)))/60,0))</f>
        <v/>
      </c>
      <c r="G21">
        <f>IF(ISNUMBER(Data!H22),Data!H22*24,IFERROR(VALUE(SUBSTITUTE(LEFT(Data!H22,SEARCH(":",Data!H22)-1),",","")),0)+IFERROR(VALUE(RIGHT(Data!H22,LEN(Data!H22)-SEARCH(":",Data!H22)))/60,0))</f>
        <v/>
      </c>
      <c r="H21">
        <f>IF(ISNUMBER(Data!I22),Data!I22*24,IFERROR(VALUE(SUBSTITUTE(LEFT(Data!I22,SEARCH(":",Data!I22)-1),",","")),0)+IFERROR(VALUE(RIGHT(Data!I22,LEN(Data!I22)-SEARCH(":",Data!I22)))/60,0))</f>
        <v/>
      </c>
      <c r="I21">
        <f>IF(ISNUMBER(Data!J22),Data!J22*24,IFERROR(VALUE(SUBSTITUTE(LEFT(Data!J22,SEARCH(":",Data!J22)-1),",","")),0)+IFERROR(VALUE(RIGHT(Data!J22,LEN(Data!J22)-SEARCH(":",Data!J22)))/60,0))</f>
        <v/>
      </c>
      <c r="J21">
        <f>IF(ISNUMBER(Data!K22),Data!K22*24,IFERROR(VALUE(SUBSTITUTE(LEFT(Data!K22,SEARCH(":",Data!K22)-1),",","")),0)+IFERROR(VALUE(RIGHT(Data!K22,LEN(Data!K22)-SEARCH(":",Data!K22)))/60,0))</f>
        <v/>
      </c>
      <c r="K21">
        <f>IF(ISNUMBER(Data!L22),Data!L22*24,IFERROR(VALUE(SUBSTITUTE(LEFT(Data!L22,SEARCH(":",Data!L22)-1),",","")),0)+IFERROR(VALUE(RIGHT(Data!L22,LEN(Data!L22)-SEARCH(":",Data!L22)))/60,0))</f>
        <v/>
      </c>
      <c r="L21">
        <f>IF(ISNUMBER(Data!M22),Data!M22*24,IFERROR(VALUE(SUBSTITUTE(LEFT(Data!M22,SEARCH(":",Data!M22)-1),",","")),0)+IFERROR(VALUE(RIGHT(Data!M22,LEN(Data!M22)-SEARCH(":",Data!M22)))/60,0))</f>
        <v/>
      </c>
      <c r="M21">
        <f>IF(ISNUMBER(Data!N22),Data!N22*24,IFERROR(VALUE(SUBSTITUTE(LEFT(Data!N22,SEARCH(":",Data!N22)-1),",","")),0)+IFERROR(VALUE(RIGHT(Data!N22,LEN(Data!N22)-SEARCH(":",Data!N22)))/60,0))</f>
        <v/>
      </c>
      <c r="N21">
        <f>IF(ISNUMBER(Data!O22),Data!O22*24,IFERROR(VALUE(SUBSTITUTE(LEFT(Data!O22,SEARCH(":",Data!O22)-1),",","")),0)+IFERROR(VALUE(RIGHT(Data!O22,LEN(Data!O22)-SEARCH(":",Data!O22)))/60,0))</f>
        <v/>
      </c>
      <c r="O21">
        <f>IF(ISNUMBER(Data!P22),Data!P22*24,IFERROR(VALUE(SUBSTITUTE(LEFT(Data!P22,SEARCH(":",Data!P22)-1),",","")),0)+IFERROR(VALUE(RIGHT(Data!P22,LEN(Data!P22)-SEARCH(":",Data!P22)))/60,0))</f>
        <v/>
      </c>
      <c r="P21">
        <f>IF(ISNUMBER(Data!Q22),Data!Q22*24,IFERROR(VALUE(SUBSTITUTE(LEFT(Data!Q22,SEARCH(":",Data!Q22)-1),",","")),0)+IFERROR(VALUE(RIGHT(Data!Q22,LEN(Data!Q22)-SEARCH(":",Data!Q22)))/60,0))</f>
        <v/>
      </c>
      <c r="Q21">
        <f>IF(ISNUMBER(Data!R22),Data!R22*24,IFERROR(VALUE(SUBSTITUTE(LEFT(Data!R22,SEARCH(":",Data!R22)-1),",","")),0)+IFERROR(VALUE(RIGHT(Data!R22,LEN(Data!R22)-SEARCH(":",Data!R22)))/60,0))</f>
        <v/>
      </c>
      <c r="R21">
        <f>IF(ISNUMBER(Data!S22),Data!S22*24,IFERROR(VALUE(SUBSTITUTE(LEFT(Data!S22,SEARCH(":",Data!S22)-1),",","")),0)+IFERROR(VALUE(RIGHT(Data!S22,LEN(Data!S22)-SEARCH(":",Data!S22)))/60,0))</f>
        <v/>
      </c>
      <c r="S21">
        <f>IF(ISNUMBER(Data!T22),Data!T22*24,IFERROR(VALUE(SUBSTITUTE(LEFT(Data!T22,SEARCH(":",Data!T22)-1),",","")),0)+IFERROR(VALUE(RIGHT(Data!T22,LEN(Data!T22)-SEARCH(":",Data!T22)))/60,0))</f>
        <v/>
      </c>
      <c r="T21">
        <f>IF(ISNUMBER(Data!U22),Data!U22*24,IFERROR(VALUE(SUBSTITUTE(LEFT(Data!U22,SEARCH(":",Data!U22)-1),",","")),0)+IFERROR(VALUE(RIGHT(Data!U22,LEN(Data!U22)-SEARCH(":",Data!U22)))/60,0))</f>
        <v/>
      </c>
      <c r="U21">
        <f>IF(ISNUMBER(Data!V22),Data!V22*24,IFERROR(VALUE(SUBSTITUTE(LEFT(Data!V22,SEARCH(":",Data!V22)-1),",","")),0)+IFERROR(VALUE(RIGHT(Data!V22,LEN(Data!V22)-SEARCH(":",Data!V22)))/60,0))</f>
        <v/>
      </c>
      <c r="V21">
        <f>IF(ISNUMBER(Data!W22),Data!W22*24,IFERROR(VALUE(SUBSTITUTE(LEFT(Data!W22,SEARCH(":",Data!W22)-1),",","")),0)+IFERROR(VALUE(RIGHT(Data!W22,LEN(Data!W22)-SEARCH(":",Data!W22)))/60,0))</f>
        <v/>
      </c>
      <c r="W21">
        <f>IF(ISNUMBER(Data!X22),Data!X22*24,IFERROR(VALUE(SUBSTITUTE(LEFT(Data!X22,SEARCH(":",Data!X22)-1),",","")),0)+IFERROR(VALUE(RIGHT(Data!X22,LEN(Data!X22)-SEARCH(":",Data!X22)))/60,0))</f>
        <v/>
      </c>
      <c r="X21">
        <f>IF(ISNUMBER(Data!Y22),Data!Y22*24,IFERROR(VALUE(SUBSTITUTE(LEFT(Data!Y22,SEARCH(":",Data!Y22)-1),",","")),0)+IFERROR(VALUE(RIGHT(Data!Y22,LEN(Data!Y22)-SEARCH(":",Data!Y22)))/60,0))</f>
        <v/>
      </c>
      <c r="Y21">
        <f>IF(ISNUMBER(Data!Z22),Data!Z22*24,IFERROR(VALUE(SUBSTITUTE(LEFT(Data!Z22,SEARCH(":",Data!Z22)-1),",","")),0)+IFERROR(VALUE(RIGHT(Data!Z22,LEN(Data!Z22)-SEARCH(":",Data!Z22)))/60,0))</f>
        <v/>
      </c>
      <c r="Z21">
        <f>IF(ISNUMBER(Data!AA22),Data!AA22*24,IFERROR(VALUE(SUBSTITUTE(LEFT(Data!AA22,SEARCH(":",Data!AA22)-1),",","")),0)+IFERROR(VALUE(RIGHT(Data!AA22,LEN(Data!AA22)-SEARCH(":",Data!AA22)))/60,0))</f>
        <v/>
      </c>
      <c r="AA21">
        <f>IF(ISNUMBER(Data!AB22),Data!AB22*24,IFERROR(VALUE(SUBSTITUTE(LEFT(Data!AB22,SEARCH(":",Data!AB22)-1),",","")),0)+IFERROR(VALUE(RIGHT(Data!AB22,LEN(Data!AB22)-SEARCH(":",Data!AB22)))/60,0))</f>
        <v/>
      </c>
      <c r="AB21">
        <f>IF(ISNUMBER(Data!AC22),Data!AC22*24,IFERROR(VALUE(SUBSTITUTE(LEFT(Data!AC22,SEARCH(":",Data!AC22)-1),",","")),0)+IFERROR(VALUE(RIGHT(Data!AC22,LEN(Data!AC22)-SEARCH(":",Data!AC22)))/60,0))</f>
        <v/>
      </c>
      <c r="AC21">
        <f>IF(ISNUMBER(Data!AD22),Data!AD22*24,IFERROR(VALUE(SUBSTITUTE(LEFT(Data!AD22,SEARCH(":",Data!AD22)-1),",","")),0)+IFERROR(VALUE(RIGHT(Data!AD22,LEN(Data!AD22)-SEARCH(":",Data!AD22)))/60,0))</f>
        <v/>
      </c>
      <c r="AD21">
        <f>SUM(B21:AC21)</f>
        <v/>
      </c>
    </row>
    <row r="22">
      <c r="A22">
        <f>Data!B23</f>
        <v/>
      </c>
      <c r="B22">
        <f>IF(ISNUMBER(Data!C23),Data!C23*24,IFERROR(VALUE(SUBSTITUTE(LEFT(Data!C23,SEARCH(":",Data!C23)-1),",","")),0)+IFERROR(VALUE(RIGHT(Data!C23,LEN(Data!C23)-SEARCH(":",Data!C23)))/60,0))</f>
        <v/>
      </c>
      <c r="C22">
        <f>IF(ISNUMBER(Data!D23),Data!D23*24,IFERROR(VALUE(SUBSTITUTE(LEFT(Data!D23,SEARCH(":",Data!D23)-1),",","")),0)+IFERROR(VALUE(RIGHT(Data!D23,LEN(Data!D23)-SEARCH(":",Data!D23)))/60,0))</f>
        <v/>
      </c>
      <c r="D22">
        <f>IF(ISNUMBER(Data!E23),Data!E23*24,IFERROR(VALUE(SUBSTITUTE(LEFT(Data!E23,SEARCH(":",Data!E23)-1),",","")),0)+IFERROR(VALUE(RIGHT(Data!E23,LEN(Data!E23)-SEARCH(":",Data!E23)))/60,0))</f>
        <v/>
      </c>
      <c r="E22">
        <f>IF(ISNUMBER(Data!F23),Data!F23*24,IFERROR(VALUE(SUBSTITUTE(LEFT(Data!F23,SEARCH(":",Data!F23)-1),",","")),0)+IFERROR(VALUE(RIGHT(Data!F23,LEN(Data!F23)-SEARCH(":",Data!F23)))/60,0))</f>
        <v/>
      </c>
      <c r="F22">
        <f>IF(ISNUMBER(Data!G23),Data!G23*24,IFERROR(VALUE(SUBSTITUTE(LEFT(Data!G23,SEARCH(":",Data!G23)-1),",","")),0)+IFERROR(VALUE(RIGHT(Data!G23,LEN(Data!G23)-SEARCH(":",Data!G23)))/60,0))</f>
        <v/>
      </c>
      <c r="G22">
        <f>IF(ISNUMBER(Data!H23),Data!H23*24,IFERROR(VALUE(SUBSTITUTE(LEFT(Data!H23,SEARCH(":",Data!H23)-1),",","")),0)+IFERROR(VALUE(RIGHT(Data!H23,LEN(Data!H23)-SEARCH(":",Data!H23)))/60,0))</f>
        <v/>
      </c>
      <c r="H22">
        <f>IF(ISNUMBER(Data!I23),Data!I23*24,IFERROR(VALUE(SUBSTITUTE(LEFT(Data!I23,SEARCH(":",Data!I23)-1),",","")),0)+IFERROR(VALUE(RIGHT(Data!I23,LEN(Data!I23)-SEARCH(":",Data!I23)))/60,0))</f>
        <v/>
      </c>
      <c r="I22">
        <f>IF(ISNUMBER(Data!J23),Data!J23*24,IFERROR(VALUE(SUBSTITUTE(LEFT(Data!J23,SEARCH(":",Data!J23)-1),",","")),0)+IFERROR(VALUE(RIGHT(Data!J23,LEN(Data!J23)-SEARCH(":",Data!J23)))/60,0))</f>
        <v/>
      </c>
      <c r="J22">
        <f>IF(ISNUMBER(Data!K23),Data!K23*24,IFERROR(VALUE(SUBSTITUTE(LEFT(Data!K23,SEARCH(":",Data!K23)-1),",","")),0)+IFERROR(VALUE(RIGHT(Data!K23,LEN(Data!K23)-SEARCH(":",Data!K23)))/60,0))</f>
        <v/>
      </c>
      <c r="K22">
        <f>IF(ISNUMBER(Data!L23),Data!L23*24,IFERROR(VALUE(SUBSTITUTE(LEFT(Data!L23,SEARCH(":",Data!L23)-1),",","")),0)+IFERROR(VALUE(RIGHT(Data!L23,LEN(Data!L23)-SEARCH(":",Data!L23)))/60,0))</f>
        <v/>
      </c>
      <c r="L22">
        <f>IF(ISNUMBER(Data!M23),Data!M23*24,IFERROR(VALUE(SUBSTITUTE(LEFT(Data!M23,SEARCH(":",Data!M23)-1),",","")),0)+IFERROR(VALUE(RIGHT(Data!M23,LEN(Data!M23)-SEARCH(":",Data!M23)))/60,0))</f>
        <v/>
      </c>
      <c r="M22">
        <f>IF(ISNUMBER(Data!N23),Data!N23*24,IFERROR(VALUE(SUBSTITUTE(LEFT(Data!N23,SEARCH(":",Data!N23)-1),",","")),0)+IFERROR(VALUE(RIGHT(Data!N23,LEN(Data!N23)-SEARCH(":",Data!N23)))/60,0))</f>
        <v/>
      </c>
      <c r="N22">
        <f>IF(ISNUMBER(Data!O23),Data!O23*24,IFERROR(VALUE(SUBSTITUTE(LEFT(Data!O23,SEARCH(":",Data!O23)-1),",","")),0)+IFERROR(VALUE(RIGHT(Data!O23,LEN(Data!O23)-SEARCH(":",Data!O23)))/60,0))</f>
        <v/>
      </c>
      <c r="O22">
        <f>IF(ISNUMBER(Data!P23),Data!P23*24,IFERROR(VALUE(SUBSTITUTE(LEFT(Data!P23,SEARCH(":",Data!P23)-1),",","")),0)+IFERROR(VALUE(RIGHT(Data!P23,LEN(Data!P23)-SEARCH(":",Data!P23)))/60,0))</f>
        <v/>
      </c>
      <c r="P22">
        <f>IF(ISNUMBER(Data!Q23),Data!Q23*24,IFERROR(VALUE(SUBSTITUTE(LEFT(Data!Q23,SEARCH(":",Data!Q23)-1),",","")),0)+IFERROR(VALUE(RIGHT(Data!Q23,LEN(Data!Q23)-SEARCH(":",Data!Q23)))/60,0))</f>
        <v/>
      </c>
      <c r="Q22">
        <f>IF(ISNUMBER(Data!R23),Data!R23*24,IFERROR(VALUE(SUBSTITUTE(LEFT(Data!R23,SEARCH(":",Data!R23)-1),",","")),0)+IFERROR(VALUE(RIGHT(Data!R23,LEN(Data!R23)-SEARCH(":",Data!R23)))/60,0))</f>
        <v/>
      </c>
      <c r="R22">
        <f>IF(ISNUMBER(Data!S23),Data!S23*24,IFERROR(VALUE(SUBSTITUTE(LEFT(Data!S23,SEARCH(":",Data!S23)-1),",","")),0)+IFERROR(VALUE(RIGHT(Data!S23,LEN(Data!S23)-SEARCH(":",Data!S23)))/60,0))</f>
        <v/>
      </c>
      <c r="S22">
        <f>IF(ISNUMBER(Data!T23),Data!T23*24,IFERROR(VALUE(SUBSTITUTE(LEFT(Data!T23,SEARCH(":",Data!T23)-1),",","")),0)+IFERROR(VALUE(RIGHT(Data!T23,LEN(Data!T23)-SEARCH(":",Data!T23)))/60,0))</f>
        <v/>
      </c>
      <c r="T22">
        <f>IF(ISNUMBER(Data!U23),Data!U23*24,IFERROR(VALUE(SUBSTITUTE(LEFT(Data!U23,SEARCH(":",Data!U23)-1),",","")),0)+IFERROR(VALUE(RIGHT(Data!U23,LEN(Data!U23)-SEARCH(":",Data!U23)))/60,0))</f>
        <v/>
      </c>
      <c r="U22">
        <f>IF(ISNUMBER(Data!V23),Data!V23*24,IFERROR(VALUE(SUBSTITUTE(LEFT(Data!V23,SEARCH(":",Data!V23)-1),",","")),0)+IFERROR(VALUE(RIGHT(Data!V23,LEN(Data!V23)-SEARCH(":",Data!V23)))/60,0))</f>
        <v/>
      </c>
      <c r="V22">
        <f>IF(ISNUMBER(Data!W23),Data!W23*24,IFERROR(VALUE(SUBSTITUTE(LEFT(Data!W23,SEARCH(":",Data!W23)-1),",","")),0)+IFERROR(VALUE(RIGHT(Data!W23,LEN(Data!W23)-SEARCH(":",Data!W23)))/60,0))</f>
        <v/>
      </c>
      <c r="W22">
        <f>IF(ISNUMBER(Data!X23),Data!X23*24,IFERROR(VALUE(SUBSTITUTE(LEFT(Data!X23,SEARCH(":",Data!X23)-1),",","")),0)+IFERROR(VALUE(RIGHT(Data!X23,LEN(Data!X23)-SEARCH(":",Data!X23)))/60,0))</f>
        <v/>
      </c>
      <c r="X22">
        <f>IF(ISNUMBER(Data!Y23),Data!Y23*24,IFERROR(VALUE(SUBSTITUTE(LEFT(Data!Y23,SEARCH(":",Data!Y23)-1),",","")),0)+IFERROR(VALUE(RIGHT(Data!Y23,LEN(Data!Y23)-SEARCH(":",Data!Y23)))/60,0))</f>
        <v/>
      </c>
      <c r="Y22">
        <f>IF(ISNUMBER(Data!Z23),Data!Z23*24,IFERROR(VALUE(SUBSTITUTE(LEFT(Data!Z23,SEARCH(":",Data!Z23)-1),",","")),0)+IFERROR(VALUE(RIGHT(Data!Z23,LEN(Data!Z23)-SEARCH(":",Data!Z23)))/60,0))</f>
        <v/>
      </c>
      <c r="Z22">
        <f>IF(ISNUMBER(Data!AA23),Data!AA23*24,IFERROR(VALUE(SUBSTITUTE(LEFT(Data!AA23,SEARCH(":",Data!AA23)-1),",","")),0)+IFERROR(VALUE(RIGHT(Data!AA23,LEN(Data!AA23)-SEARCH(":",Data!AA23)))/60,0))</f>
        <v/>
      </c>
      <c r="AA22">
        <f>IF(ISNUMBER(Data!AB23),Data!AB23*24,IFERROR(VALUE(SUBSTITUTE(LEFT(Data!AB23,SEARCH(":",Data!AB23)-1),",","")),0)+IFERROR(VALUE(RIGHT(Data!AB23,LEN(Data!AB23)-SEARCH(":",Data!AB23)))/60,0))</f>
        <v/>
      </c>
      <c r="AB22">
        <f>IF(ISNUMBER(Data!AC23),Data!AC23*24,IFERROR(VALUE(SUBSTITUTE(LEFT(Data!AC23,SEARCH(":",Data!AC23)-1),",","")),0)+IFERROR(VALUE(RIGHT(Data!AC23,LEN(Data!AC23)-SEARCH(":",Data!AC23)))/60,0))</f>
        <v/>
      </c>
      <c r="AC22">
        <f>IF(ISNUMBER(Data!AD23),Data!AD23*24,IFERROR(VALUE(SUBSTITUTE(LEFT(Data!AD23,SEARCH(":",Data!AD23)-1),",","")),0)+IFERROR(VALUE(RIGHT(Data!AD23,LEN(Data!AD23)-SEARCH(":",Data!AD23)))/60,0))</f>
        <v/>
      </c>
      <c r="AD22">
        <f>SUM(B22:AC22)</f>
        <v/>
      </c>
    </row>
    <row r="23">
      <c r="A23">
        <f>Data!B24</f>
        <v/>
      </c>
      <c r="B23">
        <f>IF(ISNUMBER(Data!C24),Data!C24*24,IFERROR(VALUE(SUBSTITUTE(LEFT(Data!C24,SEARCH(":",Data!C24)-1),",","")),0)+IFERROR(VALUE(RIGHT(Data!C24,LEN(Data!C24)-SEARCH(":",Data!C24)))/60,0))</f>
        <v/>
      </c>
      <c r="C23">
        <f>IF(ISNUMBER(Data!D24),Data!D24*24,IFERROR(VALUE(SUBSTITUTE(LEFT(Data!D24,SEARCH(":",Data!D24)-1),",","")),0)+IFERROR(VALUE(RIGHT(Data!D24,LEN(Data!D24)-SEARCH(":",Data!D24)))/60,0))</f>
        <v/>
      </c>
      <c r="D23">
        <f>IF(ISNUMBER(Data!E24),Data!E24*24,IFERROR(VALUE(SUBSTITUTE(LEFT(Data!E24,SEARCH(":",Data!E24)-1),",","")),0)+IFERROR(VALUE(RIGHT(Data!E24,LEN(Data!E24)-SEARCH(":",Data!E24)))/60,0))</f>
        <v/>
      </c>
      <c r="E23">
        <f>IF(ISNUMBER(Data!F24),Data!F24*24,IFERROR(VALUE(SUBSTITUTE(LEFT(Data!F24,SEARCH(":",Data!F24)-1),",","")),0)+IFERROR(VALUE(RIGHT(Data!F24,LEN(Data!F24)-SEARCH(":",Data!F24)))/60,0))</f>
        <v/>
      </c>
      <c r="F23">
        <f>IF(ISNUMBER(Data!G24),Data!G24*24,IFERROR(VALUE(SUBSTITUTE(LEFT(Data!G24,SEARCH(":",Data!G24)-1),",","")),0)+IFERROR(VALUE(RIGHT(Data!G24,LEN(Data!G24)-SEARCH(":",Data!G24)))/60,0))</f>
        <v/>
      </c>
      <c r="G23">
        <f>IF(ISNUMBER(Data!H24),Data!H24*24,IFERROR(VALUE(SUBSTITUTE(LEFT(Data!H24,SEARCH(":",Data!H24)-1),",","")),0)+IFERROR(VALUE(RIGHT(Data!H24,LEN(Data!H24)-SEARCH(":",Data!H24)))/60,0))</f>
        <v/>
      </c>
      <c r="H23">
        <f>IF(ISNUMBER(Data!I24),Data!I24*24,IFERROR(VALUE(SUBSTITUTE(LEFT(Data!I24,SEARCH(":",Data!I24)-1),",","")),0)+IFERROR(VALUE(RIGHT(Data!I24,LEN(Data!I24)-SEARCH(":",Data!I24)))/60,0))</f>
        <v/>
      </c>
      <c r="I23">
        <f>IF(ISNUMBER(Data!J24),Data!J24*24,IFERROR(VALUE(SUBSTITUTE(LEFT(Data!J24,SEARCH(":",Data!J24)-1),",","")),0)+IFERROR(VALUE(RIGHT(Data!J24,LEN(Data!J24)-SEARCH(":",Data!J24)))/60,0))</f>
        <v/>
      </c>
      <c r="J23">
        <f>IF(ISNUMBER(Data!K24),Data!K24*24,IFERROR(VALUE(SUBSTITUTE(LEFT(Data!K24,SEARCH(":",Data!K24)-1),",","")),0)+IFERROR(VALUE(RIGHT(Data!K24,LEN(Data!K24)-SEARCH(":",Data!K24)))/60,0))</f>
        <v/>
      </c>
      <c r="K23">
        <f>IF(ISNUMBER(Data!L24),Data!L24*24,IFERROR(VALUE(SUBSTITUTE(LEFT(Data!L24,SEARCH(":",Data!L24)-1),",","")),0)+IFERROR(VALUE(RIGHT(Data!L24,LEN(Data!L24)-SEARCH(":",Data!L24)))/60,0))</f>
        <v/>
      </c>
      <c r="L23">
        <f>IF(ISNUMBER(Data!M24),Data!M24*24,IFERROR(VALUE(SUBSTITUTE(LEFT(Data!M24,SEARCH(":",Data!M24)-1),",","")),0)+IFERROR(VALUE(RIGHT(Data!M24,LEN(Data!M24)-SEARCH(":",Data!M24)))/60,0))</f>
        <v/>
      </c>
      <c r="M23">
        <f>IF(ISNUMBER(Data!N24),Data!N24*24,IFERROR(VALUE(SUBSTITUTE(LEFT(Data!N24,SEARCH(":",Data!N24)-1),",","")),0)+IFERROR(VALUE(RIGHT(Data!N24,LEN(Data!N24)-SEARCH(":",Data!N24)))/60,0))</f>
        <v/>
      </c>
      <c r="N23">
        <f>IF(ISNUMBER(Data!O24),Data!O24*24,IFERROR(VALUE(SUBSTITUTE(LEFT(Data!O24,SEARCH(":",Data!O24)-1),",","")),0)+IFERROR(VALUE(RIGHT(Data!O24,LEN(Data!O24)-SEARCH(":",Data!O24)))/60,0))</f>
        <v/>
      </c>
      <c r="O23">
        <f>IF(ISNUMBER(Data!P24),Data!P24*24,IFERROR(VALUE(SUBSTITUTE(LEFT(Data!P24,SEARCH(":",Data!P24)-1),",","")),0)+IFERROR(VALUE(RIGHT(Data!P24,LEN(Data!P24)-SEARCH(":",Data!P24)))/60,0))</f>
        <v/>
      </c>
      <c r="P23">
        <f>IF(ISNUMBER(Data!Q24),Data!Q24*24,IFERROR(VALUE(SUBSTITUTE(LEFT(Data!Q24,SEARCH(":",Data!Q24)-1),",","")),0)+IFERROR(VALUE(RIGHT(Data!Q24,LEN(Data!Q24)-SEARCH(":",Data!Q24)))/60,0))</f>
        <v/>
      </c>
      <c r="Q23">
        <f>IF(ISNUMBER(Data!R24),Data!R24*24,IFERROR(VALUE(SUBSTITUTE(LEFT(Data!R24,SEARCH(":",Data!R24)-1),",","")),0)+IFERROR(VALUE(RIGHT(Data!R24,LEN(Data!R24)-SEARCH(":",Data!R24)))/60,0))</f>
        <v/>
      </c>
      <c r="R23">
        <f>IF(ISNUMBER(Data!S24),Data!S24*24,IFERROR(VALUE(SUBSTITUTE(LEFT(Data!S24,SEARCH(":",Data!S24)-1),",","")),0)+IFERROR(VALUE(RIGHT(Data!S24,LEN(Data!S24)-SEARCH(":",Data!S24)))/60,0))</f>
        <v/>
      </c>
      <c r="S23">
        <f>IF(ISNUMBER(Data!T24),Data!T24*24,IFERROR(VALUE(SUBSTITUTE(LEFT(Data!T24,SEARCH(":",Data!T24)-1),",","")),0)+IFERROR(VALUE(RIGHT(Data!T24,LEN(Data!T24)-SEARCH(":",Data!T24)))/60,0))</f>
        <v/>
      </c>
      <c r="T23">
        <f>IF(ISNUMBER(Data!U24),Data!U24*24,IFERROR(VALUE(SUBSTITUTE(LEFT(Data!U24,SEARCH(":",Data!U24)-1),",","")),0)+IFERROR(VALUE(RIGHT(Data!U24,LEN(Data!U24)-SEARCH(":",Data!U24)))/60,0))</f>
        <v/>
      </c>
      <c r="U23">
        <f>IF(ISNUMBER(Data!V24),Data!V24*24,IFERROR(VALUE(SUBSTITUTE(LEFT(Data!V24,SEARCH(":",Data!V24)-1),",","")),0)+IFERROR(VALUE(RIGHT(Data!V24,LEN(Data!V24)-SEARCH(":",Data!V24)))/60,0))</f>
        <v/>
      </c>
      <c r="V23">
        <f>IF(ISNUMBER(Data!W24),Data!W24*24,IFERROR(VALUE(SUBSTITUTE(LEFT(Data!W24,SEARCH(":",Data!W24)-1),",","")),0)+IFERROR(VALUE(RIGHT(Data!W24,LEN(Data!W24)-SEARCH(":",Data!W24)))/60,0))</f>
        <v/>
      </c>
      <c r="W23">
        <f>IF(ISNUMBER(Data!X24),Data!X24*24,IFERROR(VALUE(SUBSTITUTE(LEFT(Data!X24,SEARCH(":",Data!X24)-1),",","")),0)+IFERROR(VALUE(RIGHT(Data!X24,LEN(Data!X24)-SEARCH(":",Data!X24)))/60,0))</f>
        <v/>
      </c>
      <c r="X23">
        <f>IF(ISNUMBER(Data!Y24),Data!Y24*24,IFERROR(VALUE(SUBSTITUTE(LEFT(Data!Y24,SEARCH(":",Data!Y24)-1),",","")),0)+IFERROR(VALUE(RIGHT(Data!Y24,LEN(Data!Y24)-SEARCH(":",Data!Y24)))/60,0))</f>
        <v/>
      </c>
      <c r="Y23">
        <f>IF(ISNUMBER(Data!Z24),Data!Z24*24,IFERROR(VALUE(SUBSTITUTE(LEFT(Data!Z24,SEARCH(":",Data!Z24)-1),",","")),0)+IFERROR(VALUE(RIGHT(Data!Z24,LEN(Data!Z24)-SEARCH(":",Data!Z24)))/60,0))</f>
        <v/>
      </c>
      <c r="Z23">
        <f>IF(ISNUMBER(Data!AA24),Data!AA24*24,IFERROR(VALUE(SUBSTITUTE(LEFT(Data!AA24,SEARCH(":",Data!AA24)-1),",","")),0)+IFERROR(VALUE(RIGHT(Data!AA24,LEN(Data!AA24)-SEARCH(":",Data!AA24)))/60,0))</f>
        <v/>
      </c>
      <c r="AA23">
        <f>IF(ISNUMBER(Data!AB24),Data!AB24*24,IFERROR(VALUE(SUBSTITUTE(LEFT(Data!AB24,SEARCH(":",Data!AB24)-1),",","")),0)+IFERROR(VALUE(RIGHT(Data!AB24,LEN(Data!AB24)-SEARCH(":",Data!AB24)))/60,0))</f>
        <v/>
      </c>
      <c r="AB23">
        <f>IF(ISNUMBER(Data!AC24),Data!AC24*24,IFERROR(VALUE(SUBSTITUTE(LEFT(Data!AC24,SEARCH(":",Data!AC24)-1),",","")),0)+IFERROR(VALUE(RIGHT(Data!AC24,LEN(Data!AC24)-SEARCH(":",Data!AC24)))/60,0))</f>
        <v/>
      </c>
      <c r="AC23">
        <f>IF(ISNUMBER(Data!AD24),Data!AD24*24,IFERROR(VALUE(SUBSTITUTE(LEFT(Data!AD24,SEARCH(":",Data!AD24)-1),",","")),0)+IFERROR(VALUE(RIGHT(Data!AD24,LEN(Data!AD24)-SEARCH(":",Data!AD24)))/60,0))</f>
        <v/>
      </c>
      <c r="AD23">
        <f>SUM(B23:AC23)</f>
        <v/>
      </c>
    </row>
    <row r="25">
      <c r="A25" t="inlineStr">
        <is>
          <t>TOTAL</t>
        </is>
      </c>
      <c r="B25">
        <f>SUM(B2:B23)</f>
        <v/>
      </c>
      <c r="C25">
        <f>SUM(C2:C23)</f>
        <v/>
      </c>
      <c r="D25">
        <f>SUM(D2:D23)</f>
        <v/>
      </c>
      <c r="E25">
        <f>SUM(E2:E23)</f>
        <v/>
      </c>
      <c r="F25">
        <f>SUM(F2:F23)</f>
        <v/>
      </c>
      <c r="G25">
        <f>SUM(G2:G23)</f>
        <v/>
      </c>
      <c r="H25">
        <f>SUM(H2:H23)</f>
        <v/>
      </c>
      <c r="I25">
        <f>SUM(I2:I23)</f>
        <v/>
      </c>
      <c r="J25">
        <f>SUM(J2:J23)</f>
        <v/>
      </c>
      <c r="K25">
        <f>SUM(K2:K23)</f>
        <v/>
      </c>
      <c r="L25">
        <f>SUM(L2:L23)</f>
        <v/>
      </c>
      <c r="M25">
        <f>SUM(M2:M23)</f>
        <v/>
      </c>
      <c r="N25">
        <f>SUM(N2:N23)</f>
        <v/>
      </c>
      <c r="O25">
        <f>SUM(O2:O23)</f>
        <v/>
      </c>
      <c r="P25">
        <f>SUM(P2:P23)</f>
        <v/>
      </c>
      <c r="Q25">
        <f>SUM(Q2:Q23)</f>
        <v/>
      </c>
      <c r="R25">
        <f>SUM(R2:R23)</f>
        <v/>
      </c>
      <c r="S25">
        <f>SUM(S2:S23)</f>
        <v/>
      </c>
      <c r="T25">
        <f>SUM(T2:T23)</f>
        <v/>
      </c>
      <c r="U25">
        <f>SUM(U2:U23)</f>
        <v/>
      </c>
      <c r="V25">
        <f>SUM(V2:V23)</f>
        <v/>
      </c>
      <c r="W25">
        <f>SUM(W2:W23)</f>
        <v/>
      </c>
      <c r="X25">
        <f>SUM(X2:X23)</f>
        <v/>
      </c>
      <c r="Y25">
        <f>SUM(Y2:Y23)</f>
        <v/>
      </c>
      <c r="Z25">
        <f>SUM(Z2:Z23)</f>
        <v/>
      </c>
      <c r="AA25">
        <f>SUM(AA2:AA23)</f>
        <v/>
      </c>
      <c r="AB25">
        <f>SUM(AB2:AB23)</f>
        <v/>
      </c>
      <c r="AC25">
        <f>SUM(AC2:AC23)</f>
        <v/>
      </c>
      <c r="AD25">
        <f>SUM(AD2:AD23)</f>
        <v/>
      </c>
    </row>
  </sheetData>
  <autoFilter ref="A1:AD2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2025-10-24T21:11:53Z</dcterms:created>
  <dcterms:modified xmlns:dcterms="http://purl.org/dc/terms/" xmlns:xsi="http://www.w3.org/2001/XMLSchema-instance" xsi:type="dcterms:W3CDTF">2026-09-03T13:40:59Z</dcterms:modified>
  <cp:lastModifiedBy>Chi, Banghao</cp:lastModifiedBy>
</cp:coreProperties>
</file>