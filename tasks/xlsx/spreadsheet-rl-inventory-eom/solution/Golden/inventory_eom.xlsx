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heetarena-async-reward-api\data\excelforum\excel-general\task-job-2e1e331a1b9dc473\"/>
    </mc:Choice>
  </mc:AlternateContent>
  <xr:revisionPtr revIDLastSave="0" documentId="13_ncr:1_{8541F179-BF17-45EC-AC85-F1D2242C0A94}" xr6:coauthVersionLast="47" xr6:coauthVersionMax="47" xr10:uidLastSave="{00000000-0000-0000-0000-000000000000}"/>
  <bookViews>
    <workbookView xWindow="3120" yWindow="3120" windowWidth="21600" windowHeight="15345" xr2:uid="{00000000-000D-0000-FFFF-FFFF00000000}"/>
  </bookViews>
  <sheets>
    <sheet name="Data" sheetId="1" r:id="rId1"/>
    <sheet name="Result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C5" i="2" s="1"/>
  <c r="D5" i="2" s="1"/>
  <c r="E5" i="2" s="1"/>
  <c r="F5" i="2" s="1"/>
  <c r="G5" i="2" s="1"/>
  <c r="H5" i="2" s="1"/>
  <c r="B4" i="2"/>
  <c r="C4" i="2" s="1"/>
  <c r="D4" i="2" s="1"/>
  <c r="E4" i="2" s="1"/>
  <c r="F4" i="2" s="1"/>
  <c r="G4" i="2" s="1"/>
  <c r="H4" i="2" s="1"/>
  <c r="B3" i="2"/>
  <c r="C3" i="2" s="1"/>
  <c r="D3" i="2" s="1"/>
  <c r="E3" i="2" s="1"/>
  <c r="F3" i="2" s="1"/>
  <c r="G3" i="2" s="1"/>
  <c r="H3" i="2" s="1"/>
  <c r="B2" i="2"/>
  <c r="C2" i="2" s="1"/>
  <c r="D2" i="2" s="1"/>
  <c r="E2" i="2" s="1"/>
  <c r="F2" i="2" s="1"/>
  <c r="G2" i="2" s="1"/>
  <c r="H2" i="2" s="1"/>
</calcChain>
</file>

<file path=xl/sharedStrings.xml><?xml version="1.0" encoding="utf-8"?>
<sst xmlns="http://schemas.openxmlformats.org/spreadsheetml/2006/main" count="206" uniqueCount="23">
  <si>
    <t>ORGANIZATION</t>
  </si>
  <si>
    <t>ITEM</t>
  </si>
  <si>
    <t>ORDER TYPE</t>
  </si>
  <si>
    <t>QUANTITY</t>
  </si>
  <si>
    <t>COST</t>
  </si>
  <si>
    <t>SUGG DUE DATE</t>
  </si>
  <si>
    <t>A02:FAN</t>
  </si>
  <si>
    <t>A</t>
  </si>
  <si>
    <t>On Hand</t>
  </si>
  <si>
    <t>2025-01</t>
  </si>
  <si>
    <t>Work order demand</t>
  </si>
  <si>
    <t>Intransit shipment</t>
  </si>
  <si>
    <t>Purchase order</t>
  </si>
  <si>
    <t>2025-02</t>
  </si>
  <si>
    <t>2025-03</t>
  </si>
  <si>
    <t>2025-04</t>
  </si>
  <si>
    <t>2025-05</t>
  </si>
  <si>
    <t>2025-06</t>
  </si>
  <si>
    <t>2026-02</t>
  </si>
  <si>
    <t>B</t>
  </si>
  <si>
    <t>Planned order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</si>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</sst>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55.412999999999997</v>
      </c>
      <c r="E2">
        <v>38.9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>
        <v>-56.24248</v>
      </c>
      <c r="E3">
        <v>38.9</v>
      </c>
      <c r="F3" t="s">
        <v>9</v>
      </c>
    </row>
    <row r="4" spans="1:6" x14ac:dyDescent="0.25">
      <c r="A4" t="s">
        <v>6</v>
      </c>
      <c r="B4" t="s">
        <v>7</v>
      </c>
      <c r="C4" t="s">
        <v>11</v>
      </c>
      <c r="D4">
        <v>100</v>
      </c>
      <c r="E4">
        <v>38.9</v>
      </c>
      <c r="F4" t="s">
        <v>9</v>
      </c>
    </row>
    <row r="5" spans="1:6" x14ac:dyDescent="0.25">
      <c r="A5" t="s">
        <v>6</v>
      </c>
      <c r="B5" t="s">
        <v>7</v>
      </c>
      <c r="C5" t="s">
        <v>12</v>
      </c>
      <c r="D5">
        <v>100</v>
      </c>
      <c r="E5">
        <v>38.9</v>
      </c>
      <c r="F5" t="s">
        <v>13</v>
      </c>
    </row>
    <row r="6" spans="1:6" x14ac:dyDescent="0.25">
      <c r="A6" t="s">
        <v>6</v>
      </c>
      <c r="B6" t="s">
        <v>7</v>
      </c>
      <c r="C6" t="s">
        <v>10</v>
      </c>
      <c r="D6">
        <v>-49.14</v>
      </c>
      <c r="E6">
        <v>38.9</v>
      </c>
      <c r="F6" t="s">
        <v>13</v>
      </c>
    </row>
    <row r="7" spans="1:6" x14ac:dyDescent="0.25">
      <c r="A7" t="s">
        <v>6</v>
      </c>
      <c r="B7" t="s">
        <v>7</v>
      </c>
      <c r="C7" t="s">
        <v>10</v>
      </c>
      <c r="D7">
        <v>-5.0400000000000002E-3</v>
      </c>
      <c r="E7">
        <v>38.9</v>
      </c>
      <c r="F7" t="s">
        <v>14</v>
      </c>
    </row>
    <row r="8" spans="1:6" x14ac:dyDescent="0.25">
      <c r="A8" t="s">
        <v>6</v>
      </c>
      <c r="B8" t="s">
        <v>7</v>
      </c>
      <c r="C8" t="s">
        <v>10</v>
      </c>
      <c r="D8">
        <v>-54.357239999999997</v>
      </c>
      <c r="E8">
        <v>38.9</v>
      </c>
      <c r="F8" t="s">
        <v>14</v>
      </c>
    </row>
    <row r="9" spans="1:6" x14ac:dyDescent="0.25">
      <c r="A9" t="s">
        <v>6</v>
      </c>
      <c r="B9" t="s">
        <v>7</v>
      </c>
      <c r="C9" t="s">
        <v>12</v>
      </c>
      <c r="D9">
        <v>600</v>
      </c>
      <c r="E9">
        <v>38.9</v>
      </c>
      <c r="F9" t="s">
        <v>15</v>
      </c>
    </row>
    <row r="10" spans="1:6" x14ac:dyDescent="0.25">
      <c r="A10" t="s">
        <v>6</v>
      </c>
      <c r="B10" t="s">
        <v>7</v>
      </c>
      <c r="C10" t="s">
        <v>10</v>
      </c>
      <c r="D10">
        <v>-51.323999999999998</v>
      </c>
      <c r="E10">
        <v>38.9</v>
      </c>
      <c r="F10" t="s">
        <v>15</v>
      </c>
    </row>
    <row r="11" spans="1:6" x14ac:dyDescent="0.25">
      <c r="A11" t="s">
        <v>6</v>
      </c>
      <c r="B11" t="s">
        <v>7</v>
      </c>
      <c r="C11" t="s">
        <v>10</v>
      </c>
      <c r="D11">
        <v>-63.951439999999998</v>
      </c>
      <c r="E11">
        <v>38.9</v>
      </c>
      <c r="F11" t="s">
        <v>16</v>
      </c>
    </row>
    <row r="12" spans="1:6" x14ac:dyDescent="0.25">
      <c r="A12" t="s">
        <v>6</v>
      </c>
      <c r="B12" t="s">
        <v>7</v>
      </c>
      <c r="C12" t="s">
        <v>10</v>
      </c>
      <c r="D12">
        <v>-7.0000000000000001E-3</v>
      </c>
      <c r="E12">
        <v>38.9</v>
      </c>
      <c r="F12" t="s">
        <v>17</v>
      </c>
    </row>
    <row r="13" spans="1:6" x14ac:dyDescent="0.25">
      <c r="A13" t="s">
        <v>6</v>
      </c>
      <c r="B13" t="s">
        <v>7</v>
      </c>
      <c r="C13" t="s">
        <v>10</v>
      </c>
      <c r="D13">
        <v>-20.825559999999999</v>
      </c>
      <c r="E13">
        <v>38.9</v>
      </c>
      <c r="F13" t="s">
        <v>17</v>
      </c>
    </row>
    <row r="14" spans="1:6" x14ac:dyDescent="0.25">
      <c r="A14" t="s">
        <v>6</v>
      </c>
      <c r="B14" t="s">
        <v>7</v>
      </c>
      <c r="C14" t="s">
        <v>12</v>
      </c>
      <c r="D14">
        <v>700</v>
      </c>
      <c r="E14">
        <v>38.9</v>
      </c>
      <c r="F14" t="s">
        <v>18</v>
      </c>
    </row>
    <row r="15" spans="1:6" x14ac:dyDescent="0.25">
      <c r="A15" t="s">
        <v>6</v>
      </c>
      <c r="B15" t="s">
        <v>19</v>
      </c>
      <c r="C15" t="s">
        <v>8</v>
      </c>
      <c r="D15">
        <v>61342</v>
      </c>
      <c r="E15">
        <v>5.0099999999999999E-2</v>
      </c>
      <c r="F15" t="s">
        <v>9</v>
      </c>
    </row>
    <row r="16" spans="1:6" x14ac:dyDescent="0.25">
      <c r="A16" t="s">
        <v>6</v>
      </c>
      <c r="B16" t="s">
        <v>19</v>
      </c>
      <c r="C16" t="s">
        <v>12</v>
      </c>
      <c r="D16">
        <v>100000</v>
      </c>
      <c r="E16">
        <v>5.0099999999999999E-2</v>
      </c>
      <c r="F16" t="s">
        <v>9</v>
      </c>
    </row>
    <row r="17" spans="1:6" x14ac:dyDescent="0.25">
      <c r="A17" t="s">
        <v>6</v>
      </c>
      <c r="B17" t="s">
        <v>19</v>
      </c>
      <c r="C17" t="s">
        <v>10</v>
      </c>
      <c r="D17">
        <v>-89330</v>
      </c>
      <c r="E17">
        <v>5.0099999999999999E-2</v>
      </c>
      <c r="F17" t="s">
        <v>9</v>
      </c>
    </row>
    <row r="18" spans="1:6" x14ac:dyDescent="0.25">
      <c r="A18" t="s">
        <v>6</v>
      </c>
      <c r="B18" t="s">
        <v>19</v>
      </c>
      <c r="C18" t="s">
        <v>12</v>
      </c>
      <c r="D18">
        <v>100000</v>
      </c>
      <c r="E18">
        <v>5.0099999999999999E-2</v>
      </c>
      <c r="F18" t="s">
        <v>13</v>
      </c>
    </row>
    <row r="19" spans="1:6" x14ac:dyDescent="0.25">
      <c r="A19" t="s">
        <v>6</v>
      </c>
      <c r="B19" t="s">
        <v>19</v>
      </c>
      <c r="C19" t="s">
        <v>10</v>
      </c>
      <c r="D19">
        <v>-93746</v>
      </c>
      <c r="E19">
        <v>5.0099999999999999E-2</v>
      </c>
      <c r="F19" t="s">
        <v>13</v>
      </c>
    </row>
    <row r="20" spans="1:6" x14ac:dyDescent="0.25">
      <c r="A20" t="s">
        <v>6</v>
      </c>
      <c r="B20" t="s">
        <v>19</v>
      </c>
      <c r="C20" t="s">
        <v>12</v>
      </c>
      <c r="D20">
        <v>100000</v>
      </c>
      <c r="E20">
        <v>5.0099999999999999E-2</v>
      </c>
      <c r="F20" t="s">
        <v>14</v>
      </c>
    </row>
    <row r="21" spans="1:6" x14ac:dyDescent="0.25">
      <c r="A21" t="s">
        <v>6</v>
      </c>
      <c r="B21" t="s">
        <v>19</v>
      </c>
      <c r="C21" t="s">
        <v>10</v>
      </c>
      <c r="D21">
        <v>-92784</v>
      </c>
      <c r="E21">
        <v>5.0099999999999999E-2</v>
      </c>
      <c r="F21" t="s">
        <v>14</v>
      </c>
    </row>
    <row r="22" spans="1:6" x14ac:dyDescent="0.25">
      <c r="A22" t="s">
        <v>6</v>
      </c>
      <c r="B22" t="s">
        <v>19</v>
      </c>
      <c r="C22" t="s">
        <v>10</v>
      </c>
      <c r="D22">
        <v>-91675</v>
      </c>
      <c r="E22">
        <v>5.0099999999999999E-2</v>
      </c>
      <c r="F22" t="s">
        <v>15</v>
      </c>
    </row>
    <row r="23" spans="1:6" x14ac:dyDescent="0.25">
      <c r="A23" t="s">
        <v>6</v>
      </c>
      <c r="B23" t="s">
        <v>19</v>
      </c>
      <c r="C23" t="s">
        <v>20</v>
      </c>
      <c r="D23">
        <v>100000</v>
      </c>
      <c r="E23">
        <v>5.0099999999999999E-2</v>
      </c>
      <c r="F23" t="s">
        <v>15</v>
      </c>
    </row>
    <row r="24" spans="1:6" x14ac:dyDescent="0.25">
      <c r="A24" t="s">
        <v>6</v>
      </c>
      <c r="B24" t="s">
        <v>19</v>
      </c>
      <c r="C24" t="s">
        <v>10</v>
      </c>
      <c r="D24">
        <v>-25</v>
      </c>
      <c r="E24">
        <v>5.0099999999999999E-2</v>
      </c>
      <c r="F24" t="s">
        <v>16</v>
      </c>
    </row>
    <row r="25" spans="1:6" x14ac:dyDescent="0.25">
      <c r="A25" t="s">
        <v>6</v>
      </c>
      <c r="B25" t="s">
        <v>19</v>
      </c>
      <c r="C25" t="s">
        <v>10</v>
      </c>
      <c r="D25">
        <v>-89063</v>
      </c>
      <c r="E25">
        <v>5.0099999999999999E-2</v>
      </c>
      <c r="F25" t="s">
        <v>16</v>
      </c>
    </row>
    <row r="26" spans="1:6" x14ac:dyDescent="0.25">
      <c r="A26" t="s">
        <v>6</v>
      </c>
      <c r="B26" t="s">
        <v>19</v>
      </c>
      <c r="C26" t="s">
        <v>20</v>
      </c>
      <c r="D26">
        <v>100000</v>
      </c>
      <c r="E26">
        <v>5.0099999999999999E-2</v>
      </c>
      <c r="F26" t="s">
        <v>16</v>
      </c>
    </row>
    <row r="27" spans="1:6" x14ac:dyDescent="0.25">
      <c r="A27" t="s">
        <v>6</v>
      </c>
      <c r="B27" t="s">
        <v>19</v>
      </c>
      <c r="C27" t="s">
        <v>10</v>
      </c>
      <c r="D27">
        <v>-73845</v>
      </c>
      <c r="E27">
        <v>5.0099999999999999E-2</v>
      </c>
      <c r="F27" t="s">
        <v>17</v>
      </c>
    </row>
    <row r="28" spans="1:6" x14ac:dyDescent="0.25">
      <c r="A28" t="s">
        <v>6</v>
      </c>
      <c r="B28" t="s">
        <v>21</v>
      </c>
      <c r="C28" t="s">
        <v>8</v>
      </c>
      <c r="D28">
        <v>6.7</v>
      </c>
      <c r="E28">
        <v>63.776910000000001</v>
      </c>
      <c r="F28" t="s">
        <v>9</v>
      </c>
    </row>
    <row r="29" spans="1:6" x14ac:dyDescent="0.25">
      <c r="A29" t="s">
        <v>6</v>
      </c>
      <c r="B29" t="s">
        <v>21</v>
      </c>
      <c r="C29" t="s">
        <v>12</v>
      </c>
      <c r="D29">
        <v>18.143699999999999</v>
      </c>
      <c r="E29">
        <v>63.776910000000001</v>
      </c>
      <c r="F29" t="s">
        <v>9</v>
      </c>
    </row>
    <row r="30" spans="1:6" x14ac:dyDescent="0.25">
      <c r="A30" t="s">
        <v>6</v>
      </c>
      <c r="B30" t="s">
        <v>21</v>
      </c>
      <c r="C30" t="s">
        <v>10</v>
      </c>
      <c r="D30">
        <v>-5.4549300000000001</v>
      </c>
      <c r="E30">
        <v>63.776910000000001</v>
      </c>
      <c r="F30" t="s">
        <v>9</v>
      </c>
    </row>
    <row r="31" spans="1:6" x14ac:dyDescent="0.25">
      <c r="A31" t="s">
        <v>6</v>
      </c>
      <c r="B31" t="s">
        <v>21</v>
      </c>
      <c r="C31" t="s">
        <v>10</v>
      </c>
      <c r="D31">
        <v>-5.3418000000000001</v>
      </c>
      <c r="E31">
        <v>63.776910000000001</v>
      </c>
      <c r="F31" t="s">
        <v>13</v>
      </c>
    </row>
    <row r="32" spans="1:6" x14ac:dyDescent="0.25">
      <c r="A32" t="s">
        <v>6</v>
      </c>
      <c r="B32" t="s">
        <v>21</v>
      </c>
      <c r="C32" t="s">
        <v>10</v>
      </c>
      <c r="D32">
        <v>-5.4000000000000001E-4</v>
      </c>
      <c r="E32">
        <v>63.776910000000001</v>
      </c>
      <c r="F32" t="s">
        <v>14</v>
      </c>
    </row>
    <row r="33" spans="1:6" x14ac:dyDescent="0.25">
      <c r="A33" t="s">
        <v>6</v>
      </c>
      <c r="B33" t="s">
        <v>21</v>
      </c>
      <c r="C33" t="s">
        <v>12</v>
      </c>
      <c r="D33">
        <v>18.143699999999999</v>
      </c>
      <c r="E33">
        <v>63.776910000000001</v>
      </c>
      <c r="F33" t="s">
        <v>14</v>
      </c>
    </row>
    <row r="34" spans="1:6" x14ac:dyDescent="0.25">
      <c r="A34" t="s">
        <v>6</v>
      </c>
      <c r="B34" t="s">
        <v>21</v>
      </c>
      <c r="C34" t="s">
        <v>10</v>
      </c>
      <c r="D34">
        <v>-5.8596000000000004</v>
      </c>
      <c r="E34">
        <v>63.776910000000001</v>
      </c>
      <c r="F34" t="s">
        <v>14</v>
      </c>
    </row>
    <row r="35" spans="1:6" x14ac:dyDescent="0.25">
      <c r="A35" t="s">
        <v>6</v>
      </c>
      <c r="B35" t="s">
        <v>21</v>
      </c>
      <c r="C35" t="s">
        <v>10</v>
      </c>
      <c r="D35">
        <v>-5.5425000000000004</v>
      </c>
      <c r="E35">
        <v>63.776910000000001</v>
      </c>
      <c r="F35" t="s">
        <v>15</v>
      </c>
    </row>
    <row r="36" spans="1:6" x14ac:dyDescent="0.25">
      <c r="A36" t="s">
        <v>6</v>
      </c>
      <c r="B36" t="s">
        <v>21</v>
      </c>
      <c r="C36" t="s">
        <v>10</v>
      </c>
      <c r="D36">
        <v>-6.0634800000000002</v>
      </c>
      <c r="E36">
        <v>63.776910000000001</v>
      </c>
      <c r="F36" t="s">
        <v>16</v>
      </c>
    </row>
    <row r="37" spans="1:6" x14ac:dyDescent="0.25">
      <c r="A37" t="s">
        <v>6</v>
      </c>
      <c r="B37" t="s">
        <v>21</v>
      </c>
      <c r="C37" t="s">
        <v>10</v>
      </c>
      <c r="D37">
        <v>-7.5000000000000002E-4</v>
      </c>
      <c r="E37">
        <v>63.776910000000001</v>
      </c>
      <c r="F37" t="s">
        <v>17</v>
      </c>
    </row>
    <row r="38" spans="1:6" x14ac:dyDescent="0.25">
      <c r="A38" t="s">
        <v>6</v>
      </c>
      <c r="B38" t="s">
        <v>21</v>
      </c>
      <c r="C38" t="s">
        <v>10</v>
      </c>
      <c r="D38">
        <v>-3.6216599999999999</v>
      </c>
      <c r="E38">
        <v>63.776910000000001</v>
      </c>
      <c r="F38" t="s">
        <v>17</v>
      </c>
    </row>
    <row r="39" spans="1:6" x14ac:dyDescent="0.25">
      <c r="A39" t="s">
        <v>6</v>
      </c>
      <c r="B39" t="s">
        <v>22</v>
      </c>
      <c r="C39" t="s">
        <v>8</v>
      </c>
      <c r="D39">
        <v>8406</v>
      </c>
      <c r="E39">
        <v>1.6E-2</v>
      </c>
      <c r="F39" t="s">
        <v>9</v>
      </c>
    </row>
    <row r="40" spans="1:6" x14ac:dyDescent="0.25">
      <c r="A40" t="s">
        <v>6</v>
      </c>
      <c r="B40" t="s">
        <v>22</v>
      </c>
      <c r="C40" t="s">
        <v>10</v>
      </c>
      <c r="D40">
        <v>-3592</v>
      </c>
      <c r="E40">
        <v>1.6E-2</v>
      </c>
      <c r="F40" t="s">
        <v>9</v>
      </c>
    </row>
    <row r="41" spans="1:6" x14ac:dyDescent="0.25">
      <c r="A41" t="s">
        <v>6</v>
      </c>
      <c r="B41" t="s">
        <v>22</v>
      </c>
      <c r="C41" t="s">
        <v>12</v>
      </c>
      <c r="D41">
        <v>10000</v>
      </c>
      <c r="E41">
        <v>1.6E-2</v>
      </c>
      <c r="F41" t="s">
        <v>13</v>
      </c>
    </row>
    <row r="42" spans="1:6" x14ac:dyDescent="0.25">
      <c r="A42" t="s">
        <v>6</v>
      </c>
      <c r="B42" t="s">
        <v>22</v>
      </c>
      <c r="C42" t="s">
        <v>10</v>
      </c>
      <c r="D42">
        <v>-5948</v>
      </c>
      <c r="E42">
        <v>1.6E-2</v>
      </c>
      <c r="F42" t="s">
        <v>13</v>
      </c>
    </row>
    <row r="43" spans="1:6" x14ac:dyDescent="0.25">
      <c r="A43" t="s">
        <v>6</v>
      </c>
      <c r="B43" t="s">
        <v>22</v>
      </c>
      <c r="C43" t="s">
        <v>12</v>
      </c>
      <c r="D43">
        <v>10000</v>
      </c>
      <c r="E43">
        <v>1.6E-2</v>
      </c>
      <c r="F43" t="s">
        <v>14</v>
      </c>
    </row>
    <row r="44" spans="1:6" x14ac:dyDescent="0.25">
      <c r="A44" t="s">
        <v>6</v>
      </c>
      <c r="B44" t="s">
        <v>22</v>
      </c>
      <c r="C44" t="s">
        <v>10</v>
      </c>
      <c r="D44">
        <v>-8088</v>
      </c>
      <c r="E44">
        <v>1.6E-2</v>
      </c>
      <c r="F44" t="s">
        <v>14</v>
      </c>
    </row>
    <row r="45" spans="1:6" x14ac:dyDescent="0.25">
      <c r="A45" t="s">
        <v>6</v>
      </c>
      <c r="B45" t="s">
        <v>22</v>
      </c>
      <c r="C45" t="s">
        <v>10</v>
      </c>
      <c r="D45">
        <v>-3436</v>
      </c>
      <c r="E45">
        <v>1.6E-2</v>
      </c>
      <c r="F45" t="s">
        <v>15</v>
      </c>
    </row>
    <row r="46" spans="1:6" x14ac:dyDescent="0.25">
      <c r="A46" t="s">
        <v>6</v>
      </c>
      <c r="B46" t="s">
        <v>22</v>
      </c>
      <c r="C46" t="s">
        <v>10</v>
      </c>
      <c r="D46">
        <v>-4524</v>
      </c>
      <c r="E46">
        <v>1.6E-2</v>
      </c>
      <c r="F46" t="s">
        <v>16</v>
      </c>
    </row>
    <row r="47" spans="1:6" x14ac:dyDescent="0.25">
      <c r="A47" t="s">
        <v>6</v>
      </c>
      <c r="B47" t="s">
        <v>22</v>
      </c>
      <c r="C47" t="s">
        <v>10</v>
      </c>
      <c r="D47">
        <v>-4732</v>
      </c>
      <c r="E47">
        <v>1.6E-2</v>
      </c>
      <c r="F47" t="s">
        <v>17</v>
      </c>
    </row>
    <row r="48" spans="1:6" x14ac:dyDescent="0.25">
      <c r="A48" t="s">
        <v>6</v>
      </c>
      <c r="B48" t="s">
        <v>22</v>
      </c>
      <c r="C48" t="s">
        <v>20</v>
      </c>
      <c r="D48">
        <v>10000</v>
      </c>
      <c r="E48">
        <v>1.6E-2</v>
      </c>
      <c r="F4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ColWidth="8.85546875" defaultRowHeight="15" x14ac:dyDescent="0.25"/>
  <sheetData>
    <row r="1" spans="1:8" x14ac:dyDescent="0.25">
      <c r="A1" t="s">
        <v>1</v>
      </c>
      <c r="B1" t="s">
        <v>9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7</v>
      </c>
      <c r="B2">
        <f>SUMIFS(Data!$D$2:$D$48,Data!$B$2:$B$48,$A2,Data!$F$2:$F$48,B1)</f>
        <v>99.170519999999996</v>
      </c>
      <c r="C2">
        <f>SUMIFS(Data!$D$2:$D$48,Data!$B$2:$B$48,$A2,Data!$F$2:$F$48,C1)+B2</f>
        <v>150.03052</v>
      </c>
      <c r="D2">
        <f>SUMIFS(Data!$D$2:$D$48,Data!$B$2:$B$48,$A2,Data!$F$2:$F$48,D1)+C2</f>
        <v>95.668239999999997</v>
      </c>
      <c r="E2">
        <f>SUMIFS(Data!$D$2:$D$48,Data!$B$2:$B$48,$A2,Data!$F$2:$F$48,E1)+D2</f>
        <v>644.34424000000001</v>
      </c>
      <c r="F2">
        <f>SUMIFS(Data!$D$2:$D$48,Data!$B$2:$B$48,$A2,Data!$F$2:$F$48,F1)+E2</f>
        <v>580.39279999999997</v>
      </c>
      <c r="G2">
        <f>SUMIFS(Data!$D$2:$D$48,Data!$B$2:$B$48,$A2,Data!$F$2:$F$48,G1)+F2</f>
        <v>559.56024000000002</v>
      </c>
      <c r="H2">
        <f>SUMIFS(Data!$D$2:$D$48,Data!$B$2:$B$48,$A2,Data!$F$2:$F$48,H1)+G2</f>
        <v>1259.56024</v>
      </c>
    </row>
    <row r="3" spans="1:8" x14ac:dyDescent="0.25">
      <c r="A3" t="s">
        <v>19</v>
      </c>
      <c r="B3">
        <f>SUMIFS(Data!$D$2:$D$48,Data!$B$2:$B$48,$A3,Data!$F$2:$F$48,B1)</f>
        <v>72012</v>
      </c>
      <c r="C3">
        <f>SUMIFS(Data!$D$2:$D$48,Data!$B$2:$B$48,$A3,Data!$F$2:$F$48,C1)+B3</f>
        <v>78266</v>
      </c>
      <c r="D3">
        <f>SUMIFS(Data!$D$2:$D$48,Data!$B$2:$B$48,$A3,Data!$F$2:$F$48,D1)+C3</f>
        <v>85482</v>
      </c>
      <c r="E3">
        <f>SUMIFS(Data!$D$2:$D$48,Data!$B$2:$B$48,$A3,Data!$F$2:$F$48,E1)+D3</f>
        <v>93807</v>
      </c>
      <c r="F3">
        <f>SUMIFS(Data!$D$2:$D$48,Data!$B$2:$B$48,$A3,Data!$F$2:$F$48,F1)+E3</f>
        <v>104719</v>
      </c>
      <c r="G3">
        <f>SUMIFS(Data!$D$2:$D$48,Data!$B$2:$B$48,$A3,Data!$F$2:$F$48,G1)+F3</f>
        <v>30874</v>
      </c>
      <c r="H3">
        <f>SUMIFS(Data!$D$2:$D$48,Data!$B$2:$B$48,$A3,Data!$F$2:$F$48,H1)+G3</f>
        <v>30874</v>
      </c>
    </row>
    <row r="4" spans="1:8" x14ac:dyDescent="0.25">
      <c r="A4" t="s">
        <v>21</v>
      </c>
      <c r="B4">
        <f>SUMIFS(Data!$D$2:$D$48,Data!$B$2:$B$48,$A4,Data!$F$2:$F$48,B1)</f>
        <v>19.388769999999997</v>
      </c>
      <c r="C4">
        <f>SUMIFS(Data!$D$2:$D$48,Data!$B$2:$B$48,$A4,Data!$F$2:$F$48,C1)+B4</f>
        <v>14.046969999999998</v>
      </c>
      <c r="D4">
        <f>SUMIFS(Data!$D$2:$D$48,Data!$B$2:$B$48,$A4,Data!$F$2:$F$48,D1)+C4</f>
        <v>26.330529999999996</v>
      </c>
      <c r="E4">
        <f>SUMIFS(Data!$D$2:$D$48,Data!$B$2:$B$48,$A4,Data!$F$2:$F$48,E1)+D4</f>
        <v>20.788029999999996</v>
      </c>
      <c r="F4">
        <f>SUMIFS(Data!$D$2:$D$48,Data!$B$2:$B$48,$A4,Data!$F$2:$F$48,F1)+E4</f>
        <v>14.724549999999995</v>
      </c>
      <c r="G4">
        <f>SUMIFS(Data!$D$2:$D$48,Data!$B$2:$B$48,$A4,Data!$F$2:$F$48,G1)+F4</f>
        <v>11.102139999999995</v>
      </c>
      <c r="H4">
        <f>SUMIFS(Data!$D$2:$D$48,Data!$B$2:$B$48,$A4,Data!$F$2:$F$48,H1)+G4</f>
        <v>11.102139999999995</v>
      </c>
    </row>
    <row r="5" spans="1:8" x14ac:dyDescent="0.25">
      <c r="A5" t="s">
        <v>22</v>
      </c>
      <c r="B5">
        <f>SUMIFS(Data!$D$2:$D$48,Data!$B$2:$B$48,$A5,Data!$F$2:$F$48,B1)</f>
        <v>4814</v>
      </c>
      <c r="C5">
        <f>SUMIFS(Data!$D$2:$D$48,Data!$B$2:$B$48,$A5,Data!$F$2:$F$48,C1)+B5</f>
        <v>8866</v>
      </c>
      <c r="D5">
        <f>SUMIFS(Data!$D$2:$D$48,Data!$B$2:$B$48,$A5,Data!$F$2:$F$48,D1)+C5</f>
        <v>10778</v>
      </c>
      <c r="E5">
        <f>SUMIFS(Data!$D$2:$D$48,Data!$B$2:$B$48,$A5,Data!$F$2:$F$48,E1)+D5</f>
        <v>7342</v>
      </c>
      <c r="F5">
        <f>SUMIFS(Data!$D$2:$D$48,Data!$B$2:$B$48,$A5,Data!$F$2:$F$48,F1)+E5</f>
        <v>2818</v>
      </c>
      <c r="G5">
        <f>SUMIFS(Data!$D$2:$D$48,Data!$B$2:$B$48,$A5,Data!$F$2:$F$48,G1)+F5</f>
        <v>8086</v>
      </c>
      <c r="H5">
        <f>SUMIFS(Data!$D$2:$D$48,Data!$B$2:$B$48,$A5,Data!$F$2:$F$48,H1)+G5</f>
        <v>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2025-10-22T19:36:15Z</dcterms:created>
  <dcterms:modified xsi:type="dcterms:W3CDTF">2026-06-04T01:32:25Z</dcterms:modified>
</cp:coreProperties>
</file>