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0240" windowHeight="19640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FIFO_Alloc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\-mm\-dd\ h:mm:ss"/>
    <numFmt numFmtId="165" formatCode="yyyy-mm-dd"/>
    <numFmt numFmtId="166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165" fontId="1" fillId="2" borderId="0" applyAlignment="1" pivotButton="0" quotePrefix="0" xfId="0">
      <alignment horizontal="center"/>
    </xf>
    <xf numFmtId="0" fontId="2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tabSelected="1" workbookViewId="0">
      <selection activeCell="A1" sqref="A1"/>
    </sheetView>
  </sheetViews>
  <sheetFormatPr baseColWidth="10" defaultColWidth="8.83203125" defaultRowHeight="15"/>
  <sheetData>
    <row r="1">
      <c r="A1" t="inlineStr">
        <is>
          <t>Owner Name</t>
        </is>
      </c>
      <c r="B1" t="inlineStr">
        <is>
          <t>Investment Name</t>
        </is>
      </c>
      <c r="C1" t="inlineStr">
        <is>
          <t>Security Name</t>
        </is>
      </c>
      <c r="D1" t="inlineStr">
        <is>
          <t>Transaction Type</t>
        </is>
      </c>
      <c r="E1" t="inlineStr">
        <is>
          <t>Transaction Date</t>
        </is>
      </c>
      <c r="F1" t="inlineStr">
        <is>
          <t>Quantity</t>
        </is>
      </c>
      <c r="G1" t="inlineStr">
        <is>
          <t>Price (c/$)</t>
        </is>
      </c>
      <c r="H1" t="inlineStr">
        <is>
          <t>Amount ($)</t>
        </is>
      </c>
      <c r="I1" t="inlineStr">
        <is>
          <t>Notes</t>
        </is>
      </c>
    </row>
    <row r="2">
      <c r="A2" t="inlineStr">
        <is>
          <t>Alpha Fund</t>
        </is>
      </c>
      <c r="B2" t="inlineStr">
        <is>
          <t>Loan Portfolio</t>
        </is>
      </c>
      <c r="C2" t="inlineStr">
        <is>
          <t>Term Loan A</t>
        </is>
      </c>
      <c r="D2" t="inlineStr">
        <is>
          <t>BUY</t>
        </is>
      </c>
      <c r="E2" s="1" t="n">
        <v>44928</v>
      </c>
      <c r="F2" t="n">
        <v>400000</v>
      </c>
      <c r="G2" t="n">
        <v>94</v>
      </c>
      <c r="H2">
        <f>F2*G2/100</f>
        <v/>
      </c>
      <c r="I2" t="inlineStr">
        <is>
          <t>Auto-generated sample</t>
        </is>
      </c>
    </row>
    <row r="3">
      <c r="A3" t="inlineStr">
        <is>
          <t>Alpha Fund</t>
        </is>
      </c>
      <c r="B3" t="inlineStr">
        <is>
          <t>Loan Portfolio</t>
        </is>
      </c>
      <c r="C3" t="inlineStr">
        <is>
          <t>Term Loan A</t>
        </is>
      </c>
      <c r="D3" t="inlineStr">
        <is>
          <t>BUY</t>
        </is>
      </c>
      <c r="E3" s="1" t="n">
        <v>44935</v>
      </c>
      <c r="F3" t="n">
        <v>500000</v>
      </c>
      <c r="G3" t="n">
        <v>94.5</v>
      </c>
      <c r="H3">
        <f>F3*G3/100</f>
        <v/>
      </c>
      <c r="I3" t="inlineStr">
        <is>
          <t>Auto-generated sample</t>
        </is>
      </c>
    </row>
    <row r="4">
      <c r="A4" t="inlineStr">
        <is>
          <t>Alpha Fund</t>
        </is>
      </c>
      <c r="B4" t="inlineStr">
        <is>
          <t>Loan Portfolio</t>
        </is>
      </c>
      <c r="C4" t="inlineStr">
        <is>
          <t>Term Loan A</t>
        </is>
      </c>
      <c r="D4" t="inlineStr">
        <is>
          <t>BUY</t>
        </is>
      </c>
      <c r="E4" s="1" t="n">
        <v>44942</v>
      </c>
      <c r="F4" t="n">
        <v>600000</v>
      </c>
      <c r="G4" t="n">
        <v>95</v>
      </c>
      <c r="H4">
        <f>F4*G4/100</f>
        <v/>
      </c>
      <c r="I4" t="inlineStr">
        <is>
          <t>Auto-generated sample</t>
        </is>
      </c>
    </row>
    <row r="5">
      <c r="A5" t="inlineStr">
        <is>
          <t>Alpha Fund</t>
        </is>
      </c>
      <c r="B5" t="inlineStr">
        <is>
          <t>Loan Portfolio</t>
        </is>
      </c>
      <c r="C5" t="inlineStr">
        <is>
          <t>Term Loan A</t>
        </is>
      </c>
      <c r="D5" t="inlineStr">
        <is>
          <t>SELL</t>
        </is>
      </c>
      <c r="E5" s="1" t="n">
        <v>44949</v>
      </c>
      <c r="F5" t="n">
        <v>300000</v>
      </c>
      <c r="G5" t="n">
        <v>99.5</v>
      </c>
      <c r="H5">
        <f>F5*G5/100</f>
        <v/>
      </c>
      <c r="I5" t="inlineStr">
        <is>
          <t>Auto-generated sample</t>
        </is>
      </c>
    </row>
    <row r="6">
      <c r="A6" t="inlineStr">
        <is>
          <t>Alpha Fund</t>
        </is>
      </c>
      <c r="B6" t="inlineStr">
        <is>
          <t>Loan Portfolio</t>
        </is>
      </c>
      <c r="C6" t="inlineStr">
        <is>
          <t>Term Loan A</t>
        </is>
      </c>
      <c r="D6" t="inlineStr">
        <is>
          <t>BUY</t>
        </is>
      </c>
      <c r="E6" s="1" t="n">
        <v>44956</v>
      </c>
      <c r="F6" t="n">
        <v>800000</v>
      </c>
      <c r="G6" t="n">
        <v>96</v>
      </c>
      <c r="H6">
        <f>F6*G6/100</f>
        <v/>
      </c>
      <c r="I6" t="inlineStr">
        <is>
          <t>Auto-generated sample</t>
        </is>
      </c>
    </row>
    <row r="7">
      <c r="A7" t="inlineStr">
        <is>
          <t>Alpha Fund</t>
        </is>
      </c>
      <c r="B7" t="inlineStr">
        <is>
          <t>Loan Portfolio</t>
        </is>
      </c>
      <c r="C7" t="inlineStr">
        <is>
          <t>Term Loan A</t>
        </is>
      </c>
      <c r="D7" t="inlineStr">
        <is>
          <t>BUY</t>
        </is>
      </c>
      <c r="E7" s="1" t="n">
        <v>44963</v>
      </c>
      <c r="F7" t="n">
        <v>400000</v>
      </c>
      <c r="G7" t="n">
        <v>96.7</v>
      </c>
      <c r="H7">
        <f>F7*G7/100</f>
        <v/>
      </c>
      <c r="I7" t="inlineStr">
        <is>
          <t>Auto-generated sample</t>
        </is>
      </c>
    </row>
    <row r="8">
      <c r="A8" t="inlineStr">
        <is>
          <t>Alpha Fund</t>
        </is>
      </c>
      <c r="B8" t="inlineStr">
        <is>
          <t>Loan Portfolio</t>
        </is>
      </c>
      <c r="C8" t="inlineStr">
        <is>
          <t>Term Loan A</t>
        </is>
      </c>
      <c r="D8" t="inlineStr">
        <is>
          <t>BUY</t>
        </is>
      </c>
      <c r="E8" s="1" t="n">
        <v>44970</v>
      </c>
      <c r="F8" t="n">
        <v>500000</v>
      </c>
      <c r="G8" t="n">
        <v>97.2</v>
      </c>
      <c r="H8">
        <f>F8*G8/100</f>
        <v/>
      </c>
      <c r="I8" t="inlineStr">
        <is>
          <t>Auto-generated sample</t>
        </is>
      </c>
    </row>
    <row r="9">
      <c r="A9" t="inlineStr">
        <is>
          <t>Alpha Fund</t>
        </is>
      </c>
      <c r="B9" t="inlineStr">
        <is>
          <t>Loan Portfolio</t>
        </is>
      </c>
      <c r="C9" t="inlineStr">
        <is>
          <t>Term Loan A</t>
        </is>
      </c>
      <c r="D9" t="inlineStr">
        <is>
          <t>SELL</t>
        </is>
      </c>
      <c r="E9" s="1" t="n">
        <v>44977</v>
      </c>
      <c r="F9" t="n">
        <v>400000</v>
      </c>
      <c r="G9" t="n">
        <v>99.5</v>
      </c>
      <c r="H9">
        <f>F9*G9/100</f>
        <v/>
      </c>
      <c r="I9" t="inlineStr">
        <is>
          <t>Auto-generated sample</t>
        </is>
      </c>
    </row>
    <row r="10">
      <c r="A10" t="inlineStr">
        <is>
          <t>Alpha Fund</t>
        </is>
      </c>
      <c r="B10" t="inlineStr">
        <is>
          <t>Loan Portfolio</t>
        </is>
      </c>
      <c r="C10" t="inlineStr">
        <is>
          <t>Term Loan A</t>
        </is>
      </c>
      <c r="D10" t="inlineStr">
        <is>
          <t>BUY</t>
        </is>
      </c>
      <c r="E10" s="1" t="n">
        <v>44984</v>
      </c>
      <c r="F10" t="n">
        <v>700000</v>
      </c>
      <c r="G10" t="n">
        <v>94.7</v>
      </c>
      <c r="H10">
        <f>F10*G10/100</f>
        <v/>
      </c>
      <c r="I10" t="inlineStr">
        <is>
          <t>Auto-generated sample</t>
        </is>
      </c>
    </row>
    <row r="11">
      <c r="A11" t="inlineStr">
        <is>
          <t>Alpha Fund</t>
        </is>
      </c>
      <c r="B11" t="inlineStr">
        <is>
          <t>Loan Portfolio</t>
        </is>
      </c>
      <c r="C11" t="inlineStr">
        <is>
          <t>Term Loan A</t>
        </is>
      </c>
      <c r="D11" t="inlineStr">
        <is>
          <t>BUY</t>
        </is>
      </c>
      <c r="E11" s="1" t="n">
        <v>44991</v>
      </c>
      <c r="F11" t="n">
        <v>800000</v>
      </c>
      <c r="G11" t="n">
        <v>95.2</v>
      </c>
      <c r="H11">
        <f>F11*G11/100</f>
        <v/>
      </c>
      <c r="I11" t="inlineStr">
        <is>
          <t>Auto-generated sample</t>
        </is>
      </c>
    </row>
    <row r="12">
      <c r="A12" t="inlineStr">
        <is>
          <t>Alpha Fund</t>
        </is>
      </c>
      <c r="B12" t="inlineStr">
        <is>
          <t>Loan Portfolio</t>
        </is>
      </c>
      <c r="C12" t="inlineStr">
        <is>
          <t>Term Loan A</t>
        </is>
      </c>
      <c r="D12" t="inlineStr">
        <is>
          <t>BUY</t>
        </is>
      </c>
      <c r="E12" s="1" t="n">
        <v>44998</v>
      </c>
      <c r="F12" t="n">
        <v>400000</v>
      </c>
      <c r="G12" t="n">
        <v>95.90000000000001</v>
      </c>
      <c r="H12">
        <f>F12*G12/100</f>
        <v/>
      </c>
      <c r="I12" t="inlineStr">
        <is>
          <t>Auto-generated sample</t>
        </is>
      </c>
    </row>
    <row r="13">
      <c r="A13" t="inlineStr">
        <is>
          <t>Alpha Fund</t>
        </is>
      </c>
      <c r="B13" t="inlineStr">
        <is>
          <t>Loan Portfolio</t>
        </is>
      </c>
      <c r="C13" t="inlineStr">
        <is>
          <t>Term Loan A</t>
        </is>
      </c>
      <c r="D13" t="inlineStr">
        <is>
          <t>SELL</t>
        </is>
      </c>
      <c r="E13" s="1" t="n">
        <v>45005</v>
      </c>
      <c r="F13" t="n">
        <v>500000</v>
      </c>
      <c r="G13" t="n">
        <v>99.5</v>
      </c>
      <c r="H13">
        <f>F13*G13/100</f>
        <v/>
      </c>
      <c r="I13" t="inlineStr">
        <is>
          <t>Auto-generated sample</t>
        </is>
      </c>
    </row>
    <row r="14">
      <c r="A14" t="inlineStr">
        <is>
          <t>Alpha Fund</t>
        </is>
      </c>
      <c r="B14" t="inlineStr">
        <is>
          <t>Loan Portfolio</t>
        </is>
      </c>
      <c r="C14" t="inlineStr">
        <is>
          <t>Term Loan A</t>
        </is>
      </c>
      <c r="D14" t="inlineStr">
        <is>
          <t>BUY</t>
        </is>
      </c>
      <c r="E14" s="1" t="n">
        <v>45012</v>
      </c>
      <c r="F14" t="n">
        <v>600000</v>
      </c>
      <c r="G14" t="n">
        <v>96.90000000000001</v>
      </c>
      <c r="H14">
        <f>F14*G14/100</f>
        <v/>
      </c>
      <c r="I14" t="inlineStr">
        <is>
          <t>Auto-generated sample</t>
        </is>
      </c>
    </row>
    <row r="15">
      <c r="A15" t="inlineStr">
        <is>
          <t>Alpha Fund</t>
        </is>
      </c>
      <c r="B15" t="inlineStr">
        <is>
          <t>Loan Portfolio</t>
        </is>
      </c>
      <c r="C15" t="inlineStr">
        <is>
          <t>Term Loan A</t>
        </is>
      </c>
      <c r="D15" t="inlineStr">
        <is>
          <t>BUY</t>
        </is>
      </c>
      <c r="E15" s="1" t="n">
        <v>45019</v>
      </c>
      <c r="F15" t="n">
        <v>700000</v>
      </c>
      <c r="G15" t="n">
        <v>97.40000000000001</v>
      </c>
      <c r="H15">
        <f>F15*G15/100</f>
        <v/>
      </c>
      <c r="I15" t="inlineStr">
        <is>
          <t>Auto-generated sample</t>
        </is>
      </c>
    </row>
    <row r="16">
      <c r="A16" t="inlineStr">
        <is>
          <t>Alpha Fund</t>
        </is>
      </c>
      <c r="B16" t="inlineStr">
        <is>
          <t>Loan Portfolio</t>
        </is>
      </c>
      <c r="C16" t="inlineStr">
        <is>
          <t>Term Loan A</t>
        </is>
      </c>
      <c r="D16" t="inlineStr">
        <is>
          <t>BUY</t>
        </is>
      </c>
      <c r="E16" s="1" t="n">
        <v>45026</v>
      </c>
      <c r="F16" t="n">
        <v>800000</v>
      </c>
      <c r="G16" t="n">
        <v>94.40000000000001</v>
      </c>
      <c r="H16">
        <f>F16*G16/100</f>
        <v/>
      </c>
      <c r="I16" t="inlineStr">
        <is>
          <t>Auto-generated sample</t>
        </is>
      </c>
    </row>
    <row r="17">
      <c r="A17" t="inlineStr">
        <is>
          <t>Alpha Fund</t>
        </is>
      </c>
      <c r="B17" t="inlineStr">
        <is>
          <t>Loan Portfolio</t>
        </is>
      </c>
      <c r="C17" t="inlineStr">
        <is>
          <t>Term Loan A</t>
        </is>
      </c>
      <c r="D17" t="inlineStr">
        <is>
          <t>SELL</t>
        </is>
      </c>
      <c r="E17" s="1" t="n">
        <v>45033</v>
      </c>
      <c r="F17" t="n">
        <v>300000</v>
      </c>
      <c r="G17" t="n">
        <v>99.5</v>
      </c>
      <c r="H17">
        <f>F17*G17/100</f>
        <v/>
      </c>
      <c r="I17" t="inlineStr">
        <is>
          <t>Auto-generated sample</t>
        </is>
      </c>
    </row>
    <row r="18">
      <c r="A18" t="inlineStr">
        <is>
          <t>Alpha Fund</t>
        </is>
      </c>
      <c r="B18" t="inlineStr">
        <is>
          <t>Loan Portfolio</t>
        </is>
      </c>
      <c r="C18" t="inlineStr">
        <is>
          <t>Term Loan A</t>
        </is>
      </c>
      <c r="D18" t="inlineStr">
        <is>
          <t>BUY</t>
        </is>
      </c>
      <c r="E18" s="1" t="n">
        <v>45040</v>
      </c>
      <c r="F18" t="n">
        <v>500000</v>
      </c>
      <c r="G18" t="n">
        <v>95.59999999999999</v>
      </c>
      <c r="H18">
        <f>F18*G18/100</f>
        <v/>
      </c>
      <c r="I18" t="inlineStr">
        <is>
          <t>Auto-generated sample</t>
        </is>
      </c>
    </row>
    <row r="19">
      <c r="A19" t="inlineStr">
        <is>
          <t>Alpha Fund</t>
        </is>
      </c>
      <c r="B19" t="inlineStr">
        <is>
          <t>Loan Portfolio</t>
        </is>
      </c>
      <c r="C19" t="inlineStr">
        <is>
          <t>Term Loan A</t>
        </is>
      </c>
      <c r="D19" t="inlineStr">
        <is>
          <t>BUY</t>
        </is>
      </c>
      <c r="E19" s="1" t="n">
        <v>45047</v>
      </c>
      <c r="F19" t="n">
        <v>600000</v>
      </c>
      <c r="G19" t="n">
        <v>96.09999999999999</v>
      </c>
      <c r="H19">
        <f>F19*G19/100</f>
        <v/>
      </c>
      <c r="I19" t="inlineStr">
        <is>
          <t>Auto-generated sample</t>
        </is>
      </c>
    </row>
    <row r="20">
      <c r="A20" t="inlineStr">
        <is>
          <t>Alpha Fund</t>
        </is>
      </c>
      <c r="B20" t="inlineStr">
        <is>
          <t>Loan Portfolio</t>
        </is>
      </c>
      <c r="C20" t="inlineStr">
        <is>
          <t>Term Loan A</t>
        </is>
      </c>
      <c r="D20" t="inlineStr">
        <is>
          <t>BUY</t>
        </is>
      </c>
      <c r="E20" s="1" t="n">
        <v>45054</v>
      </c>
      <c r="F20" t="n">
        <v>700000</v>
      </c>
      <c r="G20" t="n">
        <v>96.59999999999999</v>
      </c>
      <c r="H20">
        <f>F20*G20/100</f>
        <v/>
      </c>
      <c r="I20" t="inlineStr">
        <is>
          <t>Auto-generated sample</t>
        </is>
      </c>
    </row>
    <row r="21">
      <c r="A21" t="inlineStr">
        <is>
          <t>Alpha Fund</t>
        </is>
      </c>
      <c r="B21" t="inlineStr">
        <is>
          <t>Loan Portfolio</t>
        </is>
      </c>
      <c r="C21" t="inlineStr">
        <is>
          <t>Term Loan A</t>
        </is>
      </c>
      <c r="D21" t="inlineStr">
        <is>
          <t>SELL</t>
        </is>
      </c>
      <c r="E21" s="1" t="n">
        <v>45061</v>
      </c>
      <c r="F21" t="n">
        <v>400000</v>
      </c>
      <c r="G21" t="n">
        <v>99.5</v>
      </c>
      <c r="H21">
        <f>F21*G21/100</f>
        <v/>
      </c>
      <c r="I21" t="inlineStr">
        <is>
          <t>Auto-generated sample</t>
        </is>
      </c>
    </row>
    <row r="22">
      <c r="A22" t="inlineStr">
        <is>
          <t>Alpha Fund</t>
        </is>
      </c>
      <c r="B22" t="inlineStr">
        <is>
          <t>Loan Portfolio</t>
        </is>
      </c>
      <c r="C22" t="inlineStr">
        <is>
          <t>Term Loan A</t>
        </is>
      </c>
      <c r="D22" t="inlineStr">
        <is>
          <t>BUY</t>
        </is>
      </c>
      <c r="E22" s="1" t="n">
        <v>45068</v>
      </c>
      <c r="F22" t="n">
        <v>400000</v>
      </c>
      <c r="G22" t="n">
        <v>97.8</v>
      </c>
      <c r="H22">
        <f>F22*G22/100</f>
        <v/>
      </c>
      <c r="I22" t="inlineStr">
        <is>
          <t>Auto-generated sample</t>
        </is>
      </c>
    </row>
    <row r="23">
      <c r="A23" t="inlineStr">
        <is>
          <t>Alpha Fund</t>
        </is>
      </c>
      <c r="B23" t="inlineStr">
        <is>
          <t>Loan Portfolio</t>
        </is>
      </c>
      <c r="C23" t="inlineStr">
        <is>
          <t>Term Loan A</t>
        </is>
      </c>
      <c r="D23" t="inlineStr">
        <is>
          <t>BUY</t>
        </is>
      </c>
      <c r="E23" s="1" t="n">
        <v>45075</v>
      </c>
      <c r="F23" t="n">
        <v>500000</v>
      </c>
      <c r="G23" t="n">
        <v>94.8</v>
      </c>
      <c r="H23">
        <f>F23*G23/100</f>
        <v/>
      </c>
      <c r="I23" t="inlineStr">
        <is>
          <t>Auto-generated sample</t>
        </is>
      </c>
    </row>
    <row r="24">
      <c r="A24" t="inlineStr">
        <is>
          <t>Alpha Fund</t>
        </is>
      </c>
      <c r="B24" t="inlineStr">
        <is>
          <t>Loan Portfolio</t>
        </is>
      </c>
      <c r="C24" t="inlineStr">
        <is>
          <t>Term Loan A</t>
        </is>
      </c>
      <c r="D24" t="inlineStr">
        <is>
          <t>BUY</t>
        </is>
      </c>
      <c r="E24" s="1" t="n">
        <v>45082</v>
      </c>
      <c r="F24" t="n">
        <v>600000</v>
      </c>
      <c r="G24" t="n">
        <v>95.3</v>
      </c>
      <c r="H24">
        <f>F24*G24/100</f>
        <v/>
      </c>
      <c r="I24" t="inlineStr">
        <is>
          <t>Auto-generated sample</t>
        </is>
      </c>
    </row>
    <row r="25">
      <c r="A25" t="inlineStr">
        <is>
          <t>Alpha Fund</t>
        </is>
      </c>
      <c r="B25" t="inlineStr">
        <is>
          <t>Loan Portfolio</t>
        </is>
      </c>
      <c r="C25" t="inlineStr">
        <is>
          <t>Term Loan A</t>
        </is>
      </c>
      <c r="D25" t="inlineStr">
        <is>
          <t>SELL</t>
        </is>
      </c>
      <c r="E25" s="1" t="n">
        <v>45089</v>
      </c>
      <c r="F25" t="n">
        <v>500000</v>
      </c>
      <c r="G25" t="n">
        <v>99.5</v>
      </c>
      <c r="H25">
        <f>F25*G25/100</f>
        <v/>
      </c>
      <c r="I25" t="inlineStr">
        <is>
          <t>Auto-generated sample</t>
        </is>
      </c>
    </row>
    <row r="26">
      <c r="A26" t="inlineStr">
        <is>
          <t>Alpha Fund</t>
        </is>
      </c>
      <c r="B26" t="inlineStr">
        <is>
          <t>Loan Portfolio</t>
        </is>
      </c>
      <c r="C26" t="inlineStr">
        <is>
          <t>Term Loan A</t>
        </is>
      </c>
      <c r="D26" t="inlineStr">
        <is>
          <t>BUY</t>
        </is>
      </c>
      <c r="E26" s="1" t="n">
        <v>45096</v>
      </c>
      <c r="F26" t="n">
        <v>800000</v>
      </c>
      <c r="G26" t="n">
        <v>96.3</v>
      </c>
      <c r="H26">
        <f>F26*G26/100</f>
        <v/>
      </c>
      <c r="I26" t="inlineStr">
        <is>
          <t>Auto-generated sample</t>
        </is>
      </c>
    </row>
    <row r="27">
      <c r="A27" t="inlineStr">
        <is>
          <t>Alpha Fund</t>
        </is>
      </c>
      <c r="B27" t="inlineStr">
        <is>
          <t>Loan Portfolio</t>
        </is>
      </c>
      <c r="C27" t="inlineStr">
        <is>
          <t>Term Loan A</t>
        </is>
      </c>
      <c r="D27" t="inlineStr">
        <is>
          <t>BUY</t>
        </is>
      </c>
      <c r="E27" s="1" t="n">
        <v>45103</v>
      </c>
      <c r="F27" t="n">
        <v>400000</v>
      </c>
      <c r="G27" t="n">
        <v>97</v>
      </c>
      <c r="H27">
        <f>F27*G27/100</f>
        <v/>
      </c>
      <c r="I27" t="inlineStr">
        <is>
          <t>Auto-generated sample</t>
        </is>
      </c>
    </row>
    <row r="28">
      <c r="A28" t="inlineStr">
        <is>
          <t>Alpha Fund</t>
        </is>
      </c>
      <c r="B28" t="inlineStr">
        <is>
          <t>Loan Portfolio</t>
        </is>
      </c>
      <c r="C28" t="inlineStr">
        <is>
          <t>Term Loan A</t>
        </is>
      </c>
      <c r="D28" t="inlineStr">
        <is>
          <t>BUY</t>
        </is>
      </c>
      <c r="E28" s="1" t="n">
        <v>45110</v>
      </c>
      <c r="F28" t="n">
        <v>500000</v>
      </c>
      <c r="G28" t="n">
        <v>97.5</v>
      </c>
      <c r="H28">
        <f>F28*G28/100</f>
        <v/>
      </c>
      <c r="I28" t="inlineStr">
        <is>
          <t>Auto-generated sample</t>
        </is>
      </c>
    </row>
    <row r="29">
      <c r="A29" t="inlineStr">
        <is>
          <t>Alpha Fund</t>
        </is>
      </c>
      <c r="B29" t="inlineStr">
        <is>
          <t>Loan Portfolio</t>
        </is>
      </c>
      <c r="C29" t="inlineStr">
        <is>
          <t>Term Loan A</t>
        </is>
      </c>
      <c r="D29" t="inlineStr">
        <is>
          <t>SELL</t>
        </is>
      </c>
      <c r="E29" s="1" t="n">
        <v>45117</v>
      </c>
      <c r="F29" t="n">
        <v>300000</v>
      </c>
      <c r="G29" t="n">
        <v>99.5</v>
      </c>
      <c r="H29">
        <f>F29*G29/100</f>
        <v/>
      </c>
      <c r="I29" t="inlineStr">
        <is>
          <t>Auto-generated sample</t>
        </is>
      </c>
    </row>
    <row r="30">
      <c r="A30" t="inlineStr">
        <is>
          <t>Alpha Fund</t>
        </is>
      </c>
      <c r="B30" t="inlineStr">
        <is>
          <t>Loan Portfolio</t>
        </is>
      </c>
      <c r="C30" t="inlineStr">
        <is>
          <t>Term Loan A</t>
        </is>
      </c>
      <c r="D30" t="inlineStr">
        <is>
          <t>BUY</t>
        </is>
      </c>
      <c r="E30" s="1" t="n">
        <v>45124</v>
      </c>
      <c r="F30" t="n">
        <v>700000</v>
      </c>
      <c r="G30" t="n">
        <v>95</v>
      </c>
      <c r="H30">
        <f>F30*G30/100</f>
        <v/>
      </c>
      <c r="I30" t="inlineStr">
        <is>
          <t>Auto-generated sample</t>
        </is>
      </c>
    </row>
    <row r="31">
      <c r="A31" t="inlineStr">
        <is>
          <t>Alpha Fund</t>
        </is>
      </c>
      <c r="B31" t="inlineStr">
        <is>
          <t>Loan Portfolio</t>
        </is>
      </c>
      <c r="C31" t="inlineStr">
        <is>
          <t>Term Loan A</t>
        </is>
      </c>
      <c r="D31" t="inlineStr">
        <is>
          <t>BUY</t>
        </is>
      </c>
      <c r="E31" s="1" t="n">
        <v>45131</v>
      </c>
      <c r="F31" t="n">
        <v>800000</v>
      </c>
      <c r="G31" t="n">
        <v>95.5</v>
      </c>
      <c r="H31">
        <f>F31*G31/100</f>
        <v/>
      </c>
      <c r="I31" t="inlineStr">
        <is>
          <t>Auto-generated 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8" customWidth="1" min="27" max="27"/>
    <col width="18" customWidth="1" min="28" max="28"/>
  </cols>
  <sheetData>
    <row r="1">
      <c r="A1" s="2" t="n"/>
      <c r="B1" s="2" t="inlineStr">
        <is>
          <t>Sale Date</t>
        </is>
      </c>
      <c r="C1" s="2" t="inlineStr">
        <is>
          <t>Sell Qty</t>
        </is>
      </c>
      <c r="D1" s="3">
        <f>Transactions!E2</f>
        <v/>
      </c>
      <c r="E1" s="3">
        <f>Transactions!E3</f>
        <v/>
      </c>
      <c r="F1" s="3">
        <f>Transactions!E4</f>
        <v/>
      </c>
      <c r="G1" s="3">
        <f>Transactions!E6</f>
        <v/>
      </c>
      <c r="H1" s="3">
        <f>Transactions!E7</f>
        <v/>
      </c>
      <c r="I1" s="3">
        <f>Transactions!E8</f>
        <v/>
      </c>
      <c r="J1" s="3">
        <f>Transactions!E10</f>
        <v/>
      </c>
      <c r="K1" s="3">
        <f>Transactions!E11</f>
        <v/>
      </c>
      <c r="L1" s="3">
        <f>Transactions!E12</f>
        <v/>
      </c>
      <c r="M1" s="3">
        <f>Transactions!E14</f>
        <v/>
      </c>
      <c r="N1" s="3">
        <f>Transactions!E15</f>
        <v/>
      </c>
      <c r="O1" s="3">
        <f>Transactions!E16</f>
        <v/>
      </c>
      <c r="P1" s="3">
        <f>Transactions!E18</f>
        <v/>
      </c>
      <c r="Q1" s="3">
        <f>Transactions!E19</f>
        <v/>
      </c>
      <c r="R1" s="3">
        <f>Transactions!E20</f>
        <v/>
      </c>
      <c r="S1" s="3">
        <f>Transactions!E22</f>
        <v/>
      </c>
      <c r="T1" s="3">
        <f>Transactions!E23</f>
        <v/>
      </c>
      <c r="U1" s="3">
        <f>Transactions!E24</f>
        <v/>
      </c>
      <c r="V1" s="3">
        <f>Transactions!E26</f>
        <v/>
      </c>
      <c r="W1" s="3">
        <f>Transactions!E27</f>
        <v/>
      </c>
      <c r="X1" s="3">
        <f>Transactions!E28</f>
        <v/>
      </c>
      <c r="Y1" s="3">
        <f>Transactions!E30</f>
        <v/>
      </c>
      <c r="Z1" s="3">
        <f>Transactions!E31</f>
        <v/>
      </c>
      <c r="AA1" s="2" t="inlineStr">
        <is>
          <t>Relieved Cost ($)</t>
        </is>
      </c>
      <c r="AB1" s="2" t="inlineStr">
        <is>
          <t>Avg Cost (c/$)</t>
        </is>
      </c>
    </row>
    <row r="2">
      <c r="A2" s="4" t="inlineStr">
        <is>
          <t>Buy Qty</t>
        </is>
      </c>
      <c r="B2" s="4" t="n"/>
      <c r="C2" s="4" t="n"/>
      <c r="D2" s="4">
        <f>Transactions!F2</f>
        <v/>
      </c>
      <c r="E2" s="4">
        <f>Transactions!F3</f>
        <v/>
      </c>
      <c r="F2" s="4">
        <f>Transactions!F4</f>
        <v/>
      </c>
      <c r="G2" s="4">
        <f>Transactions!F6</f>
        <v/>
      </c>
      <c r="H2" s="4">
        <f>Transactions!F7</f>
        <v/>
      </c>
      <c r="I2" s="4">
        <f>Transactions!F8</f>
        <v/>
      </c>
      <c r="J2" s="4">
        <f>Transactions!F10</f>
        <v/>
      </c>
      <c r="K2" s="4">
        <f>Transactions!F11</f>
        <v/>
      </c>
      <c r="L2" s="4">
        <f>Transactions!F12</f>
        <v/>
      </c>
      <c r="M2" s="4">
        <f>Transactions!F14</f>
        <v/>
      </c>
      <c r="N2" s="4">
        <f>Transactions!F15</f>
        <v/>
      </c>
      <c r="O2" s="4">
        <f>Transactions!F16</f>
        <v/>
      </c>
      <c r="P2" s="4">
        <f>Transactions!F18</f>
        <v/>
      </c>
      <c r="Q2" s="4">
        <f>Transactions!F19</f>
        <v/>
      </c>
      <c r="R2" s="4">
        <f>Transactions!F20</f>
        <v/>
      </c>
      <c r="S2" s="4">
        <f>Transactions!F22</f>
        <v/>
      </c>
      <c r="T2" s="4">
        <f>Transactions!F23</f>
        <v/>
      </c>
      <c r="U2" s="4">
        <f>Transactions!F24</f>
        <v/>
      </c>
      <c r="V2" s="4">
        <f>Transactions!F26</f>
        <v/>
      </c>
      <c r="W2" s="4">
        <f>Transactions!F27</f>
        <v/>
      </c>
      <c r="X2" s="4">
        <f>Transactions!F28</f>
        <v/>
      </c>
      <c r="Y2" s="4">
        <f>Transactions!F30</f>
        <v/>
      </c>
      <c r="Z2" s="4">
        <f>Transactions!F31</f>
        <v/>
      </c>
      <c r="AA2" s="4" t="n"/>
      <c r="AB2" s="4" t="n"/>
    </row>
    <row r="3">
      <c r="A3" t="inlineStr">
        <is>
          <t>Buy Unit Cost ($/$)</t>
        </is>
      </c>
      <c r="D3" s="5">
        <f>Transactions!G2/100</f>
        <v/>
      </c>
      <c r="E3" s="5">
        <f>Transactions!G3/100</f>
        <v/>
      </c>
      <c r="F3" s="5">
        <f>Transactions!G4/100</f>
        <v/>
      </c>
      <c r="G3" s="5">
        <f>Transactions!G6/100</f>
        <v/>
      </c>
      <c r="H3" s="5">
        <f>Transactions!G7/100</f>
        <v/>
      </c>
      <c r="I3" s="5">
        <f>Transactions!G8/100</f>
        <v/>
      </c>
      <c r="J3" s="5">
        <f>Transactions!G10/100</f>
        <v/>
      </c>
      <c r="K3" s="5">
        <f>Transactions!G11/100</f>
        <v/>
      </c>
      <c r="L3" s="5">
        <f>Transactions!G12/100</f>
        <v/>
      </c>
      <c r="M3" s="5">
        <f>Transactions!G14/100</f>
        <v/>
      </c>
      <c r="N3" s="5">
        <f>Transactions!G15/100</f>
        <v/>
      </c>
      <c r="O3" s="5">
        <f>Transactions!G16/100</f>
        <v/>
      </c>
      <c r="P3" s="5">
        <f>Transactions!G18/100</f>
        <v/>
      </c>
      <c r="Q3" s="5">
        <f>Transactions!G19/100</f>
        <v/>
      </c>
      <c r="R3" s="5">
        <f>Transactions!G20/100</f>
        <v/>
      </c>
      <c r="S3" s="5">
        <f>Transactions!G22/100</f>
        <v/>
      </c>
      <c r="T3" s="5">
        <f>Transactions!G23/100</f>
        <v/>
      </c>
      <c r="U3" s="5">
        <f>Transactions!G24/100</f>
        <v/>
      </c>
      <c r="V3" s="5">
        <f>Transactions!G26/100</f>
        <v/>
      </c>
      <c r="W3" s="5">
        <f>Transactions!G27/100</f>
        <v/>
      </c>
      <c r="X3" s="5">
        <f>Transactions!G28/100</f>
        <v/>
      </c>
      <c r="Y3" s="5">
        <f>Transactions!G30/100</f>
        <v/>
      </c>
      <c r="Z3" s="5">
        <f>Transactions!G31/100</f>
        <v/>
      </c>
    </row>
    <row r="4">
      <c r="A4" t="inlineStr">
        <is>
          <t>Sale r5</t>
        </is>
      </c>
      <c r="B4" s="6">
        <f>Transactions!E5</f>
        <v/>
      </c>
      <c r="C4">
        <f>Transactions!F5</f>
        <v/>
      </c>
      <c r="D4">
        <f>IF(D$1&lt;=$B4,MAX(0,MIN(D$2,$C4-(0))),0)</f>
        <v/>
      </c>
      <c r="E4">
        <f>IF(E$1&lt;=$B4,MAX(0,MIN(E$2,$C4-(SUM($D4:D4)))),0)</f>
        <v/>
      </c>
      <c r="F4">
        <f>IF(F$1&lt;=$B4,MAX(0,MIN(F$2,$C4-(SUM($D4:E4)))),0)</f>
        <v/>
      </c>
      <c r="G4">
        <f>IF(G$1&lt;=$B4,MAX(0,MIN(G$2,$C4-(SUM($D4:F4)))),0)</f>
        <v/>
      </c>
      <c r="H4">
        <f>IF(H$1&lt;=$B4,MAX(0,MIN(H$2,$C4-(SUM($D4:G4)))),0)</f>
        <v/>
      </c>
      <c r="I4">
        <f>IF(I$1&lt;=$B4,MAX(0,MIN(I$2,$C4-(SUM($D4:H4)))),0)</f>
        <v/>
      </c>
      <c r="J4">
        <f>IF(J$1&lt;=$B4,MAX(0,MIN(J$2,$C4-(SUM($D4:I4)))),0)</f>
        <v/>
      </c>
      <c r="K4">
        <f>IF(K$1&lt;=$B4,MAX(0,MIN(K$2,$C4-(SUM($D4:J4)))),0)</f>
        <v/>
      </c>
      <c r="L4">
        <f>IF(L$1&lt;=$B4,MAX(0,MIN(L$2,$C4-(SUM($D4:K4)))),0)</f>
        <v/>
      </c>
      <c r="M4">
        <f>IF(M$1&lt;=$B4,MAX(0,MIN(M$2,$C4-(SUM($D4:L4)))),0)</f>
        <v/>
      </c>
      <c r="N4">
        <f>IF(N$1&lt;=$B4,MAX(0,MIN(N$2,$C4-(SUM($D4:M4)))),0)</f>
        <v/>
      </c>
      <c r="O4">
        <f>IF(O$1&lt;=$B4,MAX(0,MIN(O$2,$C4-(SUM($D4:N4)))),0)</f>
        <v/>
      </c>
      <c r="P4">
        <f>IF(P$1&lt;=$B4,MAX(0,MIN(P$2,$C4-(SUM($D4:O4)))),0)</f>
        <v/>
      </c>
      <c r="Q4">
        <f>IF(Q$1&lt;=$B4,MAX(0,MIN(Q$2,$C4-(SUM($D4:P4)))),0)</f>
        <v/>
      </c>
      <c r="R4">
        <f>IF(R$1&lt;=$B4,MAX(0,MIN(R$2,$C4-(SUM($D4:Q4)))),0)</f>
        <v/>
      </c>
      <c r="S4">
        <f>IF(S$1&lt;=$B4,MAX(0,MIN(S$2,$C4-(SUM($D4:R4)))),0)</f>
        <v/>
      </c>
      <c r="T4">
        <f>IF(T$1&lt;=$B4,MAX(0,MIN(T$2,$C4-(SUM($D4:S4)))),0)</f>
        <v/>
      </c>
      <c r="U4">
        <f>IF(U$1&lt;=$B4,MAX(0,MIN(U$2,$C4-(SUM($D4:T4)))),0)</f>
        <v/>
      </c>
      <c r="V4">
        <f>IF(V$1&lt;=$B4,MAX(0,MIN(V$2,$C4-(SUM($D4:U4)))),0)</f>
        <v/>
      </c>
      <c r="W4">
        <f>IF(W$1&lt;=$B4,MAX(0,MIN(W$2,$C4-(SUM($D4:V4)))),0)</f>
        <v/>
      </c>
      <c r="X4">
        <f>IF(X$1&lt;=$B4,MAX(0,MIN(X$2,$C4-(SUM($D4:W4)))),0)</f>
        <v/>
      </c>
      <c r="Y4">
        <f>IF(Y$1&lt;=$B4,MAX(0,MIN(Y$2,$C4-(SUM($D4:X4)))),0)</f>
        <v/>
      </c>
      <c r="Z4">
        <f>IF(Z$1&lt;=$B4,MAX(0,MIN(Z$2,$C4-(SUM($D4:Y4)))),0)</f>
        <v/>
      </c>
      <c r="AA4">
        <f>SUMPRODUCT(D4:Z4,D$3:Z$3)</f>
        <v/>
      </c>
      <c r="AB4">
        <f>IF($C4&gt;0,AA4/$C4*100,"")</f>
        <v/>
      </c>
    </row>
    <row r="5">
      <c r="A5" t="inlineStr">
        <is>
          <t>Sale r9</t>
        </is>
      </c>
      <c r="B5" s="6">
        <f>Transactions!E9</f>
        <v/>
      </c>
      <c r="C5">
        <f>Transactions!F9</f>
        <v/>
      </c>
      <c r="D5">
        <f>IF(D$1&lt;=$B5,MAX(0,MIN(D$2-SUM(D$4:D4),$C5-(0))),0)</f>
        <v/>
      </c>
      <c r="E5">
        <f>IF(E$1&lt;=$B5,MAX(0,MIN(E$2-SUM(E$4:E4),$C5-(SUM($D5:D5)))),0)</f>
        <v/>
      </c>
      <c r="F5">
        <f>IF(F$1&lt;=$B5,MAX(0,MIN(F$2-SUM(F$4:F4),$C5-(SUM($D5:E5)))),0)</f>
        <v/>
      </c>
      <c r="G5">
        <f>IF(G$1&lt;=$B5,MAX(0,MIN(G$2-SUM(G$4:G4),$C5-(SUM($D5:F5)))),0)</f>
        <v/>
      </c>
      <c r="H5">
        <f>IF(H$1&lt;=$B5,MAX(0,MIN(H$2-SUM(H$4:H4),$C5-(SUM($D5:G5)))),0)</f>
        <v/>
      </c>
      <c r="I5">
        <f>IF(I$1&lt;=$B5,MAX(0,MIN(I$2-SUM(I$4:I4),$C5-(SUM($D5:H5)))),0)</f>
        <v/>
      </c>
      <c r="J5">
        <f>IF(J$1&lt;=$B5,MAX(0,MIN(J$2-SUM(J$4:J4),$C5-(SUM($D5:I5)))),0)</f>
        <v/>
      </c>
      <c r="K5">
        <f>IF(K$1&lt;=$B5,MAX(0,MIN(K$2-SUM(K$4:K4),$C5-(SUM($D5:J5)))),0)</f>
        <v/>
      </c>
      <c r="L5">
        <f>IF(L$1&lt;=$B5,MAX(0,MIN(L$2-SUM(L$4:L4),$C5-(SUM($D5:K5)))),0)</f>
        <v/>
      </c>
      <c r="M5">
        <f>IF(M$1&lt;=$B5,MAX(0,MIN(M$2-SUM(M$4:M4),$C5-(SUM($D5:L5)))),0)</f>
        <v/>
      </c>
      <c r="N5">
        <f>IF(N$1&lt;=$B5,MAX(0,MIN(N$2-SUM(N$4:N4),$C5-(SUM($D5:M5)))),0)</f>
        <v/>
      </c>
      <c r="O5">
        <f>IF(O$1&lt;=$B5,MAX(0,MIN(O$2-SUM(O$4:O4),$C5-(SUM($D5:N5)))),0)</f>
        <v/>
      </c>
      <c r="P5">
        <f>IF(P$1&lt;=$B5,MAX(0,MIN(P$2-SUM(P$4:P4),$C5-(SUM($D5:O5)))),0)</f>
        <v/>
      </c>
      <c r="Q5">
        <f>IF(Q$1&lt;=$B5,MAX(0,MIN(Q$2-SUM(Q$4:Q4),$C5-(SUM($D5:P5)))),0)</f>
        <v/>
      </c>
      <c r="R5">
        <f>IF(R$1&lt;=$B5,MAX(0,MIN(R$2-SUM(R$4:R4),$C5-(SUM($D5:Q5)))),0)</f>
        <v/>
      </c>
      <c r="S5">
        <f>IF(S$1&lt;=$B5,MAX(0,MIN(S$2-SUM(S$4:S4),$C5-(SUM($D5:R5)))),0)</f>
        <v/>
      </c>
      <c r="T5">
        <f>IF(T$1&lt;=$B5,MAX(0,MIN(T$2-SUM(T$4:T4),$C5-(SUM($D5:S5)))),0)</f>
        <v/>
      </c>
      <c r="U5">
        <f>IF(U$1&lt;=$B5,MAX(0,MIN(U$2-SUM(U$4:U4),$C5-(SUM($D5:T5)))),0)</f>
        <v/>
      </c>
      <c r="V5">
        <f>IF(V$1&lt;=$B5,MAX(0,MIN(V$2-SUM(V$4:V4),$C5-(SUM($D5:U5)))),0)</f>
        <v/>
      </c>
      <c r="W5">
        <f>IF(W$1&lt;=$B5,MAX(0,MIN(W$2-SUM(W$4:W4),$C5-(SUM($D5:V5)))),0)</f>
        <v/>
      </c>
      <c r="X5">
        <f>IF(X$1&lt;=$B5,MAX(0,MIN(X$2-SUM(X$4:X4),$C5-(SUM($D5:W5)))),0)</f>
        <v/>
      </c>
      <c r="Y5">
        <f>IF(Y$1&lt;=$B5,MAX(0,MIN(Y$2-SUM(Y$4:Y4),$C5-(SUM($D5:X5)))),0)</f>
        <v/>
      </c>
      <c r="Z5">
        <f>IF(Z$1&lt;=$B5,MAX(0,MIN(Z$2-SUM(Z$4:Z4),$C5-(SUM($D5:Y5)))),0)</f>
        <v/>
      </c>
      <c r="AA5">
        <f>SUMPRODUCT(D5:Z5,D$3:Z$3)</f>
        <v/>
      </c>
      <c r="AB5">
        <f>IF($C5&gt;0,AA5/$C5*100,"")</f>
        <v/>
      </c>
    </row>
    <row r="6">
      <c r="A6" t="inlineStr">
        <is>
          <t>Sale r13</t>
        </is>
      </c>
      <c r="B6" s="6">
        <f>Transactions!E13</f>
        <v/>
      </c>
      <c r="C6">
        <f>Transactions!F13</f>
        <v/>
      </c>
      <c r="D6">
        <f>IF(D$1&lt;=$B6,MAX(0,MIN(D$2-SUM(D$4:D5),$C6-(0))),0)</f>
        <v/>
      </c>
      <c r="E6">
        <f>IF(E$1&lt;=$B6,MAX(0,MIN(E$2-SUM(E$4:E5),$C6-(SUM($D6:D6)))),0)</f>
        <v/>
      </c>
      <c r="F6">
        <f>IF(F$1&lt;=$B6,MAX(0,MIN(F$2-SUM(F$4:F5),$C6-(SUM($D6:E6)))),0)</f>
        <v/>
      </c>
      <c r="G6">
        <f>IF(G$1&lt;=$B6,MAX(0,MIN(G$2-SUM(G$4:G5),$C6-(SUM($D6:F6)))),0)</f>
        <v/>
      </c>
      <c r="H6">
        <f>IF(H$1&lt;=$B6,MAX(0,MIN(H$2-SUM(H$4:H5),$C6-(SUM($D6:G6)))),0)</f>
        <v/>
      </c>
      <c r="I6">
        <f>IF(I$1&lt;=$B6,MAX(0,MIN(I$2-SUM(I$4:I5),$C6-(SUM($D6:H6)))),0)</f>
        <v/>
      </c>
      <c r="J6">
        <f>IF(J$1&lt;=$B6,MAX(0,MIN(J$2-SUM(J$4:J5),$C6-(SUM($D6:I6)))),0)</f>
        <v/>
      </c>
      <c r="K6">
        <f>IF(K$1&lt;=$B6,MAX(0,MIN(K$2-SUM(K$4:K5),$C6-(SUM($D6:J6)))),0)</f>
        <v/>
      </c>
      <c r="L6">
        <f>IF(L$1&lt;=$B6,MAX(0,MIN(L$2-SUM(L$4:L5),$C6-(SUM($D6:K6)))),0)</f>
        <v/>
      </c>
      <c r="M6">
        <f>IF(M$1&lt;=$B6,MAX(0,MIN(M$2-SUM(M$4:M5),$C6-(SUM($D6:L6)))),0)</f>
        <v/>
      </c>
      <c r="N6">
        <f>IF(N$1&lt;=$B6,MAX(0,MIN(N$2-SUM(N$4:N5),$C6-(SUM($D6:M6)))),0)</f>
        <v/>
      </c>
      <c r="O6">
        <f>IF(O$1&lt;=$B6,MAX(0,MIN(O$2-SUM(O$4:O5),$C6-(SUM($D6:N6)))),0)</f>
        <v/>
      </c>
      <c r="P6">
        <f>IF(P$1&lt;=$B6,MAX(0,MIN(P$2-SUM(P$4:P5),$C6-(SUM($D6:O6)))),0)</f>
        <v/>
      </c>
      <c r="Q6">
        <f>IF(Q$1&lt;=$B6,MAX(0,MIN(Q$2-SUM(Q$4:Q5),$C6-(SUM($D6:P6)))),0)</f>
        <v/>
      </c>
      <c r="R6">
        <f>IF(R$1&lt;=$B6,MAX(0,MIN(R$2-SUM(R$4:R5),$C6-(SUM($D6:Q6)))),0)</f>
        <v/>
      </c>
      <c r="S6">
        <f>IF(S$1&lt;=$B6,MAX(0,MIN(S$2-SUM(S$4:S5),$C6-(SUM($D6:R6)))),0)</f>
        <v/>
      </c>
      <c r="T6">
        <f>IF(T$1&lt;=$B6,MAX(0,MIN(T$2-SUM(T$4:T5),$C6-(SUM($D6:S6)))),0)</f>
        <v/>
      </c>
      <c r="U6">
        <f>IF(U$1&lt;=$B6,MAX(0,MIN(U$2-SUM(U$4:U5),$C6-(SUM($D6:T6)))),0)</f>
        <v/>
      </c>
      <c r="V6">
        <f>IF(V$1&lt;=$B6,MAX(0,MIN(V$2-SUM(V$4:V5),$C6-(SUM($D6:U6)))),0)</f>
        <v/>
      </c>
      <c r="W6">
        <f>IF(W$1&lt;=$B6,MAX(0,MIN(W$2-SUM(W$4:W5),$C6-(SUM($D6:V6)))),0)</f>
        <v/>
      </c>
      <c r="X6">
        <f>IF(X$1&lt;=$B6,MAX(0,MIN(X$2-SUM(X$4:X5),$C6-(SUM($D6:W6)))),0)</f>
        <v/>
      </c>
      <c r="Y6">
        <f>IF(Y$1&lt;=$B6,MAX(0,MIN(Y$2-SUM(Y$4:Y5),$C6-(SUM($D6:X6)))),0)</f>
        <v/>
      </c>
      <c r="Z6">
        <f>IF(Z$1&lt;=$B6,MAX(0,MIN(Z$2-SUM(Z$4:Z5),$C6-(SUM($D6:Y6)))),0)</f>
        <v/>
      </c>
      <c r="AA6">
        <f>SUMPRODUCT(D6:Z6,D$3:Z$3)</f>
        <v/>
      </c>
      <c r="AB6">
        <f>IF($C6&gt;0,AA6/$C6*100,"")</f>
        <v/>
      </c>
    </row>
    <row r="7">
      <c r="A7" t="inlineStr">
        <is>
          <t>Sale r17</t>
        </is>
      </c>
      <c r="B7" s="6">
        <f>Transactions!E17</f>
        <v/>
      </c>
      <c r="C7">
        <f>Transactions!F17</f>
        <v/>
      </c>
      <c r="D7">
        <f>IF(D$1&lt;=$B7,MAX(0,MIN(D$2-SUM(D$4:D6),$C7-(0))),0)</f>
        <v/>
      </c>
      <c r="E7">
        <f>IF(E$1&lt;=$B7,MAX(0,MIN(E$2-SUM(E$4:E6),$C7-(SUM($D7:D7)))),0)</f>
        <v/>
      </c>
      <c r="F7">
        <f>IF(F$1&lt;=$B7,MAX(0,MIN(F$2-SUM(F$4:F6),$C7-(SUM($D7:E7)))),0)</f>
        <v/>
      </c>
      <c r="G7">
        <f>IF(G$1&lt;=$B7,MAX(0,MIN(G$2-SUM(G$4:G6),$C7-(SUM($D7:F7)))),0)</f>
        <v/>
      </c>
      <c r="H7">
        <f>IF(H$1&lt;=$B7,MAX(0,MIN(H$2-SUM(H$4:H6),$C7-(SUM($D7:G7)))),0)</f>
        <v/>
      </c>
      <c r="I7">
        <f>IF(I$1&lt;=$B7,MAX(0,MIN(I$2-SUM(I$4:I6),$C7-(SUM($D7:H7)))),0)</f>
        <v/>
      </c>
      <c r="J7">
        <f>IF(J$1&lt;=$B7,MAX(0,MIN(J$2-SUM(J$4:J6),$C7-(SUM($D7:I7)))),0)</f>
        <v/>
      </c>
      <c r="K7">
        <f>IF(K$1&lt;=$B7,MAX(0,MIN(K$2-SUM(K$4:K6),$C7-(SUM($D7:J7)))),0)</f>
        <v/>
      </c>
      <c r="L7">
        <f>IF(L$1&lt;=$B7,MAX(0,MIN(L$2-SUM(L$4:L6),$C7-(SUM($D7:K7)))),0)</f>
        <v/>
      </c>
      <c r="M7">
        <f>IF(M$1&lt;=$B7,MAX(0,MIN(M$2-SUM(M$4:M6),$C7-(SUM($D7:L7)))),0)</f>
        <v/>
      </c>
      <c r="N7">
        <f>IF(N$1&lt;=$B7,MAX(0,MIN(N$2-SUM(N$4:N6),$C7-(SUM($D7:M7)))),0)</f>
        <v/>
      </c>
      <c r="O7">
        <f>IF(O$1&lt;=$B7,MAX(0,MIN(O$2-SUM(O$4:O6),$C7-(SUM($D7:N7)))),0)</f>
        <v/>
      </c>
      <c r="P7">
        <f>IF(P$1&lt;=$B7,MAX(0,MIN(P$2-SUM(P$4:P6),$C7-(SUM($D7:O7)))),0)</f>
        <v/>
      </c>
      <c r="Q7">
        <f>IF(Q$1&lt;=$B7,MAX(0,MIN(Q$2-SUM(Q$4:Q6),$C7-(SUM($D7:P7)))),0)</f>
        <v/>
      </c>
      <c r="R7">
        <f>IF(R$1&lt;=$B7,MAX(0,MIN(R$2-SUM(R$4:R6),$C7-(SUM($D7:Q7)))),0)</f>
        <v/>
      </c>
      <c r="S7">
        <f>IF(S$1&lt;=$B7,MAX(0,MIN(S$2-SUM(S$4:S6),$C7-(SUM($D7:R7)))),0)</f>
        <v/>
      </c>
      <c r="T7">
        <f>IF(T$1&lt;=$B7,MAX(0,MIN(T$2-SUM(T$4:T6),$C7-(SUM($D7:S7)))),0)</f>
        <v/>
      </c>
      <c r="U7">
        <f>IF(U$1&lt;=$B7,MAX(0,MIN(U$2-SUM(U$4:U6),$C7-(SUM($D7:T7)))),0)</f>
        <v/>
      </c>
      <c r="V7">
        <f>IF(V$1&lt;=$B7,MAX(0,MIN(V$2-SUM(V$4:V6),$C7-(SUM($D7:U7)))),0)</f>
        <v/>
      </c>
      <c r="W7">
        <f>IF(W$1&lt;=$B7,MAX(0,MIN(W$2-SUM(W$4:W6),$C7-(SUM($D7:V7)))),0)</f>
        <v/>
      </c>
      <c r="X7">
        <f>IF(X$1&lt;=$B7,MAX(0,MIN(X$2-SUM(X$4:X6),$C7-(SUM($D7:W7)))),0)</f>
        <v/>
      </c>
      <c r="Y7">
        <f>IF(Y$1&lt;=$B7,MAX(0,MIN(Y$2-SUM(Y$4:Y6),$C7-(SUM($D7:X7)))),0)</f>
        <v/>
      </c>
      <c r="Z7">
        <f>IF(Z$1&lt;=$B7,MAX(0,MIN(Z$2-SUM(Z$4:Z6),$C7-(SUM($D7:Y7)))),0)</f>
        <v/>
      </c>
      <c r="AA7">
        <f>SUMPRODUCT(D7:Z7,D$3:Z$3)</f>
        <v/>
      </c>
      <c r="AB7">
        <f>IF($C7&gt;0,AA7/$C7*100,"")</f>
        <v/>
      </c>
    </row>
    <row r="8">
      <c r="A8" t="inlineStr">
        <is>
          <t>Sale r21</t>
        </is>
      </c>
      <c r="B8" s="6">
        <f>Transactions!E21</f>
        <v/>
      </c>
      <c r="C8">
        <f>Transactions!F21</f>
        <v/>
      </c>
      <c r="D8">
        <f>IF(D$1&lt;=$B8,MAX(0,MIN(D$2-SUM(D$4:D7),$C8-(0))),0)</f>
        <v/>
      </c>
      <c r="E8">
        <f>IF(E$1&lt;=$B8,MAX(0,MIN(E$2-SUM(E$4:E7),$C8-(SUM($D8:D8)))),0)</f>
        <v/>
      </c>
      <c r="F8">
        <f>IF(F$1&lt;=$B8,MAX(0,MIN(F$2-SUM(F$4:F7),$C8-(SUM($D8:E8)))),0)</f>
        <v/>
      </c>
      <c r="G8">
        <f>IF(G$1&lt;=$B8,MAX(0,MIN(G$2-SUM(G$4:G7),$C8-(SUM($D8:F8)))),0)</f>
        <v/>
      </c>
      <c r="H8">
        <f>IF(H$1&lt;=$B8,MAX(0,MIN(H$2-SUM(H$4:H7),$C8-(SUM($D8:G8)))),0)</f>
        <v/>
      </c>
      <c r="I8">
        <f>IF(I$1&lt;=$B8,MAX(0,MIN(I$2-SUM(I$4:I7),$C8-(SUM($D8:H8)))),0)</f>
        <v/>
      </c>
      <c r="J8">
        <f>IF(J$1&lt;=$B8,MAX(0,MIN(J$2-SUM(J$4:J7),$C8-(SUM($D8:I8)))),0)</f>
        <v/>
      </c>
      <c r="K8">
        <f>IF(K$1&lt;=$B8,MAX(0,MIN(K$2-SUM(K$4:K7),$C8-(SUM($D8:J8)))),0)</f>
        <v/>
      </c>
      <c r="L8">
        <f>IF(L$1&lt;=$B8,MAX(0,MIN(L$2-SUM(L$4:L7),$C8-(SUM($D8:K8)))),0)</f>
        <v/>
      </c>
      <c r="M8">
        <f>IF(M$1&lt;=$B8,MAX(0,MIN(M$2-SUM(M$4:M7),$C8-(SUM($D8:L8)))),0)</f>
        <v/>
      </c>
      <c r="N8">
        <f>IF(N$1&lt;=$B8,MAX(0,MIN(N$2-SUM(N$4:N7),$C8-(SUM($D8:M8)))),0)</f>
        <v/>
      </c>
      <c r="O8">
        <f>IF(O$1&lt;=$B8,MAX(0,MIN(O$2-SUM(O$4:O7),$C8-(SUM($D8:N8)))),0)</f>
        <v/>
      </c>
      <c r="P8">
        <f>IF(P$1&lt;=$B8,MAX(0,MIN(P$2-SUM(P$4:P7),$C8-(SUM($D8:O8)))),0)</f>
        <v/>
      </c>
      <c r="Q8">
        <f>IF(Q$1&lt;=$B8,MAX(0,MIN(Q$2-SUM(Q$4:Q7),$C8-(SUM($D8:P8)))),0)</f>
        <v/>
      </c>
      <c r="R8">
        <f>IF(R$1&lt;=$B8,MAX(0,MIN(R$2-SUM(R$4:R7),$C8-(SUM($D8:Q8)))),0)</f>
        <v/>
      </c>
      <c r="S8">
        <f>IF(S$1&lt;=$B8,MAX(0,MIN(S$2-SUM(S$4:S7),$C8-(SUM($D8:R8)))),0)</f>
        <v/>
      </c>
      <c r="T8">
        <f>IF(T$1&lt;=$B8,MAX(0,MIN(T$2-SUM(T$4:T7),$C8-(SUM($D8:S8)))),0)</f>
        <v/>
      </c>
      <c r="U8">
        <f>IF(U$1&lt;=$B8,MAX(0,MIN(U$2-SUM(U$4:U7),$C8-(SUM($D8:T8)))),0)</f>
        <v/>
      </c>
      <c r="V8">
        <f>IF(V$1&lt;=$B8,MAX(0,MIN(V$2-SUM(V$4:V7),$C8-(SUM($D8:U8)))),0)</f>
        <v/>
      </c>
      <c r="W8">
        <f>IF(W$1&lt;=$B8,MAX(0,MIN(W$2-SUM(W$4:W7),$C8-(SUM($D8:V8)))),0)</f>
        <v/>
      </c>
      <c r="X8">
        <f>IF(X$1&lt;=$B8,MAX(0,MIN(X$2-SUM(X$4:X7),$C8-(SUM($D8:W8)))),0)</f>
        <v/>
      </c>
      <c r="Y8">
        <f>IF(Y$1&lt;=$B8,MAX(0,MIN(Y$2-SUM(Y$4:Y7),$C8-(SUM($D8:X8)))),0)</f>
        <v/>
      </c>
      <c r="Z8">
        <f>IF(Z$1&lt;=$B8,MAX(0,MIN(Z$2-SUM(Z$4:Z7),$C8-(SUM($D8:Y8)))),0)</f>
        <v/>
      </c>
      <c r="AA8">
        <f>SUMPRODUCT(D8:Z8,D$3:Z$3)</f>
        <v/>
      </c>
      <c r="AB8">
        <f>IF($C8&gt;0,AA8/$C8*100,"")</f>
        <v/>
      </c>
    </row>
    <row r="9">
      <c r="A9" t="inlineStr">
        <is>
          <t>Sale r25</t>
        </is>
      </c>
      <c r="B9" s="6">
        <f>Transactions!E25</f>
        <v/>
      </c>
      <c r="C9">
        <f>Transactions!F25</f>
        <v/>
      </c>
      <c r="D9">
        <f>IF(D$1&lt;=$B9,MAX(0,MIN(D$2-SUM(D$4:D8),$C9-(0))),0)</f>
        <v/>
      </c>
      <c r="E9">
        <f>IF(E$1&lt;=$B9,MAX(0,MIN(E$2-SUM(E$4:E8),$C9-(SUM($D9:D9)))),0)</f>
        <v/>
      </c>
      <c r="F9">
        <f>IF(F$1&lt;=$B9,MAX(0,MIN(F$2-SUM(F$4:F8),$C9-(SUM($D9:E9)))),0)</f>
        <v/>
      </c>
      <c r="G9">
        <f>IF(G$1&lt;=$B9,MAX(0,MIN(G$2-SUM(G$4:G8),$C9-(SUM($D9:F9)))),0)</f>
        <v/>
      </c>
      <c r="H9">
        <f>IF(H$1&lt;=$B9,MAX(0,MIN(H$2-SUM(H$4:H8),$C9-(SUM($D9:G9)))),0)</f>
        <v/>
      </c>
      <c r="I9">
        <f>IF(I$1&lt;=$B9,MAX(0,MIN(I$2-SUM(I$4:I8),$C9-(SUM($D9:H9)))),0)</f>
        <v/>
      </c>
      <c r="J9">
        <f>IF(J$1&lt;=$B9,MAX(0,MIN(J$2-SUM(J$4:J8),$C9-(SUM($D9:I9)))),0)</f>
        <v/>
      </c>
      <c r="K9">
        <f>IF(K$1&lt;=$B9,MAX(0,MIN(K$2-SUM(K$4:K8),$C9-(SUM($D9:J9)))),0)</f>
        <v/>
      </c>
      <c r="L9">
        <f>IF(L$1&lt;=$B9,MAX(0,MIN(L$2-SUM(L$4:L8),$C9-(SUM($D9:K9)))),0)</f>
        <v/>
      </c>
      <c r="M9">
        <f>IF(M$1&lt;=$B9,MAX(0,MIN(M$2-SUM(M$4:M8),$C9-(SUM($D9:L9)))),0)</f>
        <v/>
      </c>
      <c r="N9">
        <f>IF(N$1&lt;=$B9,MAX(0,MIN(N$2-SUM(N$4:N8),$C9-(SUM($D9:M9)))),0)</f>
        <v/>
      </c>
      <c r="O9">
        <f>IF(O$1&lt;=$B9,MAX(0,MIN(O$2-SUM(O$4:O8),$C9-(SUM($D9:N9)))),0)</f>
        <v/>
      </c>
      <c r="P9">
        <f>IF(P$1&lt;=$B9,MAX(0,MIN(P$2-SUM(P$4:P8),$C9-(SUM($D9:O9)))),0)</f>
        <v/>
      </c>
      <c r="Q9">
        <f>IF(Q$1&lt;=$B9,MAX(0,MIN(Q$2-SUM(Q$4:Q8),$C9-(SUM($D9:P9)))),0)</f>
        <v/>
      </c>
      <c r="R9">
        <f>IF(R$1&lt;=$B9,MAX(0,MIN(R$2-SUM(R$4:R8),$C9-(SUM($D9:Q9)))),0)</f>
        <v/>
      </c>
      <c r="S9">
        <f>IF(S$1&lt;=$B9,MAX(0,MIN(S$2-SUM(S$4:S8),$C9-(SUM($D9:R9)))),0)</f>
        <v/>
      </c>
      <c r="T9">
        <f>IF(T$1&lt;=$B9,MAX(0,MIN(T$2-SUM(T$4:T8),$C9-(SUM($D9:S9)))),0)</f>
        <v/>
      </c>
      <c r="U9">
        <f>IF(U$1&lt;=$B9,MAX(0,MIN(U$2-SUM(U$4:U8),$C9-(SUM($D9:T9)))),0)</f>
        <v/>
      </c>
      <c r="V9">
        <f>IF(V$1&lt;=$B9,MAX(0,MIN(V$2-SUM(V$4:V8),$C9-(SUM($D9:U9)))),0)</f>
        <v/>
      </c>
      <c r="W9">
        <f>IF(W$1&lt;=$B9,MAX(0,MIN(W$2-SUM(W$4:W8),$C9-(SUM($D9:V9)))),0)</f>
        <v/>
      </c>
      <c r="X9">
        <f>IF(X$1&lt;=$B9,MAX(0,MIN(X$2-SUM(X$4:X8),$C9-(SUM($D9:W9)))),0)</f>
        <v/>
      </c>
      <c r="Y9">
        <f>IF(Y$1&lt;=$B9,MAX(0,MIN(Y$2-SUM(Y$4:Y8),$C9-(SUM($D9:X9)))),0)</f>
        <v/>
      </c>
      <c r="Z9">
        <f>IF(Z$1&lt;=$B9,MAX(0,MIN(Z$2-SUM(Z$4:Z8),$C9-(SUM($D9:Y9)))),0)</f>
        <v/>
      </c>
      <c r="AA9">
        <f>SUMPRODUCT(D9:Z9,D$3:Z$3)</f>
        <v/>
      </c>
      <c r="AB9">
        <f>IF($C9&gt;0,AA9/$C9*100,"")</f>
        <v/>
      </c>
    </row>
    <row r="10">
      <c r="A10" t="inlineStr">
        <is>
          <t>Sale r29</t>
        </is>
      </c>
      <c r="B10" s="6">
        <f>Transactions!E29</f>
        <v/>
      </c>
      <c r="C10">
        <f>Transactions!F29</f>
        <v/>
      </c>
      <c r="D10">
        <f>IF(D$1&lt;=$B10,MAX(0,MIN(D$2-SUM(D$4:D9),$C10-(0))),0)</f>
        <v/>
      </c>
      <c r="E10">
        <f>IF(E$1&lt;=$B10,MAX(0,MIN(E$2-SUM(E$4:E9),$C10-(SUM($D10:D10)))),0)</f>
        <v/>
      </c>
      <c r="F10">
        <f>IF(F$1&lt;=$B10,MAX(0,MIN(F$2-SUM(F$4:F9),$C10-(SUM($D10:E10)))),0)</f>
        <v/>
      </c>
      <c r="G10">
        <f>IF(G$1&lt;=$B10,MAX(0,MIN(G$2-SUM(G$4:G9),$C10-(SUM($D10:F10)))),0)</f>
        <v/>
      </c>
      <c r="H10">
        <f>IF(H$1&lt;=$B10,MAX(0,MIN(H$2-SUM(H$4:H9),$C10-(SUM($D10:G10)))),0)</f>
        <v/>
      </c>
      <c r="I10">
        <f>IF(I$1&lt;=$B10,MAX(0,MIN(I$2-SUM(I$4:I9),$C10-(SUM($D10:H10)))),0)</f>
        <v/>
      </c>
      <c r="J10">
        <f>IF(J$1&lt;=$B10,MAX(0,MIN(J$2-SUM(J$4:J9),$C10-(SUM($D10:I10)))),0)</f>
        <v/>
      </c>
      <c r="K10">
        <f>IF(K$1&lt;=$B10,MAX(0,MIN(K$2-SUM(K$4:K9),$C10-(SUM($D10:J10)))),0)</f>
        <v/>
      </c>
      <c r="L10">
        <f>IF(L$1&lt;=$B10,MAX(0,MIN(L$2-SUM(L$4:L9),$C10-(SUM($D10:K10)))),0)</f>
        <v/>
      </c>
      <c r="M10">
        <f>IF(M$1&lt;=$B10,MAX(0,MIN(M$2-SUM(M$4:M9),$C10-(SUM($D10:L10)))),0)</f>
        <v/>
      </c>
      <c r="N10">
        <f>IF(N$1&lt;=$B10,MAX(0,MIN(N$2-SUM(N$4:N9),$C10-(SUM($D10:M10)))),0)</f>
        <v/>
      </c>
      <c r="O10">
        <f>IF(O$1&lt;=$B10,MAX(0,MIN(O$2-SUM(O$4:O9),$C10-(SUM($D10:N10)))),0)</f>
        <v/>
      </c>
      <c r="P10">
        <f>IF(P$1&lt;=$B10,MAX(0,MIN(P$2-SUM(P$4:P9),$C10-(SUM($D10:O10)))),0)</f>
        <v/>
      </c>
      <c r="Q10">
        <f>IF(Q$1&lt;=$B10,MAX(0,MIN(Q$2-SUM(Q$4:Q9),$C10-(SUM($D10:P10)))),0)</f>
        <v/>
      </c>
      <c r="R10">
        <f>IF(R$1&lt;=$B10,MAX(0,MIN(R$2-SUM(R$4:R9),$C10-(SUM($D10:Q10)))),0)</f>
        <v/>
      </c>
      <c r="S10">
        <f>IF(S$1&lt;=$B10,MAX(0,MIN(S$2-SUM(S$4:S9),$C10-(SUM($D10:R10)))),0)</f>
        <v/>
      </c>
      <c r="T10">
        <f>IF(T$1&lt;=$B10,MAX(0,MIN(T$2-SUM(T$4:T9),$C10-(SUM($D10:S10)))),0)</f>
        <v/>
      </c>
      <c r="U10">
        <f>IF(U$1&lt;=$B10,MAX(0,MIN(U$2-SUM(U$4:U9),$C10-(SUM($D10:T10)))),0)</f>
        <v/>
      </c>
      <c r="V10">
        <f>IF(V$1&lt;=$B10,MAX(0,MIN(V$2-SUM(V$4:V9),$C10-(SUM($D10:U10)))),0)</f>
        <v/>
      </c>
      <c r="W10">
        <f>IF(W$1&lt;=$B10,MAX(0,MIN(W$2-SUM(W$4:W9),$C10-(SUM($D10:V10)))),0)</f>
        <v/>
      </c>
      <c r="X10">
        <f>IF(X$1&lt;=$B10,MAX(0,MIN(X$2-SUM(X$4:X9),$C10-(SUM($D10:W10)))),0)</f>
        <v/>
      </c>
      <c r="Y10">
        <f>IF(Y$1&lt;=$B10,MAX(0,MIN(Y$2-SUM(Y$4:Y9),$C10-(SUM($D10:X10)))),0)</f>
        <v/>
      </c>
      <c r="Z10">
        <f>IF(Z$1&lt;=$B10,MAX(0,MIN(Z$2-SUM(Z$4:Z9),$C10-(SUM($D10:Y10)))),0)</f>
        <v/>
      </c>
      <c r="AA10">
        <f>SUMPRODUCT(D10:Z10,D$3:Z$3)</f>
        <v/>
      </c>
      <c r="AB10">
        <f>IF($C10&gt;0,AA10/$C10*100,"")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2025-10-17T13:06:01Z</dcterms:created>
  <dcterms:modified xmlns:dcterms="http://purl.org/dc/terms/" xmlns:xsi="http://www.w3.org/2001/XMLSchema-instance" xsi:type="dcterms:W3CDTF">2026-08-30T17:29:42Z</dcterms:modified>
  <cp:lastModifiedBy>Chi, Banghao</cp:lastModifiedBy>
</cp:coreProperties>
</file>