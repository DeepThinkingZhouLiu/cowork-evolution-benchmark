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0240" windowHeight="19640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  <sheet xmlns:r="http://schemas.openxmlformats.org/officeDocument/2006/relationships" name="Output" sheetId="3" state="visible" r:id="rId3"/>
  </sheets>
  <definedNames>
    <definedName name="_xlnm._FilterDatabase" localSheetId="2" hidden="1">'Output'!$A$1:$M$31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A1" sqref="A1"/>
    </sheetView>
  </sheetViews>
  <sheetFormatPr baseColWidth="10" defaultColWidth="8.83203125" defaultRowHeight="15"/>
  <sheetData>
    <row r="1">
      <c r="A1" t="inlineStr">
        <is>
          <t>PRODUCT NAME</t>
        </is>
      </c>
      <c r="B1" t="inlineStr">
        <is>
          <t>PRODUCT CODE</t>
        </is>
      </c>
      <c r="C1" t="inlineStr">
        <is>
          <t>SALES</t>
        </is>
      </c>
      <c r="D1" t="inlineStr">
        <is>
          <t>COGS</t>
        </is>
      </c>
      <c r="E1" t="inlineStr">
        <is>
          <t>PROFIT</t>
        </is>
      </c>
    </row>
    <row r="2">
      <c r="A2" t="inlineStr">
        <is>
          <t>Gadget Beta</t>
        </is>
      </c>
      <c r="B2" t="inlineStr">
        <is>
          <t>P001</t>
        </is>
      </c>
      <c r="C2" t="n">
        <v>1273</v>
      </c>
      <c r="D2" t="n">
        <v>777</v>
      </c>
      <c r="E2" t="n">
        <v>496</v>
      </c>
    </row>
    <row r="3">
      <c r="A3" t="inlineStr">
        <is>
          <t>Gizmo Gamma</t>
        </is>
      </c>
      <c r="B3" t="inlineStr">
        <is>
          <t>P002</t>
        </is>
      </c>
      <c r="C3" t="n">
        <v>1346</v>
      </c>
      <c r="D3" t="n">
        <v>808</v>
      </c>
      <c r="E3" t="n">
        <v>538</v>
      </c>
    </row>
    <row r="4">
      <c r="A4" t="inlineStr">
        <is>
          <t>Thingamajig Delta</t>
        </is>
      </c>
      <c r="B4" t="inlineStr">
        <is>
          <t>P003</t>
        </is>
      </c>
      <c r="C4" t="n">
        <v>1419</v>
      </c>
      <c r="D4" t="n">
        <v>837</v>
      </c>
      <c r="E4" t="n">
        <v>582</v>
      </c>
    </row>
    <row r="5">
      <c r="A5" t="inlineStr">
        <is>
          <t>Device Epsilon</t>
        </is>
      </c>
      <c r="B5" t="inlineStr">
        <is>
          <t>P004</t>
        </is>
      </c>
      <c r="C5" t="n">
        <v>1492</v>
      </c>
      <c r="D5" t="n">
        <v>865</v>
      </c>
      <c r="E5" t="n">
        <v>627</v>
      </c>
    </row>
    <row r="6">
      <c r="A6" t="inlineStr">
        <is>
          <t>Apparatus Zeta</t>
        </is>
      </c>
      <c r="B6" t="inlineStr">
        <is>
          <t>P005</t>
        </is>
      </c>
      <c r="C6" t="n">
        <v>1565</v>
      </c>
      <c r="D6" t="n">
        <v>892</v>
      </c>
      <c r="E6" t="n">
        <v>673</v>
      </c>
    </row>
    <row r="7">
      <c r="A7" t="inlineStr">
        <is>
          <t>Instrument Eta</t>
        </is>
      </c>
      <c r="B7" t="inlineStr">
        <is>
          <t>P006</t>
        </is>
      </c>
      <c r="C7" t="n">
        <v>1638</v>
      </c>
      <c r="D7" t="n">
        <v>917</v>
      </c>
      <c r="E7" t="n">
        <v>721</v>
      </c>
    </row>
    <row r="8">
      <c r="A8" t="inlineStr">
        <is>
          <t>Module Theta</t>
        </is>
      </c>
      <c r="B8" t="inlineStr">
        <is>
          <t>P007</t>
        </is>
      </c>
      <c r="C8" t="n">
        <v>1711</v>
      </c>
      <c r="D8" t="n">
        <v>941</v>
      </c>
      <c r="E8" t="n">
        <v>770</v>
      </c>
    </row>
    <row r="9">
      <c r="A9" t="inlineStr">
        <is>
          <t>Component Iota</t>
        </is>
      </c>
      <c r="B9" t="inlineStr">
        <is>
          <t>P008</t>
        </is>
      </c>
      <c r="C9" t="n">
        <v>1784</v>
      </c>
      <c r="D9" t="n">
        <v>963</v>
      </c>
      <c r="E9" t="n">
        <v>821</v>
      </c>
    </row>
    <row r="10">
      <c r="A10" t="inlineStr">
        <is>
          <t>Unit Kappa</t>
        </is>
      </c>
      <c r="B10" t="inlineStr">
        <is>
          <t>P009</t>
        </is>
      </c>
      <c r="C10" t="n">
        <v>1857</v>
      </c>
      <c r="D10" t="n">
        <v>984</v>
      </c>
      <c r="E10" t="n">
        <v>873</v>
      </c>
    </row>
    <row r="11">
      <c r="A11" t="inlineStr">
        <is>
          <t>Assembly Alpha</t>
        </is>
      </c>
      <c r="B11" t="inlineStr">
        <is>
          <t>P010</t>
        </is>
      </c>
      <c r="C11" t="n">
        <v>1930</v>
      </c>
      <c r="D11" t="n">
        <v>1004</v>
      </c>
      <c r="E11" t="n">
        <v>926</v>
      </c>
    </row>
    <row r="12">
      <c r="A12" t="inlineStr">
        <is>
          <t>Mechanism Beta</t>
        </is>
      </c>
      <c r="B12" t="inlineStr">
        <is>
          <t>P011</t>
        </is>
      </c>
      <c r="C12" t="n">
        <v>2003</v>
      </c>
      <c r="D12" t="n">
        <v>1022</v>
      </c>
      <c r="E12" t="n">
        <v>981</v>
      </c>
    </row>
    <row r="13">
      <c r="A13" t="inlineStr">
        <is>
          <t>Contraption Gamma</t>
        </is>
      </c>
      <c r="B13" t="inlineStr">
        <is>
          <t>P012</t>
        </is>
      </c>
      <c r="C13" t="n">
        <v>2076</v>
      </c>
      <c r="D13" t="n">
        <v>1038</v>
      </c>
      <c r="E13" t="n">
        <v>1038</v>
      </c>
    </row>
    <row r="14">
      <c r="A14" t="inlineStr">
        <is>
          <t>Appliance Delta</t>
        </is>
      </c>
      <c r="B14" t="inlineStr">
        <is>
          <t>P013</t>
        </is>
      </c>
      <c r="C14" t="n">
        <v>2149</v>
      </c>
      <c r="D14" t="n">
        <v>1053</v>
      </c>
      <c r="E14" t="n">
        <v>1096</v>
      </c>
    </row>
    <row r="15">
      <c r="A15" t="inlineStr">
        <is>
          <t>Tool Epsilon</t>
        </is>
      </c>
      <c r="B15" t="inlineStr">
        <is>
          <t>P014</t>
        </is>
      </c>
      <c r="C15" t="n">
        <v>2222</v>
      </c>
      <c r="D15" t="n">
        <v>1067</v>
      </c>
      <c r="E15" t="n">
        <v>1155</v>
      </c>
    </row>
    <row r="16">
      <c r="A16" t="inlineStr">
        <is>
          <t>Adapter Zeta</t>
        </is>
      </c>
      <c r="B16" t="inlineStr">
        <is>
          <t>P015</t>
        </is>
      </c>
      <c r="C16" t="n">
        <v>2295</v>
      </c>
      <c r="D16" t="n">
        <v>1423</v>
      </c>
      <c r="E16" t="n">
        <v>872</v>
      </c>
    </row>
    <row r="17">
      <c r="A17" t="inlineStr">
        <is>
          <t>Converter Eta</t>
        </is>
      </c>
      <c r="B17" t="inlineStr">
        <is>
          <t>P016</t>
        </is>
      </c>
      <c r="C17" t="n">
        <v>2368</v>
      </c>
      <c r="D17" t="n">
        <v>1444</v>
      </c>
      <c r="E17" t="n">
        <v>924</v>
      </c>
    </row>
    <row r="18">
      <c r="A18" t="inlineStr">
        <is>
          <t>Controller Theta</t>
        </is>
      </c>
      <c r="B18" t="inlineStr">
        <is>
          <t>P017</t>
        </is>
      </c>
      <c r="C18" t="n">
        <v>2441</v>
      </c>
      <c r="D18" t="n">
        <v>1465</v>
      </c>
      <c r="E18" t="n">
        <v>976</v>
      </c>
    </row>
    <row r="19">
      <c r="A19" t="inlineStr">
        <is>
          <t>Processor Iota</t>
        </is>
      </c>
      <c r="B19" t="inlineStr">
        <is>
          <t>P018</t>
        </is>
      </c>
      <c r="C19" t="n">
        <v>2514</v>
      </c>
      <c r="D19" t="n">
        <v>1483</v>
      </c>
      <c r="E19" t="n">
        <v>1031</v>
      </c>
    </row>
    <row r="20">
      <c r="A20" t="inlineStr">
        <is>
          <t>Transducer Kappa</t>
        </is>
      </c>
      <c r="B20" t="inlineStr">
        <is>
          <t>P019</t>
        </is>
      </c>
      <c r="C20" t="n">
        <v>2587</v>
      </c>
      <c r="D20" t="n">
        <v>1500</v>
      </c>
      <c r="E20" t="n">
        <v>1087</v>
      </c>
    </row>
    <row r="21">
      <c r="A21" t="inlineStr">
        <is>
          <t>Widget Alpha</t>
        </is>
      </c>
      <c r="B21" t="inlineStr">
        <is>
          <t>P020</t>
        </is>
      </c>
      <c r="C21" t="n">
        <v>2660</v>
      </c>
      <c r="D21" t="n">
        <v>1516</v>
      </c>
      <c r="E21" t="n">
        <v>1144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PRODUCT NAME</t>
        </is>
      </c>
      <c r="B1" t="inlineStr">
        <is>
          <t>PRODUCT CODE</t>
        </is>
      </c>
      <c r="C1" t="inlineStr">
        <is>
          <t>SALES</t>
        </is>
      </c>
      <c r="D1" t="inlineStr">
        <is>
          <t>COGS</t>
        </is>
      </c>
      <c r="E1" t="inlineStr">
        <is>
          <t>PROFIT</t>
        </is>
      </c>
    </row>
    <row r="2">
      <c r="A2" t="inlineStr">
        <is>
          <t>Mechanism Beta</t>
        </is>
      </c>
      <c r="B2" t="inlineStr">
        <is>
          <t>P011</t>
        </is>
      </c>
      <c r="C2" t="n">
        <v>2003</v>
      </c>
      <c r="D2" t="n">
        <v>1022</v>
      </c>
      <c r="E2" t="n">
        <v>981</v>
      </c>
    </row>
    <row r="3">
      <c r="A3" t="inlineStr">
        <is>
          <t>Contraption Gamma</t>
        </is>
      </c>
      <c r="B3" t="inlineStr">
        <is>
          <t>P012</t>
        </is>
      </c>
      <c r="C3" t="n">
        <v>2076</v>
      </c>
      <c r="D3" t="n">
        <v>1038</v>
      </c>
      <c r="E3" t="n">
        <v>1038</v>
      </c>
    </row>
    <row r="4">
      <c r="A4" t="inlineStr">
        <is>
          <t>Appliance Delta</t>
        </is>
      </c>
      <c r="B4" t="inlineStr">
        <is>
          <t>P013</t>
        </is>
      </c>
      <c r="C4" t="n">
        <v>2149</v>
      </c>
      <c r="D4" t="n">
        <v>1053</v>
      </c>
      <c r="E4" t="n">
        <v>1096</v>
      </c>
    </row>
    <row r="5">
      <c r="A5" t="inlineStr">
        <is>
          <t>Tool Epsilon</t>
        </is>
      </c>
      <c r="B5" t="inlineStr">
        <is>
          <t>P014</t>
        </is>
      </c>
      <c r="C5" t="n">
        <v>2222</v>
      </c>
      <c r="D5" t="n">
        <v>1067</v>
      </c>
      <c r="E5" t="n">
        <v>1155</v>
      </c>
    </row>
    <row r="6">
      <c r="A6" t="inlineStr">
        <is>
          <t>Adapter Zeta</t>
        </is>
      </c>
      <c r="B6" t="inlineStr">
        <is>
          <t>P015</t>
        </is>
      </c>
      <c r="C6" t="n">
        <v>2295</v>
      </c>
      <c r="D6" t="n">
        <v>1423</v>
      </c>
      <c r="E6" t="n">
        <v>872</v>
      </c>
    </row>
    <row r="7">
      <c r="A7" t="inlineStr">
        <is>
          <t>Converter Eta</t>
        </is>
      </c>
      <c r="B7" t="inlineStr">
        <is>
          <t>P016</t>
        </is>
      </c>
      <c r="C7" t="n">
        <v>2368</v>
      </c>
      <c r="D7" t="n">
        <v>1444</v>
      </c>
      <c r="E7" t="n">
        <v>924</v>
      </c>
    </row>
    <row r="8">
      <c r="A8" t="inlineStr">
        <is>
          <t>Controller Theta</t>
        </is>
      </c>
      <c r="B8" t="inlineStr">
        <is>
          <t>P017</t>
        </is>
      </c>
      <c r="C8" t="n">
        <v>2441</v>
      </c>
      <c r="D8" t="n">
        <v>1465</v>
      </c>
      <c r="E8" t="n">
        <v>976</v>
      </c>
    </row>
    <row r="9">
      <c r="A9" t="inlineStr">
        <is>
          <t>Processor Iota</t>
        </is>
      </c>
      <c r="B9" t="inlineStr">
        <is>
          <t>P018</t>
        </is>
      </c>
      <c r="C9" t="n">
        <v>2514</v>
      </c>
      <c r="D9" t="n">
        <v>1483</v>
      </c>
      <c r="E9" t="n">
        <v>1031</v>
      </c>
    </row>
    <row r="10">
      <c r="A10" t="inlineStr">
        <is>
          <t>Transducer Kappa</t>
        </is>
      </c>
      <c r="B10" t="inlineStr">
        <is>
          <t>P019</t>
        </is>
      </c>
      <c r="C10" t="n">
        <v>2587</v>
      </c>
      <c r="D10" t="n">
        <v>1500</v>
      </c>
      <c r="E10" t="n">
        <v>1087</v>
      </c>
    </row>
    <row r="11">
      <c r="A11" t="inlineStr">
        <is>
          <t>Widget Alpha</t>
        </is>
      </c>
      <c r="B11" t="inlineStr">
        <is>
          <t>P020</t>
        </is>
      </c>
      <c r="C11" t="n">
        <v>2660</v>
      </c>
      <c r="D11" t="n">
        <v>1516</v>
      </c>
      <c r="E11" t="n">
        <v>1144</v>
      </c>
    </row>
    <row r="12">
      <c r="A12" t="inlineStr">
        <is>
          <t>Gadget Beta</t>
        </is>
      </c>
      <c r="B12" t="inlineStr">
        <is>
          <t>P021</t>
        </is>
      </c>
      <c r="C12" t="n">
        <v>2733</v>
      </c>
      <c r="D12" t="n">
        <v>1530</v>
      </c>
      <c r="E12" t="n">
        <v>1203</v>
      </c>
    </row>
    <row r="13">
      <c r="A13" t="inlineStr">
        <is>
          <t>Gizmo Gamma</t>
        </is>
      </c>
      <c r="B13" t="inlineStr">
        <is>
          <t>P022</t>
        </is>
      </c>
      <c r="C13" t="n">
        <v>2806</v>
      </c>
      <c r="D13" t="n">
        <v>1543</v>
      </c>
      <c r="E13" t="n">
        <v>1263</v>
      </c>
    </row>
    <row r="14">
      <c r="A14" t="inlineStr">
        <is>
          <t>Thingamajig Delta</t>
        </is>
      </c>
      <c r="B14" t="inlineStr">
        <is>
          <t>P023</t>
        </is>
      </c>
      <c r="C14" t="n">
        <v>2879</v>
      </c>
      <c r="D14" t="n">
        <v>1555</v>
      </c>
      <c r="E14" t="n">
        <v>1324</v>
      </c>
    </row>
    <row r="15">
      <c r="A15" t="inlineStr">
        <is>
          <t>Device Epsilon</t>
        </is>
      </c>
      <c r="B15" t="inlineStr">
        <is>
          <t>P024</t>
        </is>
      </c>
      <c r="C15" t="n">
        <v>2952</v>
      </c>
      <c r="D15" t="n">
        <v>1565</v>
      </c>
      <c r="E15" t="n">
        <v>1387</v>
      </c>
    </row>
    <row r="16">
      <c r="A16" t="inlineStr">
        <is>
          <t>Apparatus Zeta</t>
        </is>
      </c>
      <c r="B16" t="inlineStr">
        <is>
          <t>P025</t>
        </is>
      </c>
      <c r="C16" t="n">
        <v>3025</v>
      </c>
      <c r="D16" t="n">
        <v>1573</v>
      </c>
      <c r="E16" t="n">
        <v>1452</v>
      </c>
    </row>
    <row r="17">
      <c r="A17" t="inlineStr">
        <is>
          <t>Instrument Eta</t>
        </is>
      </c>
      <c r="B17" t="inlineStr">
        <is>
          <t>P026</t>
        </is>
      </c>
      <c r="C17" t="n">
        <v>3098</v>
      </c>
      <c r="D17" t="n">
        <v>1580</v>
      </c>
      <c r="E17" t="n">
        <v>1518</v>
      </c>
    </row>
    <row r="18">
      <c r="A18" t="inlineStr">
        <is>
          <t>Module Theta</t>
        </is>
      </c>
      <c r="B18" t="inlineStr">
        <is>
          <t>P027</t>
        </is>
      </c>
      <c r="C18" t="n">
        <v>3171</v>
      </c>
      <c r="D18" t="n">
        <v>1586</v>
      </c>
      <c r="E18" t="n">
        <v>1585</v>
      </c>
    </row>
    <row r="19">
      <c r="A19" t="inlineStr">
        <is>
          <t>Component Iota</t>
        </is>
      </c>
      <c r="B19" t="inlineStr">
        <is>
          <t>P028</t>
        </is>
      </c>
      <c r="C19" t="n">
        <v>3244</v>
      </c>
      <c r="D19" t="n">
        <v>1590</v>
      </c>
      <c r="E19" t="n">
        <v>1654</v>
      </c>
    </row>
    <row r="20">
      <c r="A20" t="inlineStr">
        <is>
          <t>Unit Kappa</t>
        </is>
      </c>
      <c r="B20" t="inlineStr">
        <is>
          <t>P029</t>
        </is>
      </c>
      <c r="C20" t="n">
        <v>3317</v>
      </c>
      <c r="D20" t="n">
        <v>1592</v>
      </c>
      <c r="E20" t="n">
        <v>1725</v>
      </c>
    </row>
    <row r="21">
      <c r="A21" t="inlineStr">
        <is>
          <t>Assembly Alpha</t>
        </is>
      </c>
      <c r="B21" t="inlineStr">
        <is>
          <t>P030</t>
        </is>
      </c>
      <c r="C21" t="n">
        <v>3390</v>
      </c>
      <c r="D21" t="n">
        <v>2102</v>
      </c>
      <c r="E21" t="n">
        <v>1288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 CODE</t>
        </is>
      </c>
      <c r="B1" s="1" t="inlineStr">
        <is>
          <t>PRODUCT NAME (T1)</t>
        </is>
      </c>
      <c r="C1" s="1" t="inlineStr">
        <is>
          <t>PRODUCT CODE (T1)</t>
        </is>
      </c>
      <c r="D1" s="1" t="inlineStr">
        <is>
          <t>SALES (T1)</t>
        </is>
      </c>
      <c r="E1" s="1" t="inlineStr">
        <is>
          <t>COGS (T1)</t>
        </is>
      </c>
      <c r="F1" s="1" t="inlineStr">
        <is>
          <t>PROFIT (T1)</t>
        </is>
      </c>
      <c r="G1" s="1" t="inlineStr">
        <is>
          <t>PRODUCT NAME (T2)</t>
        </is>
      </c>
      <c r="H1" s="1" t="inlineStr">
        <is>
          <t>PRODUCT CODE (T2)</t>
        </is>
      </c>
      <c r="I1" s="1" t="inlineStr">
        <is>
          <t>SALES (T2)</t>
        </is>
      </c>
      <c r="J1" s="1" t="inlineStr">
        <is>
          <t>COGS (T2)</t>
        </is>
      </c>
      <c r="K1" s="1" t="inlineStr">
        <is>
          <t>PROFIT (T2)</t>
        </is>
      </c>
      <c r="L1" s="1" t="inlineStr">
        <is>
          <t>COMBINED PRODUCT NAME</t>
        </is>
      </c>
      <c r="M1" s="1" t="inlineStr">
        <is>
          <t>COMBINED PRODUCT CODE</t>
        </is>
      </c>
    </row>
    <row r="2">
      <c r="A2" t="inlineStr">
        <is>
          <t>P001</t>
        </is>
      </c>
      <c r="B2">
        <f>IFERROR(INDEX(Table1!$A:$E,MATCH($A2,Table1!$B:$B,0),1),"")</f>
        <v/>
      </c>
      <c r="C2">
        <f>IFERROR(INDEX(Table1!$A:$E,MATCH($A2,Table1!$B:$B,0),2),"")</f>
        <v/>
      </c>
      <c r="D2">
        <f>IFERROR(INDEX(Table1!$A:$E,MATCH($A2,Table1!$B:$B,0),3),"")</f>
        <v/>
      </c>
      <c r="E2">
        <f>IFERROR(INDEX(Table1!$A:$E,MATCH($A2,Table1!$B:$B,0),4),"")</f>
        <v/>
      </c>
      <c r="F2">
        <f>IFERROR(INDEX(Table1!$A:$E,MATCH($A2,Table1!$B:$B,0),5),"")</f>
        <v/>
      </c>
      <c r="G2">
        <f>IFERROR(INDEX(Table2!$A:$E,MATCH($A2,Table2!$B:$B,0),1),"")</f>
        <v/>
      </c>
      <c r="H2">
        <f>IFERROR(INDEX(Table2!$A:$E,MATCH($A2,Table2!$B:$B,0),2),"")</f>
        <v/>
      </c>
      <c r="I2">
        <f>IFERROR(INDEX(Table2!$A:$E,MATCH($A2,Table2!$B:$B,0),3),"")</f>
        <v/>
      </c>
      <c r="J2">
        <f>IFERROR(INDEX(Table2!$A:$E,MATCH($A2,Table2!$B:$B,0),4),"")</f>
        <v/>
      </c>
      <c r="K2">
        <f>IFERROR(INDEX(Table2!$A:$E,MATCH($A2,Table2!$B:$B,0),5),"")</f>
        <v/>
      </c>
      <c r="L2">
        <f>IF($B2&lt;&gt;"",$B2,$G2)</f>
        <v/>
      </c>
      <c r="M2">
        <f>IF($C2&lt;&gt;"",$C2,$H2)</f>
        <v/>
      </c>
    </row>
    <row r="3">
      <c r="A3" t="inlineStr">
        <is>
          <t>P002</t>
        </is>
      </c>
      <c r="B3">
        <f>IFERROR(INDEX(Table1!$A:$E,MATCH($A3,Table1!$B:$B,0),1),"")</f>
        <v/>
      </c>
      <c r="C3">
        <f>IFERROR(INDEX(Table1!$A:$E,MATCH($A3,Table1!$B:$B,0),2),"")</f>
        <v/>
      </c>
      <c r="D3">
        <f>IFERROR(INDEX(Table1!$A:$E,MATCH($A3,Table1!$B:$B,0),3),"")</f>
        <v/>
      </c>
      <c r="E3">
        <f>IFERROR(INDEX(Table1!$A:$E,MATCH($A3,Table1!$B:$B,0),4),"")</f>
        <v/>
      </c>
      <c r="F3">
        <f>IFERROR(INDEX(Table1!$A:$E,MATCH($A3,Table1!$B:$B,0),5),"")</f>
        <v/>
      </c>
      <c r="G3">
        <f>IFERROR(INDEX(Table2!$A:$E,MATCH($A3,Table2!$B:$B,0),1),"")</f>
        <v/>
      </c>
      <c r="H3">
        <f>IFERROR(INDEX(Table2!$A:$E,MATCH($A3,Table2!$B:$B,0),2),"")</f>
        <v/>
      </c>
      <c r="I3">
        <f>IFERROR(INDEX(Table2!$A:$E,MATCH($A3,Table2!$B:$B,0),3),"")</f>
        <v/>
      </c>
      <c r="J3">
        <f>IFERROR(INDEX(Table2!$A:$E,MATCH($A3,Table2!$B:$B,0),4),"")</f>
        <v/>
      </c>
      <c r="K3">
        <f>IFERROR(INDEX(Table2!$A:$E,MATCH($A3,Table2!$B:$B,0),5),"")</f>
        <v/>
      </c>
      <c r="L3">
        <f>IF($B3&lt;&gt;"",$B3,$G3)</f>
        <v/>
      </c>
      <c r="M3">
        <f>IF($C3&lt;&gt;"",$C3,$H3)</f>
        <v/>
      </c>
    </row>
    <row r="4">
      <c r="A4" t="inlineStr">
        <is>
          <t>P003</t>
        </is>
      </c>
      <c r="B4">
        <f>IFERROR(INDEX(Table1!$A:$E,MATCH($A4,Table1!$B:$B,0),1),"")</f>
        <v/>
      </c>
      <c r="C4">
        <f>IFERROR(INDEX(Table1!$A:$E,MATCH($A4,Table1!$B:$B,0),2),"")</f>
        <v/>
      </c>
      <c r="D4">
        <f>IFERROR(INDEX(Table1!$A:$E,MATCH($A4,Table1!$B:$B,0),3),"")</f>
        <v/>
      </c>
      <c r="E4">
        <f>IFERROR(INDEX(Table1!$A:$E,MATCH($A4,Table1!$B:$B,0),4),"")</f>
        <v/>
      </c>
      <c r="F4">
        <f>IFERROR(INDEX(Table1!$A:$E,MATCH($A4,Table1!$B:$B,0),5),"")</f>
        <v/>
      </c>
      <c r="G4">
        <f>IFERROR(INDEX(Table2!$A:$E,MATCH($A4,Table2!$B:$B,0),1),"")</f>
        <v/>
      </c>
      <c r="H4">
        <f>IFERROR(INDEX(Table2!$A:$E,MATCH($A4,Table2!$B:$B,0),2),"")</f>
        <v/>
      </c>
      <c r="I4">
        <f>IFERROR(INDEX(Table2!$A:$E,MATCH($A4,Table2!$B:$B,0),3),"")</f>
        <v/>
      </c>
      <c r="J4">
        <f>IFERROR(INDEX(Table2!$A:$E,MATCH($A4,Table2!$B:$B,0),4),"")</f>
        <v/>
      </c>
      <c r="K4">
        <f>IFERROR(INDEX(Table2!$A:$E,MATCH($A4,Table2!$B:$B,0),5),"")</f>
        <v/>
      </c>
      <c r="L4">
        <f>IF($B4&lt;&gt;"",$B4,$G4)</f>
        <v/>
      </c>
      <c r="M4">
        <f>IF($C4&lt;&gt;"",$C4,$H4)</f>
        <v/>
      </c>
    </row>
    <row r="5">
      <c r="A5" t="inlineStr">
        <is>
          <t>P004</t>
        </is>
      </c>
      <c r="B5">
        <f>IFERROR(INDEX(Table1!$A:$E,MATCH($A5,Table1!$B:$B,0),1),"")</f>
        <v/>
      </c>
      <c r="C5">
        <f>IFERROR(INDEX(Table1!$A:$E,MATCH($A5,Table1!$B:$B,0),2),"")</f>
        <v/>
      </c>
      <c r="D5">
        <f>IFERROR(INDEX(Table1!$A:$E,MATCH($A5,Table1!$B:$B,0),3),"")</f>
        <v/>
      </c>
      <c r="E5">
        <f>IFERROR(INDEX(Table1!$A:$E,MATCH($A5,Table1!$B:$B,0),4),"")</f>
        <v/>
      </c>
      <c r="F5">
        <f>IFERROR(INDEX(Table1!$A:$E,MATCH($A5,Table1!$B:$B,0),5),"")</f>
        <v/>
      </c>
      <c r="G5">
        <f>IFERROR(INDEX(Table2!$A:$E,MATCH($A5,Table2!$B:$B,0),1),"")</f>
        <v/>
      </c>
      <c r="H5">
        <f>IFERROR(INDEX(Table2!$A:$E,MATCH($A5,Table2!$B:$B,0),2),"")</f>
        <v/>
      </c>
      <c r="I5">
        <f>IFERROR(INDEX(Table2!$A:$E,MATCH($A5,Table2!$B:$B,0),3),"")</f>
        <v/>
      </c>
      <c r="J5">
        <f>IFERROR(INDEX(Table2!$A:$E,MATCH($A5,Table2!$B:$B,0),4),"")</f>
        <v/>
      </c>
      <c r="K5">
        <f>IFERROR(INDEX(Table2!$A:$E,MATCH($A5,Table2!$B:$B,0),5),"")</f>
        <v/>
      </c>
      <c r="L5">
        <f>IF($B5&lt;&gt;"",$B5,$G5)</f>
        <v/>
      </c>
      <c r="M5">
        <f>IF($C5&lt;&gt;"",$C5,$H5)</f>
        <v/>
      </c>
    </row>
    <row r="6">
      <c r="A6" t="inlineStr">
        <is>
          <t>P005</t>
        </is>
      </c>
      <c r="B6">
        <f>IFERROR(INDEX(Table1!$A:$E,MATCH($A6,Table1!$B:$B,0),1),"")</f>
        <v/>
      </c>
      <c r="C6">
        <f>IFERROR(INDEX(Table1!$A:$E,MATCH($A6,Table1!$B:$B,0),2),"")</f>
        <v/>
      </c>
      <c r="D6">
        <f>IFERROR(INDEX(Table1!$A:$E,MATCH($A6,Table1!$B:$B,0),3),"")</f>
        <v/>
      </c>
      <c r="E6">
        <f>IFERROR(INDEX(Table1!$A:$E,MATCH($A6,Table1!$B:$B,0),4),"")</f>
        <v/>
      </c>
      <c r="F6">
        <f>IFERROR(INDEX(Table1!$A:$E,MATCH($A6,Table1!$B:$B,0),5),"")</f>
        <v/>
      </c>
      <c r="G6">
        <f>IFERROR(INDEX(Table2!$A:$E,MATCH($A6,Table2!$B:$B,0),1),"")</f>
        <v/>
      </c>
      <c r="H6">
        <f>IFERROR(INDEX(Table2!$A:$E,MATCH($A6,Table2!$B:$B,0),2),"")</f>
        <v/>
      </c>
      <c r="I6">
        <f>IFERROR(INDEX(Table2!$A:$E,MATCH($A6,Table2!$B:$B,0),3),"")</f>
        <v/>
      </c>
      <c r="J6">
        <f>IFERROR(INDEX(Table2!$A:$E,MATCH($A6,Table2!$B:$B,0),4),"")</f>
        <v/>
      </c>
      <c r="K6">
        <f>IFERROR(INDEX(Table2!$A:$E,MATCH($A6,Table2!$B:$B,0),5),"")</f>
        <v/>
      </c>
      <c r="L6">
        <f>IF($B6&lt;&gt;"",$B6,$G6)</f>
        <v/>
      </c>
      <c r="M6">
        <f>IF($C6&lt;&gt;"",$C6,$H6)</f>
        <v/>
      </c>
    </row>
    <row r="7">
      <c r="A7" t="inlineStr">
        <is>
          <t>P006</t>
        </is>
      </c>
      <c r="B7">
        <f>IFERROR(INDEX(Table1!$A:$E,MATCH($A7,Table1!$B:$B,0),1),"")</f>
        <v/>
      </c>
      <c r="C7">
        <f>IFERROR(INDEX(Table1!$A:$E,MATCH($A7,Table1!$B:$B,0),2),"")</f>
        <v/>
      </c>
      <c r="D7">
        <f>IFERROR(INDEX(Table1!$A:$E,MATCH($A7,Table1!$B:$B,0),3),"")</f>
        <v/>
      </c>
      <c r="E7">
        <f>IFERROR(INDEX(Table1!$A:$E,MATCH($A7,Table1!$B:$B,0),4),"")</f>
        <v/>
      </c>
      <c r="F7">
        <f>IFERROR(INDEX(Table1!$A:$E,MATCH($A7,Table1!$B:$B,0),5),"")</f>
        <v/>
      </c>
      <c r="G7">
        <f>IFERROR(INDEX(Table2!$A:$E,MATCH($A7,Table2!$B:$B,0),1),"")</f>
        <v/>
      </c>
      <c r="H7">
        <f>IFERROR(INDEX(Table2!$A:$E,MATCH($A7,Table2!$B:$B,0),2),"")</f>
        <v/>
      </c>
      <c r="I7">
        <f>IFERROR(INDEX(Table2!$A:$E,MATCH($A7,Table2!$B:$B,0),3),"")</f>
        <v/>
      </c>
      <c r="J7">
        <f>IFERROR(INDEX(Table2!$A:$E,MATCH($A7,Table2!$B:$B,0),4),"")</f>
        <v/>
      </c>
      <c r="K7">
        <f>IFERROR(INDEX(Table2!$A:$E,MATCH($A7,Table2!$B:$B,0),5),"")</f>
        <v/>
      </c>
      <c r="L7">
        <f>IF($B7&lt;&gt;"",$B7,$G7)</f>
        <v/>
      </c>
      <c r="M7">
        <f>IF($C7&lt;&gt;"",$C7,$H7)</f>
        <v/>
      </c>
    </row>
    <row r="8">
      <c r="A8" t="inlineStr">
        <is>
          <t>P007</t>
        </is>
      </c>
      <c r="B8">
        <f>IFERROR(INDEX(Table1!$A:$E,MATCH($A8,Table1!$B:$B,0),1),"")</f>
        <v/>
      </c>
      <c r="C8">
        <f>IFERROR(INDEX(Table1!$A:$E,MATCH($A8,Table1!$B:$B,0),2),"")</f>
        <v/>
      </c>
      <c r="D8">
        <f>IFERROR(INDEX(Table1!$A:$E,MATCH($A8,Table1!$B:$B,0),3),"")</f>
        <v/>
      </c>
      <c r="E8">
        <f>IFERROR(INDEX(Table1!$A:$E,MATCH($A8,Table1!$B:$B,0),4),"")</f>
        <v/>
      </c>
      <c r="F8">
        <f>IFERROR(INDEX(Table1!$A:$E,MATCH($A8,Table1!$B:$B,0),5),"")</f>
        <v/>
      </c>
      <c r="G8">
        <f>IFERROR(INDEX(Table2!$A:$E,MATCH($A8,Table2!$B:$B,0),1),"")</f>
        <v/>
      </c>
      <c r="H8">
        <f>IFERROR(INDEX(Table2!$A:$E,MATCH($A8,Table2!$B:$B,0),2),"")</f>
        <v/>
      </c>
      <c r="I8">
        <f>IFERROR(INDEX(Table2!$A:$E,MATCH($A8,Table2!$B:$B,0),3),"")</f>
        <v/>
      </c>
      <c r="J8">
        <f>IFERROR(INDEX(Table2!$A:$E,MATCH($A8,Table2!$B:$B,0),4),"")</f>
        <v/>
      </c>
      <c r="K8">
        <f>IFERROR(INDEX(Table2!$A:$E,MATCH($A8,Table2!$B:$B,0),5),"")</f>
        <v/>
      </c>
      <c r="L8">
        <f>IF($B8&lt;&gt;"",$B8,$G8)</f>
        <v/>
      </c>
      <c r="M8">
        <f>IF($C8&lt;&gt;"",$C8,$H8)</f>
        <v/>
      </c>
    </row>
    <row r="9">
      <c r="A9" t="inlineStr">
        <is>
          <t>P008</t>
        </is>
      </c>
      <c r="B9">
        <f>IFERROR(INDEX(Table1!$A:$E,MATCH($A9,Table1!$B:$B,0),1),"")</f>
        <v/>
      </c>
      <c r="C9">
        <f>IFERROR(INDEX(Table1!$A:$E,MATCH($A9,Table1!$B:$B,0),2),"")</f>
        <v/>
      </c>
      <c r="D9">
        <f>IFERROR(INDEX(Table1!$A:$E,MATCH($A9,Table1!$B:$B,0),3),"")</f>
        <v/>
      </c>
      <c r="E9">
        <f>IFERROR(INDEX(Table1!$A:$E,MATCH($A9,Table1!$B:$B,0),4),"")</f>
        <v/>
      </c>
      <c r="F9">
        <f>IFERROR(INDEX(Table1!$A:$E,MATCH($A9,Table1!$B:$B,0),5),"")</f>
        <v/>
      </c>
      <c r="G9">
        <f>IFERROR(INDEX(Table2!$A:$E,MATCH($A9,Table2!$B:$B,0),1),"")</f>
        <v/>
      </c>
      <c r="H9">
        <f>IFERROR(INDEX(Table2!$A:$E,MATCH($A9,Table2!$B:$B,0),2),"")</f>
        <v/>
      </c>
      <c r="I9">
        <f>IFERROR(INDEX(Table2!$A:$E,MATCH($A9,Table2!$B:$B,0),3),"")</f>
        <v/>
      </c>
      <c r="J9">
        <f>IFERROR(INDEX(Table2!$A:$E,MATCH($A9,Table2!$B:$B,0),4),"")</f>
        <v/>
      </c>
      <c r="K9">
        <f>IFERROR(INDEX(Table2!$A:$E,MATCH($A9,Table2!$B:$B,0),5),"")</f>
        <v/>
      </c>
      <c r="L9">
        <f>IF($B9&lt;&gt;"",$B9,$G9)</f>
        <v/>
      </c>
      <c r="M9">
        <f>IF($C9&lt;&gt;"",$C9,$H9)</f>
        <v/>
      </c>
    </row>
    <row r="10">
      <c r="A10" t="inlineStr">
        <is>
          <t>P009</t>
        </is>
      </c>
      <c r="B10">
        <f>IFERROR(INDEX(Table1!$A:$E,MATCH($A10,Table1!$B:$B,0),1),"")</f>
        <v/>
      </c>
      <c r="C10">
        <f>IFERROR(INDEX(Table1!$A:$E,MATCH($A10,Table1!$B:$B,0),2),"")</f>
        <v/>
      </c>
      <c r="D10">
        <f>IFERROR(INDEX(Table1!$A:$E,MATCH($A10,Table1!$B:$B,0),3),"")</f>
        <v/>
      </c>
      <c r="E10">
        <f>IFERROR(INDEX(Table1!$A:$E,MATCH($A10,Table1!$B:$B,0),4),"")</f>
        <v/>
      </c>
      <c r="F10">
        <f>IFERROR(INDEX(Table1!$A:$E,MATCH($A10,Table1!$B:$B,0),5),"")</f>
        <v/>
      </c>
      <c r="G10">
        <f>IFERROR(INDEX(Table2!$A:$E,MATCH($A10,Table2!$B:$B,0),1),"")</f>
        <v/>
      </c>
      <c r="H10">
        <f>IFERROR(INDEX(Table2!$A:$E,MATCH($A10,Table2!$B:$B,0),2),"")</f>
        <v/>
      </c>
      <c r="I10">
        <f>IFERROR(INDEX(Table2!$A:$E,MATCH($A10,Table2!$B:$B,0),3),"")</f>
        <v/>
      </c>
      <c r="J10">
        <f>IFERROR(INDEX(Table2!$A:$E,MATCH($A10,Table2!$B:$B,0),4),"")</f>
        <v/>
      </c>
      <c r="K10">
        <f>IFERROR(INDEX(Table2!$A:$E,MATCH($A10,Table2!$B:$B,0),5),"")</f>
        <v/>
      </c>
      <c r="L10">
        <f>IF($B10&lt;&gt;"",$B10,$G10)</f>
        <v/>
      </c>
      <c r="M10">
        <f>IF($C10&lt;&gt;"",$C10,$H10)</f>
        <v/>
      </c>
    </row>
    <row r="11">
      <c r="A11" t="inlineStr">
        <is>
          <t>P010</t>
        </is>
      </c>
      <c r="B11">
        <f>IFERROR(INDEX(Table1!$A:$E,MATCH($A11,Table1!$B:$B,0),1),"")</f>
        <v/>
      </c>
      <c r="C11">
        <f>IFERROR(INDEX(Table1!$A:$E,MATCH($A11,Table1!$B:$B,0),2),"")</f>
        <v/>
      </c>
      <c r="D11">
        <f>IFERROR(INDEX(Table1!$A:$E,MATCH($A11,Table1!$B:$B,0),3),"")</f>
        <v/>
      </c>
      <c r="E11">
        <f>IFERROR(INDEX(Table1!$A:$E,MATCH($A11,Table1!$B:$B,0),4),"")</f>
        <v/>
      </c>
      <c r="F11">
        <f>IFERROR(INDEX(Table1!$A:$E,MATCH($A11,Table1!$B:$B,0),5),"")</f>
        <v/>
      </c>
      <c r="G11">
        <f>IFERROR(INDEX(Table2!$A:$E,MATCH($A11,Table2!$B:$B,0),1),"")</f>
        <v/>
      </c>
      <c r="H11">
        <f>IFERROR(INDEX(Table2!$A:$E,MATCH($A11,Table2!$B:$B,0),2),"")</f>
        <v/>
      </c>
      <c r="I11">
        <f>IFERROR(INDEX(Table2!$A:$E,MATCH($A11,Table2!$B:$B,0),3),"")</f>
        <v/>
      </c>
      <c r="J11">
        <f>IFERROR(INDEX(Table2!$A:$E,MATCH($A11,Table2!$B:$B,0),4),"")</f>
        <v/>
      </c>
      <c r="K11">
        <f>IFERROR(INDEX(Table2!$A:$E,MATCH($A11,Table2!$B:$B,0),5),"")</f>
        <v/>
      </c>
      <c r="L11">
        <f>IF($B11&lt;&gt;"",$B11,$G11)</f>
        <v/>
      </c>
      <c r="M11">
        <f>IF($C11&lt;&gt;"",$C11,$H11)</f>
        <v/>
      </c>
    </row>
    <row r="12">
      <c r="A12" t="inlineStr">
        <is>
          <t>P011</t>
        </is>
      </c>
      <c r="B12">
        <f>IFERROR(INDEX(Table1!$A:$E,MATCH($A12,Table1!$B:$B,0),1),"")</f>
        <v/>
      </c>
      <c r="C12">
        <f>IFERROR(INDEX(Table1!$A:$E,MATCH($A12,Table1!$B:$B,0),2),"")</f>
        <v/>
      </c>
      <c r="D12">
        <f>IFERROR(INDEX(Table1!$A:$E,MATCH($A12,Table1!$B:$B,0),3),"")</f>
        <v/>
      </c>
      <c r="E12">
        <f>IFERROR(INDEX(Table1!$A:$E,MATCH($A12,Table1!$B:$B,0),4),"")</f>
        <v/>
      </c>
      <c r="F12">
        <f>IFERROR(INDEX(Table1!$A:$E,MATCH($A12,Table1!$B:$B,0),5),"")</f>
        <v/>
      </c>
      <c r="G12">
        <f>IFERROR(INDEX(Table2!$A:$E,MATCH($A12,Table2!$B:$B,0),1),"")</f>
        <v/>
      </c>
      <c r="H12">
        <f>IFERROR(INDEX(Table2!$A:$E,MATCH($A12,Table2!$B:$B,0),2),"")</f>
        <v/>
      </c>
      <c r="I12">
        <f>IFERROR(INDEX(Table2!$A:$E,MATCH($A12,Table2!$B:$B,0),3),"")</f>
        <v/>
      </c>
      <c r="J12">
        <f>IFERROR(INDEX(Table2!$A:$E,MATCH($A12,Table2!$B:$B,0),4),"")</f>
        <v/>
      </c>
      <c r="K12">
        <f>IFERROR(INDEX(Table2!$A:$E,MATCH($A12,Table2!$B:$B,0),5),"")</f>
        <v/>
      </c>
      <c r="L12">
        <f>IF($B12&lt;&gt;"",$B12,$G12)</f>
        <v/>
      </c>
      <c r="M12">
        <f>IF($C12&lt;&gt;"",$C12,$H12)</f>
        <v/>
      </c>
    </row>
    <row r="13">
      <c r="A13" t="inlineStr">
        <is>
          <t>P012</t>
        </is>
      </c>
      <c r="B13">
        <f>IFERROR(INDEX(Table1!$A:$E,MATCH($A13,Table1!$B:$B,0),1),"")</f>
        <v/>
      </c>
      <c r="C13">
        <f>IFERROR(INDEX(Table1!$A:$E,MATCH($A13,Table1!$B:$B,0),2),"")</f>
        <v/>
      </c>
      <c r="D13">
        <f>IFERROR(INDEX(Table1!$A:$E,MATCH($A13,Table1!$B:$B,0),3),"")</f>
        <v/>
      </c>
      <c r="E13">
        <f>IFERROR(INDEX(Table1!$A:$E,MATCH($A13,Table1!$B:$B,0),4),"")</f>
        <v/>
      </c>
      <c r="F13">
        <f>IFERROR(INDEX(Table1!$A:$E,MATCH($A13,Table1!$B:$B,0),5),"")</f>
        <v/>
      </c>
      <c r="G13">
        <f>IFERROR(INDEX(Table2!$A:$E,MATCH($A13,Table2!$B:$B,0),1),"")</f>
        <v/>
      </c>
      <c r="H13">
        <f>IFERROR(INDEX(Table2!$A:$E,MATCH($A13,Table2!$B:$B,0),2),"")</f>
        <v/>
      </c>
      <c r="I13">
        <f>IFERROR(INDEX(Table2!$A:$E,MATCH($A13,Table2!$B:$B,0),3),"")</f>
        <v/>
      </c>
      <c r="J13">
        <f>IFERROR(INDEX(Table2!$A:$E,MATCH($A13,Table2!$B:$B,0),4),"")</f>
        <v/>
      </c>
      <c r="K13">
        <f>IFERROR(INDEX(Table2!$A:$E,MATCH($A13,Table2!$B:$B,0),5),"")</f>
        <v/>
      </c>
      <c r="L13">
        <f>IF($B13&lt;&gt;"",$B13,$G13)</f>
        <v/>
      </c>
      <c r="M13">
        <f>IF($C13&lt;&gt;"",$C13,$H13)</f>
        <v/>
      </c>
    </row>
    <row r="14">
      <c r="A14" t="inlineStr">
        <is>
          <t>P013</t>
        </is>
      </c>
      <c r="B14">
        <f>IFERROR(INDEX(Table1!$A:$E,MATCH($A14,Table1!$B:$B,0),1),"")</f>
        <v/>
      </c>
      <c r="C14">
        <f>IFERROR(INDEX(Table1!$A:$E,MATCH($A14,Table1!$B:$B,0),2),"")</f>
        <v/>
      </c>
      <c r="D14">
        <f>IFERROR(INDEX(Table1!$A:$E,MATCH($A14,Table1!$B:$B,0),3),"")</f>
        <v/>
      </c>
      <c r="E14">
        <f>IFERROR(INDEX(Table1!$A:$E,MATCH($A14,Table1!$B:$B,0),4),"")</f>
        <v/>
      </c>
      <c r="F14">
        <f>IFERROR(INDEX(Table1!$A:$E,MATCH($A14,Table1!$B:$B,0),5),"")</f>
        <v/>
      </c>
      <c r="G14">
        <f>IFERROR(INDEX(Table2!$A:$E,MATCH($A14,Table2!$B:$B,0),1),"")</f>
        <v/>
      </c>
      <c r="H14">
        <f>IFERROR(INDEX(Table2!$A:$E,MATCH($A14,Table2!$B:$B,0),2),"")</f>
        <v/>
      </c>
      <c r="I14">
        <f>IFERROR(INDEX(Table2!$A:$E,MATCH($A14,Table2!$B:$B,0),3),"")</f>
        <v/>
      </c>
      <c r="J14">
        <f>IFERROR(INDEX(Table2!$A:$E,MATCH($A14,Table2!$B:$B,0),4),"")</f>
        <v/>
      </c>
      <c r="K14">
        <f>IFERROR(INDEX(Table2!$A:$E,MATCH($A14,Table2!$B:$B,0),5),"")</f>
        <v/>
      </c>
      <c r="L14">
        <f>IF($B14&lt;&gt;"",$B14,$G14)</f>
        <v/>
      </c>
      <c r="M14">
        <f>IF($C14&lt;&gt;"",$C14,$H14)</f>
        <v/>
      </c>
    </row>
    <row r="15">
      <c r="A15" t="inlineStr">
        <is>
          <t>P014</t>
        </is>
      </c>
      <c r="B15">
        <f>IFERROR(INDEX(Table1!$A:$E,MATCH($A15,Table1!$B:$B,0),1),"")</f>
        <v/>
      </c>
      <c r="C15">
        <f>IFERROR(INDEX(Table1!$A:$E,MATCH($A15,Table1!$B:$B,0),2),"")</f>
        <v/>
      </c>
      <c r="D15">
        <f>IFERROR(INDEX(Table1!$A:$E,MATCH($A15,Table1!$B:$B,0),3),"")</f>
        <v/>
      </c>
      <c r="E15">
        <f>IFERROR(INDEX(Table1!$A:$E,MATCH($A15,Table1!$B:$B,0),4),"")</f>
        <v/>
      </c>
      <c r="F15">
        <f>IFERROR(INDEX(Table1!$A:$E,MATCH($A15,Table1!$B:$B,0),5),"")</f>
        <v/>
      </c>
      <c r="G15">
        <f>IFERROR(INDEX(Table2!$A:$E,MATCH($A15,Table2!$B:$B,0),1),"")</f>
        <v/>
      </c>
      <c r="H15">
        <f>IFERROR(INDEX(Table2!$A:$E,MATCH($A15,Table2!$B:$B,0),2),"")</f>
        <v/>
      </c>
      <c r="I15">
        <f>IFERROR(INDEX(Table2!$A:$E,MATCH($A15,Table2!$B:$B,0),3),"")</f>
        <v/>
      </c>
      <c r="J15">
        <f>IFERROR(INDEX(Table2!$A:$E,MATCH($A15,Table2!$B:$B,0),4),"")</f>
        <v/>
      </c>
      <c r="K15">
        <f>IFERROR(INDEX(Table2!$A:$E,MATCH($A15,Table2!$B:$B,0),5),"")</f>
        <v/>
      </c>
      <c r="L15">
        <f>IF($B15&lt;&gt;"",$B15,$G15)</f>
        <v/>
      </c>
      <c r="M15">
        <f>IF($C15&lt;&gt;"",$C15,$H15)</f>
        <v/>
      </c>
    </row>
    <row r="16">
      <c r="A16" t="inlineStr">
        <is>
          <t>P015</t>
        </is>
      </c>
      <c r="B16">
        <f>IFERROR(INDEX(Table1!$A:$E,MATCH($A16,Table1!$B:$B,0),1),"")</f>
        <v/>
      </c>
      <c r="C16">
        <f>IFERROR(INDEX(Table1!$A:$E,MATCH($A16,Table1!$B:$B,0),2),"")</f>
        <v/>
      </c>
      <c r="D16">
        <f>IFERROR(INDEX(Table1!$A:$E,MATCH($A16,Table1!$B:$B,0),3),"")</f>
        <v/>
      </c>
      <c r="E16">
        <f>IFERROR(INDEX(Table1!$A:$E,MATCH($A16,Table1!$B:$B,0),4),"")</f>
        <v/>
      </c>
      <c r="F16">
        <f>IFERROR(INDEX(Table1!$A:$E,MATCH($A16,Table1!$B:$B,0),5),"")</f>
        <v/>
      </c>
      <c r="G16">
        <f>IFERROR(INDEX(Table2!$A:$E,MATCH($A16,Table2!$B:$B,0),1),"")</f>
        <v/>
      </c>
      <c r="H16">
        <f>IFERROR(INDEX(Table2!$A:$E,MATCH($A16,Table2!$B:$B,0),2),"")</f>
        <v/>
      </c>
      <c r="I16">
        <f>IFERROR(INDEX(Table2!$A:$E,MATCH($A16,Table2!$B:$B,0),3),"")</f>
        <v/>
      </c>
      <c r="J16">
        <f>IFERROR(INDEX(Table2!$A:$E,MATCH($A16,Table2!$B:$B,0),4),"")</f>
        <v/>
      </c>
      <c r="K16">
        <f>IFERROR(INDEX(Table2!$A:$E,MATCH($A16,Table2!$B:$B,0),5),"")</f>
        <v/>
      </c>
      <c r="L16">
        <f>IF($B16&lt;&gt;"",$B16,$G16)</f>
        <v/>
      </c>
      <c r="M16">
        <f>IF($C16&lt;&gt;"",$C16,$H16)</f>
        <v/>
      </c>
    </row>
    <row r="17">
      <c r="A17" t="inlineStr">
        <is>
          <t>P016</t>
        </is>
      </c>
      <c r="B17">
        <f>IFERROR(INDEX(Table1!$A:$E,MATCH($A17,Table1!$B:$B,0),1),"")</f>
        <v/>
      </c>
      <c r="C17">
        <f>IFERROR(INDEX(Table1!$A:$E,MATCH($A17,Table1!$B:$B,0),2),"")</f>
        <v/>
      </c>
      <c r="D17">
        <f>IFERROR(INDEX(Table1!$A:$E,MATCH($A17,Table1!$B:$B,0),3),"")</f>
        <v/>
      </c>
      <c r="E17">
        <f>IFERROR(INDEX(Table1!$A:$E,MATCH($A17,Table1!$B:$B,0),4),"")</f>
        <v/>
      </c>
      <c r="F17">
        <f>IFERROR(INDEX(Table1!$A:$E,MATCH($A17,Table1!$B:$B,0),5),"")</f>
        <v/>
      </c>
      <c r="G17">
        <f>IFERROR(INDEX(Table2!$A:$E,MATCH($A17,Table2!$B:$B,0),1),"")</f>
        <v/>
      </c>
      <c r="H17">
        <f>IFERROR(INDEX(Table2!$A:$E,MATCH($A17,Table2!$B:$B,0),2),"")</f>
        <v/>
      </c>
      <c r="I17">
        <f>IFERROR(INDEX(Table2!$A:$E,MATCH($A17,Table2!$B:$B,0),3),"")</f>
        <v/>
      </c>
      <c r="J17">
        <f>IFERROR(INDEX(Table2!$A:$E,MATCH($A17,Table2!$B:$B,0),4),"")</f>
        <v/>
      </c>
      <c r="K17">
        <f>IFERROR(INDEX(Table2!$A:$E,MATCH($A17,Table2!$B:$B,0),5),"")</f>
        <v/>
      </c>
      <c r="L17">
        <f>IF($B17&lt;&gt;"",$B17,$G17)</f>
        <v/>
      </c>
      <c r="M17">
        <f>IF($C17&lt;&gt;"",$C17,$H17)</f>
        <v/>
      </c>
    </row>
    <row r="18">
      <c r="A18" t="inlineStr">
        <is>
          <t>P017</t>
        </is>
      </c>
      <c r="B18">
        <f>IFERROR(INDEX(Table1!$A:$E,MATCH($A18,Table1!$B:$B,0),1),"")</f>
        <v/>
      </c>
      <c r="C18">
        <f>IFERROR(INDEX(Table1!$A:$E,MATCH($A18,Table1!$B:$B,0),2),"")</f>
        <v/>
      </c>
      <c r="D18">
        <f>IFERROR(INDEX(Table1!$A:$E,MATCH($A18,Table1!$B:$B,0),3),"")</f>
        <v/>
      </c>
      <c r="E18">
        <f>IFERROR(INDEX(Table1!$A:$E,MATCH($A18,Table1!$B:$B,0),4),"")</f>
        <v/>
      </c>
      <c r="F18">
        <f>IFERROR(INDEX(Table1!$A:$E,MATCH($A18,Table1!$B:$B,0),5),"")</f>
        <v/>
      </c>
      <c r="G18">
        <f>IFERROR(INDEX(Table2!$A:$E,MATCH($A18,Table2!$B:$B,0),1),"")</f>
        <v/>
      </c>
      <c r="H18">
        <f>IFERROR(INDEX(Table2!$A:$E,MATCH($A18,Table2!$B:$B,0),2),"")</f>
        <v/>
      </c>
      <c r="I18">
        <f>IFERROR(INDEX(Table2!$A:$E,MATCH($A18,Table2!$B:$B,0),3),"")</f>
        <v/>
      </c>
      <c r="J18">
        <f>IFERROR(INDEX(Table2!$A:$E,MATCH($A18,Table2!$B:$B,0),4),"")</f>
        <v/>
      </c>
      <c r="K18">
        <f>IFERROR(INDEX(Table2!$A:$E,MATCH($A18,Table2!$B:$B,0),5),"")</f>
        <v/>
      </c>
      <c r="L18">
        <f>IF($B18&lt;&gt;"",$B18,$G18)</f>
        <v/>
      </c>
      <c r="M18">
        <f>IF($C18&lt;&gt;"",$C18,$H18)</f>
        <v/>
      </c>
    </row>
    <row r="19">
      <c r="A19" t="inlineStr">
        <is>
          <t>P018</t>
        </is>
      </c>
      <c r="B19">
        <f>IFERROR(INDEX(Table1!$A:$E,MATCH($A19,Table1!$B:$B,0),1),"")</f>
        <v/>
      </c>
      <c r="C19">
        <f>IFERROR(INDEX(Table1!$A:$E,MATCH($A19,Table1!$B:$B,0),2),"")</f>
        <v/>
      </c>
      <c r="D19">
        <f>IFERROR(INDEX(Table1!$A:$E,MATCH($A19,Table1!$B:$B,0),3),"")</f>
        <v/>
      </c>
      <c r="E19">
        <f>IFERROR(INDEX(Table1!$A:$E,MATCH($A19,Table1!$B:$B,0),4),"")</f>
        <v/>
      </c>
      <c r="F19">
        <f>IFERROR(INDEX(Table1!$A:$E,MATCH($A19,Table1!$B:$B,0),5),"")</f>
        <v/>
      </c>
      <c r="G19">
        <f>IFERROR(INDEX(Table2!$A:$E,MATCH($A19,Table2!$B:$B,0),1),"")</f>
        <v/>
      </c>
      <c r="H19">
        <f>IFERROR(INDEX(Table2!$A:$E,MATCH($A19,Table2!$B:$B,0),2),"")</f>
        <v/>
      </c>
      <c r="I19">
        <f>IFERROR(INDEX(Table2!$A:$E,MATCH($A19,Table2!$B:$B,0),3),"")</f>
        <v/>
      </c>
      <c r="J19">
        <f>IFERROR(INDEX(Table2!$A:$E,MATCH($A19,Table2!$B:$B,0),4),"")</f>
        <v/>
      </c>
      <c r="K19">
        <f>IFERROR(INDEX(Table2!$A:$E,MATCH($A19,Table2!$B:$B,0),5),"")</f>
        <v/>
      </c>
      <c r="L19">
        <f>IF($B19&lt;&gt;"",$B19,$G19)</f>
        <v/>
      </c>
      <c r="M19">
        <f>IF($C19&lt;&gt;"",$C19,$H19)</f>
        <v/>
      </c>
    </row>
    <row r="20">
      <c r="A20" t="inlineStr">
        <is>
          <t>P019</t>
        </is>
      </c>
      <c r="B20">
        <f>IFERROR(INDEX(Table1!$A:$E,MATCH($A20,Table1!$B:$B,0),1),"")</f>
        <v/>
      </c>
      <c r="C20">
        <f>IFERROR(INDEX(Table1!$A:$E,MATCH($A20,Table1!$B:$B,0),2),"")</f>
        <v/>
      </c>
      <c r="D20">
        <f>IFERROR(INDEX(Table1!$A:$E,MATCH($A20,Table1!$B:$B,0),3),"")</f>
        <v/>
      </c>
      <c r="E20">
        <f>IFERROR(INDEX(Table1!$A:$E,MATCH($A20,Table1!$B:$B,0),4),"")</f>
        <v/>
      </c>
      <c r="F20">
        <f>IFERROR(INDEX(Table1!$A:$E,MATCH($A20,Table1!$B:$B,0),5),"")</f>
        <v/>
      </c>
      <c r="G20">
        <f>IFERROR(INDEX(Table2!$A:$E,MATCH($A20,Table2!$B:$B,0),1),"")</f>
        <v/>
      </c>
      <c r="H20">
        <f>IFERROR(INDEX(Table2!$A:$E,MATCH($A20,Table2!$B:$B,0),2),"")</f>
        <v/>
      </c>
      <c r="I20">
        <f>IFERROR(INDEX(Table2!$A:$E,MATCH($A20,Table2!$B:$B,0),3),"")</f>
        <v/>
      </c>
      <c r="J20">
        <f>IFERROR(INDEX(Table2!$A:$E,MATCH($A20,Table2!$B:$B,0),4),"")</f>
        <v/>
      </c>
      <c r="K20">
        <f>IFERROR(INDEX(Table2!$A:$E,MATCH($A20,Table2!$B:$B,0),5),"")</f>
        <v/>
      </c>
      <c r="L20">
        <f>IF($B20&lt;&gt;"",$B20,$G20)</f>
        <v/>
      </c>
      <c r="M20">
        <f>IF($C20&lt;&gt;"",$C20,$H20)</f>
        <v/>
      </c>
    </row>
    <row r="21">
      <c r="A21" t="inlineStr">
        <is>
          <t>P020</t>
        </is>
      </c>
      <c r="B21">
        <f>IFERROR(INDEX(Table1!$A:$E,MATCH($A21,Table1!$B:$B,0),1),"")</f>
        <v/>
      </c>
      <c r="C21">
        <f>IFERROR(INDEX(Table1!$A:$E,MATCH($A21,Table1!$B:$B,0),2),"")</f>
        <v/>
      </c>
      <c r="D21">
        <f>IFERROR(INDEX(Table1!$A:$E,MATCH($A21,Table1!$B:$B,0),3),"")</f>
        <v/>
      </c>
      <c r="E21">
        <f>IFERROR(INDEX(Table1!$A:$E,MATCH($A21,Table1!$B:$B,0),4),"")</f>
        <v/>
      </c>
      <c r="F21">
        <f>IFERROR(INDEX(Table1!$A:$E,MATCH($A21,Table1!$B:$B,0),5),"")</f>
        <v/>
      </c>
      <c r="G21">
        <f>IFERROR(INDEX(Table2!$A:$E,MATCH($A21,Table2!$B:$B,0),1),"")</f>
        <v/>
      </c>
      <c r="H21">
        <f>IFERROR(INDEX(Table2!$A:$E,MATCH($A21,Table2!$B:$B,0),2),"")</f>
        <v/>
      </c>
      <c r="I21">
        <f>IFERROR(INDEX(Table2!$A:$E,MATCH($A21,Table2!$B:$B,0),3),"")</f>
        <v/>
      </c>
      <c r="J21">
        <f>IFERROR(INDEX(Table2!$A:$E,MATCH($A21,Table2!$B:$B,0),4),"")</f>
        <v/>
      </c>
      <c r="K21">
        <f>IFERROR(INDEX(Table2!$A:$E,MATCH($A21,Table2!$B:$B,0),5),"")</f>
        <v/>
      </c>
      <c r="L21">
        <f>IF($B21&lt;&gt;"",$B21,$G21)</f>
        <v/>
      </c>
      <c r="M21">
        <f>IF($C21&lt;&gt;"",$C21,$H21)</f>
        <v/>
      </c>
    </row>
    <row r="22">
      <c r="A22" t="inlineStr">
        <is>
          <t>P021</t>
        </is>
      </c>
      <c r="B22">
        <f>IFERROR(INDEX(Table1!$A:$E,MATCH($A22,Table1!$B:$B,0),1),"")</f>
        <v/>
      </c>
      <c r="C22">
        <f>IFERROR(INDEX(Table1!$A:$E,MATCH($A22,Table1!$B:$B,0),2),"")</f>
        <v/>
      </c>
      <c r="D22">
        <f>IFERROR(INDEX(Table1!$A:$E,MATCH($A22,Table1!$B:$B,0),3),"")</f>
        <v/>
      </c>
      <c r="E22">
        <f>IFERROR(INDEX(Table1!$A:$E,MATCH($A22,Table1!$B:$B,0),4),"")</f>
        <v/>
      </c>
      <c r="F22">
        <f>IFERROR(INDEX(Table1!$A:$E,MATCH($A22,Table1!$B:$B,0),5),"")</f>
        <v/>
      </c>
      <c r="G22">
        <f>IFERROR(INDEX(Table2!$A:$E,MATCH($A22,Table2!$B:$B,0),1),"")</f>
        <v/>
      </c>
      <c r="H22">
        <f>IFERROR(INDEX(Table2!$A:$E,MATCH($A22,Table2!$B:$B,0),2),"")</f>
        <v/>
      </c>
      <c r="I22">
        <f>IFERROR(INDEX(Table2!$A:$E,MATCH($A22,Table2!$B:$B,0),3),"")</f>
        <v/>
      </c>
      <c r="J22">
        <f>IFERROR(INDEX(Table2!$A:$E,MATCH($A22,Table2!$B:$B,0),4),"")</f>
        <v/>
      </c>
      <c r="K22">
        <f>IFERROR(INDEX(Table2!$A:$E,MATCH($A22,Table2!$B:$B,0),5),"")</f>
        <v/>
      </c>
      <c r="L22">
        <f>IF($B22&lt;&gt;"",$B22,$G22)</f>
        <v/>
      </c>
      <c r="M22">
        <f>IF($C22&lt;&gt;"",$C22,$H22)</f>
        <v/>
      </c>
    </row>
    <row r="23">
      <c r="A23" t="inlineStr">
        <is>
          <t>P022</t>
        </is>
      </c>
      <c r="B23">
        <f>IFERROR(INDEX(Table1!$A:$E,MATCH($A23,Table1!$B:$B,0),1),"")</f>
        <v/>
      </c>
      <c r="C23">
        <f>IFERROR(INDEX(Table1!$A:$E,MATCH($A23,Table1!$B:$B,0),2),"")</f>
        <v/>
      </c>
      <c r="D23">
        <f>IFERROR(INDEX(Table1!$A:$E,MATCH($A23,Table1!$B:$B,0),3),"")</f>
        <v/>
      </c>
      <c r="E23">
        <f>IFERROR(INDEX(Table1!$A:$E,MATCH($A23,Table1!$B:$B,0),4),"")</f>
        <v/>
      </c>
      <c r="F23">
        <f>IFERROR(INDEX(Table1!$A:$E,MATCH($A23,Table1!$B:$B,0),5),"")</f>
        <v/>
      </c>
      <c r="G23">
        <f>IFERROR(INDEX(Table2!$A:$E,MATCH($A23,Table2!$B:$B,0),1),"")</f>
        <v/>
      </c>
      <c r="H23">
        <f>IFERROR(INDEX(Table2!$A:$E,MATCH($A23,Table2!$B:$B,0),2),"")</f>
        <v/>
      </c>
      <c r="I23">
        <f>IFERROR(INDEX(Table2!$A:$E,MATCH($A23,Table2!$B:$B,0),3),"")</f>
        <v/>
      </c>
      <c r="J23">
        <f>IFERROR(INDEX(Table2!$A:$E,MATCH($A23,Table2!$B:$B,0),4),"")</f>
        <v/>
      </c>
      <c r="K23">
        <f>IFERROR(INDEX(Table2!$A:$E,MATCH($A23,Table2!$B:$B,0),5),"")</f>
        <v/>
      </c>
      <c r="L23">
        <f>IF($B23&lt;&gt;"",$B23,$G23)</f>
        <v/>
      </c>
      <c r="M23">
        <f>IF($C23&lt;&gt;"",$C23,$H23)</f>
        <v/>
      </c>
    </row>
    <row r="24">
      <c r="A24" t="inlineStr">
        <is>
          <t>P023</t>
        </is>
      </c>
      <c r="B24">
        <f>IFERROR(INDEX(Table1!$A:$E,MATCH($A24,Table1!$B:$B,0),1),"")</f>
        <v/>
      </c>
      <c r="C24">
        <f>IFERROR(INDEX(Table1!$A:$E,MATCH($A24,Table1!$B:$B,0),2),"")</f>
        <v/>
      </c>
      <c r="D24">
        <f>IFERROR(INDEX(Table1!$A:$E,MATCH($A24,Table1!$B:$B,0),3),"")</f>
        <v/>
      </c>
      <c r="E24">
        <f>IFERROR(INDEX(Table1!$A:$E,MATCH($A24,Table1!$B:$B,0),4),"")</f>
        <v/>
      </c>
      <c r="F24">
        <f>IFERROR(INDEX(Table1!$A:$E,MATCH($A24,Table1!$B:$B,0),5),"")</f>
        <v/>
      </c>
      <c r="G24">
        <f>IFERROR(INDEX(Table2!$A:$E,MATCH($A24,Table2!$B:$B,0),1),"")</f>
        <v/>
      </c>
      <c r="H24">
        <f>IFERROR(INDEX(Table2!$A:$E,MATCH($A24,Table2!$B:$B,0),2),"")</f>
        <v/>
      </c>
      <c r="I24">
        <f>IFERROR(INDEX(Table2!$A:$E,MATCH($A24,Table2!$B:$B,0),3),"")</f>
        <v/>
      </c>
      <c r="J24">
        <f>IFERROR(INDEX(Table2!$A:$E,MATCH($A24,Table2!$B:$B,0),4),"")</f>
        <v/>
      </c>
      <c r="K24">
        <f>IFERROR(INDEX(Table2!$A:$E,MATCH($A24,Table2!$B:$B,0),5),"")</f>
        <v/>
      </c>
      <c r="L24">
        <f>IF($B24&lt;&gt;"",$B24,$G24)</f>
        <v/>
      </c>
      <c r="M24">
        <f>IF($C24&lt;&gt;"",$C24,$H24)</f>
        <v/>
      </c>
    </row>
    <row r="25">
      <c r="A25" t="inlineStr">
        <is>
          <t>P024</t>
        </is>
      </c>
      <c r="B25">
        <f>IFERROR(INDEX(Table1!$A:$E,MATCH($A25,Table1!$B:$B,0),1),"")</f>
        <v/>
      </c>
      <c r="C25">
        <f>IFERROR(INDEX(Table1!$A:$E,MATCH($A25,Table1!$B:$B,0),2),"")</f>
        <v/>
      </c>
      <c r="D25">
        <f>IFERROR(INDEX(Table1!$A:$E,MATCH($A25,Table1!$B:$B,0),3),"")</f>
        <v/>
      </c>
      <c r="E25">
        <f>IFERROR(INDEX(Table1!$A:$E,MATCH($A25,Table1!$B:$B,0),4),"")</f>
        <v/>
      </c>
      <c r="F25">
        <f>IFERROR(INDEX(Table1!$A:$E,MATCH($A25,Table1!$B:$B,0),5),"")</f>
        <v/>
      </c>
      <c r="G25">
        <f>IFERROR(INDEX(Table2!$A:$E,MATCH($A25,Table2!$B:$B,0),1),"")</f>
        <v/>
      </c>
      <c r="H25">
        <f>IFERROR(INDEX(Table2!$A:$E,MATCH($A25,Table2!$B:$B,0),2),"")</f>
        <v/>
      </c>
      <c r="I25">
        <f>IFERROR(INDEX(Table2!$A:$E,MATCH($A25,Table2!$B:$B,0),3),"")</f>
        <v/>
      </c>
      <c r="J25">
        <f>IFERROR(INDEX(Table2!$A:$E,MATCH($A25,Table2!$B:$B,0),4),"")</f>
        <v/>
      </c>
      <c r="K25">
        <f>IFERROR(INDEX(Table2!$A:$E,MATCH($A25,Table2!$B:$B,0),5),"")</f>
        <v/>
      </c>
      <c r="L25">
        <f>IF($B25&lt;&gt;"",$B25,$G25)</f>
        <v/>
      </c>
      <c r="M25">
        <f>IF($C25&lt;&gt;"",$C25,$H25)</f>
        <v/>
      </c>
    </row>
    <row r="26">
      <c r="A26" t="inlineStr">
        <is>
          <t>P025</t>
        </is>
      </c>
      <c r="B26">
        <f>IFERROR(INDEX(Table1!$A:$E,MATCH($A26,Table1!$B:$B,0),1),"")</f>
        <v/>
      </c>
      <c r="C26">
        <f>IFERROR(INDEX(Table1!$A:$E,MATCH($A26,Table1!$B:$B,0),2),"")</f>
        <v/>
      </c>
      <c r="D26">
        <f>IFERROR(INDEX(Table1!$A:$E,MATCH($A26,Table1!$B:$B,0),3),"")</f>
        <v/>
      </c>
      <c r="E26">
        <f>IFERROR(INDEX(Table1!$A:$E,MATCH($A26,Table1!$B:$B,0),4),"")</f>
        <v/>
      </c>
      <c r="F26">
        <f>IFERROR(INDEX(Table1!$A:$E,MATCH($A26,Table1!$B:$B,0),5),"")</f>
        <v/>
      </c>
      <c r="G26">
        <f>IFERROR(INDEX(Table2!$A:$E,MATCH($A26,Table2!$B:$B,0),1),"")</f>
        <v/>
      </c>
      <c r="H26">
        <f>IFERROR(INDEX(Table2!$A:$E,MATCH($A26,Table2!$B:$B,0),2),"")</f>
        <v/>
      </c>
      <c r="I26">
        <f>IFERROR(INDEX(Table2!$A:$E,MATCH($A26,Table2!$B:$B,0),3),"")</f>
        <v/>
      </c>
      <c r="J26">
        <f>IFERROR(INDEX(Table2!$A:$E,MATCH($A26,Table2!$B:$B,0),4),"")</f>
        <v/>
      </c>
      <c r="K26">
        <f>IFERROR(INDEX(Table2!$A:$E,MATCH($A26,Table2!$B:$B,0),5),"")</f>
        <v/>
      </c>
      <c r="L26">
        <f>IF($B26&lt;&gt;"",$B26,$G26)</f>
        <v/>
      </c>
      <c r="M26">
        <f>IF($C26&lt;&gt;"",$C26,$H26)</f>
        <v/>
      </c>
    </row>
    <row r="27">
      <c r="A27" t="inlineStr">
        <is>
          <t>P026</t>
        </is>
      </c>
      <c r="B27">
        <f>IFERROR(INDEX(Table1!$A:$E,MATCH($A27,Table1!$B:$B,0),1),"")</f>
        <v/>
      </c>
      <c r="C27">
        <f>IFERROR(INDEX(Table1!$A:$E,MATCH($A27,Table1!$B:$B,0),2),"")</f>
        <v/>
      </c>
      <c r="D27">
        <f>IFERROR(INDEX(Table1!$A:$E,MATCH($A27,Table1!$B:$B,0),3),"")</f>
        <v/>
      </c>
      <c r="E27">
        <f>IFERROR(INDEX(Table1!$A:$E,MATCH($A27,Table1!$B:$B,0),4),"")</f>
        <v/>
      </c>
      <c r="F27">
        <f>IFERROR(INDEX(Table1!$A:$E,MATCH($A27,Table1!$B:$B,0),5),"")</f>
        <v/>
      </c>
      <c r="G27">
        <f>IFERROR(INDEX(Table2!$A:$E,MATCH($A27,Table2!$B:$B,0),1),"")</f>
        <v/>
      </c>
      <c r="H27">
        <f>IFERROR(INDEX(Table2!$A:$E,MATCH($A27,Table2!$B:$B,0),2),"")</f>
        <v/>
      </c>
      <c r="I27">
        <f>IFERROR(INDEX(Table2!$A:$E,MATCH($A27,Table2!$B:$B,0),3),"")</f>
        <v/>
      </c>
      <c r="J27">
        <f>IFERROR(INDEX(Table2!$A:$E,MATCH($A27,Table2!$B:$B,0),4),"")</f>
        <v/>
      </c>
      <c r="K27">
        <f>IFERROR(INDEX(Table2!$A:$E,MATCH($A27,Table2!$B:$B,0),5),"")</f>
        <v/>
      </c>
      <c r="L27">
        <f>IF($B27&lt;&gt;"",$B27,$G27)</f>
        <v/>
      </c>
      <c r="M27">
        <f>IF($C27&lt;&gt;"",$C27,$H27)</f>
        <v/>
      </c>
    </row>
    <row r="28">
      <c r="A28" t="inlineStr">
        <is>
          <t>P027</t>
        </is>
      </c>
      <c r="B28">
        <f>IFERROR(INDEX(Table1!$A:$E,MATCH($A28,Table1!$B:$B,0),1),"")</f>
        <v/>
      </c>
      <c r="C28">
        <f>IFERROR(INDEX(Table1!$A:$E,MATCH($A28,Table1!$B:$B,0),2),"")</f>
        <v/>
      </c>
      <c r="D28">
        <f>IFERROR(INDEX(Table1!$A:$E,MATCH($A28,Table1!$B:$B,0),3),"")</f>
        <v/>
      </c>
      <c r="E28">
        <f>IFERROR(INDEX(Table1!$A:$E,MATCH($A28,Table1!$B:$B,0),4),"")</f>
        <v/>
      </c>
      <c r="F28">
        <f>IFERROR(INDEX(Table1!$A:$E,MATCH($A28,Table1!$B:$B,0),5),"")</f>
        <v/>
      </c>
      <c r="G28">
        <f>IFERROR(INDEX(Table2!$A:$E,MATCH($A28,Table2!$B:$B,0),1),"")</f>
        <v/>
      </c>
      <c r="H28">
        <f>IFERROR(INDEX(Table2!$A:$E,MATCH($A28,Table2!$B:$B,0),2),"")</f>
        <v/>
      </c>
      <c r="I28">
        <f>IFERROR(INDEX(Table2!$A:$E,MATCH($A28,Table2!$B:$B,0),3),"")</f>
        <v/>
      </c>
      <c r="J28">
        <f>IFERROR(INDEX(Table2!$A:$E,MATCH($A28,Table2!$B:$B,0),4),"")</f>
        <v/>
      </c>
      <c r="K28">
        <f>IFERROR(INDEX(Table2!$A:$E,MATCH($A28,Table2!$B:$B,0),5),"")</f>
        <v/>
      </c>
      <c r="L28">
        <f>IF($B28&lt;&gt;"",$B28,$G28)</f>
        <v/>
      </c>
      <c r="M28">
        <f>IF($C28&lt;&gt;"",$C28,$H28)</f>
        <v/>
      </c>
    </row>
    <row r="29">
      <c r="A29" t="inlineStr">
        <is>
          <t>P028</t>
        </is>
      </c>
      <c r="B29">
        <f>IFERROR(INDEX(Table1!$A:$E,MATCH($A29,Table1!$B:$B,0),1),"")</f>
        <v/>
      </c>
      <c r="C29">
        <f>IFERROR(INDEX(Table1!$A:$E,MATCH($A29,Table1!$B:$B,0),2),"")</f>
        <v/>
      </c>
      <c r="D29">
        <f>IFERROR(INDEX(Table1!$A:$E,MATCH($A29,Table1!$B:$B,0),3),"")</f>
        <v/>
      </c>
      <c r="E29">
        <f>IFERROR(INDEX(Table1!$A:$E,MATCH($A29,Table1!$B:$B,0),4),"")</f>
        <v/>
      </c>
      <c r="F29">
        <f>IFERROR(INDEX(Table1!$A:$E,MATCH($A29,Table1!$B:$B,0),5),"")</f>
        <v/>
      </c>
      <c r="G29">
        <f>IFERROR(INDEX(Table2!$A:$E,MATCH($A29,Table2!$B:$B,0),1),"")</f>
        <v/>
      </c>
      <c r="H29">
        <f>IFERROR(INDEX(Table2!$A:$E,MATCH($A29,Table2!$B:$B,0),2),"")</f>
        <v/>
      </c>
      <c r="I29">
        <f>IFERROR(INDEX(Table2!$A:$E,MATCH($A29,Table2!$B:$B,0),3),"")</f>
        <v/>
      </c>
      <c r="J29">
        <f>IFERROR(INDEX(Table2!$A:$E,MATCH($A29,Table2!$B:$B,0),4),"")</f>
        <v/>
      </c>
      <c r="K29">
        <f>IFERROR(INDEX(Table2!$A:$E,MATCH($A29,Table2!$B:$B,0),5),"")</f>
        <v/>
      </c>
      <c r="L29">
        <f>IF($B29&lt;&gt;"",$B29,$G29)</f>
        <v/>
      </c>
      <c r="M29">
        <f>IF($C29&lt;&gt;"",$C29,$H29)</f>
        <v/>
      </c>
    </row>
    <row r="30">
      <c r="A30" t="inlineStr">
        <is>
          <t>P029</t>
        </is>
      </c>
      <c r="B30">
        <f>IFERROR(INDEX(Table1!$A:$E,MATCH($A30,Table1!$B:$B,0),1),"")</f>
        <v/>
      </c>
      <c r="C30">
        <f>IFERROR(INDEX(Table1!$A:$E,MATCH($A30,Table1!$B:$B,0),2),"")</f>
        <v/>
      </c>
      <c r="D30">
        <f>IFERROR(INDEX(Table1!$A:$E,MATCH($A30,Table1!$B:$B,0),3),"")</f>
        <v/>
      </c>
      <c r="E30">
        <f>IFERROR(INDEX(Table1!$A:$E,MATCH($A30,Table1!$B:$B,0),4),"")</f>
        <v/>
      </c>
      <c r="F30">
        <f>IFERROR(INDEX(Table1!$A:$E,MATCH($A30,Table1!$B:$B,0),5),"")</f>
        <v/>
      </c>
      <c r="G30">
        <f>IFERROR(INDEX(Table2!$A:$E,MATCH($A30,Table2!$B:$B,0),1),"")</f>
        <v/>
      </c>
      <c r="H30">
        <f>IFERROR(INDEX(Table2!$A:$E,MATCH($A30,Table2!$B:$B,0),2),"")</f>
        <v/>
      </c>
      <c r="I30">
        <f>IFERROR(INDEX(Table2!$A:$E,MATCH($A30,Table2!$B:$B,0),3),"")</f>
        <v/>
      </c>
      <c r="J30">
        <f>IFERROR(INDEX(Table2!$A:$E,MATCH($A30,Table2!$B:$B,0),4),"")</f>
        <v/>
      </c>
      <c r="K30">
        <f>IFERROR(INDEX(Table2!$A:$E,MATCH($A30,Table2!$B:$B,0),5),"")</f>
        <v/>
      </c>
      <c r="L30">
        <f>IF($B30&lt;&gt;"",$B30,$G30)</f>
        <v/>
      </c>
      <c r="M30">
        <f>IF($C30&lt;&gt;"",$C30,$H30)</f>
        <v/>
      </c>
    </row>
    <row r="31">
      <c r="A31" t="inlineStr">
        <is>
          <t>P030</t>
        </is>
      </c>
      <c r="B31">
        <f>IFERROR(INDEX(Table1!$A:$E,MATCH($A31,Table1!$B:$B,0),1),"")</f>
        <v/>
      </c>
      <c r="C31">
        <f>IFERROR(INDEX(Table1!$A:$E,MATCH($A31,Table1!$B:$B,0),2),"")</f>
        <v/>
      </c>
      <c r="D31">
        <f>IFERROR(INDEX(Table1!$A:$E,MATCH($A31,Table1!$B:$B,0),3),"")</f>
        <v/>
      </c>
      <c r="E31">
        <f>IFERROR(INDEX(Table1!$A:$E,MATCH($A31,Table1!$B:$B,0),4),"")</f>
        <v/>
      </c>
      <c r="F31">
        <f>IFERROR(INDEX(Table1!$A:$E,MATCH($A31,Table1!$B:$B,0),5),"")</f>
        <v/>
      </c>
      <c r="G31">
        <f>IFERROR(INDEX(Table2!$A:$E,MATCH($A31,Table2!$B:$B,0),1),"")</f>
        <v/>
      </c>
      <c r="H31">
        <f>IFERROR(INDEX(Table2!$A:$E,MATCH($A31,Table2!$B:$B,0),2),"")</f>
        <v/>
      </c>
      <c r="I31">
        <f>IFERROR(INDEX(Table2!$A:$E,MATCH($A31,Table2!$B:$B,0),3),"")</f>
        <v/>
      </c>
      <c r="J31">
        <f>IFERROR(INDEX(Table2!$A:$E,MATCH($A31,Table2!$B:$B,0),4),"")</f>
        <v/>
      </c>
      <c r="K31">
        <f>IFERROR(INDEX(Table2!$A:$E,MATCH($A31,Table2!$B:$B,0),5),"")</f>
        <v/>
      </c>
      <c r="L31">
        <f>IF($B31&lt;&gt;"",$B31,$G31)</f>
        <v/>
      </c>
      <c r="M31">
        <f>IF($C31&lt;&gt;"",$C31,$H31)</f>
        <v/>
      </c>
    </row>
  </sheetData>
  <autoFilter ref="A1:M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2025-10-23T04:54:37Z</dcterms:created>
  <dcterms:modified xmlns:dcterms="http://purl.org/dc/terms/" xmlns:xsi="http://www.w3.org/2001/XMLSchema-instance" xsi:type="dcterms:W3CDTF">2026-09-03T13:40:59Z</dcterms:modified>
  <cp:lastModifiedBy>Chi, Banghao</cp:lastModifiedBy>
</cp:coreProperties>
</file>