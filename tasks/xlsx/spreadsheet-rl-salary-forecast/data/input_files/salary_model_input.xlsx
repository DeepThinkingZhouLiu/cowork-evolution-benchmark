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biboy/Library/Containers/com.microsoft.Excel/Data/output/excelforum/excel-general/1430937/"/>
    </mc:Choice>
  </mc:AlternateContent>
  <xr:revisionPtr revIDLastSave="0" documentId="13_ncr:1_{A1146546-A009-A44D-9E9E-581E0B2D0CD0}" xr6:coauthVersionLast="47" xr6:coauthVersionMax="47" xr10:uidLastSave="{00000000-0000-0000-0000-000000000000}"/>
  <bookViews>
    <workbookView xWindow="-120" yWindow="-120" windowWidth="19420" windowHeight="10300" tabRatio="641" activeTab="1" xr2:uid="{00000000-000D-0000-FFFF-FFFF00000000}"/>
  </bookViews>
  <sheets>
    <sheet name="P9 Salary  " sheetId="1" state="hidden" r:id="rId1"/>
    <sheet name="P10 SFT" sheetId="2" r:id="rId2"/>
    <sheet name="x P10 SFT" sheetId="3" r:id="rId3"/>
  </sheets>
  <externalReferences>
    <externalReference r:id="rId4"/>
    <externalReference r:id="rId5"/>
  </externalReferences>
  <definedNames>
    <definedName name="Deborah">'[1]Pick List'!$C$3:$C$5</definedName>
    <definedName name="GLaccount">#REF!</definedName>
    <definedName name="Status">'[2]Pick List'!$C$3:$C$5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5" i="3" l="1"/>
  <c r="AB15" i="3" s="1"/>
  <c r="L15" i="3"/>
  <c r="X15" i="3" s="1"/>
  <c r="E15" i="3"/>
  <c r="T15" i="3" s="1"/>
  <c r="N14" i="3"/>
  <c r="O14" i="3" s="1"/>
  <c r="K14" i="3"/>
  <c r="L14" i="3" s="1"/>
  <c r="D14" i="3"/>
  <c r="E14" i="3" s="1"/>
  <c r="Z13" i="3"/>
  <c r="X13" i="3"/>
  <c r="V13" i="3"/>
  <c r="U13" i="3"/>
  <c r="S13" i="3"/>
  <c r="P13" i="3"/>
  <c r="Y13" i="3" s="1"/>
  <c r="O13" i="3"/>
  <c r="AB13" i="3" s="1"/>
  <c r="M13" i="3"/>
  <c r="W13" i="3" s="1"/>
  <c r="L13" i="3"/>
  <c r="E13" i="3"/>
  <c r="T13" i="3" s="1"/>
  <c r="N12" i="3"/>
  <c r="O12" i="3" s="1"/>
  <c r="K12" i="3"/>
  <c r="L12" i="3" s="1"/>
  <c r="R12" i="3" s="1"/>
  <c r="D12" i="3"/>
  <c r="E12" i="3" s="1"/>
  <c r="M12" i="3" s="1"/>
  <c r="Q12" i="3" s="1"/>
  <c r="Z11" i="3"/>
  <c r="O11" i="3"/>
  <c r="AB11" i="3" s="1"/>
  <c r="N11" i="3"/>
  <c r="K11" i="3"/>
  <c r="L11" i="3" s="1"/>
  <c r="D11" i="3"/>
  <c r="E11" i="3" s="1"/>
  <c r="AB10" i="3"/>
  <c r="R10" i="3"/>
  <c r="O10" i="3"/>
  <c r="AA10" i="3" s="1"/>
  <c r="N10" i="3"/>
  <c r="K10" i="3"/>
  <c r="L10" i="3" s="1"/>
  <c r="E10" i="3"/>
  <c r="X10" i="3" s="1"/>
  <c r="D10" i="3"/>
  <c r="AB8" i="3"/>
  <c r="AA8" i="3"/>
  <c r="O8" i="3"/>
  <c r="Z8" i="3" s="1"/>
  <c r="N8" i="3"/>
  <c r="K8" i="3"/>
  <c r="L8" i="3" s="1"/>
  <c r="D8" i="3"/>
  <c r="E8" i="3" s="1"/>
  <c r="M8" i="3" s="1"/>
  <c r="Q8" i="3" s="1"/>
  <c r="I6" i="3"/>
  <c r="P15" i="2"/>
  <c r="N15" i="2"/>
  <c r="V15" i="2" s="1"/>
  <c r="L15" i="2"/>
  <c r="K15" i="2"/>
  <c r="E15" i="2"/>
  <c r="D15" i="2"/>
  <c r="P14" i="2"/>
  <c r="N14" i="2"/>
  <c r="V14" i="2" s="1"/>
  <c r="L14" i="2"/>
  <c r="K14" i="2"/>
  <c r="E14" i="2"/>
  <c r="D14" i="2"/>
  <c r="AQ13" i="2"/>
  <c r="AP13" i="2"/>
  <c r="AO13" i="2"/>
  <c r="AN13" i="2"/>
  <c r="AM13" i="2"/>
  <c r="AL13" i="2"/>
  <c r="AK13" i="2"/>
  <c r="AJ13" i="2"/>
  <c r="AI13" i="2"/>
  <c r="AH13" i="2"/>
  <c r="AG13" i="2"/>
  <c r="AF13" i="2"/>
  <c r="AB13" i="2"/>
  <c r="R13" i="2"/>
  <c r="P13" i="2"/>
  <c r="AC13" i="2" s="1"/>
  <c r="N13" i="2"/>
  <c r="X13" i="2" s="1"/>
  <c r="E13" i="2"/>
  <c r="U13" i="2" s="1"/>
  <c r="D13" i="2"/>
  <c r="K13" i="2" s="1"/>
  <c r="L13" i="2" s="1"/>
  <c r="Y13" i="2" s="1"/>
  <c r="AQ12" i="2"/>
  <c r="AP12" i="2"/>
  <c r="AO12" i="2"/>
  <c r="AN12" i="2"/>
  <c r="AM12" i="2"/>
  <c r="AL12" i="2"/>
  <c r="AK12" i="2"/>
  <c r="AJ12" i="2"/>
  <c r="AI12" i="2"/>
  <c r="AH12" i="2"/>
  <c r="AG12" i="2"/>
  <c r="AF12" i="2"/>
  <c r="AC12" i="2"/>
  <c r="W12" i="2"/>
  <c r="T12" i="2"/>
  <c r="P12" i="2"/>
  <c r="Y12" i="2" s="1"/>
  <c r="N12" i="2"/>
  <c r="Z12" i="2" s="1"/>
  <c r="D12" i="2"/>
  <c r="K12" i="2" s="1"/>
  <c r="L12" i="2" s="1"/>
  <c r="AQ11" i="2"/>
  <c r="AP11" i="2"/>
  <c r="AO11" i="2"/>
  <c r="AN11" i="2"/>
  <c r="AM11" i="2"/>
  <c r="AL11" i="2"/>
  <c r="AK11" i="2"/>
  <c r="AJ11" i="2"/>
  <c r="AI11" i="2"/>
  <c r="AH11" i="2"/>
  <c r="AG11" i="2"/>
  <c r="AF11" i="2"/>
  <c r="AC11" i="2"/>
  <c r="Y11" i="2"/>
  <c r="V11" i="2"/>
  <c r="P11" i="2"/>
  <c r="AB11" i="2" s="1"/>
  <c r="N11" i="2"/>
  <c r="Z11" i="2" s="1"/>
  <c r="L11" i="2"/>
  <c r="X11" i="2" s="1"/>
  <c r="K11" i="2"/>
  <c r="E11" i="2"/>
  <c r="R11" i="2" s="1"/>
  <c r="D11" i="2"/>
  <c r="AQ10" i="2"/>
  <c r="AP10" i="2"/>
  <c r="AO10" i="2"/>
  <c r="AN10" i="2"/>
  <c r="AM10" i="2"/>
  <c r="AL10" i="2"/>
  <c r="AK10" i="2"/>
  <c r="AJ10" i="2"/>
  <c r="AI10" i="2"/>
  <c r="AH10" i="2"/>
  <c r="AG10" i="2"/>
  <c r="AF10" i="2"/>
  <c r="P10" i="2"/>
  <c r="AA10" i="2" s="1"/>
  <c r="N10" i="2"/>
  <c r="K10" i="2"/>
  <c r="L10" i="2" s="1"/>
  <c r="E10" i="2"/>
  <c r="D10" i="2"/>
  <c r="AQ9" i="2"/>
  <c r="AP9" i="2"/>
  <c r="AO9" i="2"/>
  <c r="AN9" i="2"/>
  <c r="AM9" i="2"/>
  <c r="AL9" i="2"/>
  <c r="AK9" i="2"/>
  <c r="AJ9" i="2"/>
  <c r="AI9" i="2"/>
  <c r="AH9" i="2"/>
  <c r="AG9" i="2"/>
  <c r="AF9" i="2"/>
  <c r="Y9" i="2"/>
  <c r="P9" i="2"/>
  <c r="N9" i="2"/>
  <c r="V9" i="2" s="1"/>
  <c r="L9" i="2"/>
  <c r="K9" i="2"/>
  <c r="E9" i="2"/>
  <c r="D9" i="2"/>
  <c r="AE8" i="2"/>
  <c r="P8" i="2"/>
  <c r="Q8" i="2" s="1"/>
  <c r="Z8" i="2" s="1"/>
  <c r="O8" i="2"/>
  <c r="N8" i="2"/>
  <c r="U8" i="2" s="1"/>
  <c r="E8" i="2"/>
  <c r="D8" i="2"/>
  <c r="K8" i="2" s="1"/>
  <c r="L8" i="2" s="1"/>
  <c r="AC7" i="2"/>
  <c r="AB7" i="2"/>
  <c r="AA7" i="2"/>
  <c r="J7" i="2" s="1"/>
  <c r="Z7" i="2"/>
  <c r="Y7" i="2"/>
  <c r="X7" i="2"/>
  <c r="W7" i="2"/>
  <c r="V7" i="2"/>
  <c r="U7" i="2"/>
  <c r="T7" i="2"/>
  <c r="S7" i="2"/>
  <c r="R7" i="2"/>
  <c r="I7" i="2" s="1"/>
  <c r="N7" i="2"/>
  <c r="I6" i="2"/>
  <c r="B74" i="1"/>
  <c r="B73" i="1"/>
  <c r="B72" i="1"/>
  <c r="B71" i="1"/>
  <c r="B76" i="1" s="1"/>
  <c r="B67" i="1"/>
  <c r="B66" i="1"/>
  <c r="G60" i="1"/>
  <c r="F60" i="1"/>
  <c r="D60" i="1"/>
  <c r="C60" i="1"/>
  <c r="K58" i="1"/>
  <c r="L58" i="1" s="1"/>
  <c r="K57" i="1"/>
  <c r="L57" i="1" s="1"/>
  <c r="K56" i="1"/>
  <c r="L56" i="1" s="1"/>
  <c r="L55" i="1"/>
  <c r="L54" i="1"/>
  <c r="K54" i="1"/>
  <c r="K53" i="1"/>
  <c r="L53" i="1" s="1"/>
  <c r="K52" i="1"/>
  <c r="L52" i="1" s="1"/>
  <c r="L51" i="1"/>
  <c r="K51" i="1"/>
  <c r="L50" i="1"/>
  <c r="K50" i="1"/>
  <c r="L49" i="1"/>
  <c r="K49" i="1"/>
  <c r="K48" i="1"/>
  <c r="L48" i="1" s="1"/>
  <c r="L47" i="1"/>
  <c r="K46" i="1"/>
  <c r="L46" i="1" s="1"/>
  <c r="K45" i="1"/>
  <c r="L45" i="1" s="1"/>
  <c r="L44" i="1"/>
  <c r="L43" i="1"/>
  <c r="K43" i="1"/>
  <c r="L41" i="1"/>
  <c r="L40" i="1"/>
  <c r="K39" i="1"/>
  <c r="L39" i="1" s="1"/>
  <c r="L38" i="1"/>
  <c r="K38" i="1"/>
  <c r="L37" i="1"/>
  <c r="K37" i="1"/>
  <c r="L36" i="1"/>
  <c r="K35" i="1"/>
  <c r="L35" i="1" s="1"/>
  <c r="L34" i="1"/>
  <c r="K33" i="1"/>
  <c r="L33" i="1" s="1"/>
  <c r="L32" i="1"/>
  <c r="K32" i="1"/>
  <c r="L31" i="1"/>
  <c r="K31" i="1"/>
  <c r="L30" i="1"/>
  <c r="K30" i="1"/>
  <c r="K29" i="1"/>
  <c r="L29" i="1" s="1"/>
  <c r="K28" i="1"/>
  <c r="L28" i="1" s="1"/>
  <c r="K27" i="1"/>
  <c r="K26" i="1"/>
  <c r="L26" i="1" s="1"/>
  <c r="K25" i="1"/>
  <c r="L25" i="1" s="1"/>
  <c r="K24" i="1"/>
  <c r="L24" i="1" s="1"/>
  <c r="K23" i="1"/>
  <c r="L23" i="1" s="1"/>
  <c r="K22" i="1"/>
  <c r="L22" i="1" s="1"/>
  <c r="L20" i="1"/>
  <c r="L19" i="1"/>
  <c r="K19" i="1"/>
  <c r="L17" i="1"/>
  <c r="K17" i="1"/>
  <c r="L15" i="1"/>
  <c r="L14" i="1"/>
  <c r="L13" i="1"/>
  <c r="L12" i="1"/>
  <c r="L11" i="1"/>
  <c r="K11" i="1"/>
  <c r="L10" i="1"/>
  <c r="K9" i="1"/>
  <c r="L9" i="1" s="1"/>
  <c r="L8" i="1"/>
  <c r="L7" i="1"/>
  <c r="K6" i="1"/>
  <c r="L6" i="1" s="1"/>
  <c r="M8" i="2" l="1"/>
  <c r="T12" i="3"/>
  <c r="AB12" i="3"/>
  <c r="AA12" i="3"/>
  <c r="Z12" i="3"/>
  <c r="P12" i="3"/>
  <c r="S12" i="3" s="1"/>
  <c r="I12" i="3" s="1"/>
  <c r="Y12" i="3"/>
  <c r="X12" i="3"/>
  <c r="W12" i="3"/>
  <c r="V12" i="3"/>
  <c r="U12" i="3"/>
  <c r="X8" i="3"/>
  <c r="W8" i="3"/>
  <c r="V8" i="3"/>
  <c r="U8" i="3"/>
  <c r="S8" i="3"/>
  <c r="R8" i="3"/>
  <c r="I8" i="3" s="1"/>
  <c r="T8" i="3"/>
  <c r="S14" i="3"/>
  <c r="R14" i="3"/>
  <c r="Q14" i="3"/>
  <c r="M14" i="3"/>
  <c r="T14" i="3" s="1"/>
  <c r="X14" i="3"/>
  <c r="W14" i="3"/>
  <c r="V14" i="3"/>
  <c r="U14" i="3"/>
  <c r="S12" i="2"/>
  <c r="R12" i="2"/>
  <c r="L60" i="1"/>
  <c r="P11" i="3"/>
  <c r="Y11" i="3" s="1"/>
  <c r="T11" i="3"/>
  <c r="S11" i="3"/>
  <c r="R11" i="3"/>
  <c r="Q11" i="3"/>
  <c r="M11" i="3"/>
  <c r="U11" i="3" s="1"/>
  <c r="AB14" i="3"/>
  <c r="AA14" i="3"/>
  <c r="Z14" i="3"/>
  <c r="P14" i="3"/>
  <c r="Y14" i="3" s="1"/>
  <c r="J14" i="3" s="1"/>
  <c r="V11" i="3"/>
  <c r="X11" i="3"/>
  <c r="W11" i="3"/>
  <c r="Y10" i="2"/>
  <c r="W10" i="2"/>
  <c r="U10" i="2"/>
  <c r="X10" i="2"/>
  <c r="T10" i="2"/>
  <c r="K60" i="1"/>
  <c r="S11" i="2"/>
  <c r="I11" i="2" s="1"/>
  <c r="AA12" i="2"/>
  <c r="J12" i="2" s="1"/>
  <c r="W14" i="2"/>
  <c r="W15" i="2"/>
  <c r="U15" i="3"/>
  <c r="V8" i="2"/>
  <c r="W9" i="2"/>
  <c r="W8" i="2"/>
  <c r="X9" i="2"/>
  <c r="V10" i="2"/>
  <c r="T11" i="2"/>
  <c r="AB12" i="2"/>
  <c r="Z13" i="2"/>
  <c r="X14" i="2"/>
  <c r="X15" i="2"/>
  <c r="P10" i="3"/>
  <c r="Y10" i="3" s="1"/>
  <c r="Z10" i="3"/>
  <c r="V15" i="3"/>
  <c r="U11" i="2"/>
  <c r="AA13" i="2"/>
  <c r="Y14" i="2"/>
  <c r="Y15" i="2"/>
  <c r="Q10" i="3"/>
  <c r="M15" i="3"/>
  <c r="W15" i="3" s="1"/>
  <c r="W11" i="2"/>
  <c r="E12" i="2"/>
  <c r="U12" i="2"/>
  <c r="S13" i="2"/>
  <c r="I13" i="2" s="1"/>
  <c r="AA14" i="2"/>
  <c r="AA15" i="2"/>
  <c r="S10" i="3"/>
  <c r="AA11" i="3"/>
  <c r="Z15" i="2"/>
  <c r="AA9" i="2"/>
  <c r="AA8" i="2"/>
  <c r="J8" i="2" s="1"/>
  <c r="R9" i="2"/>
  <c r="AB9" i="2"/>
  <c r="Z10" i="2"/>
  <c r="J10" i="2" s="1"/>
  <c r="V12" i="2"/>
  <c r="T13" i="2"/>
  <c r="R14" i="2"/>
  <c r="I14" i="2" s="1"/>
  <c r="AB14" i="2"/>
  <c r="R15" i="2"/>
  <c r="AB15" i="2"/>
  <c r="T10" i="3"/>
  <c r="Q13" i="3"/>
  <c r="AA13" i="3"/>
  <c r="J13" i="3" s="1"/>
  <c r="P15" i="3"/>
  <c r="Y15" i="3" s="1"/>
  <c r="J15" i="3" s="1"/>
  <c r="Z15" i="3"/>
  <c r="X8" i="2"/>
  <c r="Z14" i="2"/>
  <c r="J14" i="2" s="1"/>
  <c r="R13" i="3"/>
  <c r="Q15" i="3"/>
  <c r="AA15" i="3"/>
  <c r="AB8" i="2"/>
  <c r="AC9" i="2"/>
  <c r="S14" i="2"/>
  <c r="AC14" i="2"/>
  <c r="S15" i="2"/>
  <c r="AC15" i="2"/>
  <c r="U10" i="3"/>
  <c r="S8" i="2"/>
  <c r="AC8" i="2"/>
  <c r="T9" i="2"/>
  <c r="R10" i="2"/>
  <c r="AB10" i="2"/>
  <c r="X12" i="2"/>
  <c r="V13" i="2"/>
  <c r="T14" i="2"/>
  <c r="T15" i="2"/>
  <c r="V10" i="3"/>
  <c r="R15" i="3"/>
  <c r="T8" i="2"/>
  <c r="U9" i="2"/>
  <c r="S10" i="2"/>
  <c r="AC10" i="2"/>
  <c r="AA11" i="2"/>
  <c r="J11" i="2" s="1"/>
  <c r="W13" i="2"/>
  <c r="U14" i="2"/>
  <c r="U15" i="2"/>
  <c r="M10" i="3"/>
  <c r="W10" i="3"/>
  <c r="S15" i="3"/>
  <c r="Y8" i="2"/>
  <c r="Z9" i="2"/>
  <c r="R8" i="2"/>
  <c r="S9" i="2"/>
  <c r="P8" i="3"/>
  <c r="Y8" i="3" s="1"/>
  <c r="J8" i="3" s="1"/>
  <c r="I10" i="2" l="1"/>
  <c r="I15" i="3"/>
  <c r="I11" i="3"/>
  <c r="J12" i="3"/>
  <c r="J11" i="3"/>
  <c r="J16" i="3" s="1"/>
  <c r="I8" i="2"/>
  <c r="I13" i="3"/>
  <c r="J10" i="3"/>
  <c r="I14" i="3"/>
  <c r="I12" i="2"/>
  <c r="I15" i="2"/>
  <c r="J15" i="2"/>
  <c r="I10" i="3"/>
  <c r="I16" i="3" s="1"/>
  <c r="J13" i="2"/>
  <c r="J16" i="2" s="1"/>
  <c r="I16" i="2" l="1"/>
</calcChain>
</file>

<file path=xl/sharedStrings.xml><?xml version="1.0" encoding="utf-8"?>
<sst xmlns="http://schemas.openxmlformats.org/spreadsheetml/2006/main" count="558" uniqueCount="221">
  <si>
    <t>Last updated: Caroline Lemaire october 21st 024</t>
  </si>
  <si>
    <t>Cost Center 859700 (711,712,713,714)</t>
  </si>
  <si>
    <t>P9 salary</t>
  </si>
  <si>
    <t>Employee Name / Nom de l'employé</t>
  </si>
  <si>
    <t>Acting?</t>
  </si>
  <si>
    <t>Annual
Salary</t>
  </si>
  <si>
    <t>Salary for
this fiscal</t>
  </si>
  <si>
    <t>Salary per mth</t>
  </si>
  <si>
    <t>Position #</t>
  </si>
  <si>
    <t>On
Strength</t>
  </si>
  <si>
    <t>Classification</t>
  </si>
  <si>
    <t>Step</t>
  </si>
  <si>
    <t xml:space="preserve">Fund </t>
  </si>
  <si>
    <t>Actuals</t>
  </si>
  <si>
    <t>Forecast</t>
  </si>
  <si>
    <t>Reviewed 
with manager</t>
  </si>
  <si>
    <t>Comments</t>
  </si>
  <si>
    <t>Patrice Lavictoire</t>
  </si>
  <si>
    <t>130546</t>
  </si>
  <si>
    <t>Y</t>
  </si>
  <si>
    <t>EX-01</t>
  </si>
  <si>
    <t>N/A</t>
  </si>
  <si>
    <t>A-base</t>
  </si>
  <si>
    <t>y</t>
  </si>
  <si>
    <t>Marie Helene Dion/A-Mgr</t>
  </si>
  <si>
    <t>131189</t>
  </si>
  <si>
    <t>N</t>
  </si>
  <si>
    <t>IT-04</t>
  </si>
  <si>
    <t>VNR</t>
  </si>
  <si>
    <t>Acting ended June 24</t>
  </si>
  <si>
    <t>Lyndsay Cross/A-Mgr (Intake/Triage)</t>
  </si>
  <si>
    <t>Acting start July 4 - ends nov 1st (900$/mth) or 731$</t>
  </si>
  <si>
    <t>Kevin Earle-TA</t>
  </si>
  <si>
    <t>134684</t>
  </si>
  <si>
    <t>IT-03</t>
  </si>
  <si>
    <t>Julie Allen-TA</t>
  </si>
  <si>
    <t>146941</t>
  </si>
  <si>
    <t>retires on Oct. 16, 2024 (9681$/mth)</t>
  </si>
  <si>
    <t>Andrew Leaden /A-TA</t>
  </si>
  <si>
    <t>Ends April 8th 2025</t>
  </si>
  <si>
    <t>Sheryl Proud-TA</t>
  </si>
  <si>
    <t>137546</t>
  </si>
  <si>
    <t>Returns Dec 6th 2024 (as per medical cert.)</t>
  </si>
  <si>
    <t>Brandon Rice /A-TA</t>
  </si>
  <si>
    <t>Ended June 13th</t>
  </si>
  <si>
    <t>Brandon Rice TA</t>
  </si>
  <si>
    <t>Leaving late September?  (8543$/mth)</t>
  </si>
  <si>
    <t>George Salame/A-TA</t>
  </si>
  <si>
    <t>160221</t>
  </si>
  <si>
    <t>Ends Sept 14, 2024 (273$/mth)</t>
  </si>
  <si>
    <t>Starts September 16, 2024 ends sept 12 2025</t>
  </si>
  <si>
    <t>Patrick Careau - Mgr</t>
  </si>
  <si>
    <t>119637</t>
  </si>
  <si>
    <t>Martin Samson A/Mgr (Intake/Triage)</t>
  </si>
  <si>
    <t>starts nov 4th ends feb 28th 2025</t>
  </si>
  <si>
    <t>Lyndsay Cross-TL</t>
  </si>
  <si>
    <t>131700</t>
  </si>
  <si>
    <t>Dominic Nault/a-TL</t>
  </si>
  <si>
    <t>IT-02</t>
  </si>
  <si>
    <t>Starts May 6 ends Sept 5, 2024 (366$/mth)</t>
  </si>
  <si>
    <t>Sebastien Caron A/ TL</t>
  </si>
  <si>
    <t>start Nov 18 - feb 28 2024</t>
  </si>
  <si>
    <t xml:space="preserve">Sébastien Caron </t>
  </si>
  <si>
    <t>138239</t>
  </si>
  <si>
    <t>Michelle Brunette</t>
  </si>
  <si>
    <t>144277</t>
  </si>
  <si>
    <t>Janet Arbuckle</t>
  </si>
  <si>
    <t>122486</t>
  </si>
  <si>
    <t>Karen Allen</t>
  </si>
  <si>
    <t>144276</t>
  </si>
  <si>
    <t>Warren Hamelin</t>
  </si>
  <si>
    <t>132305</t>
  </si>
  <si>
    <t>Karim Chaggani</t>
  </si>
  <si>
    <t>134681</t>
  </si>
  <si>
    <t>Leaving April 5th, 2024 (abolished)</t>
  </si>
  <si>
    <t>Andrew Leaden</t>
  </si>
  <si>
    <t>109922</t>
  </si>
  <si>
    <t>Corey Numainville/A</t>
  </si>
  <si>
    <t>138270</t>
  </si>
  <si>
    <t>IT-01</t>
  </si>
  <si>
    <t>Ends July 2025</t>
  </si>
  <si>
    <t>Martin Samson-TL</t>
  </si>
  <si>
    <t>119834</t>
  </si>
  <si>
    <t>Georges Salame</t>
  </si>
  <si>
    <t>134696</t>
  </si>
  <si>
    <t>Rachelle Campbell</t>
  </si>
  <si>
    <t>138258</t>
  </si>
  <si>
    <t>Sébastien Richard</t>
  </si>
  <si>
    <t>138238</t>
  </si>
  <si>
    <t>8*</t>
  </si>
  <si>
    <t>Leaving soon (October?)</t>
  </si>
  <si>
    <t>Manon Grondin</t>
  </si>
  <si>
    <t>137325</t>
  </si>
  <si>
    <t>Back on August 29th 2024</t>
  </si>
  <si>
    <t>Jasmine Chan</t>
  </si>
  <si>
    <t>132302</t>
  </si>
  <si>
    <t>Sophie Laurin/A</t>
  </si>
  <si>
    <t>Ends April 1st, 2025</t>
  </si>
  <si>
    <t>Jean-Guy Richard</t>
  </si>
  <si>
    <t>113476</t>
  </si>
  <si>
    <t>AS-05</t>
  </si>
  <si>
    <t>Benjamin Cizmar</t>
  </si>
  <si>
    <t>144272</t>
  </si>
  <si>
    <t>Sylvie Royer</t>
  </si>
  <si>
    <t>132301</t>
  </si>
  <si>
    <t>Marie-Helene Dion sub</t>
  </si>
  <si>
    <t>135039</t>
  </si>
  <si>
    <t>Left BIM june 24 (9,400$ / month)</t>
  </si>
  <si>
    <t>Warren Hamelin/a-TL</t>
  </si>
  <si>
    <t>Ends May 3rd 2024</t>
  </si>
  <si>
    <t>Jimy Gilbert A/TL</t>
  </si>
  <si>
    <t>September 9th - January 8th 2025</t>
  </si>
  <si>
    <t>Godlive Kasamba</t>
  </si>
  <si>
    <t>135554</t>
  </si>
  <si>
    <t>Jimy Gilbert</t>
  </si>
  <si>
    <t>119797</t>
  </si>
  <si>
    <t>Returns June 7th 2024 (7500$/mth)</t>
  </si>
  <si>
    <t>Anh Nguyen</t>
  </si>
  <si>
    <t>137323</t>
  </si>
  <si>
    <t>Dominic Nault</t>
  </si>
  <si>
    <t>137993</t>
  </si>
  <si>
    <t>Steeve Parent</t>
  </si>
  <si>
    <t>137291</t>
  </si>
  <si>
    <t>Last day june 7th, position to be abolished</t>
  </si>
  <si>
    <t>Veronica Cameron</t>
  </si>
  <si>
    <t>134682</t>
  </si>
  <si>
    <t>Patrick Sanche</t>
  </si>
  <si>
    <t>144280</t>
  </si>
  <si>
    <t>Shelley Flear</t>
  </si>
  <si>
    <t>144279</t>
  </si>
  <si>
    <t>Maxime Duchesne</t>
  </si>
  <si>
    <t>132303</t>
  </si>
  <si>
    <t>Charles Chartrand-Mgr</t>
  </si>
  <si>
    <t>134907</t>
  </si>
  <si>
    <t>Sophie Laurin</t>
  </si>
  <si>
    <t>AS-04</t>
  </si>
  <si>
    <t>Corey Numainville</t>
  </si>
  <si>
    <t>141207</t>
  </si>
  <si>
    <t>AS-02</t>
  </si>
  <si>
    <t>Michèle Parent</t>
  </si>
  <si>
    <t>111202</t>
  </si>
  <si>
    <t>Assignment out until June 10, 2025</t>
  </si>
  <si>
    <t>Steve Mayer-TL</t>
  </si>
  <si>
    <t>134914</t>
  </si>
  <si>
    <t>Dawn Marie Brown</t>
  </si>
  <si>
    <t>144282</t>
  </si>
  <si>
    <t>Mike Waugh-TA</t>
  </si>
  <si>
    <t>134889</t>
  </si>
  <si>
    <t>Grand Total Salary</t>
  </si>
  <si>
    <t>Fund</t>
  </si>
  <si>
    <t>Total Count</t>
  </si>
  <si>
    <t>Fund Total (On Strength)</t>
  </si>
  <si>
    <t>Amount</t>
  </si>
  <si>
    <t>VNR (actings)</t>
  </si>
  <si>
    <t>A-base (actings)</t>
  </si>
  <si>
    <t>IMPORTANT: Dates are in MM/DD/YYYY format</t>
  </si>
  <si>
    <t>Workings for Pro-rate salary based on start and end dates of employment</t>
  </si>
  <si>
    <t>Anniversary Increment</t>
  </si>
  <si>
    <t>CBA</t>
  </si>
  <si>
    <t>Monthly Salary</t>
  </si>
  <si>
    <t>Employee Name</t>
  </si>
  <si>
    <t>Start date of employment or acting</t>
  </si>
  <si>
    <t>End date of employment, acting or retiring</t>
  </si>
  <si>
    <t>Annual Salary
Beginning of FY</t>
  </si>
  <si>
    <t>Monthly
Salary</t>
  </si>
  <si>
    <t>Step Anniversary
Date</t>
  </si>
  <si>
    <t>Forecast for
remainder of FY</t>
  </si>
  <si>
    <t>Next Step
Annual 
Salary</t>
  </si>
  <si>
    <t>Pro-rated
Salary on 
Anniversary
Date</t>
  </si>
  <si>
    <t>Effective Date</t>
  </si>
  <si>
    <t>Incremented Salary</t>
  </si>
  <si>
    <t>Monthly 
Salary</t>
  </si>
  <si>
    <t>Pro-rated 
Salary in 
December
/June</t>
  </si>
  <si>
    <t>Emp. 1.a (acting Nov 4 - Feb 28)</t>
  </si>
  <si>
    <t>Emp. 2</t>
  </si>
  <si>
    <t>Emp. 3 retiring (April 1 to Oct 15)</t>
  </si>
  <si>
    <t>Start Date Adj</t>
  </si>
  <si>
    <t>Emp. 1</t>
  </si>
  <si>
    <t>End Date Adj</t>
  </si>
  <si>
    <t>Emp. 4</t>
  </si>
  <si>
    <t>When both Start Date &amp; End Date falls on the same month</t>
  </si>
  <si>
    <t>Emp. 5</t>
  </si>
  <si>
    <t>Employee in employment during the month (1=yes)</t>
  </si>
  <si>
    <t>Emp 6</t>
  </si>
  <si>
    <t>Combined Adj</t>
  </si>
  <si>
    <t>Emp. 6a</t>
  </si>
  <si>
    <t>Emp. 6b</t>
  </si>
  <si>
    <t>Level</t>
  </si>
  <si>
    <t>Eff. date</t>
  </si>
  <si>
    <t>Step 1</t>
  </si>
  <si>
    <t>Step 2</t>
  </si>
  <si>
    <t>Step 3</t>
  </si>
  <si>
    <t>Step 4</t>
  </si>
  <si>
    <t>Step 5</t>
  </si>
  <si>
    <t>Step 6</t>
  </si>
  <si>
    <t>Step 7</t>
  </si>
  <si>
    <t>Step 8</t>
  </si>
  <si>
    <t>Step 9</t>
  </si>
  <si>
    <t>IT-05</t>
  </si>
  <si>
    <t>AS-01</t>
  </si>
  <si>
    <t>AS-03</t>
  </si>
  <si>
    <t>Collective Bargaining Agreement Increment</t>
  </si>
  <si>
    <t>Anniversay Increment</t>
  </si>
  <si>
    <t>Start date
of acting (dd-mm-yyyy)</t>
  </si>
  <si>
    <t>End date 
of acting or retiring  (dd-mm-yyyy)</t>
  </si>
  <si>
    <t>Step Anniversary
Date 
(MM/DD/YYYY)</t>
  </si>
  <si>
    <t>Dec. 22nd/June 21st
Increment</t>
  </si>
  <si>
    <t>11/4/2024</t>
  </si>
  <si>
    <t>4/1/2024</t>
  </si>
  <si>
    <t>3/14/2025</t>
  </si>
  <si>
    <t>August 29,2024</t>
  </si>
  <si>
    <t>8/29/2024</t>
  </si>
  <si>
    <t>10/6/2024</t>
  </si>
  <si>
    <t>7/25/2024</t>
  </si>
  <si>
    <t>Possible Scenarios</t>
  </si>
  <si>
    <t>1-Employee 1 is an IT03 but will replace (acting) his supervisor for 4 months during the year (1a)  - depending on the dates, I'd like to know how much I paid him so far and the forecast for the remainder of FY (depending on I5)</t>
  </si>
  <si>
    <t>2-Employee 2 is an IT-03 at the last step</t>
  </si>
  <si>
    <t>3-Employee 3 is retiring this year, She was with us on April 1st and her last day was Oct. 16, 2024</t>
  </si>
  <si>
    <t>4- Employee 4 is an employee that joined our team on August 29, 2024 - I'd like to be able to calculate how much salary I've paid her and forecast for the remainder of fiscal year.</t>
  </si>
  <si>
    <t>5-Employee 5 is NOT an IT (classification).  He's an AS.  (different pay, different amount of steps etc..)  I've added the CBA dates in the tables</t>
  </si>
  <si>
    <t>6-Employee 6 is a complicated case.   He joined our team on June 8th, 2024 (IT-02) then was acting for his supervisor from September 9th to January 8th.  He will go back in his IT02 role for  the remainder of the fiscal OR may be extended his acting IT03 until March 31st.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</si>
</sst>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8" formatCode="&quot;$&quot;#,##0.00_);[Red]\(&quot;$&quot;#,##0.00\)"/>
    <numFmt numFmtId="44" formatCode="_(&quot;$&quot;* #,##0.00_);_(&quot;$&quot;* \(#,##0.00\);_(&quot;$&quot;* &quot;-&quot;??_);_(@_)"/>
    <numFmt numFmtId="164" formatCode="&quot;$&quot;#,##0.00"/>
    <numFmt numFmtId="165" formatCode="&quot;$&quot;#,##0"/>
    <numFmt numFmtId="166" formatCode="[$-409]mmmm\-yy;@"/>
    <numFmt numFmtId="167" formatCode="[$-409]mmmm\ d\,\ yyyy;@"/>
    <numFmt numFmtId="168" formatCode="0.0%"/>
    <numFmt numFmtId="169" formatCode="[$-409]mmm\-yy;@"/>
    <numFmt numFmtId="170" formatCode="m/d/yyyy;@"/>
    <numFmt numFmtId="171" formatCode="[$-409]mmm\-yyyy;@"/>
  </numFmts>
  <fonts count="43" x14ac:knownFonts="1">
    <font>
      <sz val="10"/>
      <color indexed="8"/>
      <name val="Arial"/>
    </font>
    <font>
      <sz val="11"/>
      <color theme="1"/>
      <name val="Calibri"/>
      <family val="2"/>
      <scheme val="minor"/>
    </font>
    <font>
      <sz val="11"/>
      <color theme="1"/>
      <name val="Calibri"/>
      <family val="2"/>
      <scheme val="minor"/>
    </font>
    <font>
      <sz val="10"/>
      <color indexed="8"/>
      <name val="Arial"/>
      <family val="2"/>
    </font>
    <font>
      <sz val="11"/>
      <color theme="1"/>
      <name val="Calibri"/>
      <family val="2"/>
    </font>
    <font>
      <sz val="11"/>
      <color rgb="FFFFFFFF"/>
      <name val="Calibri"/>
      <family val="2"/>
      <scheme val="minor"/>
    </font>
    <font>
      <i/>
      <sz val="11"/>
      <color theme="1"/>
      <name val="Calibri"/>
      <family val="2"/>
      <scheme val="minor"/>
    </font>
    <font>
      <sz val="10"/>
      <name val="Arial"/>
      <family val="2"/>
    </font>
    <font>
      <sz val="11"/>
      <color rgb="FFFF0000"/>
      <name val="Calibri"/>
      <family val="2"/>
      <scheme val="minor"/>
    </font>
    <font>
      <sz val="12"/>
      <color indexed="8"/>
      <name val="Comic Sans MS"/>
      <family val="4"/>
    </font>
    <font>
      <sz val="10"/>
      <color indexed="8"/>
      <name val="Comic Sans MS"/>
      <family val="4"/>
    </font>
    <font>
      <sz val="10"/>
      <color rgb="FFFF0000"/>
      <name val="Comic Sans MS"/>
      <family val="4"/>
    </font>
    <font>
      <sz val="11"/>
      <color rgb="FF000000"/>
      <name val="Calibri"/>
      <family val="2"/>
      <scheme val="minor"/>
    </font>
    <font>
      <b/>
      <sz val="12"/>
      <color indexed="8"/>
      <name val="Comic Sans MS"/>
      <family val="4"/>
    </font>
    <font>
      <b/>
      <sz val="11"/>
      <color theme="0"/>
      <name val="Aptos Display"/>
      <family val="2"/>
    </font>
    <font>
      <sz val="10"/>
      <color indexed="8"/>
      <name val="Aptos Display"/>
      <family val="2"/>
    </font>
    <font>
      <sz val="11"/>
      <color indexed="8"/>
      <name val="Aptos Display"/>
      <family val="2"/>
    </font>
    <font>
      <sz val="10"/>
      <color rgb="FF000000"/>
      <name val="Aptos Display"/>
      <family val="2"/>
    </font>
    <font>
      <b/>
      <sz val="10"/>
      <color indexed="8"/>
      <name val="Aptos Display"/>
      <family val="2"/>
    </font>
    <font>
      <b/>
      <sz val="14"/>
      <color indexed="8"/>
      <name val="Aptos Display"/>
      <family val="2"/>
    </font>
    <font>
      <sz val="12"/>
      <color indexed="8"/>
      <name val="Aptos Display"/>
      <family val="2"/>
    </font>
    <font>
      <b/>
      <sz val="12"/>
      <color indexed="8"/>
      <name val="Aptos Display"/>
      <family val="2"/>
    </font>
    <font>
      <sz val="10"/>
      <name val="Aptos Display"/>
      <family val="2"/>
    </font>
    <font>
      <i/>
      <u/>
      <sz val="10"/>
      <color indexed="8"/>
      <name val="Aptos Display"/>
      <family val="2"/>
    </font>
    <font>
      <i/>
      <u val="double"/>
      <sz val="10"/>
      <color indexed="8"/>
      <name val="Aptos Display"/>
      <family val="2"/>
    </font>
    <font>
      <i/>
      <u/>
      <sz val="10"/>
      <color rgb="FF000000"/>
      <name val="Aptos Display"/>
      <family val="2"/>
    </font>
    <font>
      <b/>
      <i/>
      <u val="double"/>
      <sz val="10"/>
      <color rgb="FF000000"/>
      <name val="Aptos Display"/>
      <family val="2"/>
    </font>
    <font>
      <sz val="10"/>
      <color theme="1"/>
      <name val="Arial"/>
      <family val="2"/>
    </font>
    <font>
      <b/>
      <sz val="10"/>
      <color theme="0"/>
      <name val="Arial"/>
      <family val="2"/>
    </font>
    <font>
      <b/>
      <sz val="10"/>
      <color rgb="FF000000"/>
      <name val="Arial"/>
      <family val="2"/>
    </font>
    <font>
      <b/>
      <sz val="11"/>
      <color indexed="8"/>
      <name val="Aptos Display"/>
      <family val="2"/>
    </font>
    <font>
      <sz val="11"/>
      <color indexed="8"/>
      <name val="Aptos Display"/>
      <family val="2"/>
    </font>
    <font>
      <b/>
      <sz val="11"/>
      <color indexed="8"/>
      <name val="Aptos Display"/>
      <family val="2"/>
    </font>
    <font>
      <sz val="11"/>
      <color indexed="8"/>
      <name val="Arial"/>
      <family val="2"/>
    </font>
    <font>
      <sz val="10"/>
      <color theme="1"/>
      <name val="Arial"/>
      <family val="2"/>
    </font>
    <font>
      <sz val="10"/>
      <color indexed="8"/>
      <name val="Aptos Display"/>
      <family val="2"/>
    </font>
    <font>
      <sz val="11"/>
      <color rgb="FF000000"/>
      <name val="Aptos Display"/>
      <family val="2"/>
    </font>
    <font>
      <b/>
      <sz val="11"/>
      <color rgb="FF000000"/>
      <name val="Aptos Display"/>
      <family val="2"/>
    </font>
    <font>
      <b/>
      <sz val="10"/>
      <color rgb="FF000000"/>
      <name val="Arial"/>
      <family val="2"/>
    </font>
    <font>
      <sz val="10"/>
      <color rgb="FF000000"/>
      <name val="Arial"/>
      <family val="2"/>
    </font>
    <font>
      <sz val="10"/>
      <color indexed="8"/>
      <name val="Arial"/>
      <family val="2"/>
    </font>
    <font>
      <b/>
      <u/>
      <sz val="10"/>
      <color indexed="8"/>
      <name val="Arial"/>
      <family val="2"/>
    </font>
    <font>
      <b/>
      <u/>
      <sz val="11"/>
      <color indexed="8"/>
      <name val="Aptos Display"/>
      <family val="2"/>
    </font>
  </fonts>
  <fills count="16">
    <fill>
      <patternFill patternType="none"/>
    </fill>
    <fill>
      <patternFill patternType="gray125"/>
    </fill>
    <fill>
      <patternFill patternType="solid">
        <fgColor rgb="FFFFFF00"/>
        <bgColor indexed="64"/>
      </patternFill>
    </fill>
    <fill>
      <patternFill patternType="solid">
        <fgColor theme="2" tint="-0.249977111117893"/>
        <bgColor indexed="64"/>
      </patternFill>
    </fill>
    <fill>
      <patternFill patternType="solid">
        <fgColor rgb="FFFFFFFF"/>
        <bgColor indexed="64"/>
      </patternFill>
    </fill>
    <fill>
      <patternFill patternType="solid">
        <fgColor rgb="FFFFC000"/>
        <bgColor indexed="64"/>
      </patternFill>
    </fill>
    <fill>
      <patternFill patternType="solid">
        <fgColor theme="0"/>
        <bgColor indexed="64"/>
      </patternFill>
    </fill>
    <fill>
      <patternFill patternType="solid">
        <fgColor rgb="FFB4C6E7"/>
        <bgColor indexed="64"/>
      </patternFill>
    </fill>
    <fill>
      <patternFill patternType="solid">
        <fgColor rgb="FFC6E0B4"/>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1"/>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top style="thin">
        <color indexed="64"/>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E7E6E6"/>
      </left>
      <right style="thin">
        <color rgb="FFE7E6E6"/>
      </right>
      <top style="thin">
        <color rgb="FFE7E6E6"/>
      </top>
      <bottom style="thin">
        <color rgb="FFE7E6E6"/>
      </bottom>
      <diagonal/>
    </border>
    <border>
      <left style="thin">
        <color indexed="64"/>
      </left>
      <right style="thin">
        <color indexed="64"/>
      </right>
      <top/>
      <bottom style="thin">
        <color indexed="64"/>
      </bottom>
      <diagonal/>
    </border>
    <border>
      <left/>
      <right/>
      <top style="thin">
        <color rgb="FF000000"/>
      </top>
      <bottom/>
      <diagonal/>
    </border>
    <border>
      <left style="thin">
        <color indexed="64"/>
      </left>
      <right/>
      <top/>
      <bottom style="thin">
        <color indexed="64"/>
      </bottom>
      <diagonal/>
    </border>
    <border>
      <left style="thin">
        <color indexed="64"/>
      </left>
      <right/>
      <top/>
      <bottom/>
      <diagonal/>
    </border>
    <border>
      <left/>
      <right/>
      <top style="thin">
        <color rgb="FF000000"/>
      </top>
      <bottom style="thin">
        <color rgb="FF000000"/>
      </bottom>
      <diagonal/>
    </border>
    <border>
      <left style="thin">
        <color rgb="FF000000"/>
      </left>
      <right style="thin">
        <color rgb="FF000000"/>
      </right>
      <top/>
      <bottom/>
      <diagonal/>
    </border>
    <border>
      <left/>
      <right/>
      <top style="thin">
        <color indexed="64"/>
      </top>
      <bottom style="thin">
        <color indexed="64"/>
      </bottom>
      <diagonal/>
    </border>
  </borders>
  <cellStyleXfs count="6">
    <xf numFmtId="0" fontId="0" fillId="0" borderId="0"/>
    <xf numFmtId="44" fontId="40" fillId="0" borderId="0"/>
    <xf numFmtId="0" fontId="2" fillId="0" borderId="0"/>
    <xf numFmtId="9" fontId="40" fillId="0" borderId="0"/>
    <xf numFmtId="0" fontId="40" fillId="0" borderId="0"/>
    <xf numFmtId="0" fontId="2" fillId="0" borderId="0"/>
  </cellStyleXfs>
  <cellXfs count="306">
    <xf numFmtId="0" fontId="0" fillId="0" borderId="0" xfId="0"/>
    <xf numFmtId="0" fontId="2" fillId="0" borderId="0" xfId="2"/>
    <xf numFmtId="0" fontId="0" fillId="2" borderId="0" xfId="0" applyFill="1"/>
    <xf numFmtId="0" fontId="9" fillId="0" borderId="0" xfId="0" applyFont="1"/>
    <xf numFmtId="0" fontId="10" fillId="0" borderId="0" xfId="0" applyFont="1" applyAlignment="1">
      <alignment horizontal="center" wrapText="1"/>
    </xf>
    <xf numFmtId="0" fontId="0" fillId="0" borderId="0" xfId="0" applyAlignment="1">
      <alignment horizontal="center"/>
    </xf>
    <xf numFmtId="164" fontId="10" fillId="0" borderId="0" xfId="0" applyNumberFormat="1" applyFont="1" applyAlignment="1">
      <alignment horizontal="center"/>
    </xf>
    <xf numFmtId="164" fontId="0" fillId="0" borderId="0" xfId="0" applyNumberFormat="1" applyAlignment="1">
      <alignment horizontal="center"/>
    </xf>
    <xf numFmtId="0" fontId="10" fillId="0" borderId="0" xfId="0" applyFont="1"/>
    <xf numFmtId="0" fontId="0" fillId="4" borderId="11" xfId="0" applyFill="1" applyBorder="1"/>
    <xf numFmtId="0" fontId="2" fillId="4" borderId="11" xfId="2" applyFill="1" applyBorder="1"/>
    <xf numFmtId="0" fontId="0" fillId="4" borderId="0" xfId="0" applyFill="1"/>
    <xf numFmtId="0" fontId="6" fillId="4" borderId="11" xfId="2" applyFont="1" applyFill="1" applyBorder="1"/>
    <xf numFmtId="0" fontId="11" fillId="0" borderId="0" xfId="0" applyFont="1"/>
    <xf numFmtId="0" fontId="4" fillId="4" borderId="11" xfId="2" applyFont="1" applyFill="1" applyBorder="1"/>
    <xf numFmtId="164" fontId="0" fillId="4" borderId="11" xfId="0" applyNumberFormat="1" applyFill="1" applyBorder="1" applyAlignment="1">
      <alignment horizontal="center"/>
    </xf>
    <xf numFmtId="0" fontId="10" fillId="4" borderId="0" xfId="0" applyFont="1" applyFill="1"/>
    <xf numFmtId="0" fontId="8" fillId="4" borderId="11" xfId="2" applyFont="1" applyFill="1" applyBorder="1"/>
    <xf numFmtId="0" fontId="12" fillId="4" borderId="11" xfId="2" applyFont="1" applyFill="1" applyBorder="1"/>
    <xf numFmtId="0" fontId="5" fillId="4" borderId="11" xfId="2" applyFont="1" applyFill="1" applyBorder="1"/>
    <xf numFmtId="165" fontId="9" fillId="0" borderId="0" xfId="1" applyNumberFormat="1" applyFont="1" applyAlignment="1">
      <alignment horizontal="right"/>
    </xf>
    <xf numFmtId="0" fontId="9" fillId="4" borderId="0" xfId="0" applyFont="1" applyFill="1"/>
    <xf numFmtId="0" fontId="0" fillId="0" borderId="11" xfId="0" applyBorder="1"/>
    <xf numFmtId="165" fontId="13" fillId="2" borderId="0" xfId="1" applyNumberFormat="1" applyFont="1" applyFill="1" applyAlignment="1">
      <alignment horizontal="right"/>
    </xf>
    <xf numFmtId="3" fontId="13" fillId="2" borderId="0" xfId="0" applyNumberFormat="1" applyFont="1" applyFill="1"/>
    <xf numFmtId="3" fontId="0" fillId="0" borderId="0" xfId="0" applyNumberFormat="1"/>
    <xf numFmtId="0" fontId="15" fillId="0" borderId="0" xfId="0" applyFont="1"/>
    <xf numFmtId="0" fontId="16" fillId="0" borderId="0" xfId="0" applyFont="1"/>
    <xf numFmtId="0" fontId="15" fillId="0" borderId="2" xfId="0" applyFont="1" applyBorder="1"/>
    <xf numFmtId="0" fontId="18" fillId="0" borderId="8" xfId="0" applyFont="1" applyBorder="1" applyAlignment="1">
      <alignment vertical="center"/>
    </xf>
    <xf numFmtId="165" fontId="18" fillId="7" borderId="2" xfId="1" applyNumberFormat="1" applyFont="1" applyFill="1" applyBorder="1" applyAlignment="1">
      <alignment horizontal="center" vertical="center" wrapText="1"/>
    </xf>
    <xf numFmtId="165" fontId="18" fillId="0" borderId="2" xfId="1" applyNumberFormat="1" applyFont="1" applyBorder="1" applyAlignment="1">
      <alignment horizontal="center" vertical="center" wrapText="1"/>
    </xf>
    <xf numFmtId="165" fontId="18" fillId="8" borderId="2" xfId="1" applyNumberFormat="1" applyFont="1" applyFill="1" applyBorder="1" applyAlignment="1">
      <alignment horizontal="center" vertical="center" wrapText="1"/>
    </xf>
    <xf numFmtId="0" fontId="18" fillId="0" borderId="5" xfId="0" applyFont="1" applyBorder="1" applyAlignment="1">
      <alignment horizontal="left"/>
    </xf>
    <xf numFmtId="165" fontId="15" fillId="11" borderId="2" xfId="1" applyNumberFormat="1" applyFont="1" applyFill="1" applyBorder="1" applyAlignment="1">
      <alignment horizontal="right"/>
    </xf>
    <xf numFmtId="1" fontId="15" fillId="7" borderId="2" xfId="1" applyNumberFormat="1" applyFont="1" applyFill="1" applyBorder="1" applyAlignment="1">
      <alignment horizontal="right"/>
    </xf>
    <xf numFmtId="1" fontId="15" fillId="7" borderId="2" xfId="1" applyNumberFormat="1" applyFont="1" applyFill="1" applyBorder="1" applyAlignment="1">
      <alignment horizontal="center" vertical="center"/>
    </xf>
    <xf numFmtId="165" fontId="15" fillId="7" borderId="2" xfId="1" applyNumberFormat="1" applyFont="1" applyFill="1" applyBorder="1" applyAlignment="1">
      <alignment horizontal="right"/>
    </xf>
    <xf numFmtId="1" fontId="15" fillId="11" borderId="2" xfId="1" applyNumberFormat="1" applyFont="1" applyFill="1" applyBorder="1" applyAlignment="1">
      <alignment horizontal="right"/>
    </xf>
    <xf numFmtId="165" fontId="15" fillId="0" borderId="2" xfId="1" applyNumberFormat="1" applyFont="1" applyBorder="1" applyAlignment="1">
      <alignment horizontal="right"/>
    </xf>
    <xf numFmtId="165" fontId="15" fillId="8" borderId="2" xfId="0" applyNumberFormat="1" applyFont="1" applyFill="1" applyBorder="1"/>
    <xf numFmtId="165" fontId="15" fillId="0" borderId="2" xfId="0" applyNumberFormat="1" applyFont="1" applyBorder="1" applyAlignment="1">
      <alignment horizontal="center"/>
    </xf>
    <xf numFmtId="165" fontId="15" fillId="0" borderId="2" xfId="0" applyNumberFormat="1" applyFont="1" applyBorder="1"/>
    <xf numFmtId="165" fontId="15" fillId="7" borderId="7" xfId="1" applyNumberFormat="1" applyFont="1" applyFill="1" applyBorder="1" applyAlignment="1">
      <alignment horizontal="right"/>
    </xf>
    <xf numFmtId="1" fontId="15" fillId="7" borderId="7" xfId="1" applyNumberFormat="1" applyFont="1" applyFill="1" applyBorder="1" applyAlignment="1">
      <alignment horizontal="right"/>
    </xf>
    <xf numFmtId="1" fontId="15" fillId="7" borderId="7" xfId="1" applyNumberFormat="1" applyFont="1" applyFill="1" applyBorder="1" applyAlignment="1">
      <alignment horizontal="center" vertical="center"/>
    </xf>
    <xf numFmtId="165" fontId="15" fillId="0" borderId="7" xfId="1" applyNumberFormat="1" applyFont="1" applyBorder="1" applyAlignment="1">
      <alignment horizontal="right"/>
    </xf>
    <xf numFmtId="165" fontId="15" fillId="0" borderId="7" xfId="0" applyNumberFormat="1" applyFont="1" applyBorder="1" applyAlignment="1">
      <alignment horizontal="center"/>
    </xf>
    <xf numFmtId="165" fontId="15" fillId="0" borderId="7" xfId="0" applyNumberFormat="1" applyFont="1" applyBorder="1"/>
    <xf numFmtId="0" fontId="18" fillId="4" borderId="2" xfId="0" applyFont="1" applyFill="1" applyBorder="1" applyAlignment="1">
      <alignment horizontal="left"/>
    </xf>
    <xf numFmtId="0" fontId="18" fillId="0" borderId="2" xfId="0" applyFont="1" applyBorder="1" applyAlignment="1">
      <alignment horizontal="left"/>
    </xf>
    <xf numFmtId="0" fontId="15" fillId="4" borderId="2" xfId="0" applyFont="1" applyFill="1" applyBorder="1" applyAlignment="1">
      <alignment horizontal="left"/>
    </xf>
    <xf numFmtId="0" fontId="15" fillId="6" borderId="2" xfId="0" applyFont="1" applyFill="1" applyBorder="1"/>
    <xf numFmtId="165" fontId="15" fillId="11" borderId="0" xfId="0" applyNumberFormat="1" applyFont="1" applyFill="1" applyAlignment="1">
      <alignment horizontal="right"/>
    </xf>
    <xf numFmtId="1" fontId="22" fillId="9" borderId="0" xfId="0" applyNumberFormat="1" applyFont="1" applyFill="1"/>
    <xf numFmtId="165" fontId="15" fillId="4" borderId="2" xfId="0" applyNumberFormat="1" applyFont="1" applyFill="1" applyBorder="1"/>
    <xf numFmtId="0" fontId="15" fillId="6" borderId="2" xfId="0" applyFont="1" applyFill="1" applyBorder="1" applyAlignment="1">
      <alignment horizontal="left"/>
    </xf>
    <xf numFmtId="1" fontId="15" fillId="9" borderId="2" xfId="1" applyNumberFormat="1" applyFont="1" applyFill="1" applyBorder="1" applyAlignment="1">
      <alignment horizontal="right"/>
    </xf>
    <xf numFmtId="165" fontId="15" fillId="9" borderId="2" xfId="1" applyNumberFormat="1" applyFont="1" applyFill="1" applyBorder="1" applyAlignment="1">
      <alignment horizontal="right"/>
    </xf>
    <xf numFmtId="165" fontId="15" fillId="10" borderId="2" xfId="0" applyNumberFormat="1" applyFont="1" applyFill="1" applyBorder="1"/>
    <xf numFmtId="165" fontId="15" fillId="11" borderId="2" xfId="0" applyNumberFormat="1" applyFont="1" applyFill="1" applyBorder="1" applyAlignment="1">
      <alignment horizontal="right"/>
    </xf>
    <xf numFmtId="0" fontId="23" fillId="6" borderId="2" xfId="0" applyFont="1" applyFill="1" applyBorder="1" applyAlignment="1">
      <alignment horizontal="left"/>
    </xf>
    <xf numFmtId="0" fontId="15" fillId="4" borderId="2" xfId="0" applyFont="1" applyFill="1" applyBorder="1"/>
    <xf numFmtId="1" fontId="15" fillId="9" borderId="2" xfId="1" applyNumberFormat="1" applyFont="1" applyFill="1" applyBorder="1" applyAlignment="1">
      <alignment horizontal="center" vertical="center"/>
    </xf>
    <xf numFmtId="165" fontId="15" fillId="0" borderId="5" xfId="0" applyNumberFormat="1" applyFont="1" applyBorder="1" applyAlignment="1">
      <alignment horizontal="center"/>
    </xf>
    <xf numFmtId="0" fontId="23" fillId="4" borderId="2" xfId="0" applyFont="1" applyFill="1" applyBorder="1" applyAlignment="1">
      <alignment horizontal="left"/>
    </xf>
    <xf numFmtId="165" fontId="15" fillId="4" borderId="5" xfId="0" applyNumberFormat="1" applyFont="1" applyFill="1" applyBorder="1" applyAlignment="1">
      <alignment horizontal="center"/>
    </xf>
    <xf numFmtId="165" fontId="15" fillId="6" borderId="2" xfId="0" applyNumberFormat="1" applyFont="1" applyFill="1" applyBorder="1"/>
    <xf numFmtId="165" fontId="15" fillId="6" borderId="2" xfId="0" applyNumberFormat="1" applyFont="1" applyFill="1" applyBorder="1" applyAlignment="1">
      <alignment horizontal="center"/>
    </xf>
    <xf numFmtId="165" fontId="15" fillId="0" borderId="3" xfId="0" applyNumberFormat="1" applyFont="1" applyBorder="1" applyAlignment="1">
      <alignment horizontal="center"/>
    </xf>
    <xf numFmtId="0" fontId="15" fillId="4" borderId="7" xfId="0" applyFont="1" applyFill="1" applyBorder="1" applyAlignment="1">
      <alignment horizontal="left"/>
    </xf>
    <xf numFmtId="1" fontId="15" fillId="11" borderId="7" xfId="1" applyNumberFormat="1" applyFont="1" applyFill="1" applyBorder="1" applyAlignment="1">
      <alignment horizontal="right"/>
    </xf>
    <xf numFmtId="0" fontId="18" fillId="4" borderId="2" xfId="0" applyFont="1" applyFill="1" applyBorder="1"/>
    <xf numFmtId="165" fontId="15" fillId="11" borderId="7" xfId="1" applyNumberFormat="1" applyFont="1" applyFill="1" applyBorder="1" applyAlignment="1">
      <alignment horizontal="right"/>
    </xf>
    <xf numFmtId="0" fontId="17" fillId="0" borderId="2" xfId="0" applyFont="1" applyBorder="1"/>
    <xf numFmtId="0" fontId="18" fillId="4" borderId="12" xfId="0" applyFont="1" applyFill="1" applyBorder="1" applyAlignment="1">
      <alignment horizontal="left"/>
    </xf>
    <xf numFmtId="165" fontId="15" fillId="4" borderId="12" xfId="1" applyNumberFormat="1" applyFont="1" applyFill="1" applyBorder="1" applyAlignment="1">
      <alignment horizontal="right"/>
    </xf>
    <xf numFmtId="49" fontId="15" fillId="4" borderId="12" xfId="1" applyNumberFormat="1" applyFont="1" applyFill="1" applyBorder="1" applyAlignment="1">
      <alignment horizontal="right"/>
    </xf>
    <xf numFmtId="1" fontId="15" fillId="4" borderId="12" xfId="1" applyNumberFormat="1" applyFont="1" applyFill="1" applyBorder="1" applyAlignment="1">
      <alignment horizontal="right"/>
    </xf>
    <xf numFmtId="165" fontId="15" fillId="4" borderId="12" xfId="0" applyNumberFormat="1" applyFont="1" applyFill="1" applyBorder="1"/>
    <xf numFmtId="0" fontId="21" fillId="5" borderId="1" xfId="0" applyFont="1" applyFill="1" applyBorder="1" applyAlignment="1">
      <alignment horizontal="left"/>
    </xf>
    <xf numFmtId="165" fontId="21" fillId="7" borderId="1" xfId="1" applyNumberFormat="1" applyFont="1" applyFill="1" applyBorder="1" applyAlignment="1">
      <alignment horizontal="right"/>
    </xf>
    <xf numFmtId="3" fontId="20" fillId="9" borderId="0" xfId="1" applyNumberFormat="1" applyFont="1" applyFill="1" applyAlignment="1">
      <alignment horizontal="right"/>
    </xf>
    <xf numFmtId="1" fontId="21" fillId="7" borderId="1" xfId="1" applyNumberFormat="1" applyFont="1" applyFill="1" applyBorder="1" applyAlignment="1">
      <alignment horizontal="right"/>
    </xf>
    <xf numFmtId="165" fontId="21" fillId="0" borderId="1" xfId="1" applyNumberFormat="1" applyFont="1" applyBorder="1" applyAlignment="1">
      <alignment horizontal="right"/>
    </xf>
    <xf numFmtId="165" fontId="21" fillId="8" borderId="1" xfId="0" applyNumberFormat="1" applyFont="1" applyFill="1" applyBorder="1"/>
    <xf numFmtId="165" fontId="20" fillId="0" borderId="1" xfId="0" applyNumberFormat="1" applyFont="1" applyBorder="1"/>
    <xf numFmtId="0" fontId="20" fillId="0" borderId="0" xfId="0" applyFont="1" applyAlignment="1">
      <alignment horizontal="left"/>
    </xf>
    <xf numFmtId="165" fontId="20" fillId="0" borderId="0" xfId="1" applyNumberFormat="1" applyFont="1" applyAlignment="1">
      <alignment horizontal="right"/>
    </xf>
    <xf numFmtId="165" fontId="20" fillId="2" borderId="0" xfId="1" applyNumberFormat="1" applyFont="1" applyFill="1" applyAlignment="1">
      <alignment horizontal="right"/>
    </xf>
    <xf numFmtId="0" fontId="18" fillId="0" borderId="0" xfId="0" applyFont="1" applyAlignment="1">
      <alignment horizontal="center" vertical="center"/>
    </xf>
    <xf numFmtId="0" fontId="18" fillId="0" borderId="5" xfId="0" applyFont="1" applyBorder="1" applyAlignment="1">
      <alignment horizontal="center"/>
    </xf>
    <xf numFmtId="0" fontId="18" fillId="0" borderId="2" xfId="0" applyFont="1" applyBorder="1" applyAlignment="1">
      <alignment horizontal="center"/>
    </xf>
    <xf numFmtId="0" fontId="15" fillId="4" borderId="2" xfId="0" applyFont="1" applyFill="1" applyBorder="1" applyAlignment="1">
      <alignment horizontal="center"/>
    </xf>
    <xf numFmtId="0" fontId="15" fillId="0" borderId="2" xfId="0" applyFont="1" applyBorder="1" applyAlignment="1">
      <alignment horizontal="left"/>
    </xf>
    <xf numFmtId="0" fontId="15" fillId="0" borderId="2" xfId="0" applyFont="1" applyBorder="1" applyAlignment="1">
      <alignment horizontal="center"/>
    </xf>
    <xf numFmtId="165" fontId="15" fillId="6" borderId="7" xfId="1" applyNumberFormat="1" applyFont="1" applyFill="1" applyBorder="1" applyAlignment="1">
      <alignment horizontal="right"/>
    </xf>
    <xf numFmtId="0" fontId="15" fillId="6" borderId="0" xfId="0" applyFont="1" applyFill="1" applyAlignment="1">
      <alignment horizontal="center"/>
    </xf>
    <xf numFmtId="0" fontId="15" fillId="6" borderId="2" xfId="0" applyFont="1" applyFill="1" applyBorder="1" applyAlignment="1">
      <alignment horizontal="center"/>
    </xf>
    <xf numFmtId="0" fontId="18" fillId="4" borderId="2" xfId="0" applyFont="1" applyFill="1" applyBorder="1" applyAlignment="1">
      <alignment horizontal="center"/>
    </xf>
    <xf numFmtId="0" fontId="23" fillId="6" borderId="2" xfId="0" applyFont="1" applyFill="1" applyBorder="1" applyAlignment="1">
      <alignment horizontal="center"/>
    </xf>
    <xf numFmtId="0" fontId="15" fillId="3" borderId="2" xfId="0" applyFont="1" applyFill="1" applyBorder="1" applyAlignment="1">
      <alignment horizontal="left"/>
    </xf>
    <xf numFmtId="0" fontId="15" fillId="3" borderId="2" xfId="0" applyFont="1" applyFill="1" applyBorder="1" applyAlignment="1">
      <alignment horizontal="center"/>
    </xf>
    <xf numFmtId="165" fontId="15" fillId="3" borderId="2" xfId="1" applyNumberFormat="1" applyFont="1" applyFill="1" applyBorder="1" applyAlignment="1">
      <alignment horizontal="right"/>
    </xf>
    <xf numFmtId="1" fontId="15" fillId="3" borderId="2" xfId="1" applyNumberFormat="1" applyFont="1" applyFill="1" applyBorder="1" applyAlignment="1">
      <alignment horizontal="right"/>
    </xf>
    <xf numFmtId="1" fontId="15" fillId="3" borderId="2" xfId="1" applyNumberFormat="1" applyFont="1" applyFill="1" applyBorder="1" applyAlignment="1">
      <alignment horizontal="center" vertical="center"/>
    </xf>
    <xf numFmtId="165" fontId="15" fillId="3" borderId="2" xfId="0" applyNumberFormat="1" applyFont="1" applyFill="1" applyBorder="1"/>
    <xf numFmtId="165" fontId="15" fillId="3" borderId="2" xfId="0" applyNumberFormat="1" applyFont="1" applyFill="1" applyBorder="1" applyAlignment="1">
      <alignment horizontal="center"/>
    </xf>
    <xf numFmtId="165" fontId="15" fillId="3" borderId="7" xfId="1" applyNumberFormat="1" applyFont="1" applyFill="1" applyBorder="1" applyAlignment="1">
      <alignment horizontal="right"/>
    </xf>
    <xf numFmtId="0" fontId="23" fillId="4" borderId="2" xfId="0" applyFont="1" applyFill="1" applyBorder="1" applyAlignment="1">
      <alignment horizontal="center"/>
    </xf>
    <xf numFmtId="0" fontId="15" fillId="4" borderId="7" xfId="0" applyFont="1" applyFill="1" applyBorder="1" applyAlignment="1">
      <alignment horizontal="center"/>
    </xf>
    <xf numFmtId="0" fontId="18" fillId="4" borderId="12" xfId="0" applyFont="1" applyFill="1" applyBorder="1" applyAlignment="1">
      <alignment horizontal="center"/>
    </xf>
    <xf numFmtId="0" fontId="21" fillId="5" borderId="1" xfId="0" applyFont="1" applyFill="1" applyBorder="1" applyAlignment="1">
      <alignment horizontal="center"/>
    </xf>
    <xf numFmtId="0" fontId="20" fillId="0" borderId="0" xfId="0" applyFont="1" applyAlignment="1">
      <alignment horizontal="center"/>
    </xf>
    <xf numFmtId="0" fontId="15" fillId="0" borderId="0" xfId="0" applyFont="1" applyAlignment="1">
      <alignment horizontal="center"/>
    </xf>
    <xf numFmtId="165" fontId="15" fillId="0" borderId="0" xfId="0" applyNumberFormat="1" applyFont="1" applyAlignment="1">
      <alignment horizontal="center"/>
    </xf>
    <xf numFmtId="165" fontId="18" fillId="0" borderId="0" xfId="0" applyNumberFormat="1" applyFont="1" applyAlignment="1">
      <alignment horizontal="center"/>
    </xf>
    <xf numFmtId="0" fontId="15" fillId="3" borderId="7" xfId="0" applyFont="1" applyFill="1" applyBorder="1" applyAlignment="1">
      <alignment horizontal="left"/>
    </xf>
    <xf numFmtId="0" fontId="15" fillId="3" borderId="7" xfId="0" applyFont="1" applyFill="1" applyBorder="1" applyAlignment="1">
      <alignment horizontal="center"/>
    </xf>
    <xf numFmtId="165" fontId="15" fillId="3" borderId="7" xfId="0" applyNumberFormat="1" applyFont="1" applyFill="1" applyBorder="1" applyAlignment="1">
      <alignment horizontal="right"/>
    </xf>
    <xf numFmtId="1" fontId="15" fillId="3" borderId="7" xfId="1" applyNumberFormat="1" applyFont="1" applyFill="1" applyBorder="1" applyAlignment="1">
      <alignment horizontal="right"/>
    </xf>
    <xf numFmtId="1" fontId="15" fillId="3" borderId="7" xfId="1" applyNumberFormat="1" applyFont="1" applyFill="1" applyBorder="1" applyAlignment="1">
      <alignment horizontal="center" vertical="center"/>
    </xf>
    <xf numFmtId="0" fontId="23" fillId="0" borderId="2" xfId="0" applyFont="1" applyBorder="1" applyAlignment="1">
      <alignment horizontal="left"/>
    </xf>
    <xf numFmtId="165" fontId="17" fillId="11" borderId="2" xfId="1" applyNumberFormat="1" applyFont="1" applyFill="1" applyBorder="1" applyAlignment="1">
      <alignment horizontal="right"/>
    </xf>
    <xf numFmtId="165" fontId="17" fillId="6" borderId="7" xfId="1" applyNumberFormat="1" applyFont="1" applyFill="1" applyBorder="1" applyAlignment="1">
      <alignment horizontal="right"/>
    </xf>
    <xf numFmtId="165" fontId="15" fillId="6" borderId="2" xfId="1" applyNumberFormat="1" applyFont="1" applyFill="1" applyBorder="1" applyAlignment="1">
      <alignment horizontal="right"/>
    </xf>
    <xf numFmtId="165" fontId="15" fillId="3" borderId="7" xfId="0" applyNumberFormat="1" applyFont="1" applyFill="1" applyBorder="1" applyAlignment="1">
      <alignment horizontal="center"/>
    </xf>
    <xf numFmtId="165" fontId="15" fillId="3" borderId="7" xfId="0" applyNumberFormat="1" applyFont="1" applyFill="1" applyBorder="1"/>
    <xf numFmtId="0" fontId="18" fillId="0" borderId="0" xfId="0" applyFont="1"/>
    <xf numFmtId="0" fontId="18" fillId="0" borderId="0" xfId="0" applyFont="1" applyAlignment="1">
      <alignment horizontal="center"/>
    </xf>
    <xf numFmtId="3" fontId="15" fillId="0" borderId="0" xfId="0" applyNumberFormat="1" applyFont="1"/>
    <xf numFmtId="165" fontId="15" fillId="11" borderId="0" xfId="1" applyNumberFormat="1" applyFont="1" applyFill="1" applyAlignment="1">
      <alignment horizontal="right"/>
    </xf>
    <xf numFmtId="0" fontId="24" fillId="4" borderId="2" xfId="0" applyFont="1" applyFill="1" applyBorder="1" applyAlignment="1">
      <alignment horizontal="left"/>
    </xf>
    <xf numFmtId="165" fontId="21" fillId="7" borderId="0" xfId="1" applyNumberFormat="1" applyFont="1" applyFill="1" applyAlignment="1">
      <alignment horizontal="right"/>
    </xf>
    <xf numFmtId="165" fontId="15" fillId="6" borderId="3" xfId="0" applyNumberFormat="1" applyFont="1" applyFill="1" applyBorder="1"/>
    <xf numFmtId="165" fontId="17" fillId="10" borderId="2" xfId="0" applyNumberFormat="1" applyFont="1" applyFill="1" applyBorder="1"/>
    <xf numFmtId="0" fontId="26" fillId="6" borderId="2" xfId="0" applyFont="1" applyFill="1" applyBorder="1" applyAlignment="1">
      <alignment horizontal="left"/>
    </xf>
    <xf numFmtId="0" fontId="25" fillId="6" borderId="2" xfId="0" applyFont="1" applyFill="1" applyBorder="1" applyAlignment="1">
      <alignment horizontal="left"/>
    </xf>
    <xf numFmtId="0" fontId="29" fillId="0" borderId="0" xfId="0" applyFont="1" applyAlignment="1">
      <alignment horizontal="center"/>
    </xf>
    <xf numFmtId="164" fontId="29" fillId="0" borderId="0" xfId="0" applyNumberFormat="1" applyFont="1" applyAlignment="1">
      <alignment horizontal="center"/>
    </xf>
    <xf numFmtId="166" fontId="15" fillId="0" borderId="0" xfId="0" applyNumberFormat="1" applyFont="1"/>
    <xf numFmtId="17" fontId="15" fillId="0" borderId="0" xfId="0" applyNumberFormat="1" applyFont="1"/>
    <xf numFmtId="165" fontId="0" fillId="0" borderId="0" xfId="0" applyNumberFormat="1"/>
    <xf numFmtId="14" fontId="0" fillId="0" borderId="0" xfId="0" applyNumberFormat="1"/>
    <xf numFmtId="164" fontId="28" fillId="0" borderId="0" xfId="0" applyNumberFormat="1" applyFont="1" applyAlignment="1">
      <alignment horizontal="center"/>
    </xf>
    <xf numFmtId="0" fontId="28" fillId="0" borderId="0" xfId="0" applyFont="1"/>
    <xf numFmtId="164" fontId="27" fillId="0" borderId="0" xfId="0" applyNumberFormat="1" applyFont="1" applyAlignment="1">
      <alignment horizontal="center"/>
    </xf>
    <xf numFmtId="3" fontId="27" fillId="0" borderId="0" xfId="0" applyNumberFormat="1" applyFont="1"/>
    <xf numFmtId="0" fontId="27" fillId="0" borderId="0" xfId="0" applyFont="1"/>
    <xf numFmtId="8" fontId="0" fillId="0" borderId="0" xfId="0" applyNumberFormat="1"/>
    <xf numFmtId="0" fontId="32" fillId="0" borderId="0" xfId="0" applyFont="1"/>
    <xf numFmtId="0" fontId="14" fillId="15" borderId="0" xfId="0" applyFont="1" applyFill="1"/>
    <xf numFmtId="0" fontId="14" fillId="15" borderId="0" xfId="0" applyFont="1" applyFill="1" applyAlignment="1">
      <alignment horizontal="center"/>
    </xf>
    <xf numFmtId="14" fontId="16" fillId="0" borderId="0" xfId="0" applyNumberFormat="1" applyFont="1"/>
    <xf numFmtId="165" fontId="16" fillId="0" borderId="0" xfId="0" applyNumberFormat="1" applyFont="1"/>
    <xf numFmtId="0" fontId="32" fillId="9" borderId="2" xfId="0" applyFont="1" applyFill="1" applyBorder="1" applyAlignment="1">
      <alignment horizontal="center" vertical="center"/>
    </xf>
    <xf numFmtId="0" fontId="32" fillId="9" borderId="3" xfId="0" applyFont="1" applyFill="1" applyBorder="1" applyAlignment="1">
      <alignment horizontal="center" vertical="center" wrapText="1"/>
    </xf>
    <xf numFmtId="0" fontId="32" fillId="9" borderId="3" xfId="0" applyFont="1" applyFill="1" applyBorder="1" applyAlignment="1">
      <alignment horizontal="center" vertical="center"/>
    </xf>
    <xf numFmtId="0" fontId="30" fillId="9" borderId="3" xfId="0" applyFont="1" applyFill="1" applyBorder="1" applyAlignment="1">
      <alignment horizontal="center" vertical="center" wrapText="1"/>
    </xf>
    <xf numFmtId="0" fontId="32" fillId="13" borderId="3" xfId="0" applyFont="1" applyFill="1" applyBorder="1" applyAlignment="1">
      <alignment horizontal="center" vertical="center" wrapText="1"/>
    </xf>
    <xf numFmtId="0" fontId="32" fillId="14" borderId="3" xfId="0" applyFont="1" applyFill="1" applyBorder="1" applyAlignment="1">
      <alignment horizontal="center" vertical="center" wrapText="1"/>
    </xf>
    <xf numFmtId="0" fontId="32" fillId="11" borderId="10" xfId="0" applyFont="1" applyFill="1" applyBorder="1" applyAlignment="1">
      <alignment horizontal="center" vertical="center" wrapText="1"/>
    </xf>
    <xf numFmtId="0" fontId="32" fillId="11" borderId="3" xfId="0" applyFont="1" applyFill="1" applyBorder="1" applyAlignment="1">
      <alignment horizontal="center" vertical="center" wrapText="1"/>
    </xf>
    <xf numFmtId="165" fontId="33" fillId="9" borderId="1" xfId="0" applyNumberFormat="1" applyFont="1" applyFill="1" applyBorder="1"/>
    <xf numFmtId="165" fontId="31" fillId="6" borderId="2" xfId="1" applyNumberFormat="1" applyFont="1" applyFill="1" applyBorder="1" applyAlignment="1">
      <alignment horizontal="right"/>
    </xf>
    <xf numFmtId="1" fontId="31" fillId="0" borderId="2" xfId="1" applyNumberFormat="1" applyFont="1" applyBorder="1" applyAlignment="1">
      <alignment horizontal="right"/>
    </xf>
    <xf numFmtId="165" fontId="31" fillId="12" borderId="6" xfId="1" applyNumberFormat="1" applyFont="1" applyFill="1" applyBorder="1" applyAlignment="1">
      <alignment horizontal="right"/>
    </xf>
    <xf numFmtId="165" fontId="33" fillId="12" borderId="1" xfId="0" applyNumberFormat="1" applyFont="1" applyFill="1" applyBorder="1"/>
    <xf numFmtId="165" fontId="31" fillId="12" borderId="2" xfId="1" applyNumberFormat="1" applyFont="1" applyFill="1" applyBorder="1" applyAlignment="1">
      <alignment horizontal="right"/>
    </xf>
    <xf numFmtId="1" fontId="31" fillId="12" borderId="2" xfId="1" applyNumberFormat="1" applyFont="1" applyFill="1" applyBorder="1" applyAlignment="1">
      <alignment horizontal="right"/>
    </xf>
    <xf numFmtId="0" fontId="16" fillId="0" borderId="5" xfId="0" applyFont="1" applyBorder="1" applyAlignment="1">
      <alignment horizontal="left"/>
    </xf>
    <xf numFmtId="165" fontId="31" fillId="9" borderId="6" xfId="1" applyNumberFormat="1" applyFont="1" applyFill="1" applyBorder="1" applyAlignment="1">
      <alignment horizontal="right"/>
    </xf>
    <xf numFmtId="165" fontId="16" fillId="10" borderId="1" xfId="0" applyNumberFormat="1" applyFont="1" applyFill="1" applyBorder="1"/>
    <xf numFmtId="165" fontId="16" fillId="14" borderId="1" xfId="0" applyNumberFormat="1" applyFont="1" applyFill="1" applyBorder="1"/>
    <xf numFmtId="165" fontId="16" fillId="11" borderId="1" xfId="0" applyNumberFormat="1" applyFont="1" applyFill="1" applyBorder="1"/>
    <xf numFmtId="165" fontId="16" fillId="9" borderId="1" xfId="0" applyNumberFormat="1" applyFont="1" applyFill="1" applyBorder="1"/>
    <xf numFmtId="165" fontId="16" fillId="12" borderId="1" xfId="0" applyNumberFormat="1" applyFont="1" applyFill="1" applyBorder="1"/>
    <xf numFmtId="165" fontId="32" fillId="12" borderId="1" xfId="0" applyNumberFormat="1" applyFont="1" applyFill="1" applyBorder="1"/>
    <xf numFmtId="0" fontId="32" fillId="12" borderId="14" xfId="0" applyFont="1" applyFill="1" applyBorder="1" applyAlignment="1">
      <alignment horizontal="left"/>
    </xf>
    <xf numFmtId="165" fontId="33" fillId="12" borderId="4" xfId="0" applyNumberFormat="1" applyFont="1" applyFill="1" applyBorder="1"/>
    <xf numFmtId="0" fontId="33" fillId="12" borderId="1" xfId="0" applyFont="1" applyFill="1" applyBorder="1" applyAlignment="1">
      <alignment horizontal="center" vertical="center"/>
    </xf>
    <xf numFmtId="165" fontId="33" fillId="9" borderId="4" xfId="0" applyNumberFormat="1" applyFont="1" applyFill="1" applyBorder="1"/>
    <xf numFmtId="14" fontId="33" fillId="12" borderId="1" xfId="0" applyNumberFormat="1" applyFont="1" applyFill="1" applyBorder="1" applyAlignment="1">
      <alignment horizontal="center" vertical="center"/>
    </xf>
    <xf numFmtId="0" fontId="30" fillId="12" borderId="5" xfId="0" applyFont="1" applyFill="1" applyBorder="1" applyAlignment="1">
      <alignment horizontal="left"/>
    </xf>
    <xf numFmtId="0" fontId="30" fillId="0" borderId="5" xfId="0" applyFont="1" applyBorder="1" applyAlignment="1">
      <alignment horizontal="left"/>
    </xf>
    <xf numFmtId="0" fontId="36" fillId="0" borderId="5" xfId="0" applyFont="1" applyBorder="1" applyAlignment="1">
      <alignment horizontal="left"/>
    </xf>
    <xf numFmtId="0" fontId="31" fillId="12" borderId="5" xfId="0" applyFont="1" applyFill="1" applyBorder="1" applyAlignment="1">
      <alignment horizontal="left"/>
    </xf>
    <xf numFmtId="0" fontId="31" fillId="0" borderId="5" xfId="0" applyFont="1" applyBorder="1" applyAlignment="1">
      <alignment horizontal="left"/>
    </xf>
    <xf numFmtId="167" fontId="35" fillId="6" borderId="5" xfId="1" applyNumberFormat="1" applyFont="1" applyFill="1" applyBorder="1" applyAlignment="1">
      <alignment horizontal="right"/>
    </xf>
    <xf numFmtId="167" fontId="35" fillId="0" borderId="1" xfId="0" applyNumberFormat="1" applyFont="1" applyBorder="1" applyAlignment="1">
      <alignment horizontal="right"/>
    </xf>
    <xf numFmtId="167" fontId="35" fillId="0" borderId="1" xfId="0" applyNumberFormat="1" applyFont="1" applyBorder="1"/>
    <xf numFmtId="0" fontId="37" fillId="0" borderId="5" xfId="0" applyFont="1" applyBorder="1" applyAlignment="1">
      <alignment horizontal="left"/>
    </xf>
    <xf numFmtId="167" fontId="35" fillId="12" borderId="1" xfId="0" applyNumberFormat="1" applyFont="1" applyFill="1" applyBorder="1"/>
    <xf numFmtId="0" fontId="38" fillId="0" borderId="0" xfId="0" applyFont="1" applyAlignment="1">
      <alignment horizontal="left"/>
    </xf>
    <xf numFmtId="164" fontId="7" fillId="0" borderId="0" xfId="0" applyNumberFormat="1" applyFont="1" applyAlignment="1">
      <alignment horizontal="left"/>
    </xf>
    <xf numFmtId="164" fontId="34" fillId="0" borderId="0" xfId="0" applyNumberFormat="1" applyFont="1" applyAlignment="1">
      <alignment horizontal="left"/>
    </xf>
    <xf numFmtId="164" fontId="27" fillId="0" borderId="0" xfId="0" applyNumberFormat="1" applyFont="1" applyAlignment="1">
      <alignment horizontal="left"/>
    </xf>
    <xf numFmtId="0" fontId="0" fillId="0" borderId="0" xfId="0" applyAlignment="1">
      <alignment horizontal="left"/>
    </xf>
    <xf numFmtId="0" fontId="29" fillId="0" borderId="0" xfId="0" applyFont="1" applyAlignment="1">
      <alignment horizontal="left"/>
    </xf>
    <xf numFmtId="0" fontId="3" fillId="0" borderId="0" xfId="0" applyFont="1" applyAlignment="1">
      <alignment horizontal="left"/>
    </xf>
    <xf numFmtId="0" fontId="39" fillId="0" borderId="0" xfId="0" applyFont="1" applyAlignment="1">
      <alignment horizontal="left"/>
    </xf>
    <xf numFmtId="165" fontId="30" fillId="6" borderId="2" xfId="1" applyNumberFormat="1" applyFont="1" applyFill="1" applyBorder="1" applyAlignment="1">
      <alignment horizontal="right"/>
    </xf>
    <xf numFmtId="0" fontId="35" fillId="12" borderId="1" xfId="0" applyFont="1" applyFill="1" applyBorder="1"/>
    <xf numFmtId="167" fontId="35" fillId="2" borderId="5" xfId="1" applyNumberFormat="1" applyFont="1" applyFill="1" applyBorder="1" applyAlignment="1">
      <alignment horizontal="right"/>
    </xf>
    <xf numFmtId="168" fontId="16" fillId="12" borderId="15" xfId="3" applyNumberFormat="1" applyFont="1" applyFill="1" applyBorder="1"/>
    <xf numFmtId="0" fontId="3" fillId="0" borderId="0" xfId="0" applyFont="1"/>
    <xf numFmtId="0" fontId="41" fillId="0" borderId="0" xfId="0" applyFont="1"/>
    <xf numFmtId="0" fontId="15" fillId="0" borderId="0" xfId="4" applyFont="1"/>
    <xf numFmtId="0" fontId="3" fillId="0" borderId="0" xfId="4" applyFont="1"/>
    <xf numFmtId="166" fontId="15" fillId="0" borderId="0" xfId="4" applyNumberFormat="1" applyFont="1"/>
    <xf numFmtId="0" fontId="18" fillId="0" borderId="0" xfId="4" applyFont="1"/>
    <xf numFmtId="17" fontId="15" fillId="0" borderId="0" xfId="4" applyNumberFormat="1" applyFont="1"/>
    <xf numFmtId="0" fontId="16" fillId="0" borderId="0" xfId="4" applyFont="1"/>
    <xf numFmtId="166" fontId="30" fillId="2" borderId="0" xfId="4" applyNumberFormat="1" applyFont="1" applyFill="1"/>
    <xf numFmtId="0" fontId="30" fillId="0" borderId="0" xfId="4" applyFont="1"/>
    <xf numFmtId="0" fontId="30" fillId="9" borderId="2" xfId="4" applyFont="1" applyFill="1" applyBorder="1" applyAlignment="1">
      <alignment horizontal="center" vertical="center"/>
    </xf>
    <xf numFmtId="0" fontId="30" fillId="9" borderId="3" xfId="4" applyFont="1" applyFill="1" applyBorder="1" applyAlignment="1">
      <alignment horizontal="center" vertical="center" wrapText="1"/>
    </xf>
    <xf numFmtId="0" fontId="30" fillId="9" borderId="3" xfId="4" applyFont="1" applyFill="1" applyBorder="1" applyAlignment="1">
      <alignment horizontal="center" vertical="center"/>
    </xf>
    <xf numFmtId="0" fontId="30" fillId="13" borderId="3" xfId="4" applyFont="1" applyFill="1" applyBorder="1" applyAlignment="1">
      <alignment horizontal="center" vertical="center" wrapText="1"/>
    </xf>
    <xf numFmtId="0" fontId="30" fillId="14" borderId="3" xfId="4" applyFont="1" applyFill="1" applyBorder="1" applyAlignment="1">
      <alignment horizontal="center" vertical="center" wrapText="1"/>
    </xf>
    <xf numFmtId="0" fontId="30" fillId="11" borderId="10" xfId="4" applyFont="1" applyFill="1" applyBorder="1" applyAlignment="1">
      <alignment horizontal="center" vertical="center" wrapText="1"/>
    </xf>
    <xf numFmtId="0" fontId="30" fillId="11" borderId="3" xfId="4" applyFont="1" applyFill="1" applyBorder="1" applyAlignment="1">
      <alignment horizontal="center" vertical="center" wrapText="1"/>
    </xf>
    <xf numFmtId="169" fontId="30" fillId="9" borderId="3" xfId="4" applyNumberFormat="1" applyFont="1" applyFill="1" applyBorder="1" applyAlignment="1">
      <alignment horizontal="center" vertical="center"/>
    </xf>
    <xf numFmtId="0" fontId="30" fillId="0" borderId="5" xfId="4" applyFont="1" applyBorder="1" applyAlignment="1">
      <alignment horizontal="left"/>
    </xf>
    <xf numFmtId="167" fontId="15" fillId="6" borderId="5" xfId="1" applyNumberFormat="1" applyFont="1" applyFill="1" applyBorder="1" applyAlignment="1">
      <alignment horizontal="right"/>
    </xf>
    <xf numFmtId="167" fontId="15" fillId="0" borderId="1" xfId="4" applyNumberFormat="1" applyFont="1" applyBorder="1" applyAlignment="1">
      <alignment horizontal="right"/>
    </xf>
    <xf numFmtId="165" fontId="16" fillId="9" borderId="6" xfId="1" applyNumberFormat="1" applyFont="1" applyFill="1" applyBorder="1" applyAlignment="1">
      <alignment horizontal="right"/>
    </xf>
    <xf numFmtId="165" fontId="33" fillId="9" borderId="1" xfId="4" applyNumberFormat="1" applyFont="1" applyFill="1" applyBorder="1"/>
    <xf numFmtId="165" fontId="16" fillId="6" borderId="2" xfId="1" applyNumberFormat="1" applyFont="1" applyFill="1" applyBorder="1" applyAlignment="1">
      <alignment horizontal="right"/>
    </xf>
    <xf numFmtId="1" fontId="16" fillId="0" borderId="2" xfId="1" applyNumberFormat="1" applyFont="1" applyBorder="1" applyAlignment="1">
      <alignment horizontal="right"/>
    </xf>
    <xf numFmtId="14" fontId="16" fillId="6" borderId="2" xfId="1" applyNumberFormat="1" applyFont="1" applyFill="1" applyBorder="1" applyAlignment="1">
      <alignment horizontal="right"/>
    </xf>
    <xf numFmtId="165" fontId="16" fillId="10" borderId="1" xfId="4" applyNumberFormat="1" applyFont="1" applyFill="1" applyBorder="1"/>
    <xf numFmtId="165" fontId="16" fillId="14" borderId="1" xfId="4" applyNumberFormat="1" applyFont="1" applyFill="1" applyBorder="1"/>
    <xf numFmtId="165" fontId="16" fillId="11" borderId="1" xfId="4" applyNumberFormat="1" applyFont="1" applyFill="1" applyBorder="1"/>
    <xf numFmtId="165" fontId="16" fillId="9" borderId="1" xfId="4" applyNumberFormat="1" applyFont="1" applyFill="1" applyBorder="1"/>
    <xf numFmtId="0" fontId="16" fillId="0" borderId="5" xfId="4" applyFont="1" applyBorder="1" applyAlignment="1">
      <alignment horizontal="left"/>
    </xf>
    <xf numFmtId="167" fontId="15" fillId="0" borderId="1" xfId="4" applyNumberFormat="1" applyFont="1" applyBorder="1"/>
    <xf numFmtId="14" fontId="16" fillId="0" borderId="2" xfId="1" applyNumberFormat="1" applyFont="1" applyBorder="1" applyAlignment="1">
      <alignment horizontal="right"/>
    </xf>
    <xf numFmtId="0" fontId="16" fillId="12" borderId="5" xfId="4" applyFont="1" applyFill="1" applyBorder="1" applyAlignment="1">
      <alignment horizontal="left"/>
    </xf>
    <xf numFmtId="167" fontId="15" fillId="12" borderId="5" xfId="1" applyNumberFormat="1" applyFont="1" applyFill="1" applyBorder="1" applyAlignment="1">
      <alignment horizontal="right"/>
    </xf>
    <xf numFmtId="167" fontId="15" fillId="12" borderId="1" xfId="4" applyNumberFormat="1" applyFont="1" applyFill="1" applyBorder="1"/>
    <xf numFmtId="165" fontId="16" fillId="12" borderId="6" xfId="1" applyNumberFormat="1" applyFont="1" applyFill="1" applyBorder="1" applyAlignment="1">
      <alignment horizontal="right"/>
    </xf>
    <xf numFmtId="165" fontId="33" fillId="12" borderId="1" xfId="4" applyNumberFormat="1" applyFont="1" applyFill="1" applyBorder="1"/>
    <xf numFmtId="165" fontId="16" fillId="12" borderId="2" xfId="1" applyNumberFormat="1" applyFont="1" applyFill="1" applyBorder="1" applyAlignment="1">
      <alignment horizontal="right"/>
    </xf>
    <xf numFmtId="1" fontId="16" fillId="12" borderId="2" xfId="1" applyNumberFormat="1" applyFont="1" applyFill="1" applyBorder="1" applyAlignment="1">
      <alignment horizontal="right"/>
    </xf>
    <xf numFmtId="14" fontId="16" fillId="12" borderId="2" xfId="1" applyNumberFormat="1" applyFont="1" applyFill="1" applyBorder="1" applyAlignment="1">
      <alignment horizontal="right"/>
    </xf>
    <xf numFmtId="165" fontId="16" fillId="12" borderId="1" xfId="4" applyNumberFormat="1" applyFont="1" applyFill="1" applyBorder="1"/>
    <xf numFmtId="0" fontId="37" fillId="0" borderId="5" xfId="4" applyFont="1" applyBorder="1" applyAlignment="1">
      <alignment horizontal="left"/>
    </xf>
    <xf numFmtId="165" fontId="33" fillId="9" borderId="4" xfId="4" applyNumberFormat="1" applyFont="1" applyFill="1" applyBorder="1"/>
    <xf numFmtId="0" fontId="36" fillId="0" borderId="5" xfId="4" applyFont="1" applyBorder="1" applyAlignment="1">
      <alignment horizontal="left"/>
    </xf>
    <xf numFmtId="0" fontId="30" fillId="12" borderId="14" xfId="4" applyFont="1" applyFill="1" applyBorder="1" applyAlignment="1">
      <alignment horizontal="left"/>
    </xf>
    <xf numFmtId="0" fontId="30" fillId="12" borderId="5" xfId="4" applyFont="1" applyFill="1" applyBorder="1" applyAlignment="1">
      <alignment horizontal="left"/>
    </xf>
    <xf numFmtId="0" fontId="15" fillId="12" borderId="1" xfId="4" applyFont="1" applyFill="1" applyBorder="1"/>
    <xf numFmtId="165" fontId="33" fillId="12" borderId="4" xfId="4" applyNumberFormat="1" applyFont="1" applyFill="1" applyBorder="1"/>
    <xf numFmtId="0" fontId="33" fillId="12" borderId="1" xfId="4" applyFont="1" applyFill="1" applyBorder="1" applyAlignment="1">
      <alignment horizontal="center" vertical="center"/>
    </xf>
    <xf numFmtId="14" fontId="33" fillId="12" borderId="1" xfId="4" applyNumberFormat="1" applyFont="1" applyFill="1" applyBorder="1" applyAlignment="1">
      <alignment horizontal="center" vertical="center"/>
    </xf>
    <xf numFmtId="165" fontId="30" fillId="12" borderId="1" xfId="4" applyNumberFormat="1" applyFont="1" applyFill="1" applyBorder="1"/>
    <xf numFmtId="0" fontId="14" fillId="15" borderId="0" xfId="4" applyFont="1" applyFill="1"/>
    <xf numFmtId="0" fontId="14" fillId="15" borderId="0" xfId="4" applyFont="1" applyFill="1" applyAlignment="1">
      <alignment horizontal="center"/>
    </xf>
    <xf numFmtId="0" fontId="29" fillId="0" borderId="0" xfId="4" applyFont="1" applyAlignment="1">
      <alignment horizontal="left"/>
    </xf>
    <xf numFmtId="14" fontId="16" fillId="0" borderId="0" xfId="4" applyNumberFormat="1" applyFont="1"/>
    <xf numFmtId="165" fontId="16" fillId="0" borderId="0" xfId="4" applyNumberFormat="1" applyFont="1"/>
    <xf numFmtId="164" fontId="7" fillId="0" borderId="0" xfId="4" applyNumberFormat="1" applyFont="1" applyAlignment="1">
      <alignment horizontal="left"/>
    </xf>
    <xf numFmtId="164" fontId="28" fillId="0" borderId="0" xfId="4" applyNumberFormat="1" applyFont="1" applyAlignment="1">
      <alignment horizontal="center"/>
    </xf>
    <xf numFmtId="0" fontId="28" fillId="0" borderId="0" xfId="4" applyFont="1"/>
    <xf numFmtId="164" fontId="27" fillId="0" borderId="0" xfId="4" applyNumberFormat="1" applyFont="1" applyAlignment="1">
      <alignment horizontal="left"/>
    </xf>
    <xf numFmtId="164" fontId="27" fillId="0" borderId="0" xfId="4" applyNumberFormat="1" applyFont="1" applyAlignment="1">
      <alignment horizontal="center"/>
    </xf>
    <xf numFmtId="3" fontId="27" fillId="0" borderId="0" xfId="4" applyNumberFormat="1" applyFont="1"/>
    <xf numFmtId="0" fontId="27" fillId="0" borderId="0" xfId="4" applyFont="1"/>
    <xf numFmtId="0" fontId="3" fillId="0" borderId="0" xfId="4" applyFont="1" applyAlignment="1">
      <alignment horizontal="left"/>
    </xf>
    <xf numFmtId="0" fontId="39" fillId="0" borderId="0" xfId="4" applyFont="1" applyAlignment="1">
      <alignment horizontal="left"/>
    </xf>
    <xf numFmtId="0" fontId="1" fillId="0" borderId="0" xfId="5" applyFont="1"/>
    <xf numFmtId="170" fontId="16" fillId="0" borderId="0" xfId="4" applyNumberFormat="1" applyFont="1"/>
    <xf numFmtId="14" fontId="3" fillId="0" borderId="0" xfId="4" applyNumberFormat="1" applyFont="1"/>
    <xf numFmtId="165" fontId="3" fillId="0" borderId="0" xfId="4" applyNumberFormat="1" applyFont="1"/>
    <xf numFmtId="164" fontId="3" fillId="0" borderId="0" xfId="4" applyNumberFormat="1" applyFont="1" applyAlignment="1">
      <alignment horizontal="center"/>
    </xf>
    <xf numFmtId="3" fontId="3" fillId="0" borderId="0" xfId="4" applyNumberFormat="1" applyFont="1"/>
    <xf numFmtId="8" fontId="3" fillId="0" borderId="0" xfId="4" applyNumberFormat="1" applyFont="1"/>
    <xf numFmtId="164" fontId="29" fillId="0" borderId="0" xfId="4" applyNumberFormat="1" applyFont="1" applyAlignment="1">
      <alignment horizontal="center"/>
    </xf>
    <xf numFmtId="0" fontId="29" fillId="0" borderId="0" xfId="4" applyFont="1" applyAlignment="1">
      <alignment horizontal="center"/>
    </xf>
    <xf numFmtId="0" fontId="30" fillId="11" borderId="10" xfId="0" applyFont="1" applyFill="1" applyBorder="1" applyAlignment="1">
      <alignment horizontal="center" vertical="center" wrapText="1"/>
    </xf>
    <xf numFmtId="14" fontId="16" fillId="12" borderId="1" xfId="0" applyNumberFormat="1" applyFont="1" applyFill="1" applyBorder="1"/>
    <xf numFmtId="165" fontId="42" fillId="0" borderId="0" xfId="0" applyNumberFormat="1" applyFont="1"/>
    <xf numFmtId="167" fontId="31" fillId="6" borderId="2" xfId="1" applyNumberFormat="1" applyFont="1" applyFill="1" applyBorder="1" applyAlignment="1">
      <alignment horizontal="right"/>
    </xf>
    <xf numFmtId="167" fontId="31" fillId="0" borderId="2" xfId="1" applyNumberFormat="1" applyFont="1" applyBorder="1" applyAlignment="1">
      <alignment horizontal="right"/>
    </xf>
    <xf numFmtId="167" fontId="31" fillId="12" borderId="2" xfId="1" applyNumberFormat="1" applyFont="1" applyFill="1" applyBorder="1" applyAlignment="1">
      <alignment horizontal="right"/>
    </xf>
    <xf numFmtId="167" fontId="16" fillId="11" borderId="1" xfId="0" applyNumberFormat="1" applyFont="1" applyFill="1" applyBorder="1"/>
    <xf numFmtId="167" fontId="16" fillId="12" borderId="1" xfId="0" applyNumberFormat="1" applyFont="1" applyFill="1" applyBorder="1"/>
    <xf numFmtId="167" fontId="16" fillId="0" borderId="0" xfId="0" applyNumberFormat="1" applyFont="1"/>
    <xf numFmtId="171" fontId="32" fillId="9" borderId="3" xfId="0" applyNumberFormat="1" applyFont="1" applyFill="1" applyBorder="1" applyAlignment="1">
      <alignment horizontal="center" vertical="center"/>
    </xf>
    <xf numFmtId="171" fontId="32" fillId="9" borderId="17" xfId="0" applyNumberFormat="1" applyFont="1" applyFill="1" applyBorder="1" applyAlignment="1">
      <alignment horizontal="center" vertical="center"/>
    </xf>
    <xf numFmtId="171" fontId="30" fillId="2" borderId="0" xfId="0" applyNumberFormat="1" applyFont="1" applyFill="1" applyAlignment="1">
      <alignment horizontal="center"/>
    </xf>
    <xf numFmtId="167" fontId="35" fillId="0" borderId="5" xfId="1" applyNumberFormat="1" applyFont="1" applyBorder="1" applyAlignment="1">
      <alignment horizontal="right"/>
    </xf>
    <xf numFmtId="0" fontId="19" fillId="5" borderId="1" xfId="0" applyFont="1" applyFill="1" applyBorder="1" applyAlignment="1">
      <alignment horizontal="center" vertical="center"/>
    </xf>
    <xf numFmtId="0" fontId="0" fillId="0" borderId="18" xfId="0" applyBorder="1"/>
    <xf numFmtId="0" fontId="0" fillId="0" borderId="4" xfId="0" applyBorder="1"/>
    <xf numFmtId="0" fontId="19" fillId="7" borderId="1" xfId="0" applyFont="1" applyFill="1" applyBorder="1" applyAlignment="1">
      <alignment horizontal="center"/>
    </xf>
    <xf numFmtId="0" fontId="32" fillId="9" borderId="1" xfId="0" applyFont="1" applyFill="1" applyBorder="1" applyAlignment="1">
      <alignment horizontal="center"/>
    </xf>
    <xf numFmtId="0" fontId="30" fillId="14" borderId="2" xfId="0" applyFont="1" applyFill="1" applyBorder="1" applyAlignment="1">
      <alignment horizontal="center"/>
    </xf>
    <xf numFmtId="0" fontId="0" fillId="0" borderId="16" xfId="0" applyBorder="1"/>
    <xf numFmtId="0" fontId="0" fillId="0" borderId="6" xfId="0" applyBorder="1"/>
    <xf numFmtId="0" fontId="32" fillId="11" borderId="5" xfId="0" applyFont="1" applyFill="1" applyBorder="1" applyAlignment="1">
      <alignment horizontal="center"/>
    </xf>
    <xf numFmtId="0" fontId="30" fillId="11" borderId="9" xfId="4" applyFont="1" applyFill="1" applyBorder="1" applyAlignment="1">
      <alignment horizontal="center"/>
    </xf>
    <xf numFmtId="0" fontId="0" fillId="0" borderId="13" xfId="0" applyBorder="1"/>
    <xf numFmtId="0" fontId="0" fillId="0" borderId="9" xfId="0" applyBorder="1"/>
    <xf numFmtId="0" fontId="30" fillId="14" borderId="2" xfId="4" applyFont="1" applyFill="1" applyBorder="1" applyAlignment="1">
      <alignment horizontal="center"/>
    </xf>
  </cellXfs>
  <cellStyles count="6">
    <cellStyle name="Currency" xfId="1" builtinId="4"/>
    <cellStyle name="Normal" xfId="0" builtinId="0"/>
    <cellStyle name="Normal 2" xfId="2" xr:uid="{00000000-0005-0000-0000-000002000000}"/>
    <cellStyle name="Normal 2 2" xfId="5" xr:uid="{00000000-0005-0000-0000-000005000000}"/>
    <cellStyle name="Normal 3" xfId="4" xr:uid="{00000000-0005-0000-0000-000004000000}"/>
    <cellStyle name="Percent" xfId="3" builtinId="5"/>
  </cellStyles>
  <dxfs count="26">
    <dxf>
      <font>
        <strike val="0"/>
        <condense val="0"/>
        <extend val="0"/>
        <outline val="0"/>
        <shadow val="0"/>
        <vertAlign val="baseline"/>
        <sz val="11"/>
        <color indexed="8"/>
        <name val="Aptos Display"/>
        <family val="2"/>
      </font>
      <numFmt numFmtId="165" formatCode="&quot;$&quot;#,##0"/>
    </dxf>
    <dxf>
      <font>
        <strike val="0"/>
        <condense val="0"/>
        <extend val="0"/>
        <outline val="0"/>
        <shadow val="0"/>
        <vertAlign val="baseline"/>
        <sz val="11"/>
        <color indexed="8"/>
        <name val="Aptos Display"/>
        <family val="2"/>
      </font>
      <numFmt numFmtId="165" formatCode="&quot;$&quot;#,##0"/>
    </dxf>
    <dxf>
      <font>
        <strike val="0"/>
        <condense val="0"/>
        <extend val="0"/>
        <outline val="0"/>
        <shadow val="0"/>
        <vertAlign val="baseline"/>
        <sz val="11"/>
        <color indexed="8"/>
        <name val="Aptos Display"/>
        <family val="2"/>
      </font>
      <numFmt numFmtId="165" formatCode="&quot;$&quot;#,##0"/>
    </dxf>
    <dxf>
      <font>
        <strike val="0"/>
        <condense val="0"/>
        <extend val="0"/>
        <outline val="0"/>
        <shadow val="0"/>
        <vertAlign val="baseline"/>
        <sz val="11"/>
        <color indexed="8"/>
        <name val="Aptos Display"/>
        <family val="2"/>
      </font>
      <numFmt numFmtId="165" formatCode="&quot;$&quot;#,##0"/>
    </dxf>
    <dxf>
      <font>
        <strike val="0"/>
        <condense val="0"/>
        <extend val="0"/>
        <outline val="0"/>
        <shadow val="0"/>
        <vertAlign val="baseline"/>
        <sz val="11"/>
        <color indexed="8"/>
        <name val="Aptos Display"/>
        <family val="2"/>
      </font>
      <numFmt numFmtId="165" formatCode="&quot;$&quot;#,##0"/>
    </dxf>
    <dxf>
      <font>
        <strike val="0"/>
        <condense val="0"/>
        <extend val="0"/>
        <outline val="0"/>
        <shadow val="0"/>
        <vertAlign val="baseline"/>
        <sz val="11"/>
        <color indexed="8"/>
        <name val="Aptos Display"/>
        <family val="2"/>
      </font>
      <numFmt numFmtId="165" formatCode="&quot;$&quot;#,##0"/>
    </dxf>
    <dxf>
      <font>
        <strike val="0"/>
        <condense val="0"/>
        <extend val="0"/>
        <outline val="0"/>
        <shadow val="0"/>
        <vertAlign val="baseline"/>
        <sz val="11"/>
        <color indexed="8"/>
        <name val="Aptos Display"/>
        <family val="2"/>
      </font>
      <numFmt numFmtId="165" formatCode="&quot;$&quot;#,##0"/>
    </dxf>
    <dxf>
      <font>
        <strike val="0"/>
        <condense val="0"/>
        <extend val="0"/>
        <outline val="0"/>
        <shadow val="0"/>
        <vertAlign val="baseline"/>
        <sz val="11"/>
        <color indexed="8"/>
        <name val="Aptos Display"/>
        <family val="2"/>
      </font>
      <numFmt numFmtId="165" formatCode="&quot;$&quot;#,##0"/>
    </dxf>
    <dxf>
      <font>
        <strike val="0"/>
        <condense val="0"/>
        <extend val="0"/>
        <outline val="0"/>
        <shadow val="0"/>
        <vertAlign val="baseline"/>
        <sz val="11"/>
        <color indexed="8"/>
        <name val="Aptos Display"/>
        <family val="2"/>
      </font>
      <numFmt numFmtId="165" formatCode="&quot;$&quot;#,##0"/>
    </dxf>
    <dxf>
      <font>
        <strike val="0"/>
        <condense val="0"/>
        <extend val="0"/>
        <outline val="0"/>
        <shadow val="0"/>
        <vertAlign val="baseline"/>
        <sz val="11"/>
        <color indexed="8"/>
        <name val="Aptos Display"/>
        <family val="2"/>
      </font>
      <numFmt numFmtId="167" formatCode="[$-409]mmmm\ d\,\ yyyy;@"/>
    </dxf>
    <dxf>
      <font>
        <strike val="0"/>
        <condense val="0"/>
        <extend val="0"/>
        <outline val="0"/>
        <shadow val="0"/>
        <vertAlign val="baseline"/>
        <sz val="11"/>
        <color indexed="8"/>
        <name val="Aptos Display"/>
        <family val="2"/>
      </font>
    </dxf>
    <dxf>
      <font>
        <strike val="0"/>
        <condense val="0"/>
        <extend val="0"/>
        <outline val="0"/>
        <shadow val="0"/>
        <vertAlign val="baseline"/>
        <sz val="11"/>
        <color indexed="8"/>
        <name val="Aptos Display"/>
        <family val="2"/>
      </font>
    </dxf>
    <dxf>
      <font>
        <b/>
        <strike val="0"/>
        <condense val="0"/>
        <extend val="0"/>
        <outline val="0"/>
        <shadow val="0"/>
        <vertAlign val="baseline"/>
        <sz val="11"/>
        <color theme="0"/>
        <name val="Aptos Display"/>
        <family val="2"/>
      </font>
      <fill>
        <patternFill patternType="solid">
          <fgColor indexed="64"/>
          <bgColor theme="1"/>
        </patternFill>
      </fill>
      <alignment horizontal="center" vertical="bottom"/>
    </dxf>
    <dxf>
      <font>
        <strike val="0"/>
        <condense val="0"/>
        <extend val="0"/>
        <outline val="0"/>
        <shadow val="0"/>
        <vertAlign val="baseline"/>
        <sz val="11"/>
        <color indexed="8"/>
        <name val="Aptos Display"/>
        <family val="2"/>
      </font>
      <numFmt numFmtId="165" formatCode="&quot;$&quot;#,##0"/>
    </dxf>
    <dxf>
      <font>
        <strike val="0"/>
        <condense val="0"/>
        <extend val="0"/>
        <outline val="0"/>
        <shadow val="0"/>
        <vertAlign val="baseline"/>
        <sz val="11"/>
        <color indexed="8"/>
        <name val="Aptos Display"/>
        <family val="2"/>
      </font>
      <numFmt numFmtId="165" formatCode="&quot;$&quot;#,##0"/>
    </dxf>
    <dxf>
      <font>
        <strike val="0"/>
        <condense val="0"/>
        <extend val="0"/>
        <outline val="0"/>
        <shadow val="0"/>
        <vertAlign val="baseline"/>
        <sz val="11"/>
        <color indexed="8"/>
        <name val="Aptos Display"/>
        <family val="2"/>
      </font>
      <numFmt numFmtId="165" formatCode="&quot;$&quot;#,##0"/>
    </dxf>
    <dxf>
      <font>
        <strike val="0"/>
        <condense val="0"/>
        <extend val="0"/>
        <outline val="0"/>
        <shadow val="0"/>
        <vertAlign val="baseline"/>
        <sz val="11"/>
        <color indexed="8"/>
        <name val="Aptos Display"/>
        <family val="2"/>
      </font>
      <numFmt numFmtId="165" formatCode="&quot;$&quot;#,##0"/>
    </dxf>
    <dxf>
      <font>
        <strike val="0"/>
        <condense val="0"/>
        <extend val="0"/>
        <outline val="0"/>
        <shadow val="0"/>
        <vertAlign val="baseline"/>
        <sz val="11"/>
        <color indexed="8"/>
        <name val="Aptos Display"/>
        <family val="2"/>
      </font>
      <numFmt numFmtId="165" formatCode="&quot;$&quot;#,##0"/>
    </dxf>
    <dxf>
      <font>
        <strike val="0"/>
        <condense val="0"/>
        <extend val="0"/>
        <outline val="0"/>
        <shadow val="0"/>
        <vertAlign val="baseline"/>
        <sz val="11"/>
        <color indexed="8"/>
        <name val="Aptos Display"/>
        <family val="2"/>
      </font>
      <numFmt numFmtId="165" formatCode="&quot;$&quot;#,##0"/>
    </dxf>
    <dxf>
      <font>
        <strike val="0"/>
        <condense val="0"/>
        <extend val="0"/>
        <outline val="0"/>
        <shadow val="0"/>
        <vertAlign val="baseline"/>
        <sz val="11"/>
        <color indexed="8"/>
        <name val="Aptos Display"/>
        <family val="2"/>
      </font>
      <numFmt numFmtId="165" formatCode="&quot;$&quot;#,##0"/>
    </dxf>
    <dxf>
      <font>
        <strike val="0"/>
        <condense val="0"/>
        <extend val="0"/>
        <outline val="0"/>
        <shadow val="0"/>
        <vertAlign val="baseline"/>
        <sz val="11"/>
        <color indexed="8"/>
        <name val="Aptos Display"/>
        <family val="2"/>
      </font>
      <numFmt numFmtId="165" formatCode="&quot;$&quot;#,##0"/>
    </dxf>
    <dxf>
      <font>
        <strike val="0"/>
        <condense val="0"/>
        <extend val="0"/>
        <outline val="0"/>
        <shadow val="0"/>
        <vertAlign val="baseline"/>
        <sz val="11"/>
        <color indexed="8"/>
        <name val="Aptos Display"/>
        <family val="2"/>
      </font>
      <numFmt numFmtId="165" formatCode="&quot;$&quot;#,##0"/>
    </dxf>
    <dxf>
      <font>
        <strike val="0"/>
        <condense val="0"/>
        <extend val="0"/>
        <outline val="0"/>
        <shadow val="0"/>
        <vertAlign val="baseline"/>
        <sz val="11"/>
        <color indexed="8"/>
        <name val="Aptos Display"/>
        <family val="2"/>
      </font>
      <numFmt numFmtId="167" formatCode="[$-409]mmmm\ d\,\ yyyy;@"/>
    </dxf>
    <dxf>
      <font>
        <strike val="0"/>
        <condense val="0"/>
        <extend val="0"/>
        <outline val="0"/>
        <shadow val="0"/>
        <vertAlign val="baseline"/>
        <sz val="11"/>
        <color indexed="8"/>
        <name val="Aptos Display"/>
        <family val="2"/>
      </font>
    </dxf>
    <dxf>
      <font>
        <strike val="0"/>
        <condense val="0"/>
        <extend val="0"/>
        <outline val="0"/>
        <shadow val="0"/>
        <vertAlign val="baseline"/>
        <sz val="11"/>
        <color indexed="8"/>
        <name val="Aptos Display"/>
        <family val="2"/>
      </font>
    </dxf>
    <dxf>
      <font>
        <b/>
        <strike val="0"/>
        <condense val="0"/>
        <extend val="0"/>
        <outline val="0"/>
        <shadow val="0"/>
        <vertAlign val="baseline"/>
        <sz val="11"/>
        <color theme="0"/>
        <name val="Aptos Display"/>
        <family val="2"/>
      </font>
      <fill>
        <patternFill patternType="solid">
          <fgColor indexed="64"/>
          <bgColor theme="1"/>
        </patternFill>
      </fill>
      <alignment horizontal="center" vertical="bottom"/>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PereanA1/Documents/Finnacial%20Tracker/Copy%20of%202018-19%20Consultant%20Actuals%20&amp;%20Burn%20Rate_18_dec.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LanceloI/AppData/Roaming/OpenText/OTEdit/EC_gcdocs/c16906196/2018-19%20Consultant%20Actuals%20&amp;%20Burn%20R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Report"/>
      <sheetName val="Resources"/>
      <sheetName val="Legend"/>
      <sheetName val="Timesheets"/>
      <sheetName val="Burn Rate &amp; Consumption"/>
      <sheetName val="Miscellaneous"/>
      <sheetName val="Background"/>
      <sheetName val="Summary"/>
      <sheetName val="Sheet1"/>
      <sheetName val="2017-18 NO PAYE"/>
      <sheetName val="Pick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Report"/>
      <sheetName val="PS "/>
      <sheetName val="Resources"/>
      <sheetName val="Legend"/>
      <sheetName val="Timesheets"/>
      <sheetName val="Sheet5"/>
      <sheetName val="Sheet3"/>
      <sheetName val="Burn Rate Calculation"/>
      <sheetName val="temporary 2"/>
      <sheetName val="Sheet4"/>
      <sheetName val="Temporary"/>
      <sheetName val="Sheet2"/>
      <sheetName val="Commitments and Decommitments"/>
      <sheetName val="Burn Rate &amp; Consumption"/>
      <sheetName val="Miscellaneous"/>
      <sheetName val="Background"/>
      <sheetName val="Summary"/>
      <sheetName val="Sheet1"/>
      <sheetName val="2017-18 NO PAYE"/>
      <sheetName val="Pick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Increment" displayName="AnnIncrement" ref="A20:K30" totalsRowShown="0" headerRowDxfId="25" dataDxfId="24">
  <autoFilter ref="A20:K30" xr:uid="{00000000-0009-0000-0100-000001000000}"/>
  <tableColumns count="11">
    <tableColumn id="1" xr3:uid="{00000000-0010-0000-0000-000001000000}" name="Level" dataDxfId="23"/>
    <tableColumn id="2" xr3:uid="{00000000-0010-0000-0000-000002000000}" name="Eff. date" dataDxfId="22"/>
    <tableColumn id="3" xr3:uid="{00000000-0010-0000-0000-000003000000}" name="Step 1" dataDxfId="21"/>
    <tableColumn id="4" xr3:uid="{00000000-0010-0000-0000-000004000000}" name="Step 2" dataDxfId="20"/>
    <tableColumn id="5" xr3:uid="{00000000-0010-0000-0000-000005000000}" name="Step 3" dataDxfId="19"/>
    <tableColumn id="6" xr3:uid="{00000000-0010-0000-0000-000006000000}" name="Step 4" dataDxfId="18"/>
    <tableColumn id="7" xr3:uid="{00000000-0010-0000-0000-000007000000}" name="Step 5" dataDxfId="17"/>
    <tableColumn id="8" xr3:uid="{00000000-0010-0000-0000-000008000000}" name="Step 6" dataDxfId="16"/>
    <tableColumn id="9" xr3:uid="{00000000-0010-0000-0000-000009000000}" name="Step 7" dataDxfId="15"/>
    <tableColumn id="10" xr3:uid="{00000000-0010-0000-0000-00000A000000}" name="Step 8" dataDxfId="14"/>
    <tableColumn id="11" xr3:uid="{00000000-0010-0000-0000-00000B000000}" name="Step 9" dataDxf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BAIncrement" displayName="CBAIncrement" ref="A33:K43" totalsRowShown="0" headerRowDxfId="12" dataDxfId="11">
  <autoFilter ref="A33:K43" xr:uid="{00000000-0009-0000-0100-000002000000}"/>
  <tableColumns count="11">
    <tableColumn id="1" xr3:uid="{00000000-0010-0000-0100-000001000000}" name="Level" dataDxfId="10"/>
    <tableColumn id="2" xr3:uid="{00000000-0010-0000-0100-000002000000}" name="Eff. date" dataDxfId="9"/>
    <tableColumn id="3" xr3:uid="{00000000-0010-0000-0100-000003000000}" name="Step 1" dataDxfId="8"/>
    <tableColumn id="4" xr3:uid="{00000000-0010-0000-0100-000004000000}" name="Step 2" dataDxfId="7"/>
    <tableColumn id="5" xr3:uid="{00000000-0010-0000-0100-000005000000}" name="Step 3" dataDxfId="6"/>
    <tableColumn id="6" xr3:uid="{00000000-0010-0000-0100-000006000000}" name="Step 4" dataDxfId="5"/>
    <tableColumn id="7" xr3:uid="{00000000-0010-0000-0100-000007000000}" name="Step 5" dataDxfId="4"/>
    <tableColumn id="8" xr3:uid="{00000000-0010-0000-0100-000008000000}" name="Step 6" dataDxfId="3"/>
    <tableColumn id="9" xr3:uid="{00000000-0010-0000-0100-000009000000}" name="Step 7" dataDxfId="2"/>
    <tableColumn id="10" xr3:uid="{00000000-0010-0000-0100-00000A000000}" name="Step 8" dataDxfId="1"/>
    <tableColumn id="11" xr3:uid="{00000000-0010-0000-0100-00000B000000}" name="Step 9"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A95"/>
  <sheetViews>
    <sheetView topLeftCell="A3" workbookViewId="0">
      <selection activeCell="I10" sqref="I10"/>
    </sheetView>
  </sheetViews>
  <sheetFormatPr baseColWidth="10" defaultColWidth="8.83203125" defaultRowHeight="18" x14ac:dyDescent="0.25"/>
  <cols>
    <col min="1" max="1" width="31.33203125" customWidth="1"/>
    <col min="2" max="2" width="12.5" style="5" customWidth="1"/>
    <col min="3" max="3" width="14.6640625" customWidth="1"/>
    <col min="4" max="5" width="14.5" customWidth="1"/>
    <col min="6" max="10" width="9.1640625" customWidth="1"/>
    <col min="11" max="11" width="15.5" customWidth="1"/>
    <col min="12" max="12" width="20" customWidth="1"/>
    <col min="13" max="14" width="9.1640625" customWidth="1"/>
    <col min="15" max="15" width="40.1640625" customWidth="1"/>
    <col min="16" max="16" width="11.83203125" style="3" customWidth="1"/>
    <col min="17" max="17" width="10.5" bestFit="1" customWidth="1"/>
    <col min="18" max="19" width="11.5" bestFit="1" customWidth="1"/>
    <col min="23" max="27" width="10.5" bestFit="1" customWidth="1"/>
  </cols>
  <sheetData>
    <row r="2" spans="1:27" x14ac:dyDescent="0.25">
      <c r="A2" s="128" t="s">
        <v>0</v>
      </c>
      <c r="B2" s="129"/>
      <c r="C2" s="130">
        <v>3503162</v>
      </c>
      <c r="D2" s="26"/>
      <c r="E2" s="26"/>
      <c r="F2" s="26"/>
      <c r="G2" s="26"/>
    </row>
    <row r="3" spans="1:27" ht="19" customHeight="1" x14ac:dyDescent="0.25">
      <c r="A3" s="296" t="s">
        <v>1</v>
      </c>
      <c r="B3" s="294"/>
      <c r="C3" s="294"/>
      <c r="D3" s="294"/>
      <c r="E3" s="294"/>
      <c r="F3" s="294"/>
      <c r="G3" s="294"/>
      <c r="H3" s="294"/>
      <c r="I3" s="294"/>
      <c r="J3" s="294"/>
      <c r="K3" s="294"/>
      <c r="L3" s="294"/>
      <c r="M3" s="294"/>
      <c r="N3" s="294"/>
      <c r="O3" s="295"/>
    </row>
    <row r="4" spans="1:27" ht="19" customHeight="1" x14ac:dyDescent="0.25">
      <c r="A4" s="293" t="s">
        <v>2</v>
      </c>
      <c r="B4" s="294"/>
      <c r="C4" s="294"/>
      <c r="D4" s="294"/>
      <c r="E4" s="294"/>
      <c r="F4" s="294"/>
      <c r="G4" s="294"/>
      <c r="H4" s="294"/>
      <c r="I4" s="294"/>
      <c r="J4" s="294"/>
      <c r="K4" s="294"/>
      <c r="L4" s="294"/>
      <c r="M4" s="294"/>
      <c r="N4" s="294"/>
      <c r="O4" s="295"/>
    </row>
    <row r="5" spans="1:27" ht="39" customHeight="1" x14ac:dyDescent="0.25">
      <c r="A5" s="29" t="s">
        <v>3</v>
      </c>
      <c r="B5" s="90" t="s">
        <v>4</v>
      </c>
      <c r="C5" s="30" t="s">
        <v>5</v>
      </c>
      <c r="D5" s="30" t="s">
        <v>6</v>
      </c>
      <c r="E5" s="30" t="s">
        <v>7</v>
      </c>
      <c r="F5" s="30" t="s">
        <v>8</v>
      </c>
      <c r="G5" s="30" t="s">
        <v>9</v>
      </c>
      <c r="H5" s="30" t="s">
        <v>10</v>
      </c>
      <c r="I5" s="30" t="s">
        <v>11</v>
      </c>
      <c r="J5" s="30" t="s">
        <v>12</v>
      </c>
      <c r="K5" s="31" t="s">
        <v>13</v>
      </c>
      <c r="L5" s="32" t="s">
        <v>14</v>
      </c>
      <c r="M5" s="31" t="s">
        <v>15</v>
      </c>
      <c r="N5" s="31"/>
      <c r="O5" s="31" t="s">
        <v>16</v>
      </c>
      <c r="P5" s="4"/>
      <c r="Q5" s="5"/>
      <c r="R5" s="5"/>
      <c r="S5" s="5"/>
      <c r="W5" s="5"/>
      <c r="X5" s="5"/>
      <c r="Y5" s="5"/>
      <c r="Z5" s="5"/>
      <c r="AA5" s="5"/>
    </row>
    <row r="6" spans="1:27" ht="15.5" customHeight="1" x14ac:dyDescent="0.25">
      <c r="A6" s="33" t="s">
        <v>17</v>
      </c>
      <c r="B6" s="91"/>
      <c r="C6" s="34">
        <v>158601</v>
      </c>
      <c r="D6" s="34">
        <v>158601</v>
      </c>
      <c r="E6" s="34">
        <v>13216</v>
      </c>
      <c r="F6" s="35" t="s">
        <v>18</v>
      </c>
      <c r="G6" s="36" t="s">
        <v>19</v>
      </c>
      <c r="H6" s="37" t="s">
        <v>20</v>
      </c>
      <c r="I6" s="38" t="s">
        <v>21</v>
      </c>
      <c r="J6" s="37" t="s">
        <v>22</v>
      </c>
      <c r="K6" s="39">
        <f>D6/12*8</f>
        <v>105734</v>
      </c>
      <c r="L6" s="40">
        <f t="shared" ref="L6:L15" si="0">D6-K6</f>
        <v>52867</v>
      </c>
      <c r="M6" s="41" t="s">
        <v>23</v>
      </c>
      <c r="N6" s="41"/>
      <c r="O6" s="42"/>
      <c r="P6" s="6"/>
      <c r="Q6" s="7"/>
      <c r="R6" s="7"/>
      <c r="S6" s="7"/>
      <c r="W6" s="7"/>
      <c r="X6" s="7"/>
      <c r="Y6" s="7"/>
      <c r="Z6" s="7"/>
      <c r="AA6" s="7"/>
    </row>
    <row r="7" spans="1:27" ht="15.5" customHeight="1" x14ac:dyDescent="0.25">
      <c r="A7" s="50" t="s">
        <v>24</v>
      </c>
      <c r="B7" s="92"/>
      <c r="C7" s="34">
        <v>0</v>
      </c>
      <c r="D7" s="123">
        <v>1068</v>
      </c>
      <c r="E7" s="123" t="s">
        <v>21</v>
      </c>
      <c r="F7" s="35" t="s">
        <v>25</v>
      </c>
      <c r="G7" s="36" t="s">
        <v>26</v>
      </c>
      <c r="H7" s="37" t="s">
        <v>27</v>
      </c>
      <c r="I7" s="38" t="s">
        <v>21</v>
      </c>
      <c r="J7" s="37" t="s">
        <v>28</v>
      </c>
      <c r="K7" s="124">
        <v>1068</v>
      </c>
      <c r="L7" s="59">
        <f t="shared" si="0"/>
        <v>0</v>
      </c>
      <c r="M7" s="41" t="s">
        <v>23</v>
      </c>
      <c r="N7" s="41"/>
      <c r="O7" s="42" t="s">
        <v>29</v>
      </c>
      <c r="P7" s="6"/>
      <c r="Q7" s="7"/>
      <c r="R7" s="7"/>
      <c r="S7" s="7"/>
      <c r="W7" s="7"/>
      <c r="X7" s="7"/>
      <c r="Y7" s="7"/>
      <c r="Z7" s="7"/>
      <c r="AA7" s="7"/>
    </row>
    <row r="8" spans="1:27" ht="15.5" customHeight="1" x14ac:dyDescent="0.25">
      <c r="A8" s="50" t="s">
        <v>30</v>
      </c>
      <c r="B8" s="92" t="s">
        <v>19</v>
      </c>
      <c r="C8" s="34">
        <v>0</v>
      </c>
      <c r="D8" s="34">
        <v>2925</v>
      </c>
      <c r="E8" s="34">
        <v>731</v>
      </c>
      <c r="F8" s="35" t="s">
        <v>25</v>
      </c>
      <c r="G8" s="36" t="s">
        <v>26</v>
      </c>
      <c r="H8" s="37" t="s">
        <v>27</v>
      </c>
      <c r="I8" s="38" t="s">
        <v>21</v>
      </c>
      <c r="J8" s="37" t="s">
        <v>28</v>
      </c>
      <c r="K8" s="46">
        <v>2925</v>
      </c>
      <c r="L8" s="59">
        <f t="shared" si="0"/>
        <v>0</v>
      </c>
      <c r="M8" s="41" t="s">
        <v>23</v>
      </c>
      <c r="N8" s="41"/>
      <c r="O8" s="42" t="s">
        <v>31</v>
      </c>
      <c r="P8" s="6"/>
      <c r="Q8" s="7"/>
      <c r="R8" s="7"/>
      <c r="S8" s="7"/>
      <c r="W8" s="7"/>
      <c r="X8" s="7"/>
      <c r="Y8" s="7"/>
      <c r="Z8" s="7"/>
      <c r="AA8" s="7"/>
    </row>
    <row r="9" spans="1:27" ht="15.5" customHeight="1" x14ac:dyDescent="0.25">
      <c r="A9" s="51" t="s">
        <v>32</v>
      </c>
      <c r="B9" s="93"/>
      <c r="C9" s="34">
        <v>123137</v>
      </c>
      <c r="D9" s="34">
        <v>123137</v>
      </c>
      <c r="E9" s="34">
        <v>10261</v>
      </c>
      <c r="F9" s="35" t="s">
        <v>33</v>
      </c>
      <c r="G9" s="36" t="s">
        <v>19</v>
      </c>
      <c r="H9" s="37" t="s">
        <v>34</v>
      </c>
      <c r="I9" s="38">
        <v>8</v>
      </c>
      <c r="J9" s="37" t="s">
        <v>28</v>
      </c>
      <c r="K9" s="39">
        <f>D9/12*8</f>
        <v>82091.333333333328</v>
      </c>
      <c r="L9" s="40">
        <f t="shared" si="0"/>
        <v>41045.666666666672</v>
      </c>
      <c r="M9" s="41" t="s">
        <v>23</v>
      </c>
      <c r="N9" s="41"/>
      <c r="O9" s="42"/>
      <c r="P9" s="6"/>
      <c r="Q9" s="7"/>
      <c r="R9" s="7"/>
      <c r="S9" s="7"/>
    </row>
    <row r="10" spans="1:27" ht="15.5" customHeight="1" x14ac:dyDescent="0.25">
      <c r="A10" s="94" t="s">
        <v>35</v>
      </c>
      <c r="B10" s="95"/>
      <c r="C10" s="34">
        <v>116172</v>
      </c>
      <c r="D10" s="34">
        <v>62926</v>
      </c>
      <c r="E10" s="34">
        <v>9681</v>
      </c>
      <c r="F10" s="35" t="s">
        <v>36</v>
      </c>
      <c r="G10" s="36" t="s">
        <v>19</v>
      </c>
      <c r="H10" s="37" t="s">
        <v>34</v>
      </c>
      <c r="I10" s="38">
        <v>3</v>
      </c>
      <c r="J10" s="37" t="s">
        <v>28</v>
      </c>
      <c r="K10" s="96">
        <v>62926</v>
      </c>
      <c r="L10" s="59">
        <f t="shared" si="0"/>
        <v>0</v>
      </c>
      <c r="M10" s="41" t="s">
        <v>23</v>
      </c>
      <c r="N10" s="41"/>
      <c r="O10" s="42" t="s">
        <v>37</v>
      </c>
      <c r="P10" s="6"/>
      <c r="Q10" s="7"/>
      <c r="R10" s="7"/>
      <c r="S10" s="7"/>
    </row>
    <row r="11" spans="1:27" ht="15.5" customHeight="1" x14ac:dyDescent="0.25">
      <c r="A11" s="52" t="s">
        <v>38</v>
      </c>
      <c r="B11" s="97" t="s">
        <v>19</v>
      </c>
      <c r="C11" s="53">
        <v>99108</v>
      </c>
      <c r="D11" s="34">
        <v>2600</v>
      </c>
      <c r="E11" s="131">
        <v>217</v>
      </c>
      <c r="F11" s="54">
        <v>146941</v>
      </c>
      <c r="G11" s="36" t="s">
        <v>26</v>
      </c>
      <c r="H11" s="37" t="s">
        <v>34</v>
      </c>
      <c r="I11" s="38">
        <v>4</v>
      </c>
      <c r="J11" s="37" t="s">
        <v>28</v>
      </c>
      <c r="K11" s="39">
        <f>D11/12*8</f>
        <v>1733.3333333333333</v>
      </c>
      <c r="L11" s="40">
        <f t="shared" si="0"/>
        <v>866.66666666666674</v>
      </c>
      <c r="M11" s="41" t="s">
        <v>23</v>
      </c>
      <c r="N11" s="41"/>
      <c r="O11" s="42" t="s">
        <v>39</v>
      </c>
      <c r="P11" s="6"/>
      <c r="Q11" s="7"/>
      <c r="R11" s="7"/>
      <c r="S11" s="7"/>
    </row>
    <row r="12" spans="1:27" ht="15.5" customHeight="1" x14ac:dyDescent="0.25">
      <c r="A12" s="51" t="s">
        <v>40</v>
      </c>
      <c r="B12" s="93"/>
      <c r="C12" s="34">
        <v>116172</v>
      </c>
      <c r="D12" s="34">
        <v>38724</v>
      </c>
      <c r="E12" s="34" t="s">
        <v>21</v>
      </c>
      <c r="F12" s="35" t="s">
        <v>41</v>
      </c>
      <c r="G12" s="36" t="s">
        <v>19</v>
      </c>
      <c r="H12" s="37" t="s">
        <v>34</v>
      </c>
      <c r="I12" s="38">
        <v>5</v>
      </c>
      <c r="J12" s="37" t="s">
        <v>28</v>
      </c>
      <c r="K12" s="96">
        <v>0</v>
      </c>
      <c r="L12" s="135">
        <f t="shared" si="0"/>
        <v>38724</v>
      </c>
      <c r="M12" s="41" t="s">
        <v>23</v>
      </c>
      <c r="N12" s="41"/>
      <c r="O12" s="67" t="s">
        <v>42</v>
      </c>
      <c r="P12" s="6"/>
      <c r="Q12" s="7"/>
      <c r="R12" s="7"/>
      <c r="S12" s="7"/>
    </row>
    <row r="13" spans="1:27" ht="15.5" customHeight="1" x14ac:dyDescent="0.25">
      <c r="A13" s="51" t="s">
        <v>43</v>
      </c>
      <c r="B13" s="93"/>
      <c r="C13" s="34">
        <v>102522</v>
      </c>
      <c r="D13" s="34">
        <v>21359</v>
      </c>
      <c r="E13" s="34" t="s">
        <v>21</v>
      </c>
      <c r="F13" s="35" t="s">
        <v>41</v>
      </c>
      <c r="G13" s="36" t="s">
        <v>26</v>
      </c>
      <c r="H13" s="37" t="s">
        <v>34</v>
      </c>
      <c r="I13" s="38">
        <v>2</v>
      </c>
      <c r="J13" s="37" t="s">
        <v>28</v>
      </c>
      <c r="K13" s="125">
        <v>21359</v>
      </c>
      <c r="L13" s="59">
        <f t="shared" si="0"/>
        <v>0</v>
      </c>
      <c r="M13" s="41" t="s">
        <v>23</v>
      </c>
      <c r="N13" s="41"/>
      <c r="O13" s="55" t="s">
        <v>44</v>
      </c>
      <c r="P13" s="6"/>
      <c r="Q13" s="7"/>
      <c r="R13" s="7"/>
      <c r="S13" s="7"/>
    </row>
    <row r="14" spans="1:27" ht="15.5" customHeight="1" x14ac:dyDescent="0.25">
      <c r="A14" s="51" t="s">
        <v>45</v>
      </c>
      <c r="B14" s="93"/>
      <c r="C14" s="34">
        <v>102522</v>
      </c>
      <c r="D14" s="34">
        <v>29900</v>
      </c>
      <c r="E14" s="34">
        <v>8543</v>
      </c>
      <c r="F14" s="35">
        <v>176119</v>
      </c>
      <c r="G14" s="36" t="s">
        <v>19</v>
      </c>
      <c r="H14" s="37" t="s">
        <v>34</v>
      </c>
      <c r="I14" s="38">
        <v>2</v>
      </c>
      <c r="J14" s="37" t="s">
        <v>28</v>
      </c>
      <c r="K14" s="46">
        <v>29900</v>
      </c>
      <c r="L14" s="40">
        <f t="shared" si="0"/>
        <v>0</v>
      </c>
      <c r="M14" s="41" t="s">
        <v>23</v>
      </c>
      <c r="N14" s="41"/>
      <c r="O14" s="42" t="s">
        <v>46</v>
      </c>
      <c r="P14" s="6"/>
      <c r="Q14" s="7"/>
      <c r="R14" s="7"/>
      <c r="S14" s="7"/>
    </row>
    <row r="15" spans="1:27" ht="15.5" customHeight="1" x14ac:dyDescent="0.25">
      <c r="A15" s="56" t="s">
        <v>47</v>
      </c>
      <c r="B15" s="98" t="s">
        <v>19</v>
      </c>
      <c r="C15" s="34">
        <v>0</v>
      </c>
      <c r="D15" s="34">
        <v>1500</v>
      </c>
      <c r="E15" s="34">
        <v>273</v>
      </c>
      <c r="F15" s="57" t="s">
        <v>48</v>
      </c>
      <c r="G15" s="36" t="s">
        <v>26</v>
      </c>
      <c r="H15" s="58" t="s">
        <v>34</v>
      </c>
      <c r="I15" s="38">
        <v>5</v>
      </c>
      <c r="J15" s="58" t="s">
        <v>28</v>
      </c>
      <c r="K15" s="125">
        <v>1500</v>
      </c>
      <c r="L15" s="40">
        <f t="shared" si="0"/>
        <v>0</v>
      </c>
      <c r="M15" s="41" t="s">
        <v>23</v>
      </c>
      <c r="N15" s="69"/>
      <c r="O15" s="134" t="s">
        <v>49</v>
      </c>
      <c r="P15" s="6"/>
      <c r="Q15" s="7"/>
      <c r="R15" s="7"/>
      <c r="S15" s="7"/>
    </row>
    <row r="16" spans="1:27" ht="15.5" customHeight="1" x14ac:dyDescent="0.25">
      <c r="A16" s="56" t="s">
        <v>47</v>
      </c>
      <c r="B16" s="98"/>
      <c r="C16" s="34">
        <v>0</v>
      </c>
      <c r="D16" s="34">
        <v>1704</v>
      </c>
      <c r="E16" s="34">
        <v>284</v>
      </c>
      <c r="F16" s="57" t="s">
        <v>48</v>
      </c>
      <c r="G16" s="36" t="s">
        <v>26</v>
      </c>
      <c r="H16" s="58" t="s">
        <v>34</v>
      </c>
      <c r="I16" s="38">
        <v>5</v>
      </c>
      <c r="J16" s="58" t="s">
        <v>28</v>
      </c>
      <c r="K16" s="39">
        <v>710</v>
      </c>
      <c r="L16" s="40">
        <v>994</v>
      </c>
      <c r="M16" s="41" t="s">
        <v>23</v>
      </c>
      <c r="N16" s="69"/>
      <c r="O16" s="134" t="s">
        <v>50</v>
      </c>
      <c r="P16" s="6"/>
      <c r="Q16" s="7"/>
      <c r="R16" s="7"/>
      <c r="S16" s="7"/>
    </row>
    <row r="17" spans="1:27" ht="15.5" customHeight="1" x14ac:dyDescent="0.25">
      <c r="A17" s="49" t="s">
        <v>51</v>
      </c>
      <c r="B17" s="99"/>
      <c r="C17" s="60">
        <v>129127</v>
      </c>
      <c r="D17" s="60">
        <v>129127</v>
      </c>
      <c r="E17" s="60">
        <v>10761</v>
      </c>
      <c r="F17" s="35" t="s">
        <v>52</v>
      </c>
      <c r="G17" s="36" t="s">
        <v>19</v>
      </c>
      <c r="H17" s="37" t="s">
        <v>27</v>
      </c>
      <c r="I17" s="38">
        <v>5</v>
      </c>
      <c r="J17" s="37" t="s">
        <v>28</v>
      </c>
      <c r="K17" s="96">
        <f>D17/12*8</f>
        <v>86084.666666666672</v>
      </c>
      <c r="L17" s="59">
        <f>D17-K17</f>
        <v>43042.333333333328</v>
      </c>
      <c r="M17" s="41" t="s">
        <v>23</v>
      </c>
      <c r="N17" s="41"/>
      <c r="O17" s="42"/>
      <c r="P17" s="8"/>
      <c r="S17" s="9"/>
      <c r="T17" s="9"/>
      <c r="U17" s="10"/>
      <c r="V17" s="9"/>
      <c r="W17" s="10"/>
      <c r="X17" s="9"/>
      <c r="Y17" s="9"/>
    </row>
    <row r="18" spans="1:27" ht="15.5" customHeight="1" x14ac:dyDescent="0.25">
      <c r="A18" s="50" t="s">
        <v>53</v>
      </c>
      <c r="B18" s="92"/>
      <c r="C18" s="34">
        <v>0</v>
      </c>
      <c r="D18" s="34">
        <v>1710</v>
      </c>
      <c r="E18" s="34">
        <v>427</v>
      </c>
      <c r="F18" s="35">
        <v>131189</v>
      </c>
      <c r="G18" s="36"/>
      <c r="H18" s="37" t="s">
        <v>27</v>
      </c>
      <c r="I18" s="38"/>
      <c r="J18" s="37" t="s">
        <v>28</v>
      </c>
      <c r="K18" s="96">
        <v>427</v>
      </c>
      <c r="L18" s="59">
        <v>1283</v>
      </c>
      <c r="M18" s="41" t="s">
        <v>23</v>
      </c>
      <c r="N18" s="41"/>
      <c r="O18" s="42" t="s">
        <v>54</v>
      </c>
      <c r="P18" s="6"/>
      <c r="Q18" s="7"/>
      <c r="R18" s="7"/>
      <c r="S18" s="7"/>
      <c r="W18" s="7"/>
      <c r="X18" s="7"/>
      <c r="Y18" s="7"/>
      <c r="Z18" s="7"/>
      <c r="AA18" s="7"/>
    </row>
    <row r="19" spans="1:27" ht="15.5" customHeight="1" x14ac:dyDescent="0.25">
      <c r="A19" s="61" t="s">
        <v>55</v>
      </c>
      <c r="B19" s="100"/>
      <c r="C19" s="34">
        <v>102522</v>
      </c>
      <c r="D19" s="34">
        <v>102522</v>
      </c>
      <c r="E19" s="34">
        <v>8544</v>
      </c>
      <c r="F19" s="35" t="s">
        <v>56</v>
      </c>
      <c r="G19" s="36" t="s">
        <v>19</v>
      </c>
      <c r="H19" s="37" t="s">
        <v>34</v>
      </c>
      <c r="I19" s="38">
        <v>1</v>
      </c>
      <c r="J19" s="37" t="s">
        <v>28</v>
      </c>
      <c r="K19" s="39">
        <f>D19/12*8</f>
        <v>68348</v>
      </c>
      <c r="L19" s="40">
        <f>D19-K19</f>
        <v>34174</v>
      </c>
      <c r="M19" s="41" t="s">
        <v>23</v>
      </c>
      <c r="N19" s="41"/>
      <c r="O19" s="42"/>
      <c r="P19" s="8"/>
      <c r="S19" s="9"/>
      <c r="T19" s="9"/>
      <c r="U19" s="10"/>
      <c r="V19" s="9"/>
      <c r="W19" s="10"/>
      <c r="X19" s="9"/>
      <c r="Y19" s="9"/>
    </row>
    <row r="20" spans="1:27" ht="15.5" customHeight="1" x14ac:dyDescent="0.25">
      <c r="A20" s="132" t="s">
        <v>57</v>
      </c>
      <c r="B20" s="93"/>
      <c r="C20" s="34">
        <v>99108</v>
      </c>
      <c r="D20" s="34">
        <v>1466</v>
      </c>
      <c r="E20" s="34">
        <v>366</v>
      </c>
      <c r="F20" s="35">
        <v>131700</v>
      </c>
      <c r="G20" s="36" t="s">
        <v>19</v>
      </c>
      <c r="H20" s="37" t="s">
        <v>58</v>
      </c>
      <c r="I20" s="38">
        <v>7</v>
      </c>
      <c r="J20" s="37" t="s">
        <v>28</v>
      </c>
      <c r="K20" s="46">
        <v>1466</v>
      </c>
      <c r="L20" s="40">
        <f>D20-K20</f>
        <v>0</v>
      </c>
      <c r="M20" s="41" t="s">
        <v>23</v>
      </c>
      <c r="N20" s="41"/>
      <c r="O20" s="42" t="s">
        <v>59</v>
      </c>
      <c r="P20" s="8"/>
      <c r="S20" s="9"/>
      <c r="T20" s="9"/>
      <c r="U20" s="10"/>
      <c r="V20" s="9"/>
      <c r="W20" s="9"/>
      <c r="X20" s="9"/>
      <c r="Y20" s="9"/>
    </row>
    <row r="21" spans="1:27" ht="15.5" customHeight="1" x14ac:dyDescent="0.25">
      <c r="A21" s="136" t="s">
        <v>60</v>
      </c>
      <c r="B21" s="93"/>
      <c r="C21" s="34">
        <v>0</v>
      </c>
      <c r="D21" s="34">
        <v>925</v>
      </c>
      <c r="E21" s="34">
        <v>264</v>
      </c>
      <c r="F21" s="35">
        <v>119834</v>
      </c>
      <c r="G21" s="36"/>
      <c r="H21" s="37" t="s">
        <v>34</v>
      </c>
      <c r="I21" s="38">
        <v>3</v>
      </c>
      <c r="J21" s="37" t="s">
        <v>28</v>
      </c>
      <c r="K21" s="46">
        <v>132</v>
      </c>
      <c r="L21" s="40">
        <v>793</v>
      </c>
      <c r="M21" s="41"/>
      <c r="N21" s="41"/>
      <c r="O21" s="42" t="s">
        <v>61</v>
      </c>
      <c r="P21" s="8"/>
      <c r="S21" s="9"/>
      <c r="T21" s="9"/>
      <c r="U21" s="10"/>
      <c r="V21" s="9"/>
      <c r="W21" s="9"/>
      <c r="X21" s="9"/>
      <c r="Y21" s="9"/>
    </row>
    <row r="22" spans="1:27" ht="15.5" customHeight="1" x14ac:dyDescent="0.25">
      <c r="A22" s="51" t="s">
        <v>62</v>
      </c>
      <c r="B22" s="93"/>
      <c r="C22" s="34">
        <v>102763</v>
      </c>
      <c r="D22" s="34">
        <v>102763</v>
      </c>
      <c r="E22" s="34">
        <v>8564</v>
      </c>
      <c r="F22" s="35" t="s">
        <v>63</v>
      </c>
      <c r="G22" s="36" t="s">
        <v>19</v>
      </c>
      <c r="H22" s="37" t="s">
        <v>58</v>
      </c>
      <c r="I22" s="38">
        <v>7</v>
      </c>
      <c r="J22" s="37" t="s">
        <v>28</v>
      </c>
      <c r="K22" s="46">
        <f>D22/12*8</f>
        <v>68508.666666666672</v>
      </c>
      <c r="L22" s="40">
        <f>D22-K22</f>
        <v>34254.333333333328</v>
      </c>
      <c r="M22" s="41" t="s">
        <v>23</v>
      </c>
      <c r="N22" s="41"/>
      <c r="O22" s="42"/>
      <c r="P22" s="8"/>
      <c r="S22" s="9"/>
      <c r="T22" s="9"/>
      <c r="U22" s="10"/>
      <c r="V22" s="9"/>
      <c r="W22" s="9"/>
      <c r="X22" s="9"/>
      <c r="Y22" s="9"/>
    </row>
    <row r="23" spans="1:27" ht="15.5" customHeight="1" x14ac:dyDescent="0.25">
      <c r="A23" s="51" t="s">
        <v>64</v>
      </c>
      <c r="B23" s="93"/>
      <c r="C23" s="34">
        <v>86649</v>
      </c>
      <c r="D23" s="34">
        <v>86649</v>
      </c>
      <c r="E23" s="34">
        <v>7221</v>
      </c>
      <c r="F23" s="35" t="s">
        <v>65</v>
      </c>
      <c r="G23" s="36" t="s">
        <v>19</v>
      </c>
      <c r="H23" s="37" t="s">
        <v>58</v>
      </c>
      <c r="I23" s="38">
        <v>2</v>
      </c>
      <c r="J23" s="37" t="s">
        <v>28</v>
      </c>
      <c r="K23" s="39">
        <f>D23/12*8</f>
        <v>57766</v>
      </c>
      <c r="L23" s="40">
        <f>D23-K23</f>
        <v>28883</v>
      </c>
      <c r="M23" s="41" t="s">
        <v>23</v>
      </c>
      <c r="N23" s="41"/>
      <c r="O23" s="42"/>
      <c r="P23" s="8"/>
    </row>
    <row r="24" spans="1:27" ht="15.5" customHeight="1" x14ac:dyDescent="0.25">
      <c r="A24" s="62" t="s">
        <v>66</v>
      </c>
      <c r="B24" s="93"/>
      <c r="C24" s="34">
        <v>92020</v>
      </c>
      <c r="D24" s="34">
        <v>92020</v>
      </c>
      <c r="E24" s="34">
        <v>7668</v>
      </c>
      <c r="F24" s="35" t="s">
        <v>67</v>
      </c>
      <c r="G24" s="36" t="s">
        <v>19</v>
      </c>
      <c r="H24" s="37" t="s">
        <v>58</v>
      </c>
      <c r="I24" s="38">
        <v>3</v>
      </c>
      <c r="J24" s="37" t="s">
        <v>28</v>
      </c>
      <c r="K24" s="46">
        <f>D24/12*8</f>
        <v>61346.666666666664</v>
      </c>
      <c r="L24" s="40">
        <f>D24-K24</f>
        <v>30673.333333333336</v>
      </c>
      <c r="M24" s="41" t="s">
        <v>23</v>
      </c>
      <c r="N24" s="41"/>
      <c r="O24" s="42"/>
      <c r="P24" s="8"/>
    </row>
    <row r="25" spans="1:27" ht="15.5" customHeight="1" x14ac:dyDescent="0.25">
      <c r="A25" s="51" t="s">
        <v>68</v>
      </c>
      <c r="B25" s="93"/>
      <c r="C25" s="60">
        <v>94708</v>
      </c>
      <c r="D25" s="60">
        <v>94708</v>
      </c>
      <c r="E25" s="60">
        <v>7892</v>
      </c>
      <c r="F25" s="35" t="s">
        <v>69</v>
      </c>
      <c r="G25" s="36" t="s">
        <v>19</v>
      </c>
      <c r="H25" s="37" t="s">
        <v>58</v>
      </c>
      <c r="I25" s="38">
        <v>4</v>
      </c>
      <c r="J25" s="37" t="s">
        <v>28</v>
      </c>
      <c r="K25" s="39">
        <f>D25/12*8</f>
        <v>63138.666666666664</v>
      </c>
      <c r="L25" s="40">
        <f>D25-K25</f>
        <v>31569.333333333336</v>
      </c>
      <c r="M25" s="41" t="s">
        <v>23</v>
      </c>
      <c r="N25" s="41"/>
      <c r="O25" s="42"/>
      <c r="P25" s="8"/>
    </row>
    <row r="26" spans="1:27" ht="15.5" customHeight="1" x14ac:dyDescent="0.25">
      <c r="A26" s="62" t="s">
        <v>70</v>
      </c>
      <c r="B26" s="93"/>
      <c r="C26" s="60">
        <v>89333</v>
      </c>
      <c r="D26" s="60">
        <v>89333</v>
      </c>
      <c r="E26" s="60">
        <v>7444</v>
      </c>
      <c r="F26" s="35" t="s">
        <v>71</v>
      </c>
      <c r="G26" s="36" t="s">
        <v>19</v>
      </c>
      <c r="H26" s="37" t="s">
        <v>58</v>
      </c>
      <c r="I26" s="38">
        <v>2</v>
      </c>
      <c r="J26" s="37" t="s">
        <v>28</v>
      </c>
      <c r="K26" s="46">
        <f>D26/12*8</f>
        <v>59555.333333333336</v>
      </c>
      <c r="L26" s="40">
        <f>D26-K26</f>
        <v>29777.666666666664</v>
      </c>
      <c r="M26" s="41" t="s">
        <v>23</v>
      </c>
      <c r="N26" s="41"/>
      <c r="O26" s="42"/>
      <c r="P26" s="8"/>
      <c r="S26" s="9"/>
      <c r="T26" s="9"/>
      <c r="U26" s="9"/>
      <c r="V26" s="9"/>
      <c r="W26" s="9"/>
      <c r="X26" s="9"/>
      <c r="Y26" s="9"/>
    </row>
    <row r="27" spans="1:27" ht="15.5" customHeight="1" x14ac:dyDescent="0.25">
      <c r="A27" s="101" t="s">
        <v>72</v>
      </c>
      <c r="B27" s="102"/>
      <c r="C27" s="103">
        <v>102763</v>
      </c>
      <c r="D27" s="103">
        <v>1976</v>
      </c>
      <c r="E27" s="103"/>
      <c r="F27" s="104" t="s">
        <v>73</v>
      </c>
      <c r="G27" s="105" t="s">
        <v>26</v>
      </c>
      <c r="H27" s="103" t="s">
        <v>58</v>
      </c>
      <c r="I27" s="104">
        <v>8</v>
      </c>
      <c r="J27" s="103" t="s">
        <v>28</v>
      </c>
      <c r="K27" s="103">
        <f>D27</f>
        <v>1976</v>
      </c>
      <c r="L27" s="106"/>
      <c r="M27" s="107" t="s">
        <v>23</v>
      </c>
      <c r="N27" s="107"/>
      <c r="O27" s="106" t="s">
        <v>74</v>
      </c>
      <c r="P27" s="8"/>
      <c r="S27" s="9"/>
      <c r="T27" s="9"/>
      <c r="U27" s="9"/>
      <c r="V27" s="9"/>
      <c r="W27" s="9"/>
      <c r="X27" s="9"/>
      <c r="Y27" s="9"/>
    </row>
    <row r="28" spans="1:27" ht="15.5" customHeight="1" x14ac:dyDescent="0.25">
      <c r="A28" s="56" t="s">
        <v>75</v>
      </c>
      <c r="B28" s="98"/>
      <c r="C28" s="34">
        <v>94708</v>
      </c>
      <c r="D28" s="34">
        <v>94708</v>
      </c>
      <c r="E28" s="34">
        <v>7892</v>
      </c>
      <c r="F28" s="35" t="s">
        <v>76</v>
      </c>
      <c r="G28" s="36" t="s">
        <v>19</v>
      </c>
      <c r="H28" s="37" t="s">
        <v>58</v>
      </c>
      <c r="I28" s="38">
        <v>8</v>
      </c>
      <c r="J28" s="37" t="s">
        <v>28</v>
      </c>
      <c r="K28" s="39">
        <f t="shared" ref="K28:K33" si="1">D28/12*8</f>
        <v>63138.666666666664</v>
      </c>
      <c r="L28" s="40">
        <f t="shared" ref="L28:L41" si="2">D28-K28</f>
        <v>31569.333333333336</v>
      </c>
      <c r="M28" s="41" t="s">
        <v>23</v>
      </c>
      <c r="N28" s="41"/>
      <c r="O28" s="42"/>
      <c r="P28" s="13"/>
      <c r="S28" s="9"/>
      <c r="T28" s="9"/>
      <c r="U28" s="10"/>
      <c r="V28" s="9"/>
      <c r="W28" s="9"/>
      <c r="X28" s="9"/>
      <c r="Y28" s="9"/>
    </row>
    <row r="29" spans="1:27" ht="15.5" customHeight="1" x14ac:dyDescent="0.25">
      <c r="A29" s="52" t="s">
        <v>77</v>
      </c>
      <c r="B29" s="98" t="s">
        <v>19</v>
      </c>
      <c r="C29" s="60">
        <v>77820</v>
      </c>
      <c r="D29" s="60">
        <v>2788</v>
      </c>
      <c r="E29" s="60" t="s">
        <v>21</v>
      </c>
      <c r="F29" s="35" t="s">
        <v>78</v>
      </c>
      <c r="G29" s="36" t="s">
        <v>26</v>
      </c>
      <c r="H29" s="37" t="s">
        <v>79</v>
      </c>
      <c r="I29" s="38">
        <v>6</v>
      </c>
      <c r="J29" s="37" t="s">
        <v>28</v>
      </c>
      <c r="K29" s="96">
        <f t="shared" si="1"/>
        <v>1858.6666666666667</v>
      </c>
      <c r="L29" s="59">
        <f t="shared" si="2"/>
        <v>929.33333333333326</v>
      </c>
      <c r="M29" s="41" t="s">
        <v>23</v>
      </c>
      <c r="N29" s="47"/>
      <c r="O29" s="48" t="s">
        <v>80</v>
      </c>
      <c r="P29" s="8"/>
      <c r="S29" s="10"/>
      <c r="T29" s="9"/>
      <c r="U29" s="14"/>
      <c r="V29" s="9"/>
      <c r="W29" s="10"/>
      <c r="X29" s="9"/>
      <c r="Y29" s="9"/>
    </row>
    <row r="30" spans="1:27" ht="15.5" customHeight="1" x14ac:dyDescent="0.25">
      <c r="A30" s="65" t="s">
        <v>81</v>
      </c>
      <c r="B30" s="109"/>
      <c r="C30" s="60">
        <v>116172</v>
      </c>
      <c r="D30" s="60">
        <v>116172</v>
      </c>
      <c r="E30" s="60">
        <v>9681</v>
      </c>
      <c r="F30" s="35" t="s">
        <v>82</v>
      </c>
      <c r="G30" s="36" t="s">
        <v>19</v>
      </c>
      <c r="H30" s="37" t="s">
        <v>34</v>
      </c>
      <c r="I30" s="38">
        <v>6</v>
      </c>
      <c r="J30" s="37" t="s">
        <v>28</v>
      </c>
      <c r="K30" s="39">
        <f t="shared" si="1"/>
        <v>77448</v>
      </c>
      <c r="L30" s="40">
        <f t="shared" si="2"/>
        <v>38724</v>
      </c>
      <c r="M30" s="41" t="s">
        <v>23</v>
      </c>
      <c r="N30" s="41"/>
      <c r="O30" s="42"/>
      <c r="P30" s="8"/>
      <c r="S30" s="10"/>
      <c r="T30" s="9"/>
      <c r="U30" s="14"/>
      <c r="V30" s="9"/>
      <c r="W30" s="10"/>
      <c r="X30" s="9"/>
      <c r="Y30" s="9"/>
    </row>
    <row r="31" spans="1:27" ht="15.5" customHeight="1" x14ac:dyDescent="0.25">
      <c r="A31" s="62" t="s">
        <v>83</v>
      </c>
      <c r="B31" s="93"/>
      <c r="C31" s="34">
        <v>102763</v>
      </c>
      <c r="D31" s="34">
        <v>102763</v>
      </c>
      <c r="E31" s="34">
        <v>8564</v>
      </c>
      <c r="F31" s="35" t="s">
        <v>84</v>
      </c>
      <c r="G31" s="36" t="s">
        <v>19</v>
      </c>
      <c r="H31" s="37" t="s">
        <v>58</v>
      </c>
      <c r="I31" s="38">
        <v>8</v>
      </c>
      <c r="J31" s="37" t="s">
        <v>28</v>
      </c>
      <c r="K31" s="39">
        <f t="shared" si="1"/>
        <v>68508.666666666672</v>
      </c>
      <c r="L31" s="40">
        <f t="shared" si="2"/>
        <v>34254.333333333328</v>
      </c>
      <c r="M31" s="64" t="s">
        <v>23</v>
      </c>
      <c r="N31" s="64"/>
      <c r="O31" s="42"/>
      <c r="P31" s="8"/>
      <c r="S31" s="15"/>
      <c r="T31" s="9"/>
      <c r="U31" s="10"/>
      <c r="V31" s="9"/>
      <c r="W31" s="10"/>
      <c r="X31" s="9"/>
      <c r="Y31" s="9"/>
    </row>
    <row r="32" spans="1:27" ht="15.5" customHeight="1" x14ac:dyDescent="0.25">
      <c r="A32" s="62" t="s">
        <v>85</v>
      </c>
      <c r="B32" s="93"/>
      <c r="C32" s="34">
        <v>102763</v>
      </c>
      <c r="D32" s="34">
        <v>102763</v>
      </c>
      <c r="E32" s="34">
        <v>8564</v>
      </c>
      <c r="F32" s="35" t="s">
        <v>86</v>
      </c>
      <c r="G32" s="36" t="s">
        <v>19</v>
      </c>
      <c r="H32" s="37" t="s">
        <v>58</v>
      </c>
      <c r="I32" s="38">
        <v>8</v>
      </c>
      <c r="J32" s="37" t="s">
        <v>28</v>
      </c>
      <c r="K32" s="46">
        <f t="shared" si="1"/>
        <v>68508.666666666672</v>
      </c>
      <c r="L32" s="40">
        <f t="shared" si="2"/>
        <v>34254.333333333328</v>
      </c>
      <c r="M32" s="64" t="s">
        <v>23</v>
      </c>
      <c r="N32" s="64"/>
      <c r="O32" s="42"/>
      <c r="P32" s="8"/>
      <c r="S32" s="9"/>
      <c r="T32" s="9"/>
      <c r="U32" s="10"/>
      <c r="V32" s="9"/>
      <c r="W32" s="10"/>
      <c r="X32" s="9"/>
      <c r="Y32" s="9"/>
    </row>
    <row r="33" spans="1:27" ht="15.5" customHeight="1" x14ac:dyDescent="0.25">
      <c r="A33" s="51" t="s">
        <v>87</v>
      </c>
      <c r="B33" s="93"/>
      <c r="C33" s="34">
        <v>102763</v>
      </c>
      <c r="D33" s="34">
        <v>102763</v>
      </c>
      <c r="E33" s="34">
        <v>8564</v>
      </c>
      <c r="F33" s="35" t="s">
        <v>88</v>
      </c>
      <c r="G33" s="36" t="s">
        <v>19</v>
      </c>
      <c r="H33" s="37" t="s">
        <v>58</v>
      </c>
      <c r="I33" s="35" t="s">
        <v>89</v>
      </c>
      <c r="J33" s="37" t="s">
        <v>28</v>
      </c>
      <c r="K33" s="39">
        <f t="shared" si="1"/>
        <v>68508.666666666672</v>
      </c>
      <c r="L33" s="40">
        <f t="shared" si="2"/>
        <v>34254.333333333328</v>
      </c>
      <c r="M33" s="64" t="s">
        <v>23</v>
      </c>
      <c r="N33" s="64"/>
      <c r="O33" s="42" t="s">
        <v>90</v>
      </c>
      <c r="P33" s="8"/>
      <c r="S33" s="9"/>
      <c r="T33" s="9"/>
      <c r="U33" s="10"/>
      <c r="V33" s="9"/>
      <c r="W33" s="10"/>
      <c r="X33" s="9"/>
      <c r="Y33" s="9"/>
    </row>
    <row r="34" spans="1:27" ht="15.5" customHeight="1" x14ac:dyDescent="0.25">
      <c r="A34" s="51" t="s">
        <v>91</v>
      </c>
      <c r="B34" s="93"/>
      <c r="C34" s="34">
        <v>102763</v>
      </c>
      <c r="D34" s="34">
        <v>53678</v>
      </c>
      <c r="E34" s="34">
        <v>7668</v>
      </c>
      <c r="F34" s="35" t="s">
        <v>92</v>
      </c>
      <c r="G34" s="36" t="s">
        <v>19</v>
      </c>
      <c r="H34" s="37" t="s">
        <v>58</v>
      </c>
      <c r="I34" s="38">
        <v>8</v>
      </c>
      <c r="J34" s="37" t="s">
        <v>28</v>
      </c>
      <c r="K34" s="46">
        <v>23004</v>
      </c>
      <c r="L34" s="40">
        <f t="shared" si="2"/>
        <v>30674</v>
      </c>
      <c r="M34" s="64" t="s">
        <v>23</v>
      </c>
      <c r="N34" s="64"/>
      <c r="O34" s="42" t="s">
        <v>93</v>
      </c>
      <c r="P34" s="8"/>
      <c r="S34" s="9"/>
      <c r="T34" s="9"/>
      <c r="U34" s="10"/>
      <c r="V34" s="9"/>
      <c r="W34" s="10"/>
      <c r="X34" s="9"/>
      <c r="Y34" s="9"/>
    </row>
    <row r="35" spans="1:27" s="11" customFormat="1" ht="15.5" customHeight="1" x14ac:dyDescent="0.25">
      <c r="A35" s="56" t="s">
        <v>94</v>
      </c>
      <c r="B35" s="98"/>
      <c r="C35" s="34">
        <v>86649</v>
      </c>
      <c r="D35" s="34">
        <v>86649</v>
      </c>
      <c r="E35" s="34">
        <v>7221</v>
      </c>
      <c r="F35" s="35" t="s">
        <v>95</v>
      </c>
      <c r="G35" s="36" t="s">
        <v>19</v>
      </c>
      <c r="H35" s="37" t="s">
        <v>58</v>
      </c>
      <c r="I35" s="38">
        <v>2</v>
      </c>
      <c r="J35" s="37" t="s">
        <v>28</v>
      </c>
      <c r="K35" s="39">
        <f>D35/12*8</f>
        <v>57766</v>
      </c>
      <c r="L35" s="40">
        <f t="shared" si="2"/>
        <v>28883</v>
      </c>
      <c r="M35" s="66" t="s">
        <v>23</v>
      </c>
      <c r="N35" s="66"/>
      <c r="O35" s="67"/>
      <c r="P35" s="16"/>
      <c r="S35" s="9"/>
      <c r="T35" s="9"/>
      <c r="U35" s="10"/>
      <c r="V35" s="9"/>
      <c r="W35" s="9"/>
      <c r="X35" s="9"/>
      <c r="Y35" s="9"/>
    </row>
    <row r="36" spans="1:27" ht="15.5" customHeight="1" x14ac:dyDescent="0.25">
      <c r="A36" s="56" t="s">
        <v>96</v>
      </c>
      <c r="B36" s="98" t="s">
        <v>19</v>
      </c>
      <c r="C36" s="34">
        <v>0</v>
      </c>
      <c r="D36" s="34">
        <v>0</v>
      </c>
      <c r="E36" s="34" t="s">
        <v>21</v>
      </c>
      <c r="F36" s="35">
        <v>135302</v>
      </c>
      <c r="G36" s="36" t="s">
        <v>26</v>
      </c>
      <c r="H36" s="37" t="s">
        <v>79</v>
      </c>
      <c r="I36" s="38">
        <v>8</v>
      </c>
      <c r="J36" s="37" t="s">
        <v>28</v>
      </c>
      <c r="K36" s="46">
        <v>0</v>
      </c>
      <c r="L36" s="40">
        <f t="shared" si="2"/>
        <v>0</v>
      </c>
      <c r="M36" s="64" t="s">
        <v>23</v>
      </c>
      <c r="N36" s="64"/>
      <c r="O36" s="67" t="s">
        <v>97</v>
      </c>
      <c r="P36" s="8"/>
      <c r="S36" s="9"/>
      <c r="T36" s="9"/>
      <c r="U36" s="10"/>
      <c r="V36" s="9"/>
      <c r="W36" s="9"/>
      <c r="X36" s="9"/>
      <c r="Y36" s="9"/>
    </row>
    <row r="37" spans="1:27" ht="15.5" customHeight="1" x14ac:dyDescent="0.25">
      <c r="A37" s="51" t="s">
        <v>98</v>
      </c>
      <c r="B37" s="93"/>
      <c r="C37" s="34">
        <v>103785</v>
      </c>
      <c r="D37" s="34">
        <v>103785</v>
      </c>
      <c r="E37" s="34">
        <v>8649</v>
      </c>
      <c r="F37" s="35" t="s">
        <v>99</v>
      </c>
      <c r="G37" s="36" t="s">
        <v>19</v>
      </c>
      <c r="H37" s="37" t="s">
        <v>100</v>
      </c>
      <c r="I37" s="38">
        <v>3</v>
      </c>
      <c r="J37" s="37" t="s">
        <v>28</v>
      </c>
      <c r="K37" s="39">
        <f>D37/12*8</f>
        <v>69190</v>
      </c>
      <c r="L37" s="40">
        <f t="shared" si="2"/>
        <v>34595</v>
      </c>
      <c r="M37" s="64" t="s">
        <v>23</v>
      </c>
      <c r="N37" s="64"/>
      <c r="O37" s="67"/>
      <c r="P37" s="8"/>
      <c r="S37" s="9"/>
      <c r="T37" s="9"/>
      <c r="U37" s="10"/>
      <c r="V37" s="9"/>
      <c r="W37" s="9"/>
      <c r="X37" s="9"/>
      <c r="Y37" s="9"/>
    </row>
    <row r="38" spans="1:27" ht="15.5" customHeight="1" x14ac:dyDescent="0.25">
      <c r="A38" s="56" t="s">
        <v>101</v>
      </c>
      <c r="B38" s="98"/>
      <c r="C38" s="34">
        <v>89333</v>
      </c>
      <c r="D38" s="34">
        <v>89333</v>
      </c>
      <c r="E38" s="34">
        <v>7444</v>
      </c>
      <c r="F38" s="35" t="s">
        <v>102</v>
      </c>
      <c r="G38" s="36" t="s">
        <v>19</v>
      </c>
      <c r="H38" s="37" t="s">
        <v>58</v>
      </c>
      <c r="I38" s="38">
        <v>2</v>
      </c>
      <c r="J38" s="37" t="s">
        <v>28</v>
      </c>
      <c r="K38" s="46">
        <f>D38/12*8</f>
        <v>59555.333333333336</v>
      </c>
      <c r="L38" s="40">
        <f t="shared" si="2"/>
        <v>29777.666666666664</v>
      </c>
      <c r="M38" s="64" t="s">
        <v>23</v>
      </c>
      <c r="N38" s="64"/>
      <c r="O38" s="42"/>
      <c r="P38" s="8"/>
      <c r="S38" s="9"/>
      <c r="T38" s="9"/>
      <c r="U38" s="10"/>
      <c r="V38" s="9"/>
      <c r="W38" s="9"/>
      <c r="X38" s="9"/>
      <c r="Y38" s="17"/>
    </row>
    <row r="39" spans="1:27" ht="15.5" customHeight="1" x14ac:dyDescent="0.25">
      <c r="A39" s="51" t="s">
        <v>103</v>
      </c>
      <c r="B39" s="93"/>
      <c r="C39" s="34">
        <v>102763</v>
      </c>
      <c r="D39" s="34">
        <v>102763</v>
      </c>
      <c r="E39" s="34">
        <v>8564</v>
      </c>
      <c r="F39" s="35" t="s">
        <v>104</v>
      </c>
      <c r="G39" s="36" t="s">
        <v>19</v>
      </c>
      <c r="H39" s="37" t="s">
        <v>58</v>
      </c>
      <c r="I39" s="38">
        <v>8</v>
      </c>
      <c r="J39" s="37" t="s">
        <v>28</v>
      </c>
      <c r="K39" s="39">
        <f>D39/12*8</f>
        <v>68508.666666666672</v>
      </c>
      <c r="L39" s="40">
        <f t="shared" si="2"/>
        <v>34254.333333333328</v>
      </c>
      <c r="M39" s="64" t="s">
        <v>23</v>
      </c>
      <c r="N39" s="64"/>
      <c r="O39" s="67"/>
      <c r="P39" s="8"/>
      <c r="S39" s="12"/>
      <c r="T39" s="9"/>
      <c r="U39" s="10"/>
      <c r="V39" s="9"/>
      <c r="W39" s="9"/>
      <c r="X39" s="9"/>
      <c r="Y39" s="18"/>
    </row>
    <row r="40" spans="1:27" ht="15.5" customHeight="1" x14ac:dyDescent="0.25">
      <c r="A40" s="65" t="s">
        <v>105</v>
      </c>
      <c r="B40" s="109"/>
      <c r="C40" s="60">
        <v>112763</v>
      </c>
      <c r="D40" s="60">
        <v>37600</v>
      </c>
      <c r="E40" s="60">
        <v>9397</v>
      </c>
      <c r="F40" s="35" t="s">
        <v>106</v>
      </c>
      <c r="G40" s="36" t="s">
        <v>19</v>
      </c>
      <c r="H40" s="37" t="s">
        <v>34</v>
      </c>
      <c r="I40" s="38">
        <v>4</v>
      </c>
      <c r="J40" s="37" t="s">
        <v>28</v>
      </c>
      <c r="K40" s="46">
        <v>37600</v>
      </c>
      <c r="L40" s="59">
        <f t="shared" si="2"/>
        <v>0</v>
      </c>
      <c r="M40" s="64" t="s">
        <v>23</v>
      </c>
      <c r="N40" s="64"/>
      <c r="O40" s="42" t="s">
        <v>107</v>
      </c>
      <c r="P40" s="8"/>
      <c r="S40" s="10"/>
      <c r="T40" s="9"/>
      <c r="U40" s="10"/>
      <c r="V40" s="9"/>
      <c r="W40" s="9"/>
      <c r="X40" s="9"/>
      <c r="Y40" s="17"/>
    </row>
    <row r="41" spans="1:27" ht="15.5" customHeight="1" x14ac:dyDescent="0.25">
      <c r="A41" s="65" t="s">
        <v>108</v>
      </c>
      <c r="B41" s="93" t="s">
        <v>19</v>
      </c>
      <c r="C41" s="60">
        <v>0</v>
      </c>
      <c r="D41" s="34">
        <v>1000</v>
      </c>
      <c r="E41" s="34" t="s">
        <v>21</v>
      </c>
      <c r="F41" s="35" t="s">
        <v>106</v>
      </c>
      <c r="G41" s="36" t="s">
        <v>26</v>
      </c>
      <c r="H41" s="37" t="s">
        <v>34</v>
      </c>
      <c r="I41" s="38">
        <v>1</v>
      </c>
      <c r="J41" s="37" t="s">
        <v>28</v>
      </c>
      <c r="K41" s="39">
        <v>1000</v>
      </c>
      <c r="L41" s="59">
        <f t="shared" si="2"/>
        <v>0</v>
      </c>
      <c r="M41" s="64" t="s">
        <v>23</v>
      </c>
      <c r="N41" s="64"/>
      <c r="O41" s="42" t="s">
        <v>109</v>
      </c>
      <c r="P41" s="8"/>
      <c r="S41" s="10"/>
      <c r="T41" s="9"/>
      <c r="U41" s="10"/>
      <c r="V41" s="9"/>
      <c r="W41" s="9"/>
      <c r="X41" s="9"/>
      <c r="Y41" s="17"/>
    </row>
    <row r="42" spans="1:27" ht="15.5" customHeight="1" x14ac:dyDescent="0.25">
      <c r="A42" s="137" t="s">
        <v>110</v>
      </c>
      <c r="B42" s="92"/>
      <c r="C42" s="34">
        <v>0</v>
      </c>
      <c r="D42" s="34">
        <v>2363</v>
      </c>
      <c r="E42" s="34">
        <v>590.75</v>
      </c>
      <c r="F42" s="35">
        <v>135039</v>
      </c>
      <c r="G42" s="36"/>
      <c r="H42" s="37" t="s">
        <v>34</v>
      </c>
      <c r="I42" s="38"/>
      <c r="J42" s="37" t="s">
        <v>28</v>
      </c>
      <c r="K42" s="96">
        <v>1625</v>
      </c>
      <c r="L42" s="59">
        <v>738</v>
      </c>
      <c r="M42" s="41"/>
      <c r="N42" s="41"/>
      <c r="O42" s="42" t="s">
        <v>111</v>
      </c>
      <c r="P42" s="6"/>
      <c r="Q42" s="7"/>
      <c r="R42" s="7"/>
      <c r="S42" s="7"/>
      <c r="W42" s="7"/>
      <c r="X42" s="7"/>
      <c r="Y42" s="7"/>
      <c r="Z42" s="7"/>
      <c r="AA42" s="7"/>
    </row>
    <row r="43" spans="1:27" ht="15.5" customHeight="1" x14ac:dyDescent="0.25">
      <c r="A43" s="51" t="s">
        <v>112</v>
      </c>
      <c r="B43" s="93"/>
      <c r="C43" s="34">
        <v>86649</v>
      </c>
      <c r="D43" s="34">
        <v>86649</v>
      </c>
      <c r="E43" s="34">
        <v>7221</v>
      </c>
      <c r="F43" s="35" t="s">
        <v>113</v>
      </c>
      <c r="G43" s="36" t="s">
        <v>19</v>
      </c>
      <c r="H43" s="37" t="s">
        <v>58</v>
      </c>
      <c r="I43" s="38">
        <v>2</v>
      </c>
      <c r="J43" s="37" t="s">
        <v>28</v>
      </c>
      <c r="K43" s="46">
        <f>D43/12*8</f>
        <v>57766</v>
      </c>
      <c r="L43" s="40">
        <f t="shared" ref="L43:L58" si="3">D43-K43</f>
        <v>28883</v>
      </c>
      <c r="M43" s="41" t="s">
        <v>23</v>
      </c>
      <c r="N43" s="47"/>
      <c r="O43" s="48"/>
      <c r="P43" s="8"/>
      <c r="S43" s="10"/>
      <c r="T43" s="9"/>
      <c r="U43" s="10"/>
      <c r="V43" s="9"/>
      <c r="W43" s="9"/>
      <c r="X43" s="9"/>
      <c r="Y43" s="19">
        <v>144274</v>
      </c>
    </row>
    <row r="44" spans="1:27" s="2" customFormat="1" ht="15.5" customHeight="1" x14ac:dyDescent="0.25">
      <c r="A44" s="56" t="s">
        <v>114</v>
      </c>
      <c r="B44" s="98"/>
      <c r="C44" s="34">
        <v>92020</v>
      </c>
      <c r="D44" s="34">
        <v>75500</v>
      </c>
      <c r="E44" s="34">
        <v>7500</v>
      </c>
      <c r="F44" s="57" t="s">
        <v>115</v>
      </c>
      <c r="G44" s="63" t="s">
        <v>19</v>
      </c>
      <c r="H44" s="58" t="s">
        <v>58</v>
      </c>
      <c r="I44" s="38">
        <v>5</v>
      </c>
      <c r="J44" s="58" t="s">
        <v>28</v>
      </c>
      <c r="K44" s="125">
        <v>45000</v>
      </c>
      <c r="L44" s="40">
        <f t="shared" si="3"/>
        <v>30500</v>
      </c>
      <c r="M44" s="68" t="s">
        <v>23</v>
      </c>
      <c r="N44" s="68"/>
      <c r="O44" s="67" t="s">
        <v>116</v>
      </c>
      <c r="P44" s="8"/>
      <c r="S44" s="10"/>
      <c r="T44" s="9"/>
      <c r="U44" s="10"/>
      <c r="V44" s="9"/>
      <c r="W44" s="9"/>
      <c r="X44" s="9"/>
      <c r="Y44" s="9"/>
    </row>
    <row r="45" spans="1:27" ht="15.5" customHeight="1" x14ac:dyDescent="0.25">
      <c r="A45" s="51" t="s">
        <v>117</v>
      </c>
      <c r="B45" s="93"/>
      <c r="C45" s="60">
        <v>102763</v>
      </c>
      <c r="D45" s="60">
        <v>102763</v>
      </c>
      <c r="E45" s="60">
        <v>8564</v>
      </c>
      <c r="F45" s="35" t="s">
        <v>118</v>
      </c>
      <c r="G45" s="36" t="s">
        <v>19</v>
      </c>
      <c r="H45" s="37" t="s">
        <v>58</v>
      </c>
      <c r="I45" s="38">
        <v>7</v>
      </c>
      <c r="J45" s="37" t="s">
        <v>28</v>
      </c>
      <c r="K45" s="46">
        <f>D45/12*8</f>
        <v>68508.666666666672</v>
      </c>
      <c r="L45" s="40">
        <f t="shared" si="3"/>
        <v>34254.333333333328</v>
      </c>
      <c r="M45" s="41" t="s">
        <v>23</v>
      </c>
      <c r="N45" s="41"/>
      <c r="O45" s="42"/>
      <c r="P45" s="8"/>
      <c r="S45" s="10"/>
      <c r="T45" s="9"/>
      <c r="U45" s="10"/>
      <c r="V45" s="9"/>
      <c r="W45" s="9"/>
      <c r="X45" s="9"/>
      <c r="Y45" s="9"/>
    </row>
    <row r="46" spans="1:27" ht="15.5" customHeight="1" x14ac:dyDescent="0.25">
      <c r="A46" s="51" t="s">
        <v>119</v>
      </c>
      <c r="B46" s="93"/>
      <c r="C46" s="34">
        <v>94708</v>
      </c>
      <c r="D46" s="34">
        <v>94708</v>
      </c>
      <c r="E46" s="34">
        <v>8340</v>
      </c>
      <c r="F46" s="35" t="s">
        <v>120</v>
      </c>
      <c r="G46" s="36" t="s">
        <v>19</v>
      </c>
      <c r="H46" s="37" t="s">
        <v>58</v>
      </c>
      <c r="I46" s="38">
        <v>7</v>
      </c>
      <c r="J46" s="37" t="s">
        <v>28</v>
      </c>
      <c r="K46" s="46">
        <f>D46/12*8</f>
        <v>63138.666666666664</v>
      </c>
      <c r="L46" s="40">
        <f t="shared" si="3"/>
        <v>31569.333333333336</v>
      </c>
      <c r="M46" s="41" t="s">
        <v>23</v>
      </c>
      <c r="N46" s="41"/>
      <c r="O46" s="42"/>
      <c r="P46" s="8"/>
      <c r="S46" s="9"/>
      <c r="T46" s="9"/>
      <c r="U46" s="10"/>
      <c r="V46" s="9"/>
      <c r="W46" s="9"/>
      <c r="X46" s="9"/>
      <c r="Y46" s="9"/>
    </row>
    <row r="47" spans="1:27" ht="15.5" customHeight="1" x14ac:dyDescent="0.25">
      <c r="A47" s="117" t="s">
        <v>121</v>
      </c>
      <c r="B47" s="118"/>
      <c r="C47" s="119">
        <v>100078</v>
      </c>
      <c r="D47" s="119">
        <v>18680</v>
      </c>
      <c r="E47" s="119"/>
      <c r="F47" s="120" t="s">
        <v>122</v>
      </c>
      <c r="G47" s="121" t="s">
        <v>26</v>
      </c>
      <c r="H47" s="108" t="s">
        <v>58</v>
      </c>
      <c r="I47" s="120">
        <v>7</v>
      </c>
      <c r="J47" s="108" t="s">
        <v>28</v>
      </c>
      <c r="K47" s="103">
        <v>18680</v>
      </c>
      <c r="L47" s="106">
        <f t="shared" si="3"/>
        <v>0</v>
      </c>
      <c r="M47" s="126" t="s">
        <v>23</v>
      </c>
      <c r="N47" s="126"/>
      <c r="O47" s="127" t="s">
        <v>123</v>
      </c>
      <c r="P47" s="8"/>
      <c r="S47" s="9"/>
      <c r="T47" s="9"/>
      <c r="U47" s="10"/>
      <c r="V47" s="9"/>
      <c r="W47" s="9"/>
      <c r="X47" s="9"/>
      <c r="Y47" s="9"/>
    </row>
    <row r="48" spans="1:27" ht="15.5" customHeight="1" x14ac:dyDescent="0.25">
      <c r="A48" s="51" t="s">
        <v>124</v>
      </c>
      <c r="B48" s="93"/>
      <c r="C48" s="34">
        <v>102763</v>
      </c>
      <c r="D48" s="34">
        <v>102763</v>
      </c>
      <c r="E48" s="34">
        <v>8564</v>
      </c>
      <c r="F48" s="35" t="s">
        <v>125</v>
      </c>
      <c r="G48" s="36" t="s">
        <v>19</v>
      </c>
      <c r="H48" s="37" t="s">
        <v>58</v>
      </c>
      <c r="I48" s="38">
        <v>8</v>
      </c>
      <c r="J48" s="37" t="s">
        <v>28</v>
      </c>
      <c r="K48" s="46">
        <f t="shared" ref="K48:K54" si="4">D48/12*8</f>
        <v>68508.666666666672</v>
      </c>
      <c r="L48" s="40">
        <f t="shared" si="3"/>
        <v>34254.333333333328</v>
      </c>
      <c r="M48" s="41" t="s">
        <v>23</v>
      </c>
      <c r="N48" s="41"/>
      <c r="O48" s="42"/>
      <c r="P48" s="8"/>
      <c r="S48" s="9"/>
      <c r="T48" s="9"/>
      <c r="U48" s="10"/>
      <c r="V48" s="9"/>
      <c r="W48" s="9"/>
      <c r="X48" s="9"/>
      <c r="Y48" s="9"/>
    </row>
    <row r="49" spans="1:25" ht="15.5" customHeight="1" x14ac:dyDescent="0.25">
      <c r="A49" s="56" t="s">
        <v>126</v>
      </c>
      <c r="B49" s="98"/>
      <c r="C49" s="60">
        <v>89333</v>
      </c>
      <c r="D49" s="60">
        <v>89333</v>
      </c>
      <c r="E49" s="60">
        <v>7444</v>
      </c>
      <c r="F49" s="35" t="s">
        <v>127</v>
      </c>
      <c r="G49" s="36" t="s">
        <v>19</v>
      </c>
      <c r="H49" s="37" t="s">
        <v>58</v>
      </c>
      <c r="I49" s="38">
        <v>3</v>
      </c>
      <c r="J49" s="37" t="s">
        <v>28</v>
      </c>
      <c r="K49" s="46">
        <f t="shared" si="4"/>
        <v>59555.333333333336</v>
      </c>
      <c r="L49" s="40">
        <f t="shared" si="3"/>
        <v>29777.666666666664</v>
      </c>
      <c r="M49" s="41" t="s">
        <v>23</v>
      </c>
      <c r="N49" s="41"/>
      <c r="O49" s="42"/>
      <c r="P49" s="8"/>
      <c r="S49" s="9"/>
      <c r="T49" s="9"/>
      <c r="U49" s="10"/>
      <c r="V49" s="9"/>
      <c r="W49" s="9"/>
      <c r="X49" s="9"/>
      <c r="Y49" s="9"/>
    </row>
    <row r="50" spans="1:25" ht="15.5" customHeight="1" x14ac:dyDescent="0.25">
      <c r="A50" s="62" t="s">
        <v>128</v>
      </c>
      <c r="B50" s="93"/>
      <c r="C50" s="60">
        <v>97393</v>
      </c>
      <c r="D50" s="60">
        <v>97393</v>
      </c>
      <c r="E50" s="60">
        <v>8116</v>
      </c>
      <c r="F50" s="35" t="s">
        <v>129</v>
      </c>
      <c r="G50" s="36" t="s">
        <v>19</v>
      </c>
      <c r="H50" s="37" t="s">
        <v>58</v>
      </c>
      <c r="I50" s="38">
        <v>5</v>
      </c>
      <c r="J50" s="37" t="s">
        <v>28</v>
      </c>
      <c r="K50" s="39">
        <f t="shared" si="4"/>
        <v>64928.666666666664</v>
      </c>
      <c r="L50" s="40">
        <f t="shared" si="3"/>
        <v>32464.333333333336</v>
      </c>
      <c r="M50" s="41" t="s">
        <v>23</v>
      </c>
      <c r="N50" s="41"/>
      <c r="O50" s="42"/>
      <c r="P50" s="8"/>
      <c r="S50" s="9"/>
      <c r="T50" s="9"/>
      <c r="U50" s="10"/>
      <c r="V50" s="9"/>
      <c r="W50" s="9"/>
      <c r="X50" s="9"/>
      <c r="Y50" s="9"/>
    </row>
    <row r="51" spans="1:25" ht="15.5" customHeight="1" x14ac:dyDescent="0.25">
      <c r="A51" s="51" t="s">
        <v>130</v>
      </c>
      <c r="B51" s="93"/>
      <c r="C51" s="34">
        <v>100078</v>
      </c>
      <c r="D51" s="34">
        <v>100078</v>
      </c>
      <c r="E51" s="34">
        <v>8340</v>
      </c>
      <c r="F51" s="35" t="s">
        <v>131</v>
      </c>
      <c r="G51" s="36" t="s">
        <v>19</v>
      </c>
      <c r="H51" s="37" t="s">
        <v>58</v>
      </c>
      <c r="I51" s="38">
        <v>8</v>
      </c>
      <c r="J51" s="37" t="s">
        <v>28</v>
      </c>
      <c r="K51" s="46">
        <f t="shared" si="4"/>
        <v>66718.666666666672</v>
      </c>
      <c r="L51" s="40">
        <f t="shared" si="3"/>
        <v>33359.333333333328</v>
      </c>
      <c r="M51" s="41" t="s">
        <v>23</v>
      </c>
      <c r="N51" s="41"/>
      <c r="O51" s="42"/>
      <c r="P51" s="8"/>
      <c r="S51" s="9"/>
      <c r="T51" s="9"/>
      <c r="U51" s="10"/>
      <c r="V51" s="9"/>
      <c r="W51" s="9"/>
      <c r="X51" s="9"/>
      <c r="Y51" s="9"/>
    </row>
    <row r="52" spans="1:25" ht="15.5" customHeight="1" x14ac:dyDescent="0.25">
      <c r="A52" s="72" t="s">
        <v>132</v>
      </c>
      <c r="B52" s="99"/>
      <c r="C52" s="34">
        <v>136951</v>
      </c>
      <c r="D52" s="34">
        <v>136951</v>
      </c>
      <c r="E52" s="34">
        <v>11413</v>
      </c>
      <c r="F52" s="35" t="s">
        <v>133</v>
      </c>
      <c r="G52" s="36" t="s">
        <v>19</v>
      </c>
      <c r="H52" s="37" t="s">
        <v>27</v>
      </c>
      <c r="I52" s="38">
        <v>7</v>
      </c>
      <c r="J52" s="37" t="s">
        <v>22</v>
      </c>
      <c r="K52" s="39">
        <f t="shared" si="4"/>
        <v>91300.666666666672</v>
      </c>
      <c r="L52" s="40">
        <f t="shared" si="3"/>
        <v>45650.333333333328</v>
      </c>
      <c r="M52" s="41" t="s">
        <v>23</v>
      </c>
      <c r="N52" s="41"/>
      <c r="O52" s="42"/>
      <c r="P52" s="8"/>
      <c r="S52" s="9"/>
      <c r="T52" s="9"/>
      <c r="U52" s="10"/>
      <c r="V52" s="9"/>
      <c r="W52" s="9"/>
      <c r="X52" s="9"/>
      <c r="Y52" s="9"/>
    </row>
    <row r="53" spans="1:25" ht="15.5" customHeight="1" x14ac:dyDescent="0.25">
      <c r="A53" s="122" t="s">
        <v>134</v>
      </c>
      <c r="B53" s="109"/>
      <c r="C53" s="34">
        <v>87108</v>
      </c>
      <c r="D53" s="34">
        <v>87108</v>
      </c>
      <c r="E53" s="34">
        <v>7259</v>
      </c>
      <c r="F53" s="35">
        <v>134911</v>
      </c>
      <c r="G53" s="36" t="s">
        <v>19</v>
      </c>
      <c r="H53" s="37" t="s">
        <v>135</v>
      </c>
      <c r="I53" s="38">
        <v>3</v>
      </c>
      <c r="J53" s="37" t="s">
        <v>22</v>
      </c>
      <c r="K53" s="46">
        <f t="shared" si="4"/>
        <v>58072</v>
      </c>
      <c r="L53" s="40">
        <f t="shared" si="3"/>
        <v>29036</v>
      </c>
      <c r="M53" s="41" t="s">
        <v>23</v>
      </c>
      <c r="N53" s="41"/>
      <c r="O53" s="42"/>
      <c r="P53" s="8"/>
      <c r="S53" s="9"/>
      <c r="T53" s="9"/>
      <c r="U53" s="10"/>
      <c r="V53" s="9"/>
      <c r="W53" s="9"/>
      <c r="X53" s="9"/>
      <c r="Y53" s="9"/>
    </row>
    <row r="54" spans="1:25" ht="15.5" customHeight="1" x14ac:dyDescent="0.25">
      <c r="A54" s="70" t="s">
        <v>136</v>
      </c>
      <c r="B54" s="110"/>
      <c r="C54" s="73">
        <v>74180</v>
      </c>
      <c r="D54" s="73">
        <v>74180</v>
      </c>
      <c r="E54" s="73">
        <v>6182</v>
      </c>
      <c r="F54" s="44" t="s">
        <v>137</v>
      </c>
      <c r="G54" s="45" t="s">
        <v>19</v>
      </c>
      <c r="H54" s="43" t="s">
        <v>138</v>
      </c>
      <c r="I54" s="71">
        <v>3</v>
      </c>
      <c r="J54" s="43" t="s">
        <v>22</v>
      </c>
      <c r="K54" s="39">
        <f t="shared" si="4"/>
        <v>49453.333333333336</v>
      </c>
      <c r="L54" s="40">
        <f t="shared" si="3"/>
        <v>24726.666666666664</v>
      </c>
      <c r="M54" s="47" t="s">
        <v>23</v>
      </c>
      <c r="N54" s="47"/>
      <c r="O54" s="48"/>
      <c r="P54" s="8"/>
      <c r="S54" s="9"/>
      <c r="T54" s="9"/>
      <c r="U54" s="10"/>
      <c r="V54" s="9"/>
      <c r="W54" s="9"/>
      <c r="X54" s="9"/>
      <c r="Y54" s="9"/>
    </row>
    <row r="55" spans="1:25" ht="15.5" customHeight="1" x14ac:dyDescent="0.25">
      <c r="A55" s="51" t="s">
        <v>139</v>
      </c>
      <c r="B55" s="93"/>
      <c r="C55" s="34">
        <v>0</v>
      </c>
      <c r="D55" s="34">
        <v>0</v>
      </c>
      <c r="E55" s="34" t="s">
        <v>21</v>
      </c>
      <c r="F55" s="35" t="s">
        <v>140</v>
      </c>
      <c r="G55" s="36" t="s">
        <v>26</v>
      </c>
      <c r="H55" s="37" t="s">
        <v>138</v>
      </c>
      <c r="I55" s="38">
        <v>3</v>
      </c>
      <c r="J55" s="37" t="s">
        <v>22</v>
      </c>
      <c r="K55" s="46">
        <v>0</v>
      </c>
      <c r="L55" s="40">
        <f t="shared" si="3"/>
        <v>0</v>
      </c>
      <c r="M55" s="41" t="s">
        <v>23</v>
      </c>
      <c r="N55" s="41"/>
      <c r="O55" s="74" t="s">
        <v>141</v>
      </c>
      <c r="P55" s="8"/>
      <c r="S55" s="9"/>
      <c r="T55" s="9"/>
      <c r="U55" s="10"/>
      <c r="V55" s="9"/>
      <c r="W55" s="9"/>
      <c r="X55" s="9"/>
      <c r="Y55" s="9"/>
    </row>
    <row r="56" spans="1:25" ht="15.5" customHeight="1" x14ac:dyDescent="0.25">
      <c r="A56" s="65" t="s">
        <v>142</v>
      </c>
      <c r="B56" s="109"/>
      <c r="C56" s="34">
        <v>123137</v>
      </c>
      <c r="D56" s="34">
        <v>123137</v>
      </c>
      <c r="E56" s="34">
        <v>10261</v>
      </c>
      <c r="F56" s="35" t="s">
        <v>143</v>
      </c>
      <c r="G56" s="36" t="s">
        <v>19</v>
      </c>
      <c r="H56" s="37" t="s">
        <v>34</v>
      </c>
      <c r="I56" s="38">
        <v>8</v>
      </c>
      <c r="J56" s="37" t="s">
        <v>22</v>
      </c>
      <c r="K56" s="39">
        <f>D56/12*8</f>
        <v>82091.333333333328</v>
      </c>
      <c r="L56" s="40">
        <f t="shared" si="3"/>
        <v>41045.666666666672</v>
      </c>
      <c r="M56" s="41" t="s">
        <v>23</v>
      </c>
      <c r="N56" s="41"/>
      <c r="O56" s="42"/>
      <c r="P56" s="8"/>
      <c r="S56" s="9"/>
      <c r="T56" s="9"/>
      <c r="U56" s="9"/>
      <c r="V56" s="9"/>
      <c r="W56" s="9"/>
      <c r="X56" s="9"/>
      <c r="Y56" s="9"/>
    </row>
    <row r="57" spans="1:25" ht="15.5" customHeight="1" x14ac:dyDescent="0.25">
      <c r="A57" s="51" t="s">
        <v>144</v>
      </c>
      <c r="B57" s="93"/>
      <c r="C57" s="60">
        <v>97393</v>
      </c>
      <c r="D57" s="34">
        <v>97393</v>
      </c>
      <c r="E57" s="34">
        <v>8116</v>
      </c>
      <c r="F57" s="35" t="s">
        <v>145</v>
      </c>
      <c r="G57" s="36" t="s">
        <v>19</v>
      </c>
      <c r="H57" s="37" t="s">
        <v>58</v>
      </c>
      <c r="I57" s="38">
        <v>6</v>
      </c>
      <c r="J57" s="37" t="s">
        <v>22</v>
      </c>
      <c r="K57" s="46">
        <f>D57/12*8</f>
        <v>64928.666666666664</v>
      </c>
      <c r="L57" s="40">
        <f t="shared" si="3"/>
        <v>32464.333333333336</v>
      </c>
      <c r="M57" s="41" t="s">
        <v>23</v>
      </c>
      <c r="N57" s="41"/>
      <c r="O57" s="28"/>
      <c r="P57" s="8"/>
      <c r="S57" s="10"/>
      <c r="T57" s="9"/>
      <c r="U57" s="10"/>
      <c r="V57" s="9"/>
      <c r="W57" s="10"/>
      <c r="X57" s="9"/>
      <c r="Y57" s="9"/>
    </row>
    <row r="58" spans="1:25" ht="15.5" customHeight="1" x14ac:dyDescent="0.25">
      <c r="A58" s="51" t="s">
        <v>146</v>
      </c>
      <c r="B58" s="93"/>
      <c r="C58" s="60">
        <v>116172</v>
      </c>
      <c r="D58" s="60">
        <v>116172</v>
      </c>
      <c r="E58" s="60">
        <v>9681</v>
      </c>
      <c r="F58" s="35" t="s">
        <v>147</v>
      </c>
      <c r="G58" s="36" t="s">
        <v>19</v>
      </c>
      <c r="H58" s="37" t="s">
        <v>34</v>
      </c>
      <c r="I58" s="38">
        <v>6</v>
      </c>
      <c r="J58" s="37" t="s">
        <v>22</v>
      </c>
      <c r="K58" s="39">
        <f>D58/12*8</f>
        <v>77448</v>
      </c>
      <c r="L58" s="40">
        <f t="shared" si="3"/>
        <v>38724</v>
      </c>
      <c r="M58" s="41" t="s">
        <v>23</v>
      </c>
      <c r="N58" s="41"/>
      <c r="O58" s="42"/>
      <c r="P58" s="6"/>
      <c r="Q58" s="7"/>
      <c r="R58" s="7"/>
      <c r="S58" s="15"/>
      <c r="T58" s="9"/>
      <c r="U58" s="10"/>
      <c r="V58" s="9"/>
      <c r="W58" s="10"/>
      <c r="X58" s="9"/>
      <c r="Y58" s="9"/>
    </row>
    <row r="59" spans="1:25" s="11" customFormat="1" ht="15.5" customHeight="1" x14ac:dyDescent="0.25">
      <c r="A59" s="75"/>
      <c r="B59" s="111"/>
      <c r="C59" s="76"/>
      <c r="D59" s="76"/>
      <c r="E59" s="76"/>
      <c r="F59" s="77"/>
      <c r="G59" s="77"/>
      <c r="H59" s="76"/>
      <c r="I59" s="78"/>
      <c r="J59" s="76"/>
      <c r="K59" s="76"/>
      <c r="L59" s="79"/>
      <c r="M59" s="79"/>
      <c r="N59" s="79"/>
      <c r="O59" s="79"/>
      <c r="P59" s="16"/>
      <c r="S59" s="9"/>
      <c r="T59" s="9"/>
      <c r="U59" s="10"/>
      <c r="V59" s="9"/>
      <c r="W59" s="10"/>
      <c r="X59" s="9"/>
      <c r="Y59" s="9"/>
    </row>
    <row r="60" spans="1:25" ht="16.5" customHeight="1" x14ac:dyDescent="0.25">
      <c r="A60" s="80" t="s">
        <v>148</v>
      </c>
      <c r="B60" s="112"/>
      <c r="C60" s="81">
        <f>SUM(C6:C59)</f>
        <v>4412998</v>
      </c>
      <c r="D60" s="81">
        <f>SUM(D6:D59)</f>
        <v>3549579</v>
      </c>
      <c r="E60" s="133"/>
      <c r="F60" s="82">
        <f>COUNTA(_xlfn.UNIQUE(F6:F58))</f>
        <v>49</v>
      </c>
      <c r="G60" s="82">
        <f>SUM(COUNTIF(G6:G59,"Y"))</f>
        <v>38</v>
      </c>
      <c r="H60" s="81"/>
      <c r="I60" s="83"/>
      <c r="J60" s="81"/>
      <c r="K60" s="84">
        <f>SUM(K6:K59)</f>
        <v>2381014.6666666674</v>
      </c>
      <c r="L60" s="85">
        <f>SUM(L6:L59)</f>
        <v>1168564.3333333335</v>
      </c>
      <c r="M60" s="86"/>
      <c r="N60" s="86"/>
      <c r="O60" s="86"/>
      <c r="P60" s="8"/>
      <c r="S60" s="9"/>
      <c r="T60" s="9"/>
      <c r="U60" s="10"/>
      <c r="V60" s="9"/>
      <c r="W60" s="10"/>
      <c r="X60" s="9"/>
      <c r="Y60" s="9"/>
    </row>
    <row r="61" spans="1:25" ht="19.5" customHeight="1" x14ac:dyDescent="0.25">
      <c r="A61" s="87"/>
      <c r="B61" s="113"/>
      <c r="C61" s="88"/>
      <c r="D61" s="89"/>
      <c r="E61" s="89"/>
      <c r="F61" s="26"/>
      <c r="G61" s="26"/>
      <c r="H61" s="20"/>
      <c r="I61" s="20"/>
      <c r="J61" s="20"/>
      <c r="K61" s="23"/>
      <c r="L61" s="24"/>
      <c r="M61" s="21"/>
      <c r="N61" s="21"/>
      <c r="O61" s="21"/>
      <c r="P61" s="8"/>
      <c r="S61" s="9"/>
      <c r="T61" s="9"/>
      <c r="U61" s="10"/>
      <c r="V61" s="9"/>
      <c r="W61" s="10"/>
      <c r="X61" s="9"/>
      <c r="Y61" s="9"/>
    </row>
    <row r="62" spans="1:25" x14ac:dyDescent="0.25">
      <c r="A62" s="26"/>
      <c r="B62" s="114"/>
      <c r="C62" s="26"/>
      <c r="D62" s="26"/>
      <c r="E62" s="26"/>
      <c r="F62" s="26"/>
      <c r="G62" s="26"/>
      <c r="S62" s="9"/>
      <c r="T62" s="9"/>
      <c r="U62" s="10"/>
      <c r="V62" s="9"/>
      <c r="W62" s="9"/>
      <c r="X62" s="9"/>
      <c r="Y62" s="9"/>
    </row>
    <row r="63" spans="1:25" x14ac:dyDescent="0.25">
      <c r="A63" s="26"/>
      <c r="B63" s="114"/>
      <c r="C63" s="26"/>
      <c r="D63" s="26"/>
      <c r="E63" s="26"/>
      <c r="F63" s="26"/>
      <c r="G63" s="26"/>
      <c r="S63" s="9"/>
      <c r="T63" s="9"/>
      <c r="U63" s="10"/>
      <c r="V63" s="9"/>
      <c r="W63" s="9"/>
      <c r="X63" s="9"/>
      <c r="Y63" s="9"/>
    </row>
    <row r="64" spans="1:25" x14ac:dyDescent="0.25">
      <c r="A64" s="26"/>
      <c r="B64" s="114"/>
      <c r="C64" s="26"/>
      <c r="D64" s="26"/>
      <c r="E64" s="26"/>
      <c r="F64" s="26"/>
      <c r="G64" s="26"/>
      <c r="S64" s="9"/>
      <c r="T64" s="9"/>
      <c r="U64" s="10"/>
      <c r="V64" s="9"/>
      <c r="W64" s="9"/>
      <c r="X64" s="9"/>
      <c r="Y64" s="9"/>
    </row>
    <row r="65" spans="1:25" x14ac:dyDescent="0.25">
      <c r="A65" s="26" t="s">
        <v>149</v>
      </c>
      <c r="B65" s="114" t="s">
        <v>150</v>
      </c>
      <c r="C65" s="26"/>
      <c r="D65" s="26"/>
      <c r="E65" s="26"/>
      <c r="F65" s="26"/>
      <c r="G65" s="26"/>
      <c r="S65" s="9"/>
      <c r="T65" s="9"/>
      <c r="U65" s="10"/>
      <c r="V65" s="9"/>
      <c r="W65" s="9"/>
      <c r="X65" s="9"/>
      <c r="Y65" s="17"/>
    </row>
    <row r="66" spans="1:25" x14ac:dyDescent="0.25">
      <c r="A66" s="26" t="s">
        <v>22</v>
      </c>
      <c r="B66" s="114">
        <f>COUNTIFS(J6:J58,"A-base",G6:G58,"Y")</f>
        <v>7</v>
      </c>
      <c r="C66" s="26"/>
      <c r="D66" s="26"/>
      <c r="E66" s="26"/>
      <c r="F66" s="26"/>
      <c r="G66" s="26"/>
      <c r="S66" s="12"/>
      <c r="T66" s="9"/>
      <c r="U66" s="10"/>
      <c r="V66" s="9"/>
      <c r="W66" s="9"/>
      <c r="X66" s="9"/>
      <c r="Y66" s="18"/>
    </row>
    <row r="67" spans="1:25" x14ac:dyDescent="0.25">
      <c r="A67" s="26" t="s">
        <v>28</v>
      </c>
      <c r="B67" s="114">
        <f>COUNTIFS(J6:J58,"VNR",G6:G58,"Y")</f>
        <v>31</v>
      </c>
      <c r="C67" s="26"/>
      <c r="D67" s="26"/>
      <c r="E67" s="26"/>
      <c r="F67" s="26"/>
      <c r="G67" s="26"/>
      <c r="S67" s="10"/>
      <c r="T67" s="9"/>
      <c r="U67" s="10"/>
      <c r="V67" s="9"/>
      <c r="W67" s="9"/>
      <c r="X67" s="9"/>
      <c r="Y67" s="17"/>
    </row>
    <row r="68" spans="1:25" x14ac:dyDescent="0.25">
      <c r="A68" s="26"/>
      <c r="B68" s="114"/>
      <c r="C68" s="26"/>
      <c r="D68" s="26"/>
      <c r="E68" s="26"/>
      <c r="F68" s="26"/>
      <c r="G68" s="26"/>
      <c r="S68" s="10"/>
      <c r="T68" s="9"/>
      <c r="U68" s="10"/>
      <c r="V68" s="9"/>
      <c r="W68" s="9"/>
      <c r="X68" s="9"/>
      <c r="Y68" s="19">
        <v>144274</v>
      </c>
    </row>
    <row r="69" spans="1:25" x14ac:dyDescent="0.25">
      <c r="A69" s="26"/>
      <c r="B69" s="114"/>
      <c r="C69" s="26"/>
      <c r="D69" s="26"/>
      <c r="E69" s="26"/>
      <c r="F69" s="26"/>
      <c r="G69" s="26"/>
      <c r="S69" s="10"/>
      <c r="T69" s="9"/>
      <c r="U69" s="10"/>
      <c r="V69" s="9"/>
      <c r="W69" s="9"/>
      <c r="X69" s="9"/>
      <c r="Y69" s="9"/>
    </row>
    <row r="70" spans="1:25" x14ac:dyDescent="0.25">
      <c r="A70" s="26" t="s">
        <v>151</v>
      </c>
      <c r="B70" s="114" t="s">
        <v>152</v>
      </c>
      <c r="C70" s="26"/>
      <c r="D70" s="26"/>
      <c r="E70" s="26"/>
      <c r="F70" s="26"/>
      <c r="G70" s="26"/>
      <c r="S70" s="10"/>
      <c r="T70" s="9"/>
      <c r="U70" s="10"/>
      <c r="V70" s="9"/>
      <c r="W70" s="9"/>
      <c r="X70" s="9"/>
      <c r="Y70" s="9"/>
    </row>
    <row r="71" spans="1:25" x14ac:dyDescent="0.25">
      <c r="A71" s="26" t="s">
        <v>28</v>
      </c>
      <c r="B71" s="115">
        <f>SUMIFS(D6:D58,J6:J58,"VNR", G6:G58, "Y" )</f>
        <v>2695439</v>
      </c>
      <c r="C71" s="26"/>
      <c r="D71" s="26"/>
      <c r="E71" s="26"/>
      <c r="F71" s="26"/>
      <c r="G71" s="26"/>
      <c r="S71" s="9"/>
      <c r="T71" s="9"/>
      <c r="U71" s="10"/>
      <c r="V71" s="9"/>
      <c r="W71" s="9"/>
      <c r="X71" s="9"/>
      <c r="Y71" s="9"/>
    </row>
    <row r="72" spans="1:25" x14ac:dyDescent="0.25">
      <c r="A72" s="26" t="s">
        <v>153</v>
      </c>
      <c r="B72" s="115">
        <f>SUMIFS(D6:D58,J6:J58,"VNR", G6:G58, "N", B6:B58, "Y" )</f>
        <v>10813</v>
      </c>
      <c r="C72" s="26"/>
      <c r="D72" s="26"/>
      <c r="E72" s="26"/>
      <c r="F72" s="26"/>
      <c r="G72" s="26"/>
      <c r="S72" s="9"/>
      <c r="T72" s="9"/>
      <c r="U72" s="10"/>
      <c r="V72" s="9"/>
      <c r="W72" s="9"/>
      <c r="X72" s="9"/>
      <c r="Y72" s="9"/>
    </row>
    <row r="73" spans="1:25" x14ac:dyDescent="0.25">
      <c r="A73" s="26" t="s">
        <v>22</v>
      </c>
      <c r="B73" s="115">
        <f>SUMIFS(D6:D58,J6:J58,"A-base", G6:G58, "Y" )</f>
        <v>793542</v>
      </c>
      <c r="C73" s="26"/>
      <c r="D73" s="26"/>
      <c r="E73" s="26"/>
      <c r="F73" s="26"/>
      <c r="G73" s="26"/>
      <c r="S73" s="9"/>
      <c r="T73" s="9"/>
      <c r="U73" s="10"/>
      <c r="V73" s="9"/>
      <c r="W73" s="9"/>
      <c r="X73" s="9"/>
      <c r="Y73" s="9"/>
    </row>
    <row r="74" spans="1:25" x14ac:dyDescent="0.25">
      <c r="A74" s="26" t="s">
        <v>154</v>
      </c>
      <c r="B74" s="115">
        <f>SUMIFS(D6:D58,J6:J58,"A-base", G6:G58, "N", B6:B58, "Y" )</f>
        <v>0</v>
      </c>
      <c r="C74" s="26"/>
      <c r="D74" s="26"/>
      <c r="E74" s="26"/>
      <c r="F74" s="26"/>
      <c r="G74" s="26"/>
      <c r="S74" s="9"/>
      <c r="T74" s="9"/>
      <c r="U74" s="10"/>
      <c r="V74" s="9"/>
      <c r="W74" s="9"/>
      <c r="X74" s="9"/>
      <c r="Y74" s="9"/>
    </row>
    <row r="75" spans="1:25" x14ac:dyDescent="0.25">
      <c r="A75" s="26"/>
      <c r="B75" s="114"/>
      <c r="C75" s="26"/>
      <c r="D75" s="26"/>
      <c r="E75" s="26"/>
      <c r="F75" s="26"/>
      <c r="G75" s="26"/>
      <c r="S75" s="9"/>
      <c r="T75" s="9"/>
      <c r="U75" s="10"/>
      <c r="V75" s="9"/>
      <c r="W75" s="9"/>
      <c r="X75" s="9"/>
      <c r="Y75" s="9"/>
    </row>
    <row r="76" spans="1:25" x14ac:dyDescent="0.25">
      <c r="A76" s="26"/>
      <c r="B76" s="116">
        <f>SUM(B71:B75)</f>
        <v>3499794</v>
      </c>
      <c r="C76" s="26"/>
      <c r="D76" s="26"/>
      <c r="E76" s="26"/>
      <c r="F76" s="26"/>
      <c r="G76" s="26"/>
      <c r="S76" s="9"/>
      <c r="T76" s="9"/>
      <c r="U76" s="10"/>
      <c r="V76" s="9"/>
      <c r="W76" s="9"/>
      <c r="X76" s="9"/>
      <c r="Y76" s="9"/>
    </row>
    <row r="77" spans="1:25" x14ac:dyDescent="0.25">
      <c r="A77" s="26"/>
      <c r="B77" s="114"/>
      <c r="C77" s="26"/>
      <c r="D77" s="26"/>
      <c r="E77" s="26"/>
      <c r="F77" s="26"/>
      <c r="G77" s="26"/>
      <c r="S77" s="9"/>
      <c r="T77" s="9"/>
      <c r="U77" s="10"/>
      <c r="V77" s="9"/>
      <c r="W77" s="9"/>
      <c r="X77" s="9"/>
      <c r="Y77" s="9"/>
    </row>
    <row r="78" spans="1:25" x14ac:dyDescent="0.25">
      <c r="A78" s="26"/>
      <c r="B78" s="114"/>
      <c r="C78" s="26"/>
      <c r="D78" s="26"/>
      <c r="E78" s="26"/>
      <c r="F78" s="26"/>
      <c r="G78" s="26"/>
      <c r="S78" s="9"/>
      <c r="T78" s="9"/>
      <c r="U78" s="10"/>
      <c r="V78" s="9"/>
      <c r="W78" s="9"/>
      <c r="X78" s="9"/>
      <c r="Y78" s="9"/>
    </row>
    <row r="79" spans="1:25" x14ac:dyDescent="0.25">
      <c r="A79" s="26"/>
      <c r="B79" s="114"/>
      <c r="C79" s="26"/>
      <c r="D79" s="26"/>
      <c r="E79" s="26"/>
      <c r="F79" s="26"/>
      <c r="G79" s="26"/>
      <c r="S79" s="9"/>
      <c r="T79" s="9"/>
      <c r="U79" s="10"/>
      <c r="V79" s="9"/>
      <c r="W79" s="9"/>
      <c r="X79" s="9"/>
      <c r="Y79" s="9"/>
    </row>
    <row r="80" spans="1:25" x14ac:dyDescent="0.25">
      <c r="A80" s="26"/>
      <c r="B80" s="114"/>
      <c r="C80" s="26"/>
      <c r="D80" s="26"/>
      <c r="E80" s="26"/>
      <c r="F80" s="26"/>
      <c r="G80" s="26"/>
      <c r="S80" s="9"/>
      <c r="T80" s="9"/>
      <c r="U80" s="10"/>
      <c r="V80" s="9"/>
      <c r="W80" s="9"/>
      <c r="X80" s="9"/>
      <c r="Y80" s="9"/>
    </row>
    <row r="81" spans="1:25" x14ac:dyDescent="0.25">
      <c r="A81" s="26"/>
      <c r="B81" s="114"/>
      <c r="C81" s="26"/>
      <c r="D81" s="26"/>
      <c r="E81" s="26"/>
      <c r="F81" s="26"/>
      <c r="G81" s="26"/>
      <c r="S81" s="9"/>
      <c r="T81" s="9"/>
      <c r="U81" s="10"/>
      <c r="V81" s="9"/>
      <c r="W81" s="9"/>
      <c r="X81" s="9"/>
      <c r="Y81" s="9"/>
    </row>
    <row r="82" spans="1:25" x14ac:dyDescent="0.25">
      <c r="A82" s="26"/>
      <c r="B82" s="114"/>
      <c r="C82" s="26"/>
      <c r="D82" s="26"/>
      <c r="E82" s="26"/>
      <c r="F82" s="26"/>
      <c r="G82" s="26"/>
      <c r="S82" s="9"/>
      <c r="T82" s="9"/>
      <c r="U82" s="10"/>
      <c r="V82" s="9"/>
      <c r="W82" s="9"/>
      <c r="X82" s="9"/>
      <c r="Y82" s="9"/>
    </row>
    <row r="83" spans="1:25" x14ac:dyDescent="0.25">
      <c r="A83" s="26"/>
      <c r="B83" s="114"/>
      <c r="C83" s="26"/>
      <c r="D83" s="26"/>
      <c r="E83" s="26"/>
      <c r="F83" s="26"/>
      <c r="G83" s="26"/>
      <c r="S83" s="9"/>
      <c r="T83" s="9"/>
      <c r="U83" s="10"/>
      <c r="V83" s="9"/>
      <c r="W83" s="9"/>
      <c r="X83" s="9"/>
      <c r="Y83" s="9"/>
    </row>
    <row r="84" spans="1:25" x14ac:dyDescent="0.25">
      <c r="S84" s="9"/>
      <c r="T84" s="9"/>
      <c r="U84" s="10"/>
      <c r="V84" s="9"/>
      <c r="W84" s="9"/>
      <c r="X84" s="9"/>
      <c r="Y84" s="9"/>
    </row>
    <row r="85" spans="1:25" x14ac:dyDescent="0.25">
      <c r="S85" s="9"/>
      <c r="T85" s="9"/>
      <c r="U85" s="10"/>
      <c r="V85" s="9"/>
      <c r="W85" s="9"/>
      <c r="X85" s="9"/>
      <c r="Y85" s="9"/>
    </row>
    <row r="86" spans="1:25" x14ac:dyDescent="0.25">
      <c r="S86" s="9"/>
      <c r="T86" s="9"/>
      <c r="U86" s="10"/>
      <c r="V86" s="9"/>
      <c r="W86" s="9"/>
      <c r="X86" s="9"/>
      <c r="Y86" s="9"/>
    </row>
    <row r="87" spans="1:25" x14ac:dyDescent="0.25">
      <c r="S87" s="9"/>
      <c r="T87" s="9"/>
      <c r="U87" s="10"/>
      <c r="V87" s="9"/>
      <c r="W87" s="9"/>
      <c r="X87" s="9"/>
      <c r="Y87" s="9"/>
    </row>
    <row r="88" spans="1:25" x14ac:dyDescent="0.25">
      <c r="S88" s="9"/>
      <c r="T88" s="9"/>
      <c r="U88" s="10"/>
      <c r="V88" s="9"/>
      <c r="W88" s="9"/>
      <c r="X88" s="9"/>
      <c r="Y88" s="9"/>
    </row>
    <row r="89" spans="1:25" x14ac:dyDescent="0.25">
      <c r="S89" s="9"/>
      <c r="T89" s="9"/>
      <c r="U89" s="9"/>
      <c r="V89" s="9"/>
      <c r="W89" s="9"/>
      <c r="X89" s="9"/>
      <c r="Y89" s="9"/>
    </row>
    <row r="90" spans="1:25" x14ac:dyDescent="0.25">
      <c r="S90" s="9"/>
      <c r="T90" s="9"/>
      <c r="U90" s="9"/>
      <c r="V90" s="9"/>
      <c r="W90" s="9"/>
      <c r="X90" s="9"/>
      <c r="Y90" s="9"/>
    </row>
    <row r="91" spans="1:25" x14ac:dyDescent="0.25">
      <c r="S91" s="9"/>
      <c r="T91" s="9"/>
      <c r="U91" s="9"/>
      <c r="V91" s="9"/>
      <c r="W91" s="9"/>
      <c r="X91" s="9"/>
      <c r="Y91" s="9"/>
    </row>
    <row r="92" spans="1:25" x14ac:dyDescent="0.25">
      <c r="S92" s="9"/>
      <c r="T92" s="9"/>
      <c r="U92" s="9"/>
      <c r="V92" s="9"/>
      <c r="W92" s="9"/>
      <c r="X92" s="9"/>
      <c r="Y92" s="9"/>
    </row>
    <row r="93" spans="1:25" x14ac:dyDescent="0.25">
      <c r="S93" s="9"/>
      <c r="T93" s="9"/>
      <c r="U93" s="9"/>
      <c r="V93" s="9"/>
      <c r="W93" s="9"/>
      <c r="X93" s="9"/>
      <c r="Y93" s="9"/>
    </row>
    <row r="94" spans="1:25" x14ac:dyDescent="0.25">
      <c r="S94" s="9"/>
      <c r="T94" s="9"/>
      <c r="U94" s="9"/>
      <c r="V94" s="9"/>
      <c r="W94" s="9"/>
      <c r="X94" s="9"/>
      <c r="Y94" s="9"/>
    </row>
    <row r="95" spans="1:25" x14ac:dyDescent="0.25">
      <c r="S95" s="22"/>
      <c r="T95" s="22"/>
      <c r="U95" s="22"/>
      <c r="V95" s="22"/>
      <c r="W95" s="22"/>
      <c r="X95" s="22"/>
      <c r="Y95" s="22"/>
    </row>
  </sheetData>
  <mergeCells count="2">
    <mergeCell ref="A4:O4"/>
    <mergeCell ref="A3:O3"/>
  </mergeCells>
  <pageMargins left="0.7" right="0.7" top="0.75" bottom="0.75" header="0.3" footer="0.3"/>
  <pageSetup orientation="portrait"/>
  <headerFooter>
    <oddHeader>&amp;R&amp;"Calibri"&amp;1 &amp;K000000 Protected A | Protégé A#_x000D_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66"/>
  <sheetViews>
    <sheetView tabSelected="1" zoomScale="90" zoomScaleNormal="90" workbookViewId="0">
      <selection activeCell="B9" sqref="B9"/>
    </sheetView>
  </sheetViews>
  <sheetFormatPr baseColWidth="10" defaultColWidth="8.83203125" defaultRowHeight="13" x14ac:dyDescent="0.15"/>
  <cols>
    <col min="1" max="1" width="28.6640625" customWidth="1"/>
    <col min="2" max="2" width="17.33203125" bestFit="1" customWidth="1"/>
    <col min="3" max="3" width="15.1640625" bestFit="1" customWidth="1"/>
    <col min="4" max="4" width="13" bestFit="1" customWidth="1"/>
    <col min="5" max="6" width="12.83203125" customWidth="1"/>
    <col min="7" max="7" width="12" bestFit="1" customWidth="1"/>
    <col min="8" max="8" width="16.1640625" bestFit="1" customWidth="1"/>
    <col min="9" max="9" width="13.6640625" bestFit="1" customWidth="1"/>
    <col min="10" max="10" width="14.5" customWidth="1"/>
    <col min="11" max="11" width="12.33203125" customWidth="1"/>
    <col min="12" max="12" width="13.5" customWidth="1"/>
    <col min="13" max="13" width="11.6640625" customWidth="1"/>
    <col min="14" max="14" width="17.33203125" bestFit="1" customWidth="1"/>
    <col min="15" max="15" width="13" customWidth="1"/>
    <col min="16" max="16" width="10.1640625" customWidth="1"/>
    <col min="17" max="17" width="12.5" customWidth="1"/>
    <col min="18" max="19" width="9.6640625" customWidth="1"/>
    <col min="20" max="20" width="9" bestFit="1" customWidth="1"/>
    <col min="21" max="21" width="8.5" bestFit="1" customWidth="1"/>
    <col min="22" max="23" width="9.33203125" bestFit="1" customWidth="1"/>
    <col min="24" max="24" width="9.1640625" bestFit="1" customWidth="1"/>
    <col min="25" max="26" width="9.5" bestFit="1" customWidth="1"/>
    <col min="27" max="27" width="8.83203125" bestFit="1" customWidth="1"/>
    <col min="28" max="28" width="9.1640625" bestFit="1" customWidth="1"/>
    <col min="29" max="29" width="9.33203125" bestFit="1" customWidth="1"/>
    <col min="31" max="31" width="48.6640625" bestFit="1" customWidth="1"/>
    <col min="32" max="32" width="9.1640625" bestFit="1" customWidth="1"/>
    <col min="33" max="33" width="9.6640625" bestFit="1" customWidth="1"/>
    <col min="34" max="34" width="9" bestFit="1" customWidth="1"/>
    <col min="35" max="35" width="8.5" bestFit="1" customWidth="1"/>
    <col min="36" max="37" width="9.33203125" bestFit="1" customWidth="1"/>
    <col min="38" max="38" width="9.1640625" bestFit="1" customWidth="1"/>
    <col min="39" max="40" width="9.5" bestFit="1" customWidth="1"/>
    <col min="41" max="41" width="8.83203125" bestFit="1" customWidth="1"/>
    <col min="42" max="42" width="9.1640625" bestFit="1" customWidth="1"/>
    <col min="43" max="43" width="9.33203125" bestFit="1" customWidth="1"/>
  </cols>
  <sheetData>
    <row r="1" spans="1:43" ht="13" customHeight="1" x14ac:dyDescent="0.2">
      <c r="A1" s="26"/>
      <c r="F1" s="26"/>
      <c r="G1" s="26"/>
      <c r="H1" s="26"/>
      <c r="J1" s="140"/>
      <c r="K1" s="26"/>
      <c r="L1" s="26"/>
      <c r="M1" s="26"/>
      <c r="N1" s="26"/>
      <c r="O1" s="26"/>
      <c r="P1" s="26"/>
      <c r="Q1" s="26"/>
      <c r="R1" s="26"/>
      <c r="S1" s="26"/>
      <c r="T1" s="26"/>
      <c r="U1" s="26"/>
      <c r="V1" s="26"/>
      <c r="W1" s="26"/>
      <c r="X1" s="26"/>
      <c r="Y1" s="26"/>
      <c r="Z1" s="26"/>
      <c r="AA1" s="26"/>
      <c r="AB1" s="26"/>
      <c r="AC1" s="26"/>
    </row>
    <row r="2" spans="1:43" ht="13" customHeight="1" x14ac:dyDescent="0.2">
      <c r="A2" s="26"/>
      <c r="F2" s="26"/>
      <c r="G2" s="26"/>
      <c r="H2" s="26"/>
      <c r="J2" s="140"/>
      <c r="K2" s="26"/>
      <c r="L2" s="26"/>
      <c r="M2" s="26"/>
      <c r="N2" s="26"/>
      <c r="O2" s="26"/>
      <c r="P2" s="26"/>
      <c r="Q2" s="26"/>
      <c r="R2" s="26"/>
      <c r="S2" s="26"/>
      <c r="T2" s="26"/>
      <c r="U2" s="26"/>
      <c r="V2" s="26"/>
      <c r="W2" s="26"/>
      <c r="X2" s="26"/>
      <c r="Y2" s="26"/>
      <c r="Z2" s="26"/>
      <c r="AA2" s="26"/>
      <c r="AB2" s="26"/>
      <c r="AC2" s="26"/>
    </row>
    <row r="3" spans="1:43" ht="13" customHeight="1" x14ac:dyDescent="0.2">
      <c r="A3" s="26"/>
      <c r="F3" s="26"/>
      <c r="G3" s="128" t="s">
        <v>155</v>
      </c>
      <c r="H3" s="26"/>
      <c r="J3" s="140"/>
      <c r="K3" s="26"/>
      <c r="L3" s="26"/>
      <c r="M3" s="26"/>
      <c r="N3" s="26"/>
      <c r="O3" s="26"/>
      <c r="P3" s="26"/>
      <c r="Q3" s="26"/>
      <c r="R3" s="26"/>
      <c r="S3" s="26"/>
      <c r="T3" s="26"/>
      <c r="U3" s="26"/>
      <c r="V3" s="26"/>
      <c r="W3" s="26"/>
      <c r="X3" s="26"/>
      <c r="Y3" s="26"/>
      <c r="Z3" s="26"/>
      <c r="AA3" s="26"/>
      <c r="AB3" s="26"/>
      <c r="AC3" s="26"/>
    </row>
    <row r="4" spans="1:43" ht="13" customHeight="1" x14ac:dyDescent="0.2">
      <c r="A4" s="26"/>
      <c r="F4" s="26"/>
      <c r="G4" s="26"/>
      <c r="H4" s="26"/>
      <c r="I4" s="141"/>
      <c r="J4" s="141"/>
      <c r="K4" s="26"/>
      <c r="L4" s="26"/>
      <c r="M4" s="26"/>
      <c r="N4" s="26"/>
      <c r="O4" s="26"/>
      <c r="P4" s="26"/>
      <c r="Q4" s="26"/>
      <c r="R4" s="26"/>
      <c r="S4" s="26"/>
      <c r="T4" s="26"/>
      <c r="U4" s="26"/>
      <c r="V4" s="26"/>
      <c r="W4" s="26"/>
      <c r="X4" s="26"/>
      <c r="Y4" s="26"/>
      <c r="Z4" s="26"/>
      <c r="AA4" s="26"/>
      <c r="AB4" s="26"/>
      <c r="AC4" s="26"/>
      <c r="AE4" s="206" t="s">
        <v>156</v>
      </c>
    </row>
    <row r="5" spans="1:43" ht="14.5" customHeight="1" x14ac:dyDescent="0.2">
      <c r="A5" s="27"/>
      <c r="B5" s="27"/>
      <c r="C5" s="27"/>
      <c r="D5" s="27"/>
      <c r="E5" s="27"/>
      <c r="F5" s="27"/>
      <c r="G5" s="27"/>
      <c r="H5" s="27"/>
      <c r="I5" s="291">
        <v>45597</v>
      </c>
      <c r="J5" s="27"/>
      <c r="K5" s="298" t="s">
        <v>157</v>
      </c>
      <c r="L5" s="299"/>
      <c r="M5" s="300"/>
      <c r="N5" s="301" t="s">
        <v>158</v>
      </c>
      <c r="O5" s="299"/>
      <c r="P5" s="299"/>
      <c r="Q5" s="299"/>
      <c r="R5" s="297" t="s">
        <v>159</v>
      </c>
      <c r="S5" s="294"/>
      <c r="T5" s="294"/>
      <c r="U5" s="294"/>
      <c r="V5" s="294"/>
      <c r="W5" s="294"/>
      <c r="X5" s="294"/>
      <c r="Y5" s="294"/>
      <c r="Z5" s="294"/>
      <c r="AA5" s="294"/>
      <c r="AB5" s="294"/>
      <c r="AC5" s="295"/>
    </row>
    <row r="6" spans="1:43" ht="67.5" customHeight="1" x14ac:dyDescent="0.15">
      <c r="A6" s="155" t="s">
        <v>160</v>
      </c>
      <c r="B6" s="158" t="s">
        <v>161</v>
      </c>
      <c r="C6" s="158" t="s">
        <v>162</v>
      </c>
      <c r="D6" s="156" t="s">
        <v>163</v>
      </c>
      <c r="E6" s="156" t="s">
        <v>164</v>
      </c>
      <c r="F6" s="157" t="s">
        <v>10</v>
      </c>
      <c r="G6" s="157" t="s">
        <v>11</v>
      </c>
      <c r="H6" s="158" t="s">
        <v>165</v>
      </c>
      <c r="I6" s="159" t="str">
        <f>"Actuals and including "&amp;TEXT($I$5,"mmm-yyyy")</f>
        <v>Actuals and including Nov-2024</v>
      </c>
      <c r="J6" s="159" t="s">
        <v>166</v>
      </c>
      <c r="K6" s="160" t="s">
        <v>167</v>
      </c>
      <c r="L6" s="160" t="s">
        <v>164</v>
      </c>
      <c r="M6" s="160" t="s">
        <v>168</v>
      </c>
      <c r="N6" s="280" t="s">
        <v>169</v>
      </c>
      <c r="O6" s="280" t="s">
        <v>170</v>
      </c>
      <c r="P6" s="162" t="s">
        <v>171</v>
      </c>
      <c r="Q6" s="161" t="s">
        <v>172</v>
      </c>
      <c r="R6" s="290">
        <v>45383</v>
      </c>
      <c r="S6" s="290">
        <v>45413</v>
      </c>
      <c r="T6" s="290">
        <v>45444</v>
      </c>
      <c r="U6" s="290">
        <v>45474</v>
      </c>
      <c r="V6" s="290">
        <v>45505</v>
      </c>
      <c r="W6" s="290">
        <v>45536</v>
      </c>
      <c r="X6" s="290">
        <v>45566</v>
      </c>
      <c r="Y6" s="290">
        <v>45597</v>
      </c>
      <c r="Z6" s="290">
        <v>45627</v>
      </c>
      <c r="AA6" s="290">
        <v>45658</v>
      </c>
      <c r="AB6" s="290">
        <v>45689</v>
      </c>
      <c r="AC6" s="290">
        <v>45717</v>
      </c>
      <c r="AF6" s="289">
        <v>45383</v>
      </c>
      <c r="AG6" s="289">
        <v>45413</v>
      </c>
      <c r="AH6" s="289">
        <v>45444</v>
      </c>
      <c r="AI6" s="289">
        <v>45474</v>
      </c>
      <c r="AJ6" s="289">
        <v>45505</v>
      </c>
      <c r="AK6" s="289">
        <v>45536</v>
      </c>
      <c r="AL6" s="289">
        <v>45566</v>
      </c>
      <c r="AM6" s="289">
        <v>45597</v>
      </c>
      <c r="AN6" s="289">
        <v>45627</v>
      </c>
      <c r="AO6" s="289">
        <v>45658</v>
      </c>
      <c r="AP6" s="289">
        <v>45689</v>
      </c>
      <c r="AQ6" s="289">
        <v>45717</v>
      </c>
    </row>
    <row r="7" spans="1:43" ht="14.5" customHeight="1" x14ac:dyDescent="0.2">
      <c r="A7" s="184" t="s">
        <v>173</v>
      </c>
      <c r="B7" s="188">
        <v>45600</v>
      </c>
      <c r="C7" s="189">
        <v>45716</v>
      </c>
      <c r="D7" s="171">
        <v>2000</v>
      </c>
      <c r="E7" s="163">
        <v>500</v>
      </c>
      <c r="F7" s="164" t="s">
        <v>27</v>
      </c>
      <c r="G7" s="165">
        <v>3</v>
      </c>
      <c r="H7" s="283">
        <v>45600</v>
      </c>
      <c r="I7" s="172">
        <f>SUMIFS(R7:AC7,$R$6:$AC$6,"&lt;="&amp;$I$5)</f>
        <v>500</v>
      </c>
      <c r="J7" s="172">
        <f>SUMIFS(R7:AC7,$R$6:$AC$6,"&gt;"&amp;$I$5)</f>
        <v>1500</v>
      </c>
      <c r="K7" s="173"/>
      <c r="L7" s="173"/>
      <c r="M7" s="173"/>
      <c r="N7" s="286">
        <f>INDEX(CBAIncrement[Eff. date],MATCH(F7,CBAIncrement[Level],0))</f>
        <v>45648</v>
      </c>
      <c r="O7" s="174"/>
      <c r="P7" s="174"/>
      <c r="Q7" s="174"/>
      <c r="R7" s="175">
        <f t="shared" ref="R7:AC7" si="0">IF(MEDIAN(EOMONTH($B7,-1),$C7,R$6)=R$6,$E7,0)</f>
        <v>0</v>
      </c>
      <c r="S7" s="175">
        <f t="shared" si="0"/>
        <v>0</v>
      </c>
      <c r="T7" s="175">
        <f t="shared" si="0"/>
        <v>0</v>
      </c>
      <c r="U7" s="175">
        <f t="shared" si="0"/>
        <v>0</v>
      </c>
      <c r="V7" s="175">
        <f t="shared" si="0"/>
        <v>0</v>
      </c>
      <c r="W7" s="175">
        <f t="shared" si="0"/>
        <v>0</v>
      </c>
      <c r="X7" s="175">
        <f t="shared" si="0"/>
        <v>0</v>
      </c>
      <c r="Y7" s="175">
        <f t="shared" si="0"/>
        <v>500</v>
      </c>
      <c r="Z7" s="175">
        <f t="shared" si="0"/>
        <v>500</v>
      </c>
      <c r="AA7" s="175">
        <f t="shared" si="0"/>
        <v>500</v>
      </c>
      <c r="AB7" s="175">
        <f t="shared" si="0"/>
        <v>500</v>
      </c>
      <c r="AC7" s="175">
        <f t="shared" si="0"/>
        <v>0</v>
      </c>
    </row>
    <row r="8" spans="1:43" ht="14.5" customHeight="1" x14ac:dyDescent="0.2">
      <c r="A8" s="170" t="s">
        <v>174</v>
      </c>
      <c r="B8" s="188">
        <v>43831</v>
      </c>
      <c r="C8" s="190"/>
      <c r="D8" s="171">
        <f>INDEX(AnnIncrement[[Step 1]:[Step 9]],MATCH(F8,AnnIncrement[Level],0),G8)</f>
        <v>123137</v>
      </c>
      <c r="E8" s="163">
        <f t="shared" ref="E8:E15" si="1">D8/12</f>
        <v>10261.416666666666</v>
      </c>
      <c r="F8" s="164" t="s">
        <v>34</v>
      </c>
      <c r="G8" s="165">
        <v>8</v>
      </c>
      <c r="H8" s="284">
        <v>45383</v>
      </c>
      <c r="I8" s="172">
        <f>SUMIFS(R8:AC8,$R$6:$AC$6,"&lt;="&amp;$I$5)</f>
        <v>82091.333333333328</v>
      </c>
      <c r="J8" s="172">
        <f>SUMIFS(R8:AC8,$R$6:$AC$6,"&gt;"&amp;$I$5)</f>
        <v>41814.567204301078</v>
      </c>
      <c r="K8" s="173">
        <f>MAX($D8,IFERROR(INDEX(AnnIncrement[[Step 1]:[Step 9]],MATCH($F8,AnnIncrement[Level],0),$G8+1),$D8))</f>
        <v>123137</v>
      </c>
      <c r="L8" s="173">
        <f t="shared" ref="L8:L15" si="2">K8/12</f>
        <v>10261.416666666666</v>
      </c>
      <c r="M8" s="173">
        <f>IFERROR(E8*DAY(H8-1)/DAY(EOMONTH(H8,0))+L8*(DAY(EOMONTH(H8,0))-DAY(H8-1))/DAY(EOMONTH(H8,0)),E8)</f>
        <v>10261.416666666666</v>
      </c>
      <c r="N8" s="286">
        <f>INDEX(CBAIncrement[Eff. date],MATCH(F8,CBAIncrement[Level],0))</f>
        <v>45648</v>
      </c>
      <c r="O8" s="174">
        <f>MAX($D8,IFERROR(INDEX(CBAIncrement[[Step 1]:[Step 9]],MATCH($F8,CBAIncrement[Level],0),$G8+IF($H8&lt;$B$34,1,0)),$D8))</f>
        <v>125914</v>
      </c>
      <c r="P8" s="174">
        <f t="shared" ref="P8:P15" si="3">O8/12</f>
        <v>10492.833333333334</v>
      </c>
      <c r="Q8" s="174">
        <f>IF(H8&lt;$B$21,L8,E8)*21/31+P8*10/31</f>
        <v>10336.067204301075</v>
      </c>
      <c r="R8" s="175">
        <f t="shared" ref="R8:AC8" si="4">IF(EOMONTH(R$6,0)=EOMONTH($N8,0),$Q8,IF(EOMONTH(R$6,0)&gt;EOMONTH($N8,0),$P8,IF(EOMONTH(R$6,0)&lt;IFERROR(EOMONTH($H8,0),EOMONTH(R$6,0)),$E8,IF(EOMONTH(R$6,0)=IFERROR(EOMONTH($H8,0),EOMONTH(R$6,0)),$M8,IF(EOMONTH(R$6,0)&gt;IFERROR(EOMONTH($H8,0),EOMONTH(R$6,0)),$L8,$M8)))))
*IF(OR($B8&gt;EOMONTH(R$6,0),IF($C8="",R$6,$C8)&lt;R$6),0,1)*
IF(AND(EOMONTH($B8,0)=EOMONTH(R$6,0),EOMONTH($C8,0)=EOMONTH(R$6,0)),(DAY($C8)-DAY($B8)+1)/DAY(EOMONTH($B8,0)),
IF(EOMONTH($B8,0)=EOMONTH(R$6,0),(DAY(EOMONTH($B8,0))-DAY($B8)+1)/DAY(EOMONTH($B8,0)),1)*
IF(EOMONTH($C8,0)=EOMONTH(R$6,0),DAY($C8)/DAY(EOMONTH($C8,0)),1))
+N("this part of formula is to prorate the salary when either or both start date or end date of employment falls in the month")</f>
        <v>10261.416666666666</v>
      </c>
      <c r="S8" s="175">
        <f t="shared" si="4"/>
        <v>10261.416666666666</v>
      </c>
      <c r="T8" s="175">
        <f t="shared" si="4"/>
        <v>10261.416666666666</v>
      </c>
      <c r="U8" s="175">
        <f t="shared" si="4"/>
        <v>10261.416666666666</v>
      </c>
      <c r="V8" s="175">
        <f t="shared" si="4"/>
        <v>10261.416666666666</v>
      </c>
      <c r="W8" s="175">
        <f t="shared" si="4"/>
        <v>10261.416666666666</v>
      </c>
      <c r="X8" s="175">
        <f t="shared" si="4"/>
        <v>10261.416666666666</v>
      </c>
      <c r="Y8" s="175">
        <f t="shared" si="4"/>
        <v>10261.416666666666</v>
      </c>
      <c r="Z8" s="175">
        <f t="shared" si="4"/>
        <v>10336.067204301075</v>
      </c>
      <c r="AA8" s="175">
        <f t="shared" si="4"/>
        <v>10492.833333333334</v>
      </c>
      <c r="AB8" s="175">
        <f t="shared" si="4"/>
        <v>10492.833333333334</v>
      </c>
      <c r="AC8" s="175">
        <f t="shared" si="4"/>
        <v>10492.833333333334</v>
      </c>
      <c r="AE8" s="282" t="str">
        <f>A9</f>
        <v>Emp. 3 retiring (April 1 to Oct 15)</v>
      </c>
    </row>
    <row r="9" spans="1:43" ht="14.5" customHeight="1" x14ac:dyDescent="0.2">
      <c r="A9" s="186" t="s">
        <v>175</v>
      </c>
      <c r="B9" s="203">
        <v>43831</v>
      </c>
      <c r="C9" s="192">
        <v>45580</v>
      </c>
      <c r="D9" s="166">
        <f>INDEX(AnnIncrement[[Step 1]:[Step 9]],MATCH(F9,AnnIncrement[Level],0),G9)</f>
        <v>109351</v>
      </c>
      <c r="E9" s="167">
        <f t="shared" si="1"/>
        <v>9112.5833333333339</v>
      </c>
      <c r="F9" s="168" t="s">
        <v>34</v>
      </c>
      <c r="G9" s="169">
        <v>4</v>
      </c>
      <c r="H9" s="285"/>
      <c r="I9" s="176">
        <v>59325</v>
      </c>
      <c r="J9" s="176">
        <v>0</v>
      </c>
      <c r="K9" s="176">
        <f>MAX($D9,IFERROR(INDEX(AnnIncrement[[Step 1]:[Step 9]],MATCH($F9,AnnIncrement[Level],0),$G9+1),$D9))</f>
        <v>112763</v>
      </c>
      <c r="L9" s="176">
        <f t="shared" si="2"/>
        <v>9396.9166666666661</v>
      </c>
      <c r="M9" s="176"/>
      <c r="N9" s="287">
        <f>INDEX(CBAIncrement[Eff. date],MATCH(F9,CBAIncrement[Level],0))</f>
        <v>45648</v>
      </c>
      <c r="O9" s="176"/>
      <c r="P9" s="176">
        <f t="shared" si="3"/>
        <v>0</v>
      </c>
      <c r="Q9" s="176"/>
      <c r="R9" s="176">
        <f>IF(EOMONTH(R$6,0)=EOMONTH($N9,0),$Q9,IF(EOMONTH(R$6,0)&gt;EOMONTH($N9,0),$P9,IF(EOMONTH(R$6,0)&lt;IFERROR(EOMONTH($H9,0),EOMONTH(R$6,0)),$E9,IF(EOMONTH(R$6,0)=IFERROR(EOMONTH($H9,0),EOMONTH(R$6,0)),$M9,IF(EOMONTH(R$6,0)&gt;IFERROR(EOMONTH($H9,0),EOMONTH(R$6,0)),$L9,$M9)))))
*IF(OR($B9&gt;EOMONTH(R$6,0),IF($C9="",R$6,$C9)&lt;R$6),0,1)*
IF(AND(EOMONTH($B9,0)=EOMONTH(R$6,0),EOMONTH($C9,0)=EOMONTH(R$6,0)),(DAY($C9)-DAY($B9)+1)/DAY(EOMONTH($B9,0)),
IF(EOMONTH($B9,0)=EOMONTH(R$6,0),(DAY(EOMONTH($B9,0))-DAY($B9)+1)/DAY(EOMONTH($B9,0)),1)*
IF(EOMONTH($C9,0)=EOMONTH(R$6,0),DAY($C9)/DAY(EOMONTH($C9,0)),1))
+N("this part of formula is to prorate the salary when either or both start date or end date of employment falls in the month")</f>
        <v>9396.9166666666661</v>
      </c>
      <c r="S9" s="176">
        <f t="shared" ref="S9:AC15" si="5">IF(EOMONTH(S$6,0)=EOMONTH($N9,0),$Q9,IF(EOMONTH(S$6,0)&gt;EOMONTH($N9,0),$P9,IF(EOMONTH(S$6,0)&lt;IFERROR(EOMONTH($H9,0),EOMONTH(S$6,0)),$E9,IF(EOMONTH(S$6,0)=IFERROR(EOMONTH($H9,0),EOMONTH(S$6,0)),$M9,IF(EOMONTH(S$6,0)&gt;IFERROR(EOMONTH($H9,0),EOMONTH(S$6,0)),$L9,$M9)))))
*IF(OR($B9&gt;EOMONTH(S$6,0),IF($C9="",S$6,$C9)&lt;S$6),0,1)*
IF(AND(EOMONTH($B9,0)=EOMONTH(S$6,0),EOMONTH($C9,0)=EOMONTH(S$6,0)),(DAY($C9)-DAY($B9)+1)/DAY(EOMONTH($B9,0)),
IF(EOMONTH($B9,0)=EOMONTH(S$6,0),(DAY(EOMONTH($B9,0))-DAY($B9)+1)/DAY(EOMONTH($B9,0)),1)*
IF(EOMONTH($C9,0)=EOMONTH(S$6,0),DAY($C9)/DAY(EOMONTH($C9,0)),1))
+N("this part of formula is to prorate the salary when either or both start date or end date of employment falls in the month")</f>
        <v>9396.9166666666661</v>
      </c>
      <c r="T9" s="176">
        <f t="shared" si="5"/>
        <v>9396.9166666666661</v>
      </c>
      <c r="U9" s="176">
        <f t="shared" si="5"/>
        <v>9396.9166666666661</v>
      </c>
      <c r="V9" s="176">
        <f t="shared" si="5"/>
        <v>9396.9166666666661</v>
      </c>
      <c r="W9" s="176">
        <f t="shared" si="5"/>
        <v>9396.9166666666661</v>
      </c>
      <c r="X9" s="176">
        <f t="shared" si="5"/>
        <v>4546.895161290322</v>
      </c>
      <c r="Y9" s="176">
        <f t="shared" si="5"/>
        <v>0</v>
      </c>
      <c r="Z9" s="176">
        <f t="shared" si="5"/>
        <v>0</v>
      </c>
      <c r="AA9" s="176">
        <f t="shared" si="5"/>
        <v>0</v>
      </c>
      <c r="AB9" s="176">
        <f t="shared" si="5"/>
        <v>0</v>
      </c>
      <c r="AC9" s="176">
        <f t="shared" si="5"/>
        <v>0</v>
      </c>
      <c r="AE9" s="205" t="s">
        <v>176</v>
      </c>
      <c r="AF9" s="204">
        <f t="shared" ref="AF9:AQ9" si="6">IF(EOMONTH($B9,0)=EOMONTH(R$6,0),(DAY(EOMONTH($B9,0))-DAY($B9)+1)/DAY(EOMONTH($B9,0)),1)</f>
        <v>1</v>
      </c>
      <c r="AG9" s="204">
        <f t="shared" si="6"/>
        <v>1</v>
      </c>
      <c r="AH9" s="204">
        <f t="shared" si="6"/>
        <v>1</v>
      </c>
      <c r="AI9" s="204">
        <f t="shared" si="6"/>
        <v>1</v>
      </c>
      <c r="AJ9" s="204">
        <f t="shared" si="6"/>
        <v>1</v>
      </c>
      <c r="AK9" s="204">
        <f t="shared" si="6"/>
        <v>1</v>
      </c>
      <c r="AL9" s="204">
        <f t="shared" si="6"/>
        <v>1</v>
      </c>
      <c r="AM9" s="204">
        <f t="shared" si="6"/>
        <v>1</v>
      </c>
      <c r="AN9" s="204">
        <f t="shared" si="6"/>
        <v>1</v>
      </c>
      <c r="AO9" s="204">
        <f t="shared" si="6"/>
        <v>1</v>
      </c>
      <c r="AP9" s="204">
        <f t="shared" si="6"/>
        <v>1</v>
      </c>
      <c r="AQ9" s="204">
        <f t="shared" si="6"/>
        <v>1</v>
      </c>
    </row>
    <row r="10" spans="1:43" ht="14.5" customHeight="1" x14ac:dyDescent="0.2">
      <c r="A10" s="191" t="s">
        <v>177</v>
      </c>
      <c r="B10" s="188">
        <v>43831</v>
      </c>
      <c r="C10" s="190"/>
      <c r="D10" s="171">
        <f>INDEX(AnnIncrement[[Step 1]:[Step 9]],MATCH(F10,AnnIncrement[Level],0),G10)</f>
        <v>116172</v>
      </c>
      <c r="E10" s="163">
        <f t="shared" si="1"/>
        <v>9681</v>
      </c>
      <c r="F10" s="164" t="s">
        <v>34</v>
      </c>
      <c r="G10" s="165">
        <v>6</v>
      </c>
      <c r="H10" s="284">
        <v>45365</v>
      </c>
      <c r="I10" s="172">
        <f t="shared" ref="I10:I15" si="7">SUMIFS(R10:AC10,$R$6:$AC$6,"&lt;="&amp;$I$5)</f>
        <v>79722.666666666672</v>
      </c>
      <c r="J10" s="172">
        <f t="shared" ref="J10:J15" si="8">SUMIFS(R10:AC10,$R$6:$AC$6,"&gt;"&amp;$I$5)</f>
        <v>0</v>
      </c>
      <c r="K10" s="173">
        <f>MAX($D10,IFERROR(INDEX(AnnIncrement[[Step 1]:[Step 9]],MATCH($F10,AnnIncrement[Level],0),$G10+1),$D10))</f>
        <v>119584</v>
      </c>
      <c r="L10" s="173">
        <f t="shared" si="2"/>
        <v>9965.3333333333339</v>
      </c>
      <c r="M10" s="173"/>
      <c r="N10" s="286">
        <f>INDEX(CBAIncrement[Eff. date],MATCH(F10,CBAIncrement[Level],0))</f>
        <v>45648</v>
      </c>
      <c r="O10" s="174"/>
      <c r="P10" s="174">
        <f t="shared" si="3"/>
        <v>0</v>
      </c>
      <c r="Q10" s="174"/>
      <c r="R10" s="175">
        <f t="shared" ref="R10:R15" si="9">IF(EOMONTH(R$6,0)=EOMONTH($N10,0),$Q10,IF(EOMONTH(R$6,0)&gt;EOMONTH($N10,0),$P10,IF(EOMONTH(R$6,0)&lt;IFERROR(EOMONTH($H10,0),EOMONTH(R$6,0)),$E10,IF(EOMONTH(R$6,0)=IFERROR(EOMONTH($H10,0),EOMONTH(R$6,0)),$M10,IF(EOMONTH(R$6,0)&gt;IFERROR(EOMONTH($H10,0),EOMONTH(R$6,0)),$L10,$M10)))))
*IF(OR($B10&gt;EOMONTH(R$6,0),IF($C10="",R$6,$C10)&lt;R$6),0,1)*
IF(AND(EOMONTH($B10,0)=EOMONTH(R$6,0),EOMONTH($C10,0)=EOMONTH(R$6,0)),(DAY($C10)-DAY($B10)+1)/DAY(EOMONTH($B10,0)),
IF(EOMONTH($B10,0)=EOMONTH(R$6,0),(DAY(EOMONTH($B10,0))-DAY($B10)+1)/DAY(EOMONTH($B10,0)),1)*
IF(EOMONTH($C10,0)=EOMONTH(R$6,0),DAY($C10)/DAY(EOMONTH($C10,0)),1))
+N("this part of formula is to prorate the salary when either or both start date or end date of employment falls in the month")</f>
        <v>9965.3333333333339</v>
      </c>
      <c r="S10" s="175">
        <f t="shared" si="5"/>
        <v>9965.3333333333339</v>
      </c>
      <c r="T10" s="175">
        <f t="shared" si="5"/>
        <v>9965.3333333333339</v>
      </c>
      <c r="U10" s="175">
        <f t="shared" si="5"/>
        <v>9965.3333333333339</v>
      </c>
      <c r="V10" s="175">
        <f t="shared" si="5"/>
        <v>9965.3333333333339</v>
      </c>
      <c r="W10" s="175">
        <f t="shared" si="5"/>
        <v>9965.3333333333339</v>
      </c>
      <c r="X10" s="175">
        <f t="shared" si="5"/>
        <v>9965.3333333333339</v>
      </c>
      <c r="Y10" s="175">
        <f t="shared" si="5"/>
        <v>9965.3333333333339</v>
      </c>
      <c r="Z10" s="175">
        <f t="shared" si="5"/>
        <v>0</v>
      </c>
      <c r="AA10" s="175">
        <f t="shared" si="5"/>
        <v>0</v>
      </c>
      <c r="AB10" s="175">
        <f t="shared" si="5"/>
        <v>0</v>
      </c>
      <c r="AC10" s="175">
        <f t="shared" si="5"/>
        <v>0</v>
      </c>
      <c r="AE10" s="205" t="s">
        <v>178</v>
      </c>
      <c r="AF10" s="204">
        <f t="shared" ref="AF10:AQ10" si="10">IF(EOMONTH($C9,0)=EOMONTH(R$6,0),DAY($C9)/DAY(EOMONTH($C9,0)),1)</f>
        <v>1</v>
      </c>
      <c r="AG10" s="204">
        <f t="shared" si="10"/>
        <v>1</v>
      </c>
      <c r="AH10" s="204">
        <f t="shared" si="10"/>
        <v>1</v>
      </c>
      <c r="AI10" s="204">
        <f t="shared" si="10"/>
        <v>1</v>
      </c>
      <c r="AJ10" s="204">
        <f t="shared" si="10"/>
        <v>1</v>
      </c>
      <c r="AK10" s="204">
        <f t="shared" si="10"/>
        <v>1</v>
      </c>
      <c r="AL10" s="204">
        <f t="shared" si="10"/>
        <v>0.4838709677419355</v>
      </c>
      <c r="AM10" s="204">
        <f t="shared" si="10"/>
        <v>1</v>
      </c>
      <c r="AN10" s="204">
        <f t="shared" si="10"/>
        <v>1</v>
      </c>
      <c r="AO10" s="204">
        <f t="shared" si="10"/>
        <v>1</v>
      </c>
      <c r="AP10" s="204">
        <f t="shared" si="10"/>
        <v>1</v>
      </c>
      <c r="AQ10" s="204">
        <f t="shared" si="10"/>
        <v>1</v>
      </c>
    </row>
    <row r="11" spans="1:43" ht="14.5" customHeight="1" x14ac:dyDescent="0.2">
      <c r="A11" s="187" t="s">
        <v>179</v>
      </c>
      <c r="B11" s="292">
        <v>45533</v>
      </c>
      <c r="C11" s="190"/>
      <c r="D11" s="171">
        <f>INDEX(AnnIncrement[[Step 1]:[Step 9]],MATCH(F11,AnnIncrement[Level],0),G11)</f>
        <v>94708</v>
      </c>
      <c r="E11" s="181">
        <f t="shared" si="1"/>
        <v>7892.333333333333</v>
      </c>
      <c r="F11" s="164" t="s">
        <v>58</v>
      </c>
      <c r="G11" s="165">
        <v>5</v>
      </c>
      <c r="H11" s="284">
        <v>45533</v>
      </c>
      <c r="I11" s="172">
        <f t="shared" si="7"/>
        <v>24348.25</v>
      </c>
      <c r="J11" s="172">
        <f t="shared" si="8"/>
        <v>0</v>
      </c>
      <c r="K11" s="173">
        <f>MAX($D11,IFERROR(INDEX(AnnIncrement[[Step 1]:[Step 9]],MATCH($F11,AnnIncrement[Level],0),$G11+1),$D11))</f>
        <v>97393</v>
      </c>
      <c r="L11" s="173">
        <f t="shared" si="2"/>
        <v>8116.083333333333</v>
      </c>
      <c r="M11" s="173"/>
      <c r="N11" s="286">
        <f>INDEX(CBAIncrement[Eff. date],MATCH(F11,CBAIncrement[Level],0))</f>
        <v>45648</v>
      </c>
      <c r="O11" s="174"/>
      <c r="P11" s="174">
        <f t="shared" si="3"/>
        <v>0</v>
      </c>
      <c r="Q11" s="174"/>
      <c r="R11" s="175">
        <f t="shared" si="9"/>
        <v>0</v>
      </c>
      <c r="S11" s="175">
        <f t="shared" si="5"/>
        <v>0</v>
      </c>
      <c r="T11" s="175">
        <f t="shared" si="5"/>
        <v>0</v>
      </c>
      <c r="U11" s="175">
        <f t="shared" si="5"/>
        <v>0</v>
      </c>
      <c r="V11" s="175">
        <f t="shared" si="5"/>
        <v>0</v>
      </c>
      <c r="W11" s="175">
        <f t="shared" si="5"/>
        <v>8116.083333333333</v>
      </c>
      <c r="X11" s="175">
        <f t="shared" si="5"/>
        <v>8116.083333333333</v>
      </c>
      <c r="Y11" s="175">
        <f t="shared" si="5"/>
        <v>8116.083333333333</v>
      </c>
      <c r="Z11" s="175">
        <f t="shared" si="5"/>
        <v>0</v>
      </c>
      <c r="AA11" s="175">
        <f t="shared" si="5"/>
        <v>0</v>
      </c>
      <c r="AB11" s="175">
        <f t="shared" si="5"/>
        <v>0</v>
      </c>
      <c r="AC11" s="175">
        <f t="shared" si="5"/>
        <v>0</v>
      </c>
      <c r="AE11" s="205" t="s">
        <v>180</v>
      </c>
      <c r="AF11" s="204" t="str">
        <f t="shared" ref="AF11:AQ11" si="11">IF(AND(EOMONTH($B9,0)=EOMONTH(R$6,0),EOMONTH($C9,0)=EOMONTH(R$6,0)),(DAY($C9)-DAY($B9)+1)/DAY(EOMONTH($B9,0)),"")</f>
        <v/>
      </c>
      <c r="AG11" s="204" t="str">
        <f t="shared" si="11"/>
        <v/>
      </c>
      <c r="AH11" s="204" t="str">
        <f t="shared" si="11"/>
        <v/>
      </c>
      <c r="AI11" s="204" t="str">
        <f t="shared" si="11"/>
        <v/>
      </c>
      <c r="AJ11" s="204" t="str">
        <f t="shared" si="11"/>
        <v/>
      </c>
      <c r="AK11" s="204" t="str">
        <f t="shared" si="11"/>
        <v/>
      </c>
      <c r="AL11" s="204" t="str">
        <f t="shared" si="11"/>
        <v/>
      </c>
      <c r="AM11" s="204" t="str">
        <f t="shared" si="11"/>
        <v/>
      </c>
      <c r="AN11" s="204" t="str">
        <f t="shared" si="11"/>
        <v/>
      </c>
      <c r="AO11" s="204" t="str">
        <f t="shared" si="11"/>
        <v/>
      </c>
      <c r="AP11" s="204" t="str">
        <f t="shared" si="11"/>
        <v/>
      </c>
      <c r="AQ11" s="204" t="str">
        <f t="shared" si="11"/>
        <v/>
      </c>
    </row>
    <row r="12" spans="1:43" ht="14.5" customHeight="1" x14ac:dyDescent="0.2">
      <c r="A12" s="187" t="s">
        <v>181</v>
      </c>
      <c r="B12" s="188">
        <v>43831</v>
      </c>
      <c r="C12" s="190"/>
      <c r="D12" s="171">
        <f>INDEX(AnnIncrement[[Step 1]:[Step 9]],MATCH(F12,AnnIncrement[Level],0),G12)</f>
        <v>101750</v>
      </c>
      <c r="E12" s="181">
        <f t="shared" si="1"/>
        <v>8479.1666666666661</v>
      </c>
      <c r="F12" s="201" t="s">
        <v>100</v>
      </c>
      <c r="G12" s="165">
        <v>3</v>
      </c>
      <c r="H12" s="284">
        <v>45295</v>
      </c>
      <c r="I12" s="172">
        <f t="shared" si="7"/>
        <v>16958.333333333332</v>
      </c>
      <c r="J12" s="172">
        <f t="shared" si="8"/>
        <v>0</v>
      </c>
      <c r="K12" s="173">
        <f>MAX($D12,IFERROR(INDEX(AnnIncrement[[Step 1]:[Step 9]],MATCH($F12,AnnIncrement[Level],0),$G12+1),$D12))</f>
        <v>101750</v>
      </c>
      <c r="L12" s="173">
        <f t="shared" si="2"/>
        <v>8479.1666666666661</v>
      </c>
      <c r="M12" s="173"/>
      <c r="N12" s="286">
        <f>INDEX(CBAIncrement[Eff. date],MATCH(F12,CBAIncrement[Level],0))</f>
        <v>45464</v>
      </c>
      <c r="O12" s="174"/>
      <c r="P12" s="174">
        <f t="shared" si="3"/>
        <v>0</v>
      </c>
      <c r="Q12" s="174"/>
      <c r="R12" s="175">
        <f t="shared" si="9"/>
        <v>8479.1666666666661</v>
      </c>
      <c r="S12" s="175">
        <f t="shared" si="5"/>
        <v>8479.1666666666661</v>
      </c>
      <c r="T12" s="175">
        <f t="shared" si="5"/>
        <v>0</v>
      </c>
      <c r="U12" s="175">
        <f t="shared" si="5"/>
        <v>0</v>
      </c>
      <c r="V12" s="175">
        <f t="shared" si="5"/>
        <v>0</v>
      </c>
      <c r="W12" s="175">
        <f t="shared" si="5"/>
        <v>0</v>
      </c>
      <c r="X12" s="175">
        <f t="shared" si="5"/>
        <v>0</v>
      </c>
      <c r="Y12" s="175">
        <f t="shared" si="5"/>
        <v>0</v>
      </c>
      <c r="Z12" s="175">
        <f t="shared" si="5"/>
        <v>0</v>
      </c>
      <c r="AA12" s="175">
        <f t="shared" si="5"/>
        <v>0</v>
      </c>
      <c r="AB12" s="175">
        <f t="shared" si="5"/>
        <v>0</v>
      </c>
      <c r="AC12" s="175">
        <f t="shared" si="5"/>
        <v>0</v>
      </c>
      <c r="AE12" s="205" t="s">
        <v>182</v>
      </c>
      <c r="AF12">
        <f t="shared" ref="AF12:AQ12" si="12">IF(OR($B9&gt;EOMONTH(R$6,0),IF($C9="",R$6,$C9)&lt;R$6),0,1)</f>
        <v>1</v>
      </c>
      <c r="AG12">
        <f t="shared" si="12"/>
        <v>1</v>
      </c>
      <c r="AH12">
        <f t="shared" si="12"/>
        <v>1</v>
      </c>
      <c r="AI12">
        <f t="shared" si="12"/>
        <v>1</v>
      </c>
      <c r="AJ12">
        <f t="shared" si="12"/>
        <v>1</v>
      </c>
      <c r="AK12">
        <f t="shared" si="12"/>
        <v>1</v>
      </c>
      <c r="AL12">
        <f t="shared" si="12"/>
        <v>1</v>
      </c>
      <c r="AM12">
        <f t="shared" si="12"/>
        <v>0</v>
      </c>
      <c r="AN12">
        <f t="shared" si="12"/>
        <v>0</v>
      </c>
      <c r="AO12">
        <f t="shared" si="12"/>
        <v>0</v>
      </c>
      <c r="AP12">
        <f t="shared" si="12"/>
        <v>0</v>
      </c>
      <c r="AQ12">
        <f t="shared" si="12"/>
        <v>0</v>
      </c>
    </row>
    <row r="13" spans="1:43" ht="14.5" customHeight="1" x14ac:dyDescent="0.2">
      <c r="A13" s="187" t="s">
        <v>183</v>
      </c>
      <c r="B13" s="188">
        <v>45451</v>
      </c>
      <c r="C13" s="190">
        <v>45543</v>
      </c>
      <c r="D13" s="171">
        <f>INDEX(AnnIncrement[[Step 1]:[Step 9]],MATCH(F13,AnnIncrement[Level],0),G13)</f>
        <v>94708</v>
      </c>
      <c r="E13" s="163">
        <f t="shared" si="1"/>
        <v>7892.333333333333</v>
      </c>
      <c r="F13" s="164" t="s">
        <v>58</v>
      </c>
      <c r="G13" s="165">
        <v>5</v>
      </c>
      <c r="H13" s="284">
        <v>45571</v>
      </c>
      <c r="I13" s="172">
        <f t="shared" si="7"/>
        <v>23940.077777777777</v>
      </c>
      <c r="J13" s="172">
        <f t="shared" si="8"/>
        <v>0</v>
      </c>
      <c r="K13" s="173">
        <f>MAX($D13,IFERROR(INDEX(AnnIncrement[[Step 1]:[Step 9]],MATCH($F13,AnnIncrement[Level],0),$G13+1),$D13))</f>
        <v>97393</v>
      </c>
      <c r="L13" s="173">
        <f t="shared" si="2"/>
        <v>8116.083333333333</v>
      </c>
      <c r="M13" s="173"/>
      <c r="N13" s="286">
        <f>INDEX(CBAIncrement[Eff. date],MATCH(F13,CBAIncrement[Level],0))</f>
        <v>45648</v>
      </c>
      <c r="O13" s="174"/>
      <c r="P13" s="174">
        <f t="shared" si="3"/>
        <v>0</v>
      </c>
      <c r="Q13" s="174"/>
      <c r="R13" s="175">
        <f t="shared" si="9"/>
        <v>0</v>
      </c>
      <c r="S13" s="175">
        <f t="shared" si="5"/>
        <v>0</v>
      </c>
      <c r="T13" s="175">
        <f t="shared" si="5"/>
        <v>6050.7888888888892</v>
      </c>
      <c r="U13" s="175">
        <f t="shared" si="5"/>
        <v>7892.333333333333</v>
      </c>
      <c r="V13" s="175">
        <f t="shared" si="5"/>
        <v>7892.333333333333</v>
      </c>
      <c r="W13" s="175">
        <f t="shared" si="5"/>
        <v>2104.6222222222223</v>
      </c>
      <c r="X13" s="175">
        <f t="shared" si="5"/>
        <v>0</v>
      </c>
      <c r="Y13" s="175">
        <f t="shared" si="5"/>
        <v>0</v>
      </c>
      <c r="Z13" s="175">
        <f t="shared" si="5"/>
        <v>0</v>
      </c>
      <c r="AA13" s="175">
        <f t="shared" si="5"/>
        <v>0</v>
      </c>
      <c r="AB13" s="175">
        <f t="shared" si="5"/>
        <v>0</v>
      </c>
      <c r="AC13" s="175">
        <f t="shared" si="5"/>
        <v>0</v>
      </c>
      <c r="AE13" s="205" t="s">
        <v>184</v>
      </c>
      <c r="AF13" s="204">
        <f t="shared" ref="AF13:AQ13" si="13">IF(OR($B9&gt;EOMONTH(R$6,0),IF($C9="",R$6,$C9)&lt;R$6),0,1)*
IF(AND(EOMONTH($B9,0)=EOMONTH(R$6,0),EOMONTH($C9,0)=EOMONTH(R$6,0)),(DAY($C9)-DAY($B9)+1)/DAY(EOMONTH($B9,0)),
IF(EOMONTH($B9,0)=EOMONTH(R$6,0),(DAY(EOMONTH($B9,0))-DAY($B9)+1)/DAY(EOMONTH($B9,0)),1)*
IF(EOMONTH($C9,0)=EOMONTH(R$6,0),DAY($C9)/DAY(EOMONTH($C9,0)),1))
+N("this part of formula is to prorate the salary when either or both start date or end date of employment falls in the month")</f>
        <v>1</v>
      </c>
      <c r="AG13" s="204">
        <f t="shared" si="13"/>
        <v>1</v>
      </c>
      <c r="AH13" s="204">
        <f t="shared" si="13"/>
        <v>1</v>
      </c>
      <c r="AI13" s="204">
        <f t="shared" si="13"/>
        <v>1</v>
      </c>
      <c r="AJ13" s="204">
        <f t="shared" si="13"/>
        <v>1</v>
      </c>
      <c r="AK13" s="204">
        <f t="shared" si="13"/>
        <v>1</v>
      </c>
      <c r="AL13" s="204">
        <f t="shared" si="13"/>
        <v>0.4838709677419355</v>
      </c>
      <c r="AM13" s="204">
        <f t="shared" si="13"/>
        <v>0</v>
      </c>
      <c r="AN13" s="204">
        <f t="shared" si="13"/>
        <v>0</v>
      </c>
      <c r="AO13" s="204">
        <f t="shared" si="13"/>
        <v>0</v>
      </c>
      <c r="AP13" s="204">
        <f t="shared" si="13"/>
        <v>0</v>
      </c>
      <c r="AQ13" s="204">
        <f t="shared" si="13"/>
        <v>0</v>
      </c>
    </row>
    <row r="14" spans="1:43" ht="14.5" customHeight="1" x14ac:dyDescent="0.2">
      <c r="A14" s="170" t="s">
        <v>185</v>
      </c>
      <c r="B14" s="188">
        <v>45544</v>
      </c>
      <c r="C14" s="190">
        <v>45665</v>
      </c>
      <c r="D14" s="171">
        <f>INDEX(AnnIncrement[[Step 1]:[Step 9]],MATCH(F14,AnnIncrement[Level],0),G14)</f>
        <v>112763</v>
      </c>
      <c r="E14" s="163">
        <f t="shared" si="1"/>
        <v>9396.9166666666661</v>
      </c>
      <c r="F14" s="164" t="s">
        <v>34</v>
      </c>
      <c r="G14" s="165">
        <v>5</v>
      </c>
      <c r="H14" s="284">
        <v>45571</v>
      </c>
      <c r="I14" s="172">
        <f t="shared" si="7"/>
        <v>16572.072222222221</v>
      </c>
      <c r="J14" s="172">
        <f t="shared" si="8"/>
        <v>0</v>
      </c>
      <c r="K14" s="173">
        <f>MAX($D14,IFERROR(INDEX(AnnIncrement[[Step 1]:[Step 9]],MATCH($F14,AnnIncrement[Level],0),$G14+1),$D14))</f>
        <v>116172</v>
      </c>
      <c r="L14" s="173">
        <f t="shared" si="2"/>
        <v>9681</v>
      </c>
      <c r="M14" s="173"/>
      <c r="N14" s="286">
        <f>INDEX(CBAIncrement[Eff. date],MATCH(F14,CBAIncrement[Level],0))</f>
        <v>45648</v>
      </c>
      <c r="O14" s="174"/>
      <c r="P14" s="174">
        <f t="shared" si="3"/>
        <v>0</v>
      </c>
      <c r="Q14" s="174"/>
      <c r="R14" s="175">
        <f t="shared" si="9"/>
        <v>0</v>
      </c>
      <c r="S14" s="175">
        <f t="shared" si="5"/>
        <v>0</v>
      </c>
      <c r="T14" s="175">
        <f t="shared" si="5"/>
        <v>0</v>
      </c>
      <c r="U14" s="175">
        <f t="shared" si="5"/>
        <v>0</v>
      </c>
      <c r="V14" s="175">
        <f t="shared" si="5"/>
        <v>0</v>
      </c>
      <c r="W14" s="175">
        <f t="shared" si="5"/>
        <v>6891.0722222222212</v>
      </c>
      <c r="X14" s="175">
        <f t="shared" si="5"/>
        <v>0</v>
      </c>
      <c r="Y14" s="175">
        <f t="shared" si="5"/>
        <v>9681</v>
      </c>
      <c r="Z14" s="175">
        <f t="shared" si="5"/>
        <v>0</v>
      </c>
      <c r="AA14" s="175">
        <f t="shared" si="5"/>
        <v>0</v>
      </c>
      <c r="AB14" s="175">
        <f t="shared" si="5"/>
        <v>0</v>
      </c>
      <c r="AC14" s="175">
        <f t="shared" si="5"/>
        <v>0</v>
      </c>
    </row>
    <row r="15" spans="1:43" ht="14.5" customHeight="1" x14ac:dyDescent="0.2">
      <c r="A15" s="185" t="s">
        <v>186</v>
      </c>
      <c r="B15" s="188">
        <v>45666</v>
      </c>
      <c r="C15" s="190"/>
      <c r="D15" s="171">
        <f>INDEX(AnnIncrement[[Step 1]:[Step 9]],MATCH(F15,AnnIncrement[Level],0),G15)</f>
        <v>112763</v>
      </c>
      <c r="E15" s="163">
        <f t="shared" si="1"/>
        <v>9396.9166666666661</v>
      </c>
      <c r="F15" s="164" t="s">
        <v>34</v>
      </c>
      <c r="G15" s="165">
        <v>5</v>
      </c>
      <c r="H15" s="284">
        <v>45571</v>
      </c>
      <c r="I15" s="172">
        <f t="shared" si="7"/>
        <v>0</v>
      </c>
      <c r="J15" s="172">
        <f t="shared" si="8"/>
        <v>0</v>
      </c>
      <c r="K15" s="173">
        <f>MAX($D15,IFERROR(INDEX(AnnIncrement[[Step 1]:[Step 9]],MATCH($F15,AnnIncrement[Level],0),$G15+1),$D15))</f>
        <v>116172</v>
      </c>
      <c r="L15" s="173">
        <f t="shared" si="2"/>
        <v>9681</v>
      </c>
      <c r="M15" s="173"/>
      <c r="N15" s="286">
        <f>INDEX(CBAIncrement[Eff. date],MATCH(F15,CBAIncrement[Level],0))</f>
        <v>45648</v>
      </c>
      <c r="O15" s="174"/>
      <c r="P15" s="174">
        <f t="shared" si="3"/>
        <v>0</v>
      </c>
      <c r="Q15" s="174"/>
      <c r="R15" s="175">
        <f t="shared" si="9"/>
        <v>0</v>
      </c>
      <c r="S15" s="175">
        <f t="shared" si="5"/>
        <v>0</v>
      </c>
      <c r="T15" s="175">
        <f t="shared" si="5"/>
        <v>0</v>
      </c>
      <c r="U15" s="175">
        <f t="shared" si="5"/>
        <v>0</v>
      </c>
      <c r="V15" s="175">
        <f t="shared" si="5"/>
        <v>0</v>
      </c>
      <c r="W15" s="175">
        <f t="shared" si="5"/>
        <v>0</v>
      </c>
      <c r="X15" s="175">
        <f t="shared" si="5"/>
        <v>0</v>
      </c>
      <c r="Y15" s="175">
        <f t="shared" si="5"/>
        <v>0</v>
      </c>
      <c r="Z15" s="175">
        <f t="shared" si="5"/>
        <v>0</v>
      </c>
      <c r="AA15" s="175">
        <f t="shared" si="5"/>
        <v>0</v>
      </c>
      <c r="AB15" s="175">
        <f t="shared" si="5"/>
        <v>0</v>
      </c>
      <c r="AC15" s="175">
        <f t="shared" si="5"/>
        <v>0</v>
      </c>
    </row>
    <row r="16" spans="1:43" ht="14.5" customHeight="1" x14ac:dyDescent="0.2">
      <c r="A16" s="178"/>
      <c r="B16" s="183"/>
      <c r="C16" s="202"/>
      <c r="D16" s="179"/>
      <c r="E16" s="167"/>
      <c r="F16" s="180"/>
      <c r="G16" s="180"/>
      <c r="H16" s="182"/>
      <c r="I16" s="177">
        <f>SUBTOTAL(9,I7:I15)</f>
        <v>303457.73333333334</v>
      </c>
      <c r="J16" s="177">
        <f>SUBTOTAL(9,J7:J15)</f>
        <v>43314.567204301078</v>
      </c>
      <c r="K16" s="176"/>
      <c r="L16" s="176"/>
      <c r="M16" s="176"/>
      <c r="N16" s="281"/>
      <c r="O16" s="176"/>
      <c r="P16" s="176"/>
      <c r="Q16" s="176"/>
      <c r="R16" s="176"/>
      <c r="S16" s="176"/>
      <c r="T16" s="176"/>
      <c r="U16" s="176"/>
      <c r="V16" s="176"/>
      <c r="W16" s="176"/>
      <c r="X16" s="176"/>
      <c r="Y16" s="176"/>
      <c r="Z16" s="176"/>
      <c r="AA16" s="176"/>
      <c r="AB16" s="176"/>
      <c r="AC16" s="176"/>
    </row>
    <row r="18" spans="1:17" ht="14.5" customHeight="1" x14ac:dyDescent="0.2">
      <c r="A18" s="27"/>
      <c r="B18" s="27"/>
      <c r="C18" s="27"/>
      <c r="D18" s="27"/>
      <c r="E18" s="27"/>
      <c r="F18" s="27"/>
      <c r="G18" s="27"/>
      <c r="H18" s="27"/>
      <c r="I18" s="27"/>
      <c r="J18" s="27"/>
      <c r="K18" s="27"/>
    </row>
    <row r="19" spans="1:17" ht="14.5" customHeight="1" x14ac:dyDescent="0.2">
      <c r="A19" s="150" t="s">
        <v>157</v>
      </c>
      <c r="B19" s="27"/>
      <c r="C19" s="27"/>
      <c r="D19" s="27"/>
      <c r="E19" s="27"/>
      <c r="F19" s="27"/>
      <c r="G19" s="27"/>
      <c r="H19" s="27"/>
      <c r="I19" s="27"/>
      <c r="J19" s="27"/>
      <c r="K19" s="27"/>
    </row>
    <row r="20" spans="1:17" ht="14.5" customHeight="1" x14ac:dyDescent="0.2">
      <c r="A20" s="151" t="s">
        <v>187</v>
      </c>
      <c r="B20" s="152" t="s">
        <v>188</v>
      </c>
      <c r="C20" s="152" t="s">
        <v>189</v>
      </c>
      <c r="D20" s="152" t="s">
        <v>190</v>
      </c>
      <c r="E20" s="152" t="s">
        <v>191</v>
      </c>
      <c r="F20" s="152" t="s">
        <v>192</v>
      </c>
      <c r="G20" s="152" t="s">
        <v>193</v>
      </c>
      <c r="H20" s="152" t="s">
        <v>194</v>
      </c>
      <c r="I20" s="152" t="s">
        <v>195</v>
      </c>
      <c r="J20" s="152" t="s">
        <v>196</v>
      </c>
      <c r="K20" s="152" t="s">
        <v>197</v>
      </c>
      <c r="M20" s="193"/>
    </row>
    <row r="21" spans="1:17" ht="14.5" customHeight="1" x14ac:dyDescent="0.2">
      <c r="A21" s="27" t="s">
        <v>79</v>
      </c>
      <c r="B21" s="288">
        <v>45383</v>
      </c>
      <c r="C21" s="154">
        <v>67831</v>
      </c>
      <c r="D21" s="154">
        <v>70339</v>
      </c>
      <c r="E21" s="154">
        <v>72842</v>
      </c>
      <c r="F21" s="154">
        <v>75332</v>
      </c>
      <c r="G21" s="154">
        <v>77820</v>
      </c>
      <c r="H21" s="154">
        <v>80309</v>
      </c>
      <c r="I21" s="154">
        <v>82794</v>
      </c>
      <c r="J21" s="154">
        <v>87411</v>
      </c>
      <c r="K21" s="154">
        <v>87411</v>
      </c>
      <c r="M21" s="194"/>
      <c r="N21" s="144"/>
      <c r="O21" s="144"/>
      <c r="P21" s="144"/>
      <c r="Q21" s="145"/>
    </row>
    <row r="22" spans="1:17" ht="14.5" customHeight="1" x14ac:dyDescent="0.2">
      <c r="A22" s="27" t="s">
        <v>58</v>
      </c>
      <c r="B22" s="288">
        <v>45383</v>
      </c>
      <c r="C22" s="154">
        <v>83961</v>
      </c>
      <c r="D22" s="154">
        <v>86649</v>
      </c>
      <c r="E22" s="154">
        <v>89333</v>
      </c>
      <c r="F22" s="154">
        <v>92020</v>
      </c>
      <c r="G22" s="154">
        <v>94708</v>
      </c>
      <c r="H22" s="154">
        <v>97393</v>
      </c>
      <c r="I22" s="154">
        <v>100078</v>
      </c>
      <c r="J22" s="154">
        <v>102763</v>
      </c>
      <c r="K22" s="154">
        <v>102763</v>
      </c>
      <c r="M22" s="195"/>
      <c r="N22" s="146"/>
      <c r="O22" s="146"/>
      <c r="P22" s="146"/>
      <c r="Q22" s="147"/>
    </row>
    <row r="23" spans="1:17" ht="14.5" customHeight="1" x14ac:dyDescent="0.2">
      <c r="A23" s="27" t="s">
        <v>34</v>
      </c>
      <c r="B23" s="288">
        <v>45383</v>
      </c>
      <c r="C23" s="154">
        <v>99108</v>
      </c>
      <c r="D23" s="154">
        <v>102522</v>
      </c>
      <c r="E23" s="154">
        <v>105935</v>
      </c>
      <c r="F23" s="154">
        <v>109351</v>
      </c>
      <c r="G23" s="154">
        <v>112763</v>
      </c>
      <c r="H23" s="154">
        <v>116172</v>
      </c>
      <c r="I23" s="154">
        <v>119584</v>
      </c>
      <c r="J23" s="154">
        <v>123137</v>
      </c>
      <c r="K23" s="154">
        <v>123137</v>
      </c>
      <c r="M23" s="195"/>
      <c r="N23" s="146"/>
      <c r="O23" s="146"/>
      <c r="P23" s="146"/>
      <c r="Q23" s="148"/>
    </row>
    <row r="24" spans="1:17" ht="14.5" customHeight="1" x14ac:dyDescent="0.2">
      <c r="A24" s="27" t="s">
        <v>27</v>
      </c>
      <c r="B24" s="288">
        <v>45383</v>
      </c>
      <c r="C24" s="154">
        <v>113478</v>
      </c>
      <c r="D24" s="154">
        <v>117391</v>
      </c>
      <c r="E24" s="154">
        <v>121304</v>
      </c>
      <c r="F24" s="154">
        <v>125216</v>
      </c>
      <c r="G24" s="154">
        <v>129127</v>
      </c>
      <c r="H24" s="154">
        <v>133041</v>
      </c>
      <c r="I24" s="154">
        <v>136951</v>
      </c>
      <c r="J24" s="154">
        <v>141249</v>
      </c>
      <c r="K24" s="154">
        <v>141249</v>
      </c>
      <c r="M24" s="195"/>
      <c r="N24" s="146"/>
      <c r="O24" s="146"/>
      <c r="P24" s="146"/>
      <c r="Q24" s="148"/>
    </row>
    <row r="25" spans="1:17" ht="14.5" customHeight="1" x14ac:dyDescent="0.2">
      <c r="A25" s="27" t="s">
        <v>198</v>
      </c>
      <c r="B25" s="288">
        <v>45383</v>
      </c>
      <c r="C25" s="154">
        <v>130636</v>
      </c>
      <c r="D25" s="154">
        <v>135507</v>
      </c>
      <c r="E25" s="154">
        <v>140374</v>
      </c>
      <c r="F25" s="154">
        <v>145245</v>
      </c>
      <c r="G25" s="154">
        <v>150118</v>
      </c>
      <c r="H25" s="154">
        <v>154990</v>
      </c>
      <c r="I25" s="154">
        <v>159860</v>
      </c>
      <c r="J25" s="154">
        <v>164731</v>
      </c>
      <c r="K25" s="154">
        <v>170237</v>
      </c>
      <c r="M25" s="199"/>
    </row>
    <row r="26" spans="1:17" ht="14.5" customHeight="1" x14ac:dyDescent="0.2">
      <c r="A26" s="27" t="s">
        <v>199</v>
      </c>
      <c r="B26" s="288">
        <v>45383</v>
      </c>
      <c r="C26" s="154">
        <v>60424</v>
      </c>
      <c r="D26" s="154">
        <v>62721</v>
      </c>
      <c r="E26" s="154">
        <v>65104</v>
      </c>
      <c r="F26" s="154"/>
      <c r="G26" s="154"/>
      <c r="H26" s="154"/>
      <c r="I26" s="154"/>
      <c r="J26" s="154"/>
      <c r="K26" s="154"/>
      <c r="M26" s="200"/>
    </row>
    <row r="27" spans="1:17" ht="14.5" customHeight="1" x14ac:dyDescent="0.2">
      <c r="A27" s="27" t="s">
        <v>138</v>
      </c>
      <c r="B27" s="288">
        <v>45383</v>
      </c>
      <c r="C27" s="154">
        <v>67330</v>
      </c>
      <c r="D27" s="154">
        <v>69888</v>
      </c>
      <c r="E27" s="154">
        <v>72544</v>
      </c>
      <c r="F27" s="154"/>
      <c r="G27" s="154"/>
      <c r="H27" s="154"/>
      <c r="I27" s="154"/>
      <c r="J27" s="154"/>
      <c r="K27" s="154"/>
      <c r="M27" s="194"/>
      <c r="N27" s="144"/>
      <c r="O27" s="144"/>
      <c r="P27" s="144"/>
      <c r="Q27" s="145"/>
    </row>
    <row r="28" spans="1:17" ht="14.5" customHeight="1" x14ac:dyDescent="0.2">
      <c r="A28" s="27" t="s">
        <v>200</v>
      </c>
      <c r="B28" s="288">
        <v>45383</v>
      </c>
      <c r="C28" s="154">
        <v>72171</v>
      </c>
      <c r="D28" s="154">
        <v>74910</v>
      </c>
      <c r="E28" s="154">
        <v>77622</v>
      </c>
      <c r="F28" s="154"/>
      <c r="G28" s="154"/>
      <c r="H28" s="154"/>
      <c r="I28" s="154"/>
      <c r="J28" s="154"/>
      <c r="K28" s="154"/>
      <c r="M28" s="196"/>
      <c r="N28" s="146"/>
      <c r="O28" s="146"/>
      <c r="P28" s="146"/>
      <c r="Q28" s="147"/>
    </row>
    <row r="29" spans="1:17" ht="14.5" customHeight="1" x14ac:dyDescent="0.2">
      <c r="A29" s="27" t="s">
        <v>135</v>
      </c>
      <c r="B29" s="288">
        <v>45383</v>
      </c>
      <c r="C29" s="154">
        <v>78834</v>
      </c>
      <c r="D29" s="154">
        <v>81829</v>
      </c>
      <c r="E29" s="154">
        <v>85187</v>
      </c>
      <c r="F29" s="154"/>
      <c r="G29" s="154"/>
      <c r="H29" s="154"/>
      <c r="I29" s="154"/>
      <c r="J29" s="154"/>
      <c r="K29" s="154"/>
      <c r="M29" s="196"/>
      <c r="N29" s="146"/>
      <c r="O29" s="146"/>
      <c r="P29" s="146"/>
      <c r="Q29" s="148"/>
    </row>
    <row r="30" spans="1:17" ht="14.5" customHeight="1" x14ac:dyDescent="0.2">
      <c r="A30" s="27" t="s">
        <v>100</v>
      </c>
      <c r="B30" s="288">
        <v>45383</v>
      </c>
      <c r="C30" s="154">
        <v>94113</v>
      </c>
      <c r="D30" s="154">
        <v>97689</v>
      </c>
      <c r="E30" s="154">
        <v>101750</v>
      </c>
      <c r="F30" s="154"/>
      <c r="G30" s="154"/>
      <c r="H30" s="154"/>
      <c r="I30" s="154"/>
      <c r="J30" s="154"/>
      <c r="K30" s="154"/>
      <c r="M30" s="196"/>
      <c r="N30" s="146"/>
      <c r="O30" s="146"/>
      <c r="P30" s="146"/>
      <c r="Q30" s="148"/>
    </row>
    <row r="31" spans="1:17" ht="14.5" customHeight="1" x14ac:dyDescent="0.2">
      <c r="A31" s="27"/>
      <c r="B31" s="153"/>
      <c r="C31" s="154"/>
      <c r="D31" s="154"/>
      <c r="E31" s="154"/>
      <c r="F31" s="154"/>
      <c r="G31" s="154"/>
      <c r="H31" s="154"/>
      <c r="I31" s="154"/>
      <c r="J31" s="154"/>
      <c r="K31" s="154"/>
      <c r="M31" s="197"/>
      <c r="P31" s="1"/>
    </row>
    <row r="32" spans="1:17" ht="14.5" customHeight="1" x14ac:dyDescent="0.2">
      <c r="A32" s="150" t="s">
        <v>201</v>
      </c>
      <c r="B32" s="153"/>
      <c r="C32" s="154"/>
      <c r="D32" s="154"/>
      <c r="E32" s="154"/>
      <c r="F32" s="154"/>
      <c r="G32" s="154"/>
      <c r="H32" s="154"/>
      <c r="I32" s="154"/>
      <c r="J32" s="154"/>
      <c r="K32" s="154"/>
      <c r="M32" s="198"/>
      <c r="P32" s="1"/>
    </row>
    <row r="33" spans="1:11" ht="14.5" customHeight="1" x14ac:dyDescent="0.2">
      <c r="A33" s="151" t="s">
        <v>187</v>
      </c>
      <c r="B33" s="152" t="s">
        <v>188</v>
      </c>
      <c r="C33" s="152" t="s">
        <v>189</v>
      </c>
      <c r="D33" s="152" t="s">
        <v>190</v>
      </c>
      <c r="E33" s="152" t="s">
        <v>191</v>
      </c>
      <c r="F33" s="152" t="s">
        <v>192</v>
      </c>
      <c r="G33" s="152" t="s">
        <v>193</v>
      </c>
      <c r="H33" s="152" t="s">
        <v>194</v>
      </c>
      <c r="I33" s="152" t="s">
        <v>195</v>
      </c>
      <c r="J33" s="152" t="s">
        <v>196</v>
      </c>
      <c r="K33" s="152" t="s">
        <v>197</v>
      </c>
    </row>
    <row r="34" spans="1:11" ht="14.5" customHeight="1" x14ac:dyDescent="0.2">
      <c r="A34" s="27" t="s">
        <v>79</v>
      </c>
      <c r="B34" s="288">
        <v>45648</v>
      </c>
      <c r="C34" s="154">
        <v>69361</v>
      </c>
      <c r="D34" s="154">
        <v>71925</v>
      </c>
      <c r="E34" s="154">
        <v>74485</v>
      </c>
      <c r="F34" s="154">
        <v>77031</v>
      </c>
      <c r="G34" s="154">
        <v>79574</v>
      </c>
      <c r="H34" s="154">
        <v>82120</v>
      </c>
      <c r="I34" s="154">
        <v>84661</v>
      </c>
      <c r="J34" s="154">
        <v>89382</v>
      </c>
      <c r="K34" s="154">
        <v>89382</v>
      </c>
    </row>
    <row r="35" spans="1:11" ht="14.5" customHeight="1" x14ac:dyDescent="0.2">
      <c r="A35" s="27" t="s">
        <v>58</v>
      </c>
      <c r="B35" s="288">
        <v>45648</v>
      </c>
      <c r="C35" s="154">
        <v>85854</v>
      </c>
      <c r="D35" s="154">
        <v>88603</v>
      </c>
      <c r="E35" s="154">
        <v>91348</v>
      </c>
      <c r="F35" s="154">
        <v>94095</v>
      </c>
      <c r="G35" s="154">
        <v>96844</v>
      </c>
      <c r="H35" s="154">
        <v>99589</v>
      </c>
      <c r="I35" s="154">
        <v>102335</v>
      </c>
      <c r="J35" s="154">
        <v>105080</v>
      </c>
      <c r="K35" s="154">
        <v>105080</v>
      </c>
    </row>
    <row r="36" spans="1:11" ht="14.5" customHeight="1" x14ac:dyDescent="0.2">
      <c r="A36" s="27" t="s">
        <v>34</v>
      </c>
      <c r="B36" s="288">
        <v>45648</v>
      </c>
      <c r="C36" s="154">
        <v>101343</v>
      </c>
      <c r="D36" s="154">
        <v>104833</v>
      </c>
      <c r="E36" s="154">
        <v>108324</v>
      </c>
      <c r="F36" s="154">
        <v>111817</v>
      </c>
      <c r="G36" s="154">
        <v>115306</v>
      </c>
      <c r="H36" s="154">
        <v>118791</v>
      </c>
      <c r="I36" s="154">
        <v>122281</v>
      </c>
      <c r="J36" s="154">
        <v>125914</v>
      </c>
      <c r="K36" s="154">
        <v>125914</v>
      </c>
    </row>
    <row r="37" spans="1:11" ht="14.5" customHeight="1" x14ac:dyDescent="0.2">
      <c r="A37" s="27" t="s">
        <v>27</v>
      </c>
      <c r="B37" s="288">
        <v>45648</v>
      </c>
      <c r="C37" s="154">
        <v>116037</v>
      </c>
      <c r="D37" s="154">
        <v>120038</v>
      </c>
      <c r="E37" s="154">
        <v>124039</v>
      </c>
      <c r="F37" s="154">
        <v>128039</v>
      </c>
      <c r="G37" s="154">
        <v>132039</v>
      </c>
      <c r="H37" s="154">
        <v>136041</v>
      </c>
      <c r="I37" s="154">
        <v>140039</v>
      </c>
      <c r="J37" s="154">
        <v>144434</v>
      </c>
      <c r="K37" s="154">
        <v>144434</v>
      </c>
    </row>
    <row r="38" spans="1:11" ht="14.5" customHeight="1" x14ac:dyDescent="0.2">
      <c r="A38" s="27" t="s">
        <v>198</v>
      </c>
      <c r="B38" s="288">
        <v>45648</v>
      </c>
      <c r="C38" s="154">
        <v>133582</v>
      </c>
      <c r="D38" s="154">
        <v>138563</v>
      </c>
      <c r="E38" s="154">
        <v>143539</v>
      </c>
      <c r="F38" s="154">
        <v>148520</v>
      </c>
      <c r="G38" s="154">
        <v>153503</v>
      </c>
      <c r="H38" s="154">
        <v>158485</v>
      </c>
      <c r="I38" s="154">
        <v>163465</v>
      </c>
      <c r="J38" s="154">
        <v>168446</v>
      </c>
      <c r="K38" s="154">
        <v>174076</v>
      </c>
    </row>
    <row r="39" spans="1:11" ht="14.5" customHeight="1" x14ac:dyDescent="0.2">
      <c r="A39" s="27" t="s">
        <v>199</v>
      </c>
      <c r="B39" s="288">
        <v>45464</v>
      </c>
      <c r="C39" s="154">
        <v>61786</v>
      </c>
      <c r="D39" s="154">
        <v>64135</v>
      </c>
      <c r="E39" s="154">
        <v>66572</v>
      </c>
      <c r="F39" s="154"/>
      <c r="G39" s="154"/>
      <c r="H39" s="154"/>
      <c r="I39" s="154"/>
      <c r="J39" s="154"/>
      <c r="K39" s="154"/>
    </row>
    <row r="40" spans="1:11" ht="14.5" customHeight="1" x14ac:dyDescent="0.2">
      <c r="A40" s="27" t="s">
        <v>138</v>
      </c>
      <c r="B40" s="288">
        <v>45464</v>
      </c>
      <c r="C40" s="154">
        <v>68849</v>
      </c>
      <c r="D40" s="154">
        <v>71464</v>
      </c>
      <c r="E40" s="154">
        <v>74180</v>
      </c>
      <c r="F40" s="154"/>
      <c r="G40" s="154"/>
      <c r="H40" s="154"/>
      <c r="I40" s="154"/>
      <c r="J40" s="154"/>
      <c r="K40" s="154"/>
    </row>
    <row r="41" spans="1:11" ht="14.5" customHeight="1" x14ac:dyDescent="0.2">
      <c r="A41" s="27" t="s">
        <v>200</v>
      </c>
      <c r="B41" s="288">
        <v>45464</v>
      </c>
      <c r="C41" s="154">
        <v>73798</v>
      </c>
      <c r="D41" s="154">
        <v>76599</v>
      </c>
      <c r="E41" s="154">
        <v>79511</v>
      </c>
      <c r="F41" s="154"/>
      <c r="G41" s="154"/>
      <c r="H41" s="154"/>
      <c r="I41" s="154"/>
      <c r="J41" s="154"/>
      <c r="K41" s="154"/>
    </row>
    <row r="42" spans="1:11" ht="14.5" customHeight="1" x14ac:dyDescent="0.2">
      <c r="A42" s="27" t="s">
        <v>135</v>
      </c>
      <c r="B42" s="288">
        <v>45464</v>
      </c>
      <c r="C42" s="154">
        <v>80612</v>
      </c>
      <c r="D42" s="154">
        <v>83675</v>
      </c>
      <c r="E42" s="154">
        <v>87108</v>
      </c>
      <c r="F42" s="154"/>
      <c r="G42" s="154"/>
      <c r="H42" s="154"/>
      <c r="I42" s="154"/>
      <c r="J42" s="154"/>
      <c r="K42" s="154"/>
    </row>
    <row r="43" spans="1:11" ht="14.5" customHeight="1" x14ac:dyDescent="0.2">
      <c r="A43" s="27" t="s">
        <v>100</v>
      </c>
      <c r="B43" s="288">
        <v>45464</v>
      </c>
      <c r="C43" s="154">
        <v>96235</v>
      </c>
      <c r="D43" s="154">
        <v>99892</v>
      </c>
      <c r="E43" s="154">
        <v>104044</v>
      </c>
      <c r="F43" s="154"/>
      <c r="G43" s="154"/>
      <c r="H43" s="154"/>
      <c r="I43" s="154"/>
      <c r="J43" s="154"/>
      <c r="K43" s="154"/>
    </row>
    <row r="44" spans="1:11" x14ac:dyDescent="0.15">
      <c r="B44" s="143"/>
      <c r="C44" s="142"/>
      <c r="D44" s="142"/>
      <c r="E44" s="142"/>
      <c r="F44" s="142"/>
      <c r="G44" s="142"/>
      <c r="H44" s="142"/>
      <c r="I44" s="142"/>
      <c r="J44" s="142"/>
      <c r="K44" s="142"/>
    </row>
    <row r="45" spans="1:11" x14ac:dyDescent="0.15">
      <c r="B45" s="7"/>
      <c r="C45" s="7"/>
      <c r="D45" s="7"/>
      <c r="H45" s="7"/>
      <c r="I45" s="7"/>
      <c r="J45" s="7"/>
    </row>
    <row r="46" spans="1:11" x14ac:dyDescent="0.15">
      <c r="B46" s="7"/>
      <c r="C46" s="7"/>
      <c r="D46" s="7"/>
      <c r="E46" s="25"/>
      <c r="F46" s="149"/>
      <c r="G46" s="149"/>
      <c r="H46" s="7"/>
      <c r="I46" s="7"/>
      <c r="J46" s="7"/>
    </row>
    <row r="47" spans="1:11" x14ac:dyDescent="0.15">
      <c r="B47" s="7"/>
      <c r="C47" s="7"/>
      <c r="D47" s="7"/>
      <c r="F47" s="149"/>
      <c r="G47" s="149"/>
      <c r="H47" s="7"/>
      <c r="I47" s="7"/>
      <c r="J47" s="7"/>
    </row>
    <row r="48" spans="1:11" x14ac:dyDescent="0.15">
      <c r="B48" s="7"/>
      <c r="C48" s="7"/>
      <c r="D48" s="7"/>
      <c r="F48" s="149"/>
      <c r="G48" s="149"/>
      <c r="H48" s="7"/>
      <c r="I48" s="7"/>
      <c r="J48" s="7"/>
    </row>
    <row r="49" spans="2:10" x14ac:dyDescent="0.15">
      <c r="B49" s="7"/>
      <c r="C49" s="7"/>
      <c r="D49" s="7"/>
    </row>
    <row r="50" spans="2:10" ht="13" customHeight="1" x14ac:dyDescent="0.15">
      <c r="B50" s="139"/>
      <c r="C50" s="7"/>
      <c r="D50" s="7"/>
    </row>
    <row r="51" spans="2:10" x14ac:dyDescent="0.15">
      <c r="B51" s="7"/>
      <c r="C51" s="7"/>
      <c r="D51" s="7"/>
      <c r="H51" s="7"/>
      <c r="I51" s="7"/>
      <c r="J51" s="7"/>
    </row>
    <row r="52" spans="2:10" x14ac:dyDescent="0.15">
      <c r="B52" s="7"/>
      <c r="C52" s="7"/>
      <c r="D52" s="7"/>
      <c r="E52" s="25"/>
      <c r="F52" s="149"/>
      <c r="G52" s="149"/>
      <c r="H52" s="7"/>
      <c r="I52" s="7"/>
      <c r="J52" s="7"/>
    </row>
    <row r="53" spans="2:10" x14ac:dyDescent="0.15">
      <c r="B53" s="7"/>
      <c r="C53" s="7"/>
      <c r="D53" s="7"/>
      <c r="F53" s="149"/>
      <c r="G53" s="149"/>
      <c r="H53" s="7"/>
      <c r="I53" s="7"/>
      <c r="J53" s="7"/>
    </row>
    <row r="54" spans="2:10" x14ac:dyDescent="0.15">
      <c r="B54" s="7"/>
      <c r="C54" s="7"/>
      <c r="D54" s="7"/>
      <c r="F54" s="149"/>
      <c r="G54" s="149"/>
      <c r="H54" s="7"/>
      <c r="I54" s="7"/>
      <c r="J54" s="7"/>
    </row>
    <row r="55" spans="2:10" ht="14.5" customHeight="1" x14ac:dyDescent="0.2">
      <c r="F55" s="1"/>
      <c r="H55" s="1"/>
    </row>
    <row r="56" spans="2:10" ht="14.5" customHeight="1" x14ac:dyDescent="0.2">
      <c r="B56" s="138"/>
      <c r="F56" s="1"/>
    </row>
    <row r="57" spans="2:10" x14ac:dyDescent="0.15">
      <c r="B57" s="7"/>
      <c r="C57" s="7"/>
      <c r="D57" s="7"/>
      <c r="H57" s="7"/>
      <c r="I57" s="7"/>
      <c r="J57" s="7"/>
    </row>
    <row r="58" spans="2:10" x14ac:dyDescent="0.15">
      <c r="B58" s="7"/>
      <c r="C58" s="7"/>
      <c r="D58" s="7"/>
      <c r="E58" s="25"/>
      <c r="F58" s="149"/>
      <c r="G58" s="149"/>
      <c r="H58" s="7"/>
      <c r="I58" s="7"/>
      <c r="J58" s="7"/>
    </row>
    <row r="59" spans="2:10" x14ac:dyDescent="0.15">
      <c r="B59" s="7"/>
      <c r="C59" s="7"/>
      <c r="D59" s="7"/>
      <c r="F59" s="149"/>
      <c r="G59" s="149"/>
      <c r="H59" s="7"/>
      <c r="I59" s="7"/>
      <c r="J59" s="7"/>
    </row>
    <row r="60" spans="2:10" x14ac:dyDescent="0.15">
      <c r="B60" s="7"/>
      <c r="C60" s="7"/>
      <c r="D60" s="7"/>
      <c r="F60" s="149"/>
      <c r="G60" s="149"/>
      <c r="H60" s="7"/>
      <c r="I60" s="7"/>
      <c r="J60" s="7"/>
    </row>
    <row r="62" spans="2:10" ht="13" customHeight="1" x14ac:dyDescent="0.15">
      <c r="B62" s="138"/>
    </row>
    <row r="63" spans="2:10" x14ac:dyDescent="0.15">
      <c r="B63" s="7"/>
      <c r="C63" s="7"/>
      <c r="D63" s="7"/>
      <c r="H63" s="7"/>
      <c r="I63" s="7"/>
      <c r="J63" s="7"/>
    </row>
    <row r="64" spans="2:10" x14ac:dyDescent="0.15">
      <c r="B64" s="7"/>
      <c r="C64" s="7"/>
      <c r="D64" s="7"/>
      <c r="E64" s="25"/>
      <c r="F64" s="149"/>
      <c r="G64" s="149"/>
      <c r="H64" s="7"/>
      <c r="I64" s="7"/>
      <c r="J64" s="7"/>
    </row>
    <row r="65" spans="2:10" x14ac:dyDescent="0.15">
      <c r="B65" s="7"/>
      <c r="C65" s="7"/>
      <c r="D65" s="7"/>
      <c r="F65" s="149"/>
      <c r="G65" s="149"/>
      <c r="H65" s="7"/>
      <c r="I65" s="7"/>
      <c r="J65" s="7"/>
    </row>
    <row r="66" spans="2:10" x14ac:dyDescent="0.15">
      <c r="B66" s="7"/>
      <c r="C66" s="7"/>
      <c r="D66" s="7"/>
      <c r="F66" s="149"/>
      <c r="G66" s="149"/>
      <c r="H66" s="7"/>
      <c r="I66" s="7"/>
      <c r="J66" s="7"/>
    </row>
  </sheetData>
  <mergeCells count="3">
    <mergeCell ref="R5:AC5"/>
    <mergeCell ref="K5:M5"/>
    <mergeCell ref="N5:Q5"/>
  </mergeCells>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6"/>
  <sheetViews>
    <sheetView workbookViewId="0">
      <selection activeCell="B12" sqref="B12"/>
    </sheetView>
  </sheetViews>
  <sheetFormatPr baseColWidth="10" defaultColWidth="8.6640625" defaultRowHeight="13" x14ac:dyDescent="0.15"/>
  <cols>
    <col min="1" max="1" width="28.6640625" style="208" customWidth="1"/>
    <col min="2" max="2" width="15.33203125" style="208" bestFit="1" customWidth="1"/>
    <col min="3" max="3" width="15.1640625" style="208" bestFit="1" customWidth="1"/>
    <col min="4" max="4" width="13" style="208" bestFit="1" customWidth="1"/>
    <col min="5" max="6" width="12.83203125" style="208" customWidth="1"/>
    <col min="7" max="7" width="12" style="208" bestFit="1" customWidth="1"/>
    <col min="8" max="8" width="14.33203125" style="208" customWidth="1"/>
    <col min="9" max="10" width="14.5" style="208" customWidth="1"/>
    <col min="11" max="11" width="12.33203125" style="208" customWidth="1"/>
    <col min="12" max="12" width="13.5" style="208" customWidth="1"/>
    <col min="13" max="13" width="11.6640625" style="208" customWidth="1"/>
    <col min="14" max="14" width="13" style="208" customWidth="1"/>
    <col min="15" max="15" width="10.1640625" style="208" customWidth="1"/>
    <col min="16" max="16" width="12.5" style="208" customWidth="1"/>
    <col min="17" max="17" width="13" style="208" bestFit="1" customWidth="1"/>
    <col min="18" max="18" width="12" style="208" bestFit="1" customWidth="1"/>
    <col min="19" max="21" width="11.5" style="208" bestFit="1" customWidth="1"/>
    <col min="22" max="22" width="11.5" style="208" customWidth="1"/>
    <col min="23" max="23" width="10.83203125" style="208" customWidth="1"/>
    <col min="24" max="24" width="8.6640625" style="208" customWidth="1"/>
    <col min="25" max="25" width="10.5" style="208" customWidth="1"/>
    <col min="26" max="26" width="10.83203125" style="208" customWidth="1"/>
    <col min="27" max="27" width="11" style="208" customWidth="1"/>
    <col min="28" max="28" width="10.5" style="208" customWidth="1"/>
    <col min="29" max="29" width="8.6640625" style="208" customWidth="1"/>
    <col min="30" max="16384" width="8.6640625" style="208"/>
  </cols>
  <sheetData>
    <row r="1" spans="1:28" ht="13" customHeight="1" x14ac:dyDescent="0.2">
      <c r="A1" s="207"/>
      <c r="B1" s="207"/>
      <c r="C1" s="207"/>
      <c r="D1" s="207"/>
      <c r="E1" s="207"/>
      <c r="F1" s="207"/>
      <c r="G1" s="207"/>
      <c r="H1" s="207"/>
      <c r="J1" s="209"/>
      <c r="K1" s="207"/>
      <c r="L1" s="207"/>
      <c r="M1" s="207"/>
      <c r="N1" s="207"/>
      <c r="O1" s="207"/>
      <c r="P1" s="207"/>
      <c r="Q1" s="207"/>
      <c r="R1" s="207"/>
      <c r="S1" s="207"/>
      <c r="T1" s="207"/>
      <c r="U1" s="207"/>
      <c r="V1" s="207"/>
      <c r="W1" s="207"/>
      <c r="X1" s="207"/>
      <c r="Y1" s="207"/>
      <c r="Z1" s="207"/>
      <c r="AA1" s="207"/>
      <c r="AB1" s="207"/>
    </row>
    <row r="2" spans="1:28" ht="13" customHeight="1" x14ac:dyDescent="0.2">
      <c r="A2" s="207"/>
      <c r="B2" s="207"/>
      <c r="C2" s="207"/>
      <c r="D2" s="207"/>
      <c r="E2" s="207"/>
      <c r="F2" s="207"/>
      <c r="G2" s="207"/>
      <c r="H2" s="207"/>
      <c r="J2" s="209"/>
      <c r="K2" s="207"/>
      <c r="L2" s="207"/>
      <c r="M2" s="207"/>
      <c r="N2" s="207"/>
      <c r="O2" s="207"/>
      <c r="P2" s="207"/>
      <c r="Q2" s="207"/>
      <c r="R2" s="207"/>
      <c r="S2" s="207"/>
      <c r="T2" s="207"/>
      <c r="U2" s="207"/>
      <c r="V2" s="207"/>
      <c r="W2" s="207"/>
      <c r="X2" s="207"/>
      <c r="Y2" s="207"/>
      <c r="Z2" s="207"/>
      <c r="AA2" s="207"/>
      <c r="AB2" s="207"/>
    </row>
    <row r="3" spans="1:28" ht="13" customHeight="1" x14ac:dyDescent="0.2">
      <c r="A3" s="207"/>
      <c r="B3" s="207"/>
      <c r="C3" s="207"/>
      <c r="D3" s="207"/>
      <c r="E3" s="207"/>
      <c r="F3" s="207"/>
      <c r="G3" s="210" t="s">
        <v>155</v>
      </c>
      <c r="H3" s="207"/>
      <c r="J3" s="209"/>
      <c r="K3" s="207"/>
      <c r="L3" s="207"/>
      <c r="M3" s="207"/>
      <c r="N3" s="207"/>
      <c r="O3" s="207"/>
      <c r="P3" s="207"/>
      <c r="Q3" s="207"/>
      <c r="R3" s="207"/>
      <c r="S3" s="207"/>
      <c r="T3" s="207"/>
      <c r="U3" s="207"/>
      <c r="V3" s="207"/>
      <c r="W3" s="207"/>
      <c r="X3" s="207"/>
      <c r="Y3" s="207"/>
      <c r="Z3" s="207"/>
      <c r="AA3" s="207"/>
      <c r="AB3" s="207"/>
    </row>
    <row r="4" spans="1:28" ht="13" customHeight="1" x14ac:dyDescent="0.2">
      <c r="A4" s="207"/>
      <c r="B4" s="207"/>
      <c r="C4" s="207"/>
      <c r="D4" s="207"/>
      <c r="E4" s="207"/>
      <c r="F4" s="207"/>
      <c r="G4" s="207"/>
      <c r="H4" s="207"/>
      <c r="I4" s="211"/>
      <c r="J4" s="211"/>
      <c r="K4" s="207"/>
      <c r="L4" s="207"/>
      <c r="M4" s="207"/>
      <c r="N4" s="207"/>
      <c r="O4" s="207"/>
      <c r="P4" s="207"/>
      <c r="Q4" s="207"/>
      <c r="R4" s="207"/>
      <c r="S4" s="207"/>
      <c r="T4" s="207"/>
      <c r="U4" s="207"/>
      <c r="V4" s="207"/>
      <c r="W4" s="207"/>
      <c r="X4" s="207"/>
      <c r="Y4" s="207"/>
      <c r="Z4" s="207"/>
      <c r="AA4" s="207"/>
      <c r="AB4" s="207"/>
    </row>
    <row r="5" spans="1:28" ht="14.5" customHeight="1" x14ac:dyDescent="0.2">
      <c r="A5" s="212"/>
      <c r="B5" s="212"/>
      <c r="C5" s="212"/>
      <c r="D5" s="212"/>
      <c r="E5" s="212"/>
      <c r="F5" s="212"/>
      <c r="G5" s="212"/>
      <c r="H5" s="212"/>
      <c r="I5" s="213">
        <v>45597</v>
      </c>
      <c r="J5" s="212"/>
      <c r="K5" s="305" t="s">
        <v>202</v>
      </c>
      <c r="L5" s="299"/>
      <c r="M5" s="300"/>
      <c r="N5" s="302" t="s">
        <v>158</v>
      </c>
      <c r="O5" s="303"/>
      <c r="P5" s="304"/>
      <c r="Q5" s="214" t="s">
        <v>159</v>
      </c>
      <c r="R5" s="212"/>
      <c r="S5" s="212"/>
      <c r="T5" s="212"/>
      <c r="U5" s="212"/>
      <c r="V5" s="212"/>
      <c r="W5" s="212"/>
      <c r="X5" s="212"/>
      <c r="Y5" s="212"/>
      <c r="Z5" s="212"/>
      <c r="AA5" s="212"/>
      <c r="AB5" s="212"/>
    </row>
    <row r="6" spans="1:28" ht="67.5" customHeight="1" x14ac:dyDescent="0.15">
      <c r="A6" s="215" t="s">
        <v>160</v>
      </c>
      <c r="B6" s="216" t="s">
        <v>203</v>
      </c>
      <c r="C6" s="216" t="s">
        <v>204</v>
      </c>
      <c r="D6" s="216" t="s">
        <v>163</v>
      </c>
      <c r="E6" s="216" t="s">
        <v>164</v>
      </c>
      <c r="F6" s="217" t="s">
        <v>10</v>
      </c>
      <c r="G6" s="217" t="s">
        <v>11</v>
      </c>
      <c r="H6" s="216" t="s">
        <v>205</v>
      </c>
      <c r="I6" s="218" t="str">
        <f>"Actuals and including "&amp;TEXT($I$5,"mmm yyyy")</f>
        <v>Actuals and including Nov 2024</v>
      </c>
      <c r="J6" s="218" t="s">
        <v>166</v>
      </c>
      <c r="K6" s="219" t="s">
        <v>167</v>
      </c>
      <c r="L6" s="219" t="s">
        <v>164</v>
      </c>
      <c r="M6" s="219" t="s">
        <v>168</v>
      </c>
      <c r="N6" s="220" t="s">
        <v>206</v>
      </c>
      <c r="O6" s="221" t="s">
        <v>171</v>
      </c>
      <c r="P6" s="220" t="s">
        <v>172</v>
      </c>
      <c r="Q6" s="222">
        <v>45383</v>
      </c>
      <c r="R6" s="222">
        <v>45413</v>
      </c>
      <c r="S6" s="222">
        <v>45444</v>
      </c>
      <c r="T6" s="222">
        <v>45474</v>
      </c>
      <c r="U6" s="222">
        <v>45505</v>
      </c>
      <c r="V6" s="222">
        <v>45536</v>
      </c>
      <c r="W6" s="222">
        <v>45566</v>
      </c>
      <c r="X6" s="222">
        <v>45597</v>
      </c>
      <c r="Y6" s="222">
        <v>45627</v>
      </c>
      <c r="Z6" s="222">
        <v>45658</v>
      </c>
      <c r="AA6" s="222">
        <v>45689</v>
      </c>
      <c r="AB6" s="222">
        <v>45717</v>
      </c>
    </row>
    <row r="7" spans="1:28" ht="14.5" customHeight="1" x14ac:dyDescent="0.2">
      <c r="A7" s="223" t="s">
        <v>173</v>
      </c>
      <c r="B7" s="224">
        <v>45600</v>
      </c>
      <c r="C7" s="225">
        <v>45716</v>
      </c>
      <c r="D7" s="226">
        <v>2000</v>
      </c>
      <c r="E7" s="227">
        <v>500</v>
      </c>
      <c r="F7" s="228" t="s">
        <v>27</v>
      </c>
      <c r="G7" s="229">
        <v>3</v>
      </c>
      <c r="H7" s="230" t="s">
        <v>207</v>
      </c>
      <c r="I7" s="231">
        <v>500</v>
      </c>
      <c r="J7" s="231">
        <v>1500</v>
      </c>
      <c r="K7" s="232"/>
      <c r="L7" s="232"/>
      <c r="M7" s="232"/>
      <c r="N7" s="233"/>
      <c r="O7" s="233"/>
      <c r="P7" s="233"/>
      <c r="Q7" s="234"/>
      <c r="R7" s="234"/>
      <c r="S7" s="234"/>
      <c r="T7" s="234"/>
      <c r="U7" s="234"/>
      <c r="V7" s="234"/>
      <c r="W7" s="234"/>
      <c r="X7" s="234"/>
      <c r="Y7" s="234"/>
      <c r="Z7" s="234"/>
      <c r="AA7" s="234"/>
      <c r="AB7" s="234"/>
    </row>
    <row r="8" spans="1:28" ht="14.5" customHeight="1" x14ac:dyDescent="0.2">
      <c r="A8" s="235" t="s">
        <v>174</v>
      </c>
      <c r="B8" s="224"/>
      <c r="C8" s="236"/>
      <c r="D8" s="226">
        <f>INDEX($C$21:$J$25,MATCH(F8,$A$21:$A$25,0),G8)</f>
        <v>123137</v>
      </c>
      <c r="E8" s="227">
        <f>D8/12</f>
        <v>10261.416666666666</v>
      </c>
      <c r="F8" s="228" t="s">
        <v>34</v>
      </c>
      <c r="G8" s="229">
        <v>8</v>
      </c>
      <c r="H8" s="237" t="s">
        <v>208</v>
      </c>
      <c r="I8" s="231">
        <f>SUMIFS(Q8:AB8,$Q$6:$AB$6,"&lt;="&amp;$I$5)</f>
        <v>82091.333333333328</v>
      </c>
      <c r="J8" s="231">
        <f>SUMIFS(Q8:AB8,$Q$6:$AB$6,"&gt;"&amp;$I$5)</f>
        <v>41814.567204301078</v>
      </c>
      <c r="K8" s="232">
        <f>IFERROR(INDEX($C$21:$K$25,MATCH($F8,$A$21:$A$25,0),$G8+1),$D8)</f>
        <v>123137</v>
      </c>
      <c r="L8" s="232">
        <f>K8/12</f>
        <v>10261.416666666666</v>
      </c>
      <c r="M8" s="232">
        <f>IFERROR(E8*DAY(H8-1)/DAY(EOMONTH(H8,0))+L8*(DAY(EOMONTH(H8,0))-DAY(H8-1))/DAY(EOMONTH(H8,0)),E8)</f>
        <v>10261.416666666666</v>
      </c>
      <c r="N8" s="233">
        <f>IFERROR(INDEX($C$34:$K$38,MATCH($F8,$A$34:$A$38,0),$G8+IF($H8&lt;$B$34,1,0)),$D8)</f>
        <v>125914</v>
      </c>
      <c r="O8" s="233">
        <f>N8/12</f>
        <v>10492.833333333334</v>
      </c>
      <c r="P8" s="233">
        <f>IF(H8&lt;$B$21,L8,E8)*21/31+O8*10/31</f>
        <v>10336.067204301075</v>
      </c>
      <c r="Q8" s="234">
        <f t="shared" ref="Q8:AB8" si="0">IF(EOMONTH(Q$6,0)=EOMONTH($B$34,0),$P8,IF(EOMONTH(Q$6,0)&gt;EOMONTH($B$34,0),$O8,IF(EOMONTH(Q$6,0)&lt;IFERROR(EOMONTH($H8,0),EOMONTH(Q$6,0)),$E8,IF(EOMONTH(Q$6,0)=IFERROR(EOMONTH($H8,0),EOMONTH(Q$6,0)),$M8,IF(EOMONTH(Q$6,0)&gt;IFERROR(EOMONTH($H8,0),EOMONTH(Q$6,0)),$L8,$M8)))))</f>
        <v>10261.416666666666</v>
      </c>
      <c r="R8" s="234">
        <f t="shared" si="0"/>
        <v>10261.416666666666</v>
      </c>
      <c r="S8" s="234">
        <f t="shared" si="0"/>
        <v>10261.416666666666</v>
      </c>
      <c r="T8" s="234">
        <f t="shared" si="0"/>
        <v>10261.416666666666</v>
      </c>
      <c r="U8" s="234">
        <f t="shared" si="0"/>
        <v>10261.416666666666</v>
      </c>
      <c r="V8" s="234">
        <f t="shared" si="0"/>
        <v>10261.416666666666</v>
      </c>
      <c r="W8" s="234">
        <f t="shared" si="0"/>
        <v>10261.416666666666</v>
      </c>
      <c r="X8" s="234">
        <f t="shared" si="0"/>
        <v>10261.416666666666</v>
      </c>
      <c r="Y8" s="234">
        <f t="shared" si="0"/>
        <v>10336.067204301075</v>
      </c>
      <c r="Z8" s="234">
        <f t="shared" si="0"/>
        <v>10492.833333333334</v>
      </c>
      <c r="AA8" s="234">
        <f t="shared" si="0"/>
        <v>10492.833333333334</v>
      </c>
      <c r="AB8" s="234">
        <f t="shared" si="0"/>
        <v>10492.833333333334</v>
      </c>
    </row>
    <row r="9" spans="1:28" ht="14.5" customHeight="1" x14ac:dyDescent="0.2">
      <c r="A9" s="238" t="s">
        <v>175</v>
      </c>
      <c r="B9" s="239">
        <v>45383</v>
      </c>
      <c r="C9" s="240">
        <v>45580</v>
      </c>
      <c r="D9" s="241"/>
      <c r="E9" s="242"/>
      <c r="F9" s="243" t="s">
        <v>34</v>
      </c>
      <c r="G9" s="244">
        <v>4</v>
      </c>
      <c r="H9" s="245"/>
      <c r="I9" s="246">
        <v>59325</v>
      </c>
      <c r="J9" s="246">
        <v>0</v>
      </c>
      <c r="K9" s="246"/>
      <c r="L9" s="246"/>
      <c r="M9" s="246"/>
      <c r="N9" s="246"/>
      <c r="O9" s="246"/>
      <c r="P9" s="246"/>
      <c r="Q9" s="246"/>
      <c r="R9" s="246"/>
      <c r="S9" s="246"/>
      <c r="T9" s="246"/>
      <c r="U9" s="246"/>
      <c r="V9" s="246"/>
      <c r="W9" s="246"/>
      <c r="X9" s="246"/>
      <c r="Y9" s="246"/>
      <c r="Z9" s="246"/>
      <c r="AA9" s="246"/>
      <c r="AB9" s="246"/>
    </row>
    <row r="10" spans="1:28" ht="14.5" customHeight="1" x14ac:dyDescent="0.2">
      <c r="A10" s="247" t="s">
        <v>177</v>
      </c>
      <c r="B10" s="224"/>
      <c r="C10" s="236"/>
      <c r="D10" s="226">
        <f>INDEX($C$21:$J$25,MATCH(F10,$A$21:$A$25,0),G10)</f>
        <v>116172</v>
      </c>
      <c r="E10" s="227">
        <f t="shared" ref="E10:E15" si="1">D10/12</f>
        <v>9681</v>
      </c>
      <c r="F10" s="228" t="s">
        <v>34</v>
      </c>
      <c r="G10" s="229">
        <v>6</v>
      </c>
      <c r="H10" s="237" t="s">
        <v>209</v>
      </c>
      <c r="I10" s="231">
        <f t="shared" ref="I10:I15" si="2">SUMIFS(Q10:AB10,$Q$6:$AB$6,"&lt;="&amp;$I$5)</f>
        <v>77448</v>
      </c>
      <c r="J10" s="231">
        <f t="shared" ref="J10:J15" si="3">SUMIFS(Q10:AB10,$Q$6:$AB$6,"&gt;"&amp;$I$5)</f>
        <v>39449.153225806454</v>
      </c>
      <c r="K10" s="232">
        <f>IFERROR(INDEX($C$21:$K$25,MATCH($F10,$A$21:$A$25,0),$G10+1),$D10)</f>
        <v>119584</v>
      </c>
      <c r="L10" s="232">
        <f t="shared" ref="L10:L15" si="4">K10/12</f>
        <v>9965.3333333333339</v>
      </c>
      <c r="M10" s="232">
        <f t="shared" ref="M10:M15" si="5">IFERROR(E10*DAY(H10-1)/DAY(EOMONTH(H10,0))+L10*(DAY(EOMONTH(H10,0))-DAY(H10-1))/DAY(EOMONTH(H10,0)),E10)</f>
        <v>9846.0967741935492</v>
      </c>
      <c r="N10" s="233">
        <f>IFERROR(INDEX($C$34:$K$38,MATCH($F10,$A$34:$A$38,0),$G10+IF($H10&lt;$B$34,1,0)),$D10)</f>
        <v>118791</v>
      </c>
      <c r="O10" s="233">
        <f t="shared" ref="O10:O15" si="6">N10/12</f>
        <v>9899.25</v>
      </c>
      <c r="P10" s="233">
        <f t="shared" ref="P10:P15" si="7">IF(H10&lt;$B$21,L10,E10)*21/31+O10*10/31</f>
        <v>9751.4032258064508</v>
      </c>
      <c r="Q10" s="234">
        <f t="shared" ref="Q10:AB11" si="8">IF(EOMONTH(Q$6,0)=EOMONTH($B$34,0),$P10,IF(EOMONTH(Q$6,0)&gt;EOMONTH($B$34,0),$O10,IF(EOMONTH(Q$6,0)&lt;IFERROR(EOMONTH($H10,0),EOMONTH(Q$6,0)),$E10,IF(EOMONTH(Q$6,0)=IFERROR(EOMONTH($H10,0),EOMONTH(Q$6,0)),$M10,IF(EOMONTH(Q$6,0)&gt;IFERROR(EOMONTH($H10,0),EOMONTH(Q$6,0)),$L10,$M10)))))</f>
        <v>9681</v>
      </c>
      <c r="R10" s="234">
        <f t="shared" si="8"/>
        <v>9681</v>
      </c>
      <c r="S10" s="234">
        <f t="shared" si="8"/>
        <v>9681</v>
      </c>
      <c r="T10" s="234">
        <f t="shared" si="8"/>
        <v>9681</v>
      </c>
      <c r="U10" s="234">
        <f t="shared" si="8"/>
        <v>9681</v>
      </c>
      <c r="V10" s="234">
        <f t="shared" si="8"/>
        <v>9681</v>
      </c>
      <c r="W10" s="234">
        <f t="shared" si="8"/>
        <v>9681</v>
      </c>
      <c r="X10" s="234">
        <f t="shared" si="8"/>
        <v>9681</v>
      </c>
      <c r="Y10" s="234">
        <f t="shared" si="8"/>
        <v>9751.4032258064508</v>
      </c>
      <c r="Z10" s="234">
        <f t="shared" si="8"/>
        <v>9899.25</v>
      </c>
      <c r="AA10" s="234">
        <f t="shared" si="8"/>
        <v>9899.25</v>
      </c>
      <c r="AB10" s="234">
        <f t="shared" si="8"/>
        <v>9899.25</v>
      </c>
    </row>
    <row r="11" spans="1:28" ht="14.5" customHeight="1" x14ac:dyDescent="0.2">
      <c r="A11" s="235" t="s">
        <v>179</v>
      </c>
      <c r="B11" s="224" t="s">
        <v>210</v>
      </c>
      <c r="C11" s="236"/>
      <c r="D11" s="226">
        <f>INDEX($C$21:$J$25,MATCH(F11,$A$21:$A$25,0),G11)</f>
        <v>94708</v>
      </c>
      <c r="E11" s="248">
        <f t="shared" si="1"/>
        <v>7892.333333333333</v>
      </c>
      <c r="F11" s="228" t="s">
        <v>58</v>
      </c>
      <c r="G11" s="229">
        <v>5</v>
      </c>
      <c r="H11" s="237" t="s">
        <v>211</v>
      </c>
      <c r="I11" s="231">
        <f t="shared" si="2"/>
        <v>63831.569892473126</v>
      </c>
      <c r="J11" s="231">
        <f t="shared" si="3"/>
        <v>32160.752688172041</v>
      </c>
      <c r="K11" s="232">
        <f>IFERROR(INDEX($C$21:$K$25,MATCH($F11,$A$21:$A$25,0),$G11+1),$D11)</f>
        <v>97393</v>
      </c>
      <c r="L11" s="232">
        <f t="shared" si="4"/>
        <v>8116.083333333333</v>
      </c>
      <c r="M11" s="232">
        <f t="shared" si="5"/>
        <v>7913.9865591397847</v>
      </c>
      <c r="N11" s="233">
        <f>IFERROR(INDEX($C$34:$K$38,MATCH($F11,$A$34:$A$38,0),$G11+IF($H11&lt;$B$34,1,0)),$D11)</f>
        <v>96844</v>
      </c>
      <c r="O11" s="233">
        <f t="shared" si="6"/>
        <v>8070.333333333333</v>
      </c>
      <c r="P11" s="233">
        <f t="shared" si="7"/>
        <v>7949.7526881720423</v>
      </c>
      <c r="Q11" s="234">
        <f t="shared" si="8"/>
        <v>7892.333333333333</v>
      </c>
      <c r="R11" s="234">
        <f t="shared" si="8"/>
        <v>7892.333333333333</v>
      </c>
      <c r="S11" s="234">
        <f t="shared" si="8"/>
        <v>7892.333333333333</v>
      </c>
      <c r="T11" s="234">
        <f t="shared" si="8"/>
        <v>7892.333333333333</v>
      </c>
      <c r="U11" s="234">
        <f t="shared" si="8"/>
        <v>7913.9865591397847</v>
      </c>
      <c r="V11" s="234">
        <f t="shared" si="8"/>
        <v>8116.083333333333</v>
      </c>
      <c r="W11" s="234">
        <f t="shared" si="8"/>
        <v>8116.083333333333</v>
      </c>
      <c r="X11" s="234">
        <f t="shared" si="8"/>
        <v>8116.083333333333</v>
      </c>
      <c r="Y11" s="234">
        <f t="shared" si="8"/>
        <v>7949.7526881720423</v>
      </c>
      <c r="Z11" s="234">
        <f t="shared" si="8"/>
        <v>8070.333333333333</v>
      </c>
      <c r="AA11" s="234">
        <f t="shared" si="8"/>
        <v>8070.333333333333</v>
      </c>
      <c r="AB11" s="234">
        <f t="shared" si="8"/>
        <v>8070.333333333333</v>
      </c>
    </row>
    <row r="12" spans="1:28" ht="14.5" customHeight="1" x14ac:dyDescent="0.2">
      <c r="A12" s="235" t="s">
        <v>181</v>
      </c>
      <c r="B12" s="224"/>
      <c r="C12" s="236"/>
      <c r="D12" s="226">
        <f>INDEX($C$26:$E$30,MATCH(F12,$A$26:$A$30,0),G12)</f>
        <v>101750</v>
      </c>
      <c r="E12" s="248">
        <f t="shared" si="1"/>
        <v>8479.1666666666661</v>
      </c>
      <c r="F12" s="201" t="s">
        <v>100</v>
      </c>
      <c r="G12" s="229">
        <v>3</v>
      </c>
      <c r="H12" s="237" t="s">
        <v>208</v>
      </c>
      <c r="I12" s="231">
        <f t="shared" si="2"/>
        <v>68850.833333333343</v>
      </c>
      <c r="J12" s="231">
        <f t="shared" si="3"/>
        <v>34681.333333333336</v>
      </c>
      <c r="K12" s="232">
        <f>IFERROR(INDEX($C$26:$E$30,MATCH($F12,$A$26:$A$30,0),$G12+1),$D12)</f>
        <v>101750</v>
      </c>
      <c r="L12" s="232">
        <f t="shared" si="4"/>
        <v>8479.1666666666661</v>
      </c>
      <c r="M12" s="232">
        <f t="shared" si="5"/>
        <v>8479.1666666666661</v>
      </c>
      <c r="N12" s="233">
        <f>IFERROR(INDEX($C$39:$E$43,MATCH($F12,$A$39:$A$43,0),$G12+IF($H12&lt;$B$34,1,0)),$D12)</f>
        <v>104044</v>
      </c>
      <c r="O12" s="233">
        <f t="shared" si="6"/>
        <v>8670.3333333333339</v>
      </c>
      <c r="P12" s="233">
        <f t="shared" si="7"/>
        <v>8540.8333333333321</v>
      </c>
      <c r="Q12" s="234">
        <f t="shared" ref="Q12:AB12" si="9">IF(EOMONTH(Q$6,0)=EOMONTH($B$39,0),$P12,IF(EOMONTH(Q$6,0)&gt;EOMONTH($B$39,0),$O12,IF(EOMONTH(Q$6,0)&lt;IFERROR(EOMONTH($H12,0),EOMONTH(Q$6,0)),$E12,IF(EOMONTH(Q$6,0)=IFERROR(EOMONTH($H12,0),EOMONTH(Q$6,0)),$M12,IF(EOMONTH(Q$6,0)&gt;IFERROR(EOMONTH($H12,0),EOMONTH(Q$6,0)),$L12,$M12)))))</f>
        <v>8479.1666666666661</v>
      </c>
      <c r="R12" s="234">
        <f t="shared" si="9"/>
        <v>8479.1666666666661</v>
      </c>
      <c r="S12" s="234">
        <f t="shared" si="9"/>
        <v>8540.8333333333321</v>
      </c>
      <c r="T12" s="234">
        <f t="shared" si="9"/>
        <v>8670.3333333333339</v>
      </c>
      <c r="U12" s="234">
        <f t="shared" si="9"/>
        <v>8670.3333333333339</v>
      </c>
      <c r="V12" s="234">
        <f t="shared" si="9"/>
        <v>8670.3333333333339</v>
      </c>
      <c r="W12" s="234">
        <f t="shared" si="9"/>
        <v>8670.3333333333339</v>
      </c>
      <c r="X12" s="234">
        <f t="shared" si="9"/>
        <v>8670.3333333333339</v>
      </c>
      <c r="Y12" s="234">
        <f t="shared" si="9"/>
        <v>8670.3333333333339</v>
      </c>
      <c r="Z12" s="234">
        <f t="shared" si="9"/>
        <v>8670.3333333333339</v>
      </c>
      <c r="AA12" s="234">
        <f t="shared" si="9"/>
        <v>8670.3333333333339</v>
      </c>
      <c r="AB12" s="234">
        <f t="shared" si="9"/>
        <v>8670.3333333333339</v>
      </c>
    </row>
    <row r="13" spans="1:28" ht="14.5" customHeight="1" x14ac:dyDescent="0.2">
      <c r="A13" s="249" t="s">
        <v>185</v>
      </c>
      <c r="B13" s="224"/>
      <c r="C13" s="236"/>
      <c r="D13" s="226">
        <v>0</v>
      </c>
      <c r="E13" s="227">
        <f t="shared" si="1"/>
        <v>0</v>
      </c>
      <c r="F13" s="228" t="s">
        <v>34</v>
      </c>
      <c r="G13" s="229">
        <v>5</v>
      </c>
      <c r="H13" s="237" t="s">
        <v>212</v>
      </c>
      <c r="I13" s="231">
        <f t="shared" si="2"/>
        <v>0</v>
      </c>
      <c r="J13" s="231">
        <f t="shared" si="3"/>
        <v>0</v>
      </c>
      <c r="K13" s="232">
        <v>0</v>
      </c>
      <c r="L13" s="232">
        <f t="shared" si="4"/>
        <v>0</v>
      </c>
      <c r="M13" s="232">
        <f t="shared" si="5"/>
        <v>0</v>
      </c>
      <c r="N13" s="233">
        <v>0</v>
      </c>
      <c r="O13" s="233">
        <f t="shared" si="6"/>
        <v>0</v>
      </c>
      <c r="P13" s="233">
        <f t="shared" si="7"/>
        <v>0</v>
      </c>
      <c r="Q13" s="234">
        <f t="shared" ref="Q13:AB15" si="10">IF(EOMONTH(Q$6,0)=EOMONTH($B$34,0),$P13,IF(EOMONTH(Q$6,0)&gt;EOMONTH($B$34,0),$O13,IF(EOMONTH(Q$6,0)&lt;IFERROR(EOMONTH($H13,0),EOMONTH(Q$6,0)),$E13,IF(EOMONTH(Q$6,0)=IFERROR(EOMONTH($H13,0),EOMONTH(Q$6,0)),$M13,IF(EOMONTH(Q$6,0)&gt;IFERROR(EOMONTH($H13,0),EOMONTH(Q$6,0)),$L13,$M13)))))</f>
        <v>0</v>
      </c>
      <c r="R13" s="234">
        <f t="shared" si="10"/>
        <v>0</v>
      </c>
      <c r="S13" s="234">
        <f t="shared" si="10"/>
        <v>0</v>
      </c>
      <c r="T13" s="234">
        <f t="shared" si="10"/>
        <v>0</v>
      </c>
      <c r="U13" s="234">
        <f t="shared" si="10"/>
        <v>0</v>
      </c>
      <c r="V13" s="234">
        <f t="shared" si="10"/>
        <v>0</v>
      </c>
      <c r="W13" s="234">
        <f t="shared" si="10"/>
        <v>0</v>
      </c>
      <c r="X13" s="234">
        <f t="shared" si="10"/>
        <v>0</v>
      </c>
      <c r="Y13" s="234">
        <f t="shared" si="10"/>
        <v>0</v>
      </c>
      <c r="Z13" s="234">
        <f t="shared" si="10"/>
        <v>0</v>
      </c>
      <c r="AA13" s="234">
        <f t="shared" si="10"/>
        <v>0</v>
      </c>
      <c r="AB13" s="234">
        <f t="shared" si="10"/>
        <v>0</v>
      </c>
    </row>
    <row r="14" spans="1:28" ht="14.5" customHeight="1" x14ac:dyDescent="0.2">
      <c r="A14" s="235" t="s">
        <v>186</v>
      </c>
      <c r="B14" s="224"/>
      <c r="C14" s="236"/>
      <c r="D14" s="226">
        <f>INDEX($C$21:$J$25,MATCH(F14,$A$21:$A$25,0),G14)</f>
        <v>89333</v>
      </c>
      <c r="E14" s="227">
        <f t="shared" si="1"/>
        <v>7444.416666666667</v>
      </c>
      <c r="F14" s="228" t="s">
        <v>58</v>
      </c>
      <c r="G14" s="229">
        <v>3</v>
      </c>
      <c r="H14" s="237" t="s">
        <v>213</v>
      </c>
      <c r="I14" s="231">
        <f t="shared" si="2"/>
        <v>60501.561827956997</v>
      </c>
      <c r="J14" s="231">
        <f t="shared" si="3"/>
        <v>30335.583333333332</v>
      </c>
      <c r="K14" s="232">
        <f>IFERROR(INDEX($C$21:$K$25,MATCH($F14,$A$21:$A$25,0),$G14+1),$D14)</f>
        <v>92020</v>
      </c>
      <c r="L14" s="232">
        <f t="shared" si="4"/>
        <v>7668.333333333333</v>
      </c>
      <c r="M14" s="232">
        <f t="shared" si="5"/>
        <v>7494.9784946236559</v>
      </c>
      <c r="N14" s="233">
        <f>IFERROR(INDEX($C$34:$K$38,MATCH($F14,$A$34:$A$38,0),$G14+IF($H14&lt;$B$34,1,0)),$D14)</f>
        <v>91348</v>
      </c>
      <c r="O14" s="233">
        <f t="shared" si="6"/>
        <v>7612.333333333333</v>
      </c>
      <c r="P14" s="233">
        <f t="shared" si="7"/>
        <v>7498.5833333333339</v>
      </c>
      <c r="Q14" s="234">
        <f t="shared" si="10"/>
        <v>7444.416666666667</v>
      </c>
      <c r="R14" s="234">
        <f t="shared" si="10"/>
        <v>7444.416666666667</v>
      </c>
      <c r="S14" s="234">
        <f t="shared" si="10"/>
        <v>7444.416666666667</v>
      </c>
      <c r="T14" s="234">
        <f t="shared" si="10"/>
        <v>7494.9784946236559</v>
      </c>
      <c r="U14" s="234">
        <f t="shared" si="10"/>
        <v>7668.333333333333</v>
      </c>
      <c r="V14" s="234">
        <f t="shared" si="10"/>
        <v>7668.333333333333</v>
      </c>
      <c r="W14" s="234">
        <f t="shared" si="10"/>
        <v>7668.333333333333</v>
      </c>
      <c r="X14" s="234">
        <f t="shared" si="10"/>
        <v>7668.333333333333</v>
      </c>
      <c r="Y14" s="234">
        <f t="shared" si="10"/>
        <v>7498.5833333333339</v>
      </c>
      <c r="Z14" s="234">
        <f t="shared" si="10"/>
        <v>7612.333333333333</v>
      </c>
      <c r="AA14" s="234">
        <f t="shared" si="10"/>
        <v>7612.333333333333</v>
      </c>
      <c r="AB14" s="234">
        <f t="shared" si="10"/>
        <v>7612.333333333333</v>
      </c>
    </row>
    <row r="15" spans="1:28" ht="14.5" customHeight="1" x14ac:dyDescent="0.2">
      <c r="A15" s="235" t="s">
        <v>183</v>
      </c>
      <c r="B15" s="224"/>
      <c r="C15" s="236"/>
      <c r="D15" s="226">
        <v>0</v>
      </c>
      <c r="E15" s="227">
        <f t="shared" si="1"/>
        <v>0</v>
      </c>
      <c r="F15" s="228" t="s">
        <v>58</v>
      </c>
      <c r="G15" s="229">
        <v>5</v>
      </c>
      <c r="H15" s="237" t="s">
        <v>212</v>
      </c>
      <c r="I15" s="231">
        <f t="shared" si="2"/>
        <v>0</v>
      </c>
      <c r="J15" s="231">
        <f t="shared" si="3"/>
        <v>0</v>
      </c>
      <c r="K15" s="232">
        <v>0</v>
      </c>
      <c r="L15" s="232">
        <f t="shared" si="4"/>
        <v>0</v>
      </c>
      <c r="M15" s="232">
        <f t="shared" si="5"/>
        <v>0</v>
      </c>
      <c r="N15" s="233">
        <v>0</v>
      </c>
      <c r="O15" s="233">
        <f t="shared" si="6"/>
        <v>0</v>
      </c>
      <c r="P15" s="233">
        <f t="shared" si="7"/>
        <v>0</v>
      </c>
      <c r="Q15" s="234">
        <f t="shared" si="10"/>
        <v>0</v>
      </c>
      <c r="R15" s="234">
        <f t="shared" si="10"/>
        <v>0</v>
      </c>
      <c r="S15" s="234">
        <f t="shared" si="10"/>
        <v>0</v>
      </c>
      <c r="T15" s="234">
        <f t="shared" si="10"/>
        <v>0</v>
      </c>
      <c r="U15" s="234">
        <f t="shared" si="10"/>
        <v>0</v>
      </c>
      <c r="V15" s="234">
        <f t="shared" si="10"/>
        <v>0</v>
      </c>
      <c r="W15" s="234">
        <f t="shared" si="10"/>
        <v>0</v>
      </c>
      <c r="X15" s="234">
        <f t="shared" si="10"/>
        <v>0</v>
      </c>
      <c r="Y15" s="234">
        <f t="shared" si="10"/>
        <v>0</v>
      </c>
      <c r="Z15" s="234">
        <f t="shared" si="10"/>
        <v>0</v>
      </c>
      <c r="AA15" s="234">
        <f t="shared" si="10"/>
        <v>0</v>
      </c>
      <c r="AB15" s="234">
        <f t="shared" si="10"/>
        <v>0</v>
      </c>
    </row>
    <row r="16" spans="1:28" ht="14.5" customHeight="1" x14ac:dyDescent="0.2">
      <c r="A16" s="250"/>
      <c r="B16" s="251"/>
      <c r="C16" s="252"/>
      <c r="D16" s="253"/>
      <c r="E16" s="242"/>
      <c r="F16" s="254"/>
      <c r="G16" s="254"/>
      <c r="H16" s="255"/>
      <c r="I16" s="256">
        <f>SUBTOTAL(9,I7:I15)</f>
        <v>412548.29838709679</v>
      </c>
      <c r="J16" s="256">
        <f>SUBTOTAL(9,J7:J15)</f>
        <v>179941.38978494625</v>
      </c>
      <c r="K16" s="246"/>
      <c r="L16" s="246"/>
      <c r="M16" s="246"/>
      <c r="N16" s="246"/>
      <c r="O16" s="246"/>
      <c r="P16" s="246"/>
      <c r="Q16" s="246"/>
      <c r="R16" s="246"/>
      <c r="S16" s="246"/>
      <c r="T16" s="246"/>
      <c r="U16" s="246"/>
      <c r="V16" s="246"/>
      <c r="W16" s="246"/>
      <c r="X16" s="246"/>
      <c r="Y16" s="246"/>
      <c r="Z16" s="246"/>
      <c r="AA16" s="246"/>
      <c r="AB16" s="246"/>
    </row>
    <row r="18" spans="1:16" ht="14.5" customHeight="1" x14ac:dyDescent="0.2">
      <c r="A18" s="212"/>
      <c r="B18" s="212"/>
      <c r="C18" s="212"/>
      <c r="D18" s="212"/>
      <c r="E18" s="212"/>
      <c r="F18" s="212"/>
      <c r="G18" s="212"/>
      <c r="H18" s="212"/>
      <c r="I18" s="212"/>
      <c r="J18" s="212"/>
      <c r="K18" s="212"/>
    </row>
    <row r="19" spans="1:16" ht="14.5" customHeight="1" x14ac:dyDescent="0.2">
      <c r="A19" s="214" t="s">
        <v>157</v>
      </c>
      <c r="B19" s="212"/>
      <c r="C19" s="212"/>
      <c r="D19" s="212"/>
      <c r="E19" s="212"/>
      <c r="F19" s="212"/>
      <c r="G19" s="212"/>
      <c r="H19" s="212"/>
      <c r="I19" s="212"/>
      <c r="J19" s="212"/>
      <c r="K19" s="212"/>
    </row>
    <row r="20" spans="1:16" ht="14.5" customHeight="1" x14ac:dyDescent="0.2">
      <c r="A20" s="257" t="s">
        <v>187</v>
      </c>
      <c r="B20" s="258" t="s">
        <v>188</v>
      </c>
      <c r="C20" s="258" t="s">
        <v>189</v>
      </c>
      <c r="D20" s="258" t="s">
        <v>190</v>
      </c>
      <c r="E20" s="258" t="s">
        <v>191</v>
      </c>
      <c r="F20" s="258" t="s">
        <v>192</v>
      </c>
      <c r="G20" s="258" t="s">
        <v>193</v>
      </c>
      <c r="H20" s="258" t="s">
        <v>194</v>
      </c>
      <c r="I20" s="258" t="s">
        <v>195</v>
      </c>
      <c r="J20" s="258" t="s">
        <v>196</v>
      </c>
      <c r="K20" s="258" t="s">
        <v>197</v>
      </c>
      <c r="M20" s="259" t="s">
        <v>214</v>
      </c>
    </row>
    <row r="21" spans="1:16" ht="14.5" customHeight="1" x14ac:dyDescent="0.2">
      <c r="A21" s="212" t="s">
        <v>79</v>
      </c>
      <c r="B21" s="260">
        <v>45383</v>
      </c>
      <c r="C21" s="261">
        <v>67831</v>
      </c>
      <c r="D21" s="261">
        <v>70339</v>
      </c>
      <c r="E21" s="261">
        <v>72842</v>
      </c>
      <c r="F21" s="261">
        <v>75332</v>
      </c>
      <c r="G21" s="261">
        <v>77820</v>
      </c>
      <c r="H21" s="261">
        <v>80309</v>
      </c>
      <c r="I21" s="261">
        <v>82794</v>
      </c>
      <c r="J21" s="261">
        <v>87411</v>
      </c>
      <c r="K21" s="261">
        <v>87411</v>
      </c>
      <c r="M21" s="262" t="s">
        <v>215</v>
      </c>
      <c r="N21" s="263"/>
      <c r="O21" s="263"/>
      <c r="P21" s="264"/>
    </row>
    <row r="22" spans="1:16" ht="14.5" customHeight="1" x14ac:dyDescent="0.2">
      <c r="A22" s="212" t="s">
        <v>58</v>
      </c>
      <c r="B22" s="260">
        <v>45383</v>
      </c>
      <c r="C22" s="261">
        <v>83961</v>
      </c>
      <c r="D22" s="261">
        <v>86649</v>
      </c>
      <c r="E22" s="261">
        <v>89333</v>
      </c>
      <c r="F22" s="261">
        <v>92020</v>
      </c>
      <c r="G22" s="261">
        <v>94708</v>
      </c>
      <c r="H22" s="261">
        <v>97393</v>
      </c>
      <c r="I22" s="261">
        <v>100078</v>
      </c>
      <c r="J22" s="261">
        <v>102763</v>
      </c>
      <c r="K22" s="261">
        <v>102763</v>
      </c>
      <c r="M22" s="265" t="s">
        <v>216</v>
      </c>
      <c r="N22" s="266"/>
      <c r="O22" s="266"/>
      <c r="P22" s="267"/>
    </row>
    <row r="23" spans="1:16" ht="14.5" customHeight="1" x14ac:dyDescent="0.2">
      <c r="A23" s="212" t="s">
        <v>34</v>
      </c>
      <c r="B23" s="260">
        <v>45383</v>
      </c>
      <c r="C23" s="261">
        <v>99108</v>
      </c>
      <c r="D23" s="261">
        <v>102522</v>
      </c>
      <c r="E23" s="261">
        <v>105935</v>
      </c>
      <c r="F23" s="261">
        <v>109351</v>
      </c>
      <c r="G23" s="261">
        <v>112763</v>
      </c>
      <c r="H23" s="261">
        <v>116172</v>
      </c>
      <c r="I23" s="261">
        <v>119584</v>
      </c>
      <c r="J23" s="261">
        <v>123137</v>
      </c>
      <c r="K23" s="261">
        <v>123137</v>
      </c>
      <c r="M23" s="265" t="s">
        <v>217</v>
      </c>
      <c r="N23" s="266"/>
      <c r="O23" s="266"/>
      <c r="P23" s="268"/>
    </row>
    <row r="24" spans="1:16" ht="14.5" customHeight="1" x14ac:dyDescent="0.2">
      <c r="A24" s="212" t="s">
        <v>27</v>
      </c>
      <c r="B24" s="260">
        <v>45383</v>
      </c>
      <c r="C24" s="261">
        <v>113478</v>
      </c>
      <c r="D24" s="261">
        <v>117391</v>
      </c>
      <c r="E24" s="261">
        <v>121304</v>
      </c>
      <c r="F24" s="261">
        <v>125216</v>
      </c>
      <c r="G24" s="261">
        <v>129127</v>
      </c>
      <c r="H24" s="261">
        <v>133041</v>
      </c>
      <c r="I24" s="261">
        <v>136951</v>
      </c>
      <c r="J24" s="261">
        <v>141249</v>
      </c>
      <c r="K24" s="261">
        <v>141249</v>
      </c>
      <c r="M24" s="265"/>
      <c r="N24" s="266"/>
      <c r="O24" s="266"/>
      <c r="P24" s="268"/>
    </row>
    <row r="25" spans="1:16" ht="14.5" customHeight="1" x14ac:dyDescent="0.2">
      <c r="A25" s="212" t="s">
        <v>198</v>
      </c>
      <c r="B25" s="260">
        <v>45383</v>
      </c>
      <c r="C25" s="261">
        <v>130636</v>
      </c>
      <c r="D25" s="261">
        <v>135507</v>
      </c>
      <c r="E25" s="261">
        <v>140374</v>
      </c>
      <c r="F25" s="261">
        <v>145245</v>
      </c>
      <c r="G25" s="261">
        <v>150118</v>
      </c>
      <c r="H25" s="261">
        <v>154990</v>
      </c>
      <c r="I25" s="261">
        <v>159860</v>
      </c>
      <c r="J25" s="261">
        <v>164731</v>
      </c>
      <c r="K25" s="261">
        <v>170237</v>
      </c>
      <c r="M25" s="269" t="s">
        <v>218</v>
      </c>
    </row>
    <row r="26" spans="1:16" ht="14.5" customHeight="1" x14ac:dyDescent="0.2">
      <c r="A26" s="212" t="s">
        <v>199</v>
      </c>
      <c r="B26" s="260">
        <v>45383</v>
      </c>
      <c r="C26" s="261">
        <v>60424</v>
      </c>
      <c r="D26" s="261">
        <v>62721</v>
      </c>
      <c r="E26" s="261">
        <v>65104</v>
      </c>
      <c r="F26" s="261"/>
      <c r="G26" s="261"/>
      <c r="H26" s="261"/>
      <c r="I26" s="261"/>
      <c r="J26" s="261"/>
      <c r="K26" s="261"/>
      <c r="M26" s="270" t="s">
        <v>219</v>
      </c>
    </row>
    <row r="27" spans="1:16" ht="14.5" customHeight="1" x14ac:dyDescent="0.2">
      <c r="A27" s="212" t="s">
        <v>138</v>
      </c>
      <c r="B27" s="260">
        <v>45383</v>
      </c>
      <c r="C27" s="261">
        <v>67330</v>
      </c>
      <c r="D27" s="261">
        <v>69888</v>
      </c>
      <c r="E27" s="261">
        <v>72544</v>
      </c>
      <c r="F27" s="261"/>
      <c r="G27" s="261"/>
      <c r="H27" s="261"/>
      <c r="I27" s="261"/>
      <c r="J27" s="261"/>
      <c r="K27" s="261"/>
      <c r="M27" s="262" t="s">
        <v>220</v>
      </c>
      <c r="N27" s="263"/>
      <c r="O27" s="263"/>
      <c r="P27" s="264"/>
    </row>
    <row r="28" spans="1:16" ht="14.5" customHeight="1" x14ac:dyDescent="0.2">
      <c r="A28" s="212" t="s">
        <v>200</v>
      </c>
      <c r="B28" s="260">
        <v>45383</v>
      </c>
      <c r="C28" s="261">
        <v>72171</v>
      </c>
      <c r="D28" s="261">
        <v>74910</v>
      </c>
      <c r="E28" s="261">
        <v>77622</v>
      </c>
      <c r="F28" s="261"/>
      <c r="G28" s="261"/>
      <c r="H28" s="261"/>
      <c r="I28" s="261"/>
      <c r="J28" s="261"/>
      <c r="K28" s="261"/>
      <c r="M28" s="265"/>
      <c r="N28" s="266"/>
      <c r="O28" s="266"/>
      <c r="P28" s="267"/>
    </row>
    <row r="29" spans="1:16" ht="14.5" customHeight="1" x14ac:dyDescent="0.2">
      <c r="A29" s="212" t="s">
        <v>135</v>
      </c>
      <c r="B29" s="260">
        <v>45383</v>
      </c>
      <c r="C29" s="261">
        <v>78834</v>
      </c>
      <c r="D29" s="261">
        <v>81829</v>
      </c>
      <c r="E29" s="261">
        <v>85187</v>
      </c>
      <c r="F29" s="261"/>
      <c r="G29" s="261"/>
      <c r="H29" s="261"/>
      <c r="I29" s="261"/>
      <c r="J29" s="261"/>
      <c r="K29" s="261"/>
      <c r="M29" s="265"/>
      <c r="N29" s="266"/>
      <c r="O29" s="266"/>
      <c r="P29" s="268"/>
    </row>
    <row r="30" spans="1:16" ht="14.5" customHeight="1" x14ac:dyDescent="0.2">
      <c r="A30" s="212" t="s">
        <v>100</v>
      </c>
      <c r="B30" s="260">
        <v>45383</v>
      </c>
      <c r="C30" s="261">
        <v>94113</v>
      </c>
      <c r="D30" s="261">
        <v>97689</v>
      </c>
      <c r="E30" s="261">
        <v>101750</v>
      </c>
      <c r="F30" s="261"/>
      <c r="G30" s="261"/>
      <c r="H30" s="261"/>
      <c r="I30" s="261"/>
      <c r="J30" s="261"/>
      <c r="K30" s="261"/>
      <c r="M30" s="265"/>
      <c r="N30" s="266"/>
      <c r="O30" s="266"/>
      <c r="P30" s="268"/>
    </row>
    <row r="31" spans="1:16" ht="14.5" customHeight="1" x14ac:dyDescent="0.2">
      <c r="A31" s="212"/>
      <c r="B31" s="260"/>
      <c r="C31" s="261"/>
      <c r="D31" s="261"/>
      <c r="E31" s="261"/>
      <c r="F31" s="261"/>
      <c r="G31" s="261"/>
      <c r="H31" s="261"/>
      <c r="I31" s="261"/>
      <c r="J31" s="261"/>
      <c r="K31" s="261"/>
      <c r="M31" s="269"/>
      <c r="O31" s="271"/>
    </row>
    <row r="32" spans="1:16" ht="14.5" customHeight="1" x14ac:dyDescent="0.2">
      <c r="A32" s="214" t="s">
        <v>201</v>
      </c>
      <c r="B32" s="260"/>
      <c r="C32" s="261"/>
      <c r="D32" s="261"/>
      <c r="E32" s="261"/>
      <c r="F32" s="261"/>
      <c r="G32" s="261"/>
      <c r="H32" s="261"/>
      <c r="I32" s="261"/>
      <c r="J32" s="261"/>
      <c r="K32" s="261"/>
      <c r="M32" s="259"/>
      <c r="O32" s="271"/>
    </row>
    <row r="33" spans="1:11" ht="14.5" customHeight="1" x14ac:dyDescent="0.2">
      <c r="A33" s="257" t="s">
        <v>187</v>
      </c>
      <c r="B33" s="258" t="s">
        <v>188</v>
      </c>
      <c r="C33" s="258" t="s">
        <v>189</v>
      </c>
      <c r="D33" s="258" t="s">
        <v>190</v>
      </c>
      <c r="E33" s="258" t="s">
        <v>191</v>
      </c>
      <c r="F33" s="258" t="s">
        <v>192</v>
      </c>
      <c r="G33" s="258" t="s">
        <v>193</v>
      </c>
      <c r="H33" s="258" t="s">
        <v>194</v>
      </c>
      <c r="I33" s="258" t="s">
        <v>195</v>
      </c>
      <c r="J33" s="258" t="s">
        <v>196</v>
      </c>
      <c r="K33" s="258" t="s">
        <v>197</v>
      </c>
    </row>
    <row r="34" spans="1:11" ht="14.5" customHeight="1" x14ac:dyDescent="0.2">
      <c r="A34" s="212" t="s">
        <v>79</v>
      </c>
      <c r="B34" s="272">
        <v>45648</v>
      </c>
      <c r="C34" s="261">
        <v>69361</v>
      </c>
      <c r="D34" s="261">
        <v>71925</v>
      </c>
      <c r="E34" s="261">
        <v>74485</v>
      </c>
      <c r="F34" s="261">
        <v>77031</v>
      </c>
      <c r="G34" s="261">
        <v>79574</v>
      </c>
      <c r="H34" s="261">
        <v>82120</v>
      </c>
      <c r="I34" s="261">
        <v>84661</v>
      </c>
      <c r="J34" s="261">
        <v>89382</v>
      </c>
      <c r="K34" s="261">
        <v>89382</v>
      </c>
    </row>
    <row r="35" spans="1:11" ht="14.5" customHeight="1" x14ac:dyDescent="0.2">
      <c r="A35" s="212" t="s">
        <v>58</v>
      </c>
      <c r="B35" s="272">
        <v>45648</v>
      </c>
      <c r="C35" s="261">
        <v>85854</v>
      </c>
      <c r="D35" s="261">
        <v>88603</v>
      </c>
      <c r="E35" s="261">
        <v>91348</v>
      </c>
      <c r="F35" s="261">
        <v>94095</v>
      </c>
      <c r="G35" s="261">
        <v>96844</v>
      </c>
      <c r="H35" s="261">
        <v>99589</v>
      </c>
      <c r="I35" s="261">
        <v>102335</v>
      </c>
      <c r="J35" s="261">
        <v>105080</v>
      </c>
      <c r="K35" s="261">
        <v>105080</v>
      </c>
    </row>
    <row r="36" spans="1:11" ht="14.5" customHeight="1" x14ac:dyDescent="0.2">
      <c r="A36" s="212" t="s">
        <v>34</v>
      </c>
      <c r="B36" s="272">
        <v>45648</v>
      </c>
      <c r="C36" s="261">
        <v>101343</v>
      </c>
      <c r="D36" s="261">
        <v>104833</v>
      </c>
      <c r="E36" s="261">
        <v>108324</v>
      </c>
      <c r="F36" s="261">
        <v>111817</v>
      </c>
      <c r="G36" s="261">
        <v>115306</v>
      </c>
      <c r="H36" s="261">
        <v>118791</v>
      </c>
      <c r="I36" s="261">
        <v>122281</v>
      </c>
      <c r="J36" s="261">
        <v>125914</v>
      </c>
      <c r="K36" s="261">
        <v>125914</v>
      </c>
    </row>
    <row r="37" spans="1:11" ht="14.5" customHeight="1" x14ac:dyDescent="0.2">
      <c r="A37" s="212" t="s">
        <v>27</v>
      </c>
      <c r="B37" s="272">
        <v>45648</v>
      </c>
      <c r="C37" s="261">
        <v>116037</v>
      </c>
      <c r="D37" s="261">
        <v>120038</v>
      </c>
      <c r="E37" s="261">
        <v>124039</v>
      </c>
      <c r="F37" s="261">
        <v>128039</v>
      </c>
      <c r="G37" s="261">
        <v>132039</v>
      </c>
      <c r="H37" s="261">
        <v>136041</v>
      </c>
      <c r="I37" s="261">
        <v>140039</v>
      </c>
      <c r="J37" s="261">
        <v>144434</v>
      </c>
      <c r="K37" s="261">
        <v>144434</v>
      </c>
    </row>
    <row r="38" spans="1:11" ht="14.5" customHeight="1" x14ac:dyDescent="0.2">
      <c r="A38" s="212" t="s">
        <v>198</v>
      </c>
      <c r="B38" s="272">
        <v>45648</v>
      </c>
      <c r="C38" s="261">
        <v>133582</v>
      </c>
      <c r="D38" s="261">
        <v>138563</v>
      </c>
      <c r="E38" s="261">
        <v>143539</v>
      </c>
      <c r="F38" s="261">
        <v>148520</v>
      </c>
      <c r="G38" s="261">
        <v>153503</v>
      </c>
      <c r="H38" s="261">
        <v>158485</v>
      </c>
      <c r="I38" s="261">
        <v>163465</v>
      </c>
      <c r="J38" s="261">
        <v>168446</v>
      </c>
      <c r="K38" s="261">
        <v>174076</v>
      </c>
    </row>
    <row r="39" spans="1:11" ht="14.5" customHeight="1" x14ac:dyDescent="0.2">
      <c r="A39" s="212" t="s">
        <v>199</v>
      </c>
      <c r="B39" s="272">
        <v>45464</v>
      </c>
      <c r="C39" s="261">
        <v>61786</v>
      </c>
      <c r="D39" s="261">
        <v>64135</v>
      </c>
      <c r="E39" s="261">
        <v>66572</v>
      </c>
      <c r="F39" s="261"/>
      <c r="G39" s="261"/>
      <c r="H39" s="261"/>
      <c r="I39" s="261"/>
      <c r="J39" s="261"/>
      <c r="K39" s="261"/>
    </row>
    <row r="40" spans="1:11" ht="14.5" customHeight="1" x14ac:dyDescent="0.2">
      <c r="A40" s="212" t="s">
        <v>138</v>
      </c>
      <c r="B40" s="272">
        <v>45464</v>
      </c>
      <c r="C40" s="261">
        <v>68849</v>
      </c>
      <c r="D40" s="261">
        <v>71464</v>
      </c>
      <c r="E40" s="261">
        <v>74180</v>
      </c>
      <c r="F40" s="261"/>
      <c r="G40" s="261"/>
      <c r="H40" s="261"/>
      <c r="I40" s="261"/>
      <c r="J40" s="261"/>
      <c r="K40" s="261"/>
    </row>
    <row r="41" spans="1:11" ht="14.5" customHeight="1" x14ac:dyDescent="0.2">
      <c r="A41" s="212" t="s">
        <v>200</v>
      </c>
      <c r="B41" s="272">
        <v>45464</v>
      </c>
      <c r="C41" s="261">
        <v>73798</v>
      </c>
      <c r="D41" s="261">
        <v>76599</v>
      </c>
      <c r="E41" s="261">
        <v>79511</v>
      </c>
      <c r="F41" s="261"/>
      <c r="G41" s="261"/>
      <c r="H41" s="261"/>
      <c r="I41" s="261"/>
      <c r="J41" s="261"/>
      <c r="K41" s="261"/>
    </row>
    <row r="42" spans="1:11" ht="14.5" customHeight="1" x14ac:dyDescent="0.2">
      <c r="A42" s="212" t="s">
        <v>135</v>
      </c>
      <c r="B42" s="272">
        <v>45464</v>
      </c>
      <c r="C42" s="261">
        <v>80612</v>
      </c>
      <c r="D42" s="261">
        <v>83675</v>
      </c>
      <c r="E42" s="261">
        <v>87108</v>
      </c>
      <c r="F42" s="261"/>
      <c r="G42" s="261"/>
      <c r="H42" s="261"/>
      <c r="I42" s="261"/>
      <c r="J42" s="261"/>
      <c r="K42" s="261"/>
    </row>
    <row r="43" spans="1:11" ht="14.5" customHeight="1" x14ac:dyDescent="0.2">
      <c r="A43" s="212" t="s">
        <v>100</v>
      </c>
      <c r="B43" s="272">
        <v>45464</v>
      </c>
      <c r="C43" s="261">
        <v>96235</v>
      </c>
      <c r="D43" s="261">
        <v>99892</v>
      </c>
      <c r="E43" s="261">
        <v>104044</v>
      </c>
      <c r="F43" s="261"/>
      <c r="G43" s="261"/>
      <c r="H43" s="261"/>
      <c r="I43" s="261"/>
      <c r="J43" s="261"/>
      <c r="K43" s="261"/>
    </row>
    <row r="44" spans="1:11" x14ac:dyDescent="0.15">
      <c r="B44" s="273"/>
      <c r="C44" s="274"/>
      <c r="D44" s="274"/>
      <c r="E44" s="274"/>
      <c r="F44" s="274"/>
      <c r="G44" s="274"/>
      <c r="H44" s="274"/>
      <c r="I44" s="274"/>
      <c r="J44" s="274"/>
      <c r="K44" s="274"/>
    </row>
    <row r="45" spans="1:11" x14ac:dyDescent="0.15">
      <c r="B45" s="275"/>
      <c r="C45" s="275"/>
      <c r="D45" s="275"/>
      <c r="H45" s="275"/>
      <c r="I45" s="275"/>
      <c r="J45" s="275"/>
    </row>
    <row r="46" spans="1:11" x14ac:dyDescent="0.15">
      <c r="B46" s="275"/>
      <c r="C46" s="275"/>
      <c r="D46" s="275"/>
      <c r="E46" s="276"/>
      <c r="F46" s="277"/>
      <c r="G46" s="277"/>
      <c r="H46" s="275"/>
      <c r="I46" s="275"/>
      <c r="J46" s="275"/>
    </row>
    <row r="47" spans="1:11" x14ac:dyDescent="0.15">
      <c r="B47" s="275"/>
      <c r="C47" s="275"/>
      <c r="D47" s="275"/>
      <c r="F47" s="277"/>
      <c r="G47" s="277"/>
      <c r="H47" s="275"/>
      <c r="I47" s="275"/>
      <c r="J47" s="275"/>
    </row>
    <row r="48" spans="1:11" x14ac:dyDescent="0.15">
      <c r="B48" s="275"/>
      <c r="C48" s="275"/>
      <c r="D48" s="275"/>
      <c r="F48" s="277"/>
      <c r="G48" s="277"/>
      <c r="H48" s="275"/>
      <c r="I48" s="275"/>
      <c r="J48" s="275"/>
    </row>
    <row r="49" spans="2:10" x14ac:dyDescent="0.15">
      <c r="B49" s="275"/>
      <c r="C49" s="275"/>
      <c r="D49" s="275"/>
    </row>
    <row r="50" spans="2:10" ht="13" customHeight="1" x14ac:dyDescent="0.15">
      <c r="B50" s="278"/>
      <c r="C50" s="275"/>
      <c r="D50" s="275"/>
    </row>
    <row r="51" spans="2:10" x14ac:dyDescent="0.15">
      <c r="B51" s="275"/>
      <c r="C51" s="275"/>
      <c r="D51" s="275"/>
      <c r="H51" s="275"/>
      <c r="I51" s="275"/>
      <c r="J51" s="275"/>
    </row>
    <row r="52" spans="2:10" x14ac:dyDescent="0.15">
      <c r="B52" s="275"/>
      <c r="C52" s="275"/>
      <c r="D52" s="275"/>
      <c r="E52" s="276"/>
      <c r="F52" s="277"/>
      <c r="G52" s="277"/>
      <c r="H52" s="275"/>
      <c r="I52" s="275"/>
      <c r="J52" s="275"/>
    </row>
    <row r="53" spans="2:10" x14ac:dyDescent="0.15">
      <c r="B53" s="275"/>
      <c r="C53" s="275"/>
      <c r="D53" s="275"/>
      <c r="F53" s="277"/>
      <c r="G53" s="277"/>
      <c r="H53" s="275"/>
      <c r="I53" s="275"/>
      <c r="J53" s="275"/>
    </row>
    <row r="54" spans="2:10" x14ac:dyDescent="0.15">
      <c r="B54" s="275"/>
      <c r="C54" s="275"/>
      <c r="D54" s="275"/>
      <c r="F54" s="277"/>
      <c r="G54" s="277"/>
      <c r="H54" s="275"/>
      <c r="I54" s="275"/>
      <c r="J54" s="275"/>
    </row>
    <row r="55" spans="2:10" ht="14.5" customHeight="1" x14ac:dyDescent="0.2">
      <c r="F55" s="271"/>
      <c r="H55" s="271"/>
    </row>
    <row r="56" spans="2:10" ht="14.5" customHeight="1" x14ac:dyDescent="0.2">
      <c r="B56" s="279"/>
      <c r="F56" s="271"/>
    </row>
    <row r="57" spans="2:10" x14ac:dyDescent="0.15">
      <c r="B57" s="275"/>
      <c r="C57" s="275"/>
      <c r="D57" s="275"/>
      <c r="H57" s="275"/>
      <c r="I57" s="275"/>
      <c r="J57" s="275"/>
    </row>
    <row r="58" spans="2:10" x14ac:dyDescent="0.15">
      <c r="B58" s="275"/>
      <c r="C58" s="275"/>
      <c r="D58" s="275"/>
      <c r="E58" s="276"/>
      <c r="F58" s="277"/>
      <c r="G58" s="277"/>
      <c r="H58" s="275"/>
      <c r="I58" s="275"/>
      <c r="J58" s="275"/>
    </row>
    <row r="59" spans="2:10" x14ac:dyDescent="0.15">
      <c r="B59" s="275"/>
      <c r="C59" s="275"/>
      <c r="D59" s="275"/>
      <c r="F59" s="277"/>
      <c r="G59" s="277"/>
      <c r="H59" s="275"/>
      <c r="I59" s="275"/>
      <c r="J59" s="275"/>
    </row>
    <row r="60" spans="2:10" x14ac:dyDescent="0.15">
      <c r="B60" s="275"/>
      <c r="C60" s="275"/>
      <c r="D60" s="275"/>
      <c r="F60" s="277"/>
      <c r="G60" s="277"/>
      <c r="H60" s="275"/>
      <c r="I60" s="275"/>
      <c r="J60" s="275"/>
    </row>
    <row r="62" spans="2:10" ht="13" customHeight="1" x14ac:dyDescent="0.15">
      <c r="B62" s="279"/>
    </row>
    <row r="63" spans="2:10" x14ac:dyDescent="0.15">
      <c r="B63" s="275"/>
      <c r="C63" s="275"/>
      <c r="D63" s="275"/>
      <c r="H63" s="275"/>
      <c r="I63" s="275"/>
      <c r="J63" s="275"/>
    </row>
    <row r="64" spans="2:10" x14ac:dyDescent="0.15">
      <c r="B64" s="275"/>
      <c r="C64" s="275"/>
      <c r="D64" s="275"/>
      <c r="E64" s="276"/>
      <c r="F64" s="277"/>
      <c r="G64" s="277"/>
      <c r="H64" s="275"/>
      <c r="I64" s="275"/>
      <c r="J64" s="275"/>
    </row>
    <row r="65" spans="2:10" x14ac:dyDescent="0.15">
      <c r="B65" s="275"/>
      <c r="C65" s="275"/>
      <c r="D65" s="275"/>
      <c r="F65" s="277"/>
      <c r="G65" s="277"/>
      <c r="H65" s="275"/>
      <c r="I65" s="275"/>
      <c r="J65" s="275"/>
    </row>
    <row r="66" spans="2:10" x14ac:dyDescent="0.15">
      <c r="B66" s="275"/>
      <c r="C66" s="275"/>
      <c r="D66" s="275"/>
      <c r="F66" s="277"/>
      <c r="G66" s="277"/>
      <c r="H66" s="275"/>
      <c r="I66" s="275"/>
      <c r="J66" s="275"/>
    </row>
  </sheetData>
  <mergeCells count="2">
    <mergeCell ref="N5:P5"/>
    <mergeCell ref="K5:M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P9 Salary  </vt:lpstr>
      <vt:lpstr>P10 SFT</vt:lpstr>
      <vt:lpstr>x P10 SFT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Patrice Lavictoire</dc:creator>
  <cp:lastModifiedBy>Chi, Banghao</cp:lastModifiedBy>
  <dcterms:created xsi:type="dcterms:W3CDTF">2003-02-27T15:26:15Z</dcterms:created>
  <dcterms:modified xsi:type="dcterms:W3CDTF">2026-01-01T00:38:50Z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0x01010056794939D262CE4185A1106B42D47D16</vt:lpwstr>
  </property>
  <property fmtid="{D5CDD505-2E9C-101B-9397-08002B2CF9AE}" pid="4" name="MSIP_Label_9966964e-a0a0-460c-97a9-1b6293bed875_Enabled">
    <vt:lpwstr>true</vt:lpwstr>
  </property>
  <property fmtid="{D5CDD505-2E9C-101B-9397-08002B2CF9AE}" pid="5" name="MSIP_Label_9966964e-a0a0-460c-97a9-1b6293bed875_SetDate">
    <vt:lpwstr>2024-02-22T14:23:18Z</vt:lpwstr>
  </property>
  <property fmtid="{D5CDD505-2E9C-101B-9397-08002B2CF9AE}" pid="6" name="MSIP_Label_9966964e-a0a0-460c-97a9-1b6293bed875_Method">
    <vt:lpwstr>Privileged</vt:lpwstr>
  </property>
  <property fmtid="{D5CDD505-2E9C-101B-9397-08002B2CF9AE}" pid="7" name="MSIP_Label_9966964e-a0a0-460c-97a9-1b6293bed875_Name">
    <vt:lpwstr>Protected A</vt:lpwstr>
  </property>
  <property fmtid="{D5CDD505-2E9C-101B-9397-08002B2CF9AE}" pid="8" name="MSIP_Label_9966964e-a0a0-460c-97a9-1b6293bed875_SiteId">
    <vt:lpwstr>d05bc194-94bf-4ad6-ae2e-1db0f2e38f5e</vt:lpwstr>
  </property>
  <property fmtid="{D5CDD505-2E9C-101B-9397-08002B2CF9AE}" pid="9" name="MSIP_Label_9966964e-a0a0-460c-97a9-1b6293bed875_ActionId">
    <vt:lpwstr>940e039a-edd4-4b00-b651-245c2fb0f74b</vt:lpwstr>
  </property>
  <property fmtid="{D5CDD505-2E9C-101B-9397-08002B2CF9AE}" pid="10" name="MSIP_Label_9966964e-a0a0-460c-97a9-1b6293bed875_ContentBits">
    <vt:lpwstr>1</vt:lpwstr>
  </property>
</Properties>
</file>