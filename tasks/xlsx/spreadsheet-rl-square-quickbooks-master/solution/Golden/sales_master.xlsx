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heetarena-async-reward-api\data\excelforum\excel-general\task-job-654f78f4eb0df932\"/>
    </mc:Choice>
  </mc:AlternateContent>
  <xr:revisionPtr revIDLastSave="0" documentId="13_ncr:1_{664A145B-4627-4268-88E8-C763A8396D30}" xr6:coauthVersionLast="47" xr6:coauthVersionMax="47" xr10:uidLastSave="{00000000-0000-0000-0000-000000000000}"/>
  <bookViews>
    <workbookView xWindow="3120" yWindow="3120" windowWidth="21600" windowHeight="15345" xr2:uid="{00000000-000D-0000-FFFF-FFFF00000000}"/>
  </bookViews>
  <sheets>
    <sheet name="Square" sheetId="1" r:id="rId1"/>
    <sheet name="QuickBooks" sheetId="2" r:id="rId2"/>
    <sheet name="Master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1" i="3" l="1"/>
  <c r="B301" i="3"/>
  <c r="C300" i="3"/>
  <c r="B300" i="3"/>
  <c r="C299" i="3"/>
  <c r="B299" i="3"/>
  <c r="D299" i="3" s="1"/>
  <c r="C298" i="3"/>
  <c r="B298" i="3"/>
  <c r="D298" i="3" s="1"/>
  <c r="C297" i="3"/>
  <c r="B297" i="3"/>
  <c r="D297" i="3" s="1"/>
  <c r="C296" i="3"/>
  <c r="B296" i="3"/>
  <c r="D296" i="3" s="1"/>
  <c r="C295" i="3"/>
  <c r="B295" i="3"/>
  <c r="D295" i="3" s="1"/>
  <c r="C294" i="3"/>
  <c r="B294" i="3"/>
  <c r="D294" i="3" s="1"/>
  <c r="C293" i="3"/>
  <c r="B293" i="3"/>
  <c r="D293" i="3" s="1"/>
  <c r="C292" i="3"/>
  <c r="B292" i="3"/>
  <c r="D292" i="3" s="1"/>
  <c r="C291" i="3"/>
  <c r="B291" i="3"/>
  <c r="D291" i="3" s="1"/>
  <c r="C290" i="3"/>
  <c r="B290" i="3"/>
  <c r="C289" i="3"/>
  <c r="B289" i="3"/>
  <c r="C288" i="3"/>
  <c r="B288" i="3"/>
  <c r="C287" i="3"/>
  <c r="B287" i="3"/>
  <c r="D287" i="3" s="1"/>
  <c r="C286" i="3"/>
  <c r="B286" i="3"/>
  <c r="D286" i="3" s="1"/>
  <c r="C285" i="3"/>
  <c r="B285" i="3"/>
  <c r="D285" i="3" s="1"/>
  <c r="C284" i="3"/>
  <c r="B284" i="3"/>
  <c r="D284" i="3" s="1"/>
  <c r="C283" i="3"/>
  <c r="B283" i="3"/>
  <c r="D283" i="3" s="1"/>
  <c r="C282" i="3"/>
  <c r="B282" i="3"/>
  <c r="D282" i="3" s="1"/>
  <c r="C281" i="3"/>
  <c r="B281" i="3"/>
  <c r="D281" i="3" s="1"/>
  <c r="C280" i="3"/>
  <c r="B280" i="3"/>
  <c r="C279" i="3"/>
  <c r="B279" i="3"/>
  <c r="C278" i="3"/>
  <c r="B278" i="3"/>
  <c r="D278" i="3" s="1"/>
  <c r="C277" i="3"/>
  <c r="B277" i="3"/>
  <c r="C276" i="3"/>
  <c r="B276" i="3"/>
  <c r="C275" i="3"/>
  <c r="B275" i="3"/>
  <c r="D275" i="3" s="1"/>
  <c r="C274" i="3"/>
  <c r="B274" i="3"/>
  <c r="D274" i="3" s="1"/>
  <c r="C273" i="3"/>
  <c r="B273" i="3"/>
  <c r="D273" i="3" s="1"/>
  <c r="C272" i="3"/>
  <c r="B272" i="3"/>
  <c r="D272" i="3" s="1"/>
  <c r="C271" i="3"/>
  <c r="B271" i="3"/>
  <c r="D271" i="3" s="1"/>
  <c r="C270" i="3"/>
  <c r="B270" i="3"/>
  <c r="C269" i="3"/>
  <c r="B269" i="3"/>
  <c r="C268" i="3"/>
  <c r="B268" i="3"/>
  <c r="D268" i="3" s="1"/>
  <c r="C267" i="3"/>
  <c r="B267" i="3"/>
  <c r="D267" i="3" s="1"/>
  <c r="C266" i="3"/>
  <c r="B266" i="3"/>
  <c r="D266" i="3" s="1"/>
  <c r="C265" i="3"/>
  <c r="B265" i="3"/>
  <c r="C264" i="3"/>
  <c r="B264" i="3"/>
  <c r="C263" i="3"/>
  <c r="B263" i="3"/>
  <c r="D263" i="3" s="1"/>
  <c r="C262" i="3"/>
  <c r="B262" i="3"/>
  <c r="D262" i="3" s="1"/>
  <c r="C261" i="3"/>
  <c r="B261" i="3"/>
  <c r="D261" i="3" s="1"/>
  <c r="C260" i="3"/>
  <c r="B260" i="3"/>
  <c r="C259" i="3"/>
  <c r="B259" i="3"/>
  <c r="C258" i="3"/>
  <c r="B258" i="3"/>
  <c r="D258" i="3" s="1"/>
  <c r="C257" i="3"/>
  <c r="B257" i="3"/>
  <c r="D257" i="3" s="1"/>
  <c r="C256" i="3"/>
  <c r="B256" i="3"/>
  <c r="D256" i="3" s="1"/>
  <c r="C255" i="3"/>
  <c r="B255" i="3"/>
  <c r="D255" i="3" s="1"/>
  <c r="C254" i="3"/>
  <c r="B254" i="3"/>
  <c r="D254" i="3" s="1"/>
  <c r="C253" i="3"/>
  <c r="B253" i="3"/>
  <c r="C252" i="3"/>
  <c r="B252" i="3"/>
  <c r="C251" i="3"/>
  <c r="B251" i="3"/>
  <c r="D251" i="3" s="1"/>
  <c r="C250" i="3"/>
  <c r="B250" i="3"/>
  <c r="C249" i="3"/>
  <c r="B249" i="3"/>
  <c r="C248" i="3"/>
  <c r="B248" i="3"/>
  <c r="D248" i="3" s="1"/>
  <c r="C247" i="3"/>
  <c r="B247" i="3"/>
  <c r="D247" i="3" s="1"/>
  <c r="C246" i="3"/>
  <c r="B246" i="3"/>
  <c r="D246" i="3" s="1"/>
  <c r="C245" i="3"/>
  <c r="B245" i="3"/>
  <c r="D245" i="3" s="1"/>
  <c r="C244" i="3"/>
  <c r="B244" i="3"/>
  <c r="D244" i="3" s="1"/>
  <c r="C243" i="3"/>
  <c r="B243" i="3"/>
  <c r="D243" i="3" s="1"/>
  <c r="C242" i="3"/>
  <c r="B242" i="3"/>
  <c r="D242" i="3" s="1"/>
  <c r="C241" i="3"/>
  <c r="B241" i="3"/>
  <c r="C240" i="3"/>
  <c r="B240" i="3"/>
  <c r="C239" i="3"/>
  <c r="B239" i="3"/>
  <c r="C238" i="3"/>
  <c r="B238" i="3"/>
  <c r="D238" i="3" s="1"/>
  <c r="C237" i="3"/>
  <c r="B237" i="3"/>
  <c r="D237" i="3" s="1"/>
  <c r="C236" i="3"/>
  <c r="B236" i="3"/>
  <c r="C235" i="3"/>
  <c r="B235" i="3"/>
  <c r="D235" i="3" s="1"/>
  <c r="C234" i="3"/>
  <c r="B234" i="3"/>
  <c r="D234" i="3" s="1"/>
  <c r="C233" i="3"/>
  <c r="B233" i="3"/>
  <c r="D233" i="3" s="1"/>
  <c r="C232" i="3"/>
  <c r="B232" i="3"/>
  <c r="D232" i="3" s="1"/>
  <c r="C231" i="3"/>
  <c r="B231" i="3"/>
  <c r="D231" i="3" s="1"/>
  <c r="C230" i="3"/>
  <c r="B230" i="3"/>
  <c r="D230" i="3" s="1"/>
  <c r="C229" i="3"/>
  <c r="B229" i="3"/>
  <c r="C228" i="3"/>
  <c r="B228" i="3"/>
  <c r="C227" i="3"/>
  <c r="B227" i="3"/>
  <c r="D227" i="3" s="1"/>
  <c r="C226" i="3"/>
  <c r="B226" i="3"/>
  <c r="C225" i="3"/>
  <c r="B225" i="3"/>
  <c r="D225" i="3" s="1"/>
  <c r="C224" i="3"/>
  <c r="B224" i="3"/>
  <c r="C223" i="3"/>
  <c r="B223" i="3"/>
  <c r="D223" i="3" s="1"/>
  <c r="C222" i="3"/>
  <c r="B222" i="3"/>
  <c r="C221" i="3"/>
  <c r="B221" i="3"/>
  <c r="D221" i="3" s="1"/>
  <c r="C220" i="3"/>
  <c r="B220" i="3"/>
  <c r="D220" i="3" s="1"/>
  <c r="C219" i="3"/>
  <c r="B219" i="3"/>
  <c r="D219" i="3" s="1"/>
  <c r="C218" i="3"/>
  <c r="B218" i="3"/>
  <c r="D218" i="3" s="1"/>
  <c r="C217" i="3"/>
  <c r="B217" i="3"/>
  <c r="C216" i="3"/>
  <c r="B216" i="3"/>
  <c r="C215" i="3"/>
  <c r="B215" i="3"/>
  <c r="D215" i="3" s="1"/>
  <c r="C214" i="3"/>
  <c r="B214" i="3"/>
  <c r="C213" i="3"/>
  <c r="B213" i="3"/>
  <c r="D213" i="3" s="1"/>
  <c r="C212" i="3"/>
  <c r="B212" i="3"/>
  <c r="C211" i="3"/>
  <c r="B211" i="3"/>
  <c r="D211" i="3" s="1"/>
  <c r="C210" i="3"/>
  <c r="B210" i="3"/>
  <c r="D210" i="3" s="1"/>
  <c r="C209" i="3"/>
  <c r="B209" i="3"/>
  <c r="D209" i="3" s="1"/>
  <c r="C208" i="3"/>
  <c r="B208" i="3"/>
  <c r="C207" i="3"/>
  <c r="B207" i="3"/>
  <c r="D207" i="3" s="1"/>
  <c r="C206" i="3"/>
  <c r="B206" i="3"/>
  <c r="C205" i="3"/>
  <c r="B205" i="3"/>
  <c r="C204" i="3"/>
  <c r="B204" i="3"/>
  <c r="C203" i="3"/>
  <c r="B203" i="3"/>
  <c r="D203" i="3" s="1"/>
  <c r="C202" i="3"/>
  <c r="B202" i="3"/>
  <c r="C201" i="3"/>
  <c r="B201" i="3"/>
  <c r="D201" i="3" s="1"/>
  <c r="C200" i="3"/>
  <c r="B200" i="3"/>
  <c r="D200" i="3" s="1"/>
  <c r="C199" i="3"/>
  <c r="B199" i="3"/>
  <c r="D199" i="3" s="1"/>
  <c r="C198" i="3"/>
  <c r="B198" i="3"/>
  <c r="D198" i="3" s="1"/>
  <c r="C197" i="3"/>
  <c r="B197" i="3"/>
  <c r="D197" i="3" s="1"/>
  <c r="C196" i="3"/>
  <c r="B196" i="3"/>
  <c r="C195" i="3"/>
  <c r="B195" i="3"/>
  <c r="D195" i="3" s="1"/>
  <c r="C194" i="3"/>
  <c r="B194" i="3"/>
  <c r="C193" i="3"/>
  <c r="B193" i="3"/>
  <c r="C192" i="3"/>
  <c r="B192" i="3"/>
  <c r="C191" i="3"/>
  <c r="B191" i="3"/>
  <c r="D191" i="3" s="1"/>
  <c r="C190" i="3"/>
  <c r="B190" i="3"/>
  <c r="D190" i="3" s="1"/>
  <c r="C189" i="3"/>
  <c r="B189" i="3"/>
  <c r="D189" i="3" s="1"/>
  <c r="C188" i="3"/>
  <c r="B188" i="3"/>
  <c r="D188" i="3" s="1"/>
  <c r="C187" i="3"/>
  <c r="B187" i="3"/>
  <c r="D187" i="3" s="1"/>
  <c r="C186" i="3"/>
  <c r="B186" i="3"/>
  <c r="C185" i="3"/>
  <c r="B185" i="3"/>
  <c r="D185" i="3" s="1"/>
  <c r="C184" i="3"/>
  <c r="B184" i="3"/>
  <c r="C183" i="3"/>
  <c r="B183" i="3"/>
  <c r="D183" i="3" s="1"/>
  <c r="C182" i="3"/>
  <c r="B182" i="3"/>
  <c r="C181" i="3"/>
  <c r="B181" i="3"/>
  <c r="C180" i="3"/>
  <c r="B180" i="3"/>
  <c r="C179" i="3"/>
  <c r="B179" i="3"/>
  <c r="D179" i="3" s="1"/>
  <c r="C178" i="3"/>
  <c r="B178" i="3"/>
  <c r="D178" i="3" s="1"/>
  <c r="C177" i="3"/>
  <c r="B177" i="3"/>
  <c r="D177" i="3" s="1"/>
  <c r="C176" i="3"/>
  <c r="B176" i="3"/>
  <c r="C175" i="3"/>
  <c r="B175" i="3"/>
  <c r="D175" i="3" s="1"/>
  <c r="C174" i="3"/>
  <c r="B174" i="3"/>
  <c r="C173" i="3"/>
  <c r="B173" i="3"/>
  <c r="D173" i="3" s="1"/>
  <c r="C172" i="3"/>
  <c r="B172" i="3"/>
  <c r="C171" i="3"/>
  <c r="B171" i="3"/>
  <c r="D171" i="3" s="1"/>
  <c r="C170" i="3"/>
  <c r="B170" i="3"/>
  <c r="D170" i="3" s="1"/>
  <c r="C169" i="3"/>
  <c r="B169" i="3"/>
  <c r="C168" i="3"/>
  <c r="B168" i="3"/>
  <c r="C167" i="3"/>
  <c r="B167" i="3"/>
  <c r="D167" i="3" s="1"/>
  <c r="C166" i="3"/>
  <c r="B166" i="3"/>
  <c r="D166" i="3" s="1"/>
  <c r="C165" i="3"/>
  <c r="B165" i="3"/>
  <c r="D165" i="3" s="1"/>
  <c r="C164" i="3"/>
  <c r="B164" i="3"/>
  <c r="C163" i="3"/>
  <c r="B163" i="3"/>
  <c r="D163" i="3" s="1"/>
  <c r="C162" i="3"/>
  <c r="B162" i="3"/>
  <c r="C161" i="3"/>
  <c r="B161" i="3"/>
  <c r="D161" i="3" s="1"/>
  <c r="C160" i="3"/>
  <c r="B160" i="3"/>
  <c r="D160" i="3" s="1"/>
  <c r="C159" i="3"/>
  <c r="B159" i="3"/>
  <c r="D159" i="3" s="1"/>
  <c r="C158" i="3"/>
  <c r="B158" i="3"/>
  <c r="D158" i="3" s="1"/>
  <c r="C157" i="3"/>
  <c r="B157" i="3"/>
  <c r="C156" i="3"/>
  <c r="B156" i="3"/>
  <c r="C155" i="3"/>
  <c r="B155" i="3"/>
  <c r="D155" i="3" s="1"/>
  <c r="C154" i="3"/>
  <c r="B154" i="3"/>
  <c r="C153" i="3"/>
  <c r="B153" i="3"/>
  <c r="D153" i="3" s="1"/>
  <c r="C152" i="3"/>
  <c r="B152" i="3"/>
  <c r="C151" i="3"/>
  <c r="B151" i="3"/>
  <c r="D151" i="3" s="1"/>
  <c r="C150" i="3"/>
  <c r="B150" i="3"/>
  <c r="D150" i="3" s="1"/>
  <c r="C149" i="3"/>
  <c r="B149" i="3"/>
  <c r="D149" i="3" s="1"/>
  <c r="C148" i="3"/>
  <c r="B148" i="3"/>
  <c r="D148" i="3" s="1"/>
  <c r="C147" i="3"/>
  <c r="B147" i="3"/>
  <c r="D147" i="3" s="1"/>
  <c r="C146" i="3"/>
  <c r="B146" i="3"/>
  <c r="C145" i="3"/>
  <c r="B145" i="3"/>
  <c r="C144" i="3"/>
  <c r="B144" i="3"/>
  <c r="C143" i="3"/>
  <c r="B143" i="3"/>
  <c r="D143" i="3" s="1"/>
  <c r="C142" i="3"/>
  <c r="B142" i="3"/>
  <c r="C141" i="3"/>
  <c r="B141" i="3"/>
  <c r="D141" i="3" s="1"/>
  <c r="C140" i="3"/>
  <c r="B140" i="3"/>
  <c r="D140" i="3" s="1"/>
  <c r="C139" i="3"/>
  <c r="B139" i="3"/>
  <c r="D139" i="3" s="1"/>
  <c r="C138" i="3"/>
  <c r="B138" i="3"/>
  <c r="D138" i="3" s="1"/>
  <c r="C137" i="3"/>
  <c r="B137" i="3"/>
  <c r="D137" i="3" s="1"/>
  <c r="C136" i="3"/>
  <c r="B136" i="3"/>
  <c r="D136" i="3" s="1"/>
  <c r="C135" i="3"/>
  <c r="B135" i="3"/>
  <c r="D135" i="3" s="1"/>
  <c r="C134" i="3"/>
  <c r="B134" i="3"/>
  <c r="C133" i="3"/>
  <c r="B133" i="3"/>
  <c r="C132" i="3"/>
  <c r="B132" i="3"/>
  <c r="C131" i="3"/>
  <c r="B131" i="3"/>
  <c r="D131" i="3" s="1"/>
  <c r="C130" i="3"/>
  <c r="B130" i="3"/>
  <c r="D130" i="3" s="1"/>
  <c r="C129" i="3"/>
  <c r="B129" i="3"/>
  <c r="D129" i="3" s="1"/>
  <c r="C128" i="3"/>
  <c r="B128" i="3"/>
  <c r="D128" i="3" s="1"/>
  <c r="C127" i="3"/>
  <c r="B127" i="3"/>
  <c r="D127" i="3" s="1"/>
  <c r="C126" i="3"/>
  <c r="B126" i="3"/>
  <c r="D126" i="3" s="1"/>
  <c r="C125" i="3"/>
  <c r="B125" i="3"/>
  <c r="D125" i="3" s="1"/>
  <c r="C124" i="3"/>
  <c r="B124" i="3"/>
  <c r="C123" i="3"/>
  <c r="B123" i="3"/>
  <c r="D123" i="3" s="1"/>
  <c r="C122" i="3"/>
  <c r="B122" i="3"/>
  <c r="C121" i="3"/>
  <c r="B121" i="3"/>
  <c r="C120" i="3"/>
  <c r="B120" i="3"/>
  <c r="C119" i="3"/>
  <c r="B119" i="3"/>
  <c r="D119" i="3" s="1"/>
  <c r="C118" i="3"/>
  <c r="B118" i="3"/>
  <c r="D118" i="3" s="1"/>
  <c r="C117" i="3"/>
  <c r="B117" i="3"/>
  <c r="D117" i="3" s="1"/>
  <c r="C116" i="3"/>
  <c r="B116" i="3"/>
  <c r="D116" i="3" s="1"/>
  <c r="C115" i="3"/>
  <c r="B115" i="3"/>
  <c r="D115" i="3" s="1"/>
  <c r="C114" i="3"/>
  <c r="B114" i="3"/>
  <c r="C113" i="3"/>
  <c r="B113" i="3"/>
  <c r="D113" i="3" s="1"/>
  <c r="C112" i="3"/>
  <c r="B112" i="3"/>
  <c r="C111" i="3"/>
  <c r="B111" i="3"/>
  <c r="D111" i="3" s="1"/>
  <c r="C110" i="3"/>
  <c r="B110" i="3"/>
  <c r="C109" i="3"/>
  <c r="B109" i="3"/>
  <c r="C108" i="3"/>
  <c r="B108" i="3"/>
  <c r="C107" i="3"/>
  <c r="B107" i="3"/>
  <c r="D107" i="3" s="1"/>
  <c r="C106" i="3"/>
  <c r="B106" i="3"/>
  <c r="D106" i="3" s="1"/>
  <c r="C105" i="3"/>
  <c r="B105" i="3"/>
  <c r="D105" i="3" s="1"/>
  <c r="C104" i="3"/>
  <c r="B104" i="3"/>
  <c r="C103" i="3"/>
  <c r="B103" i="3"/>
  <c r="D103" i="3" s="1"/>
  <c r="C102" i="3"/>
  <c r="B102" i="3"/>
  <c r="C101" i="3"/>
  <c r="B101" i="3"/>
  <c r="D101" i="3" s="1"/>
  <c r="C100" i="3"/>
  <c r="B100" i="3"/>
  <c r="D100" i="3" s="1"/>
  <c r="C99" i="3"/>
  <c r="B99" i="3"/>
  <c r="D99" i="3" s="1"/>
  <c r="C98" i="3"/>
  <c r="B98" i="3"/>
  <c r="C97" i="3"/>
  <c r="B97" i="3"/>
  <c r="C96" i="3"/>
  <c r="B96" i="3"/>
  <c r="C95" i="3"/>
  <c r="B95" i="3"/>
  <c r="D95" i="3" s="1"/>
  <c r="C94" i="3"/>
  <c r="B94" i="3"/>
  <c r="C93" i="3"/>
  <c r="B93" i="3"/>
  <c r="C92" i="3"/>
  <c r="B92" i="3"/>
  <c r="C91" i="3"/>
  <c r="B91" i="3"/>
  <c r="D91" i="3" s="1"/>
  <c r="C90" i="3"/>
  <c r="B90" i="3"/>
  <c r="D90" i="3" s="1"/>
  <c r="C89" i="3"/>
  <c r="B89" i="3"/>
  <c r="D89" i="3" s="1"/>
  <c r="C88" i="3"/>
  <c r="B88" i="3"/>
  <c r="D88" i="3" s="1"/>
  <c r="C87" i="3"/>
  <c r="B87" i="3"/>
  <c r="D87" i="3" s="1"/>
  <c r="C86" i="3"/>
  <c r="B86" i="3"/>
  <c r="D86" i="3" s="1"/>
  <c r="C85" i="3"/>
  <c r="B85" i="3"/>
  <c r="C84" i="3"/>
  <c r="B84" i="3"/>
  <c r="C83" i="3"/>
  <c r="B83" i="3"/>
  <c r="D83" i="3" s="1"/>
  <c r="C82" i="3"/>
  <c r="B82" i="3"/>
  <c r="C81" i="3"/>
  <c r="B81" i="3"/>
  <c r="D81" i="3" s="1"/>
  <c r="C80" i="3"/>
  <c r="B80" i="3"/>
  <c r="D80" i="3" s="1"/>
  <c r="C79" i="3"/>
  <c r="B79" i="3"/>
  <c r="D79" i="3" s="1"/>
  <c r="C78" i="3"/>
  <c r="B78" i="3"/>
  <c r="D78" i="3" s="1"/>
  <c r="C77" i="3"/>
  <c r="B77" i="3"/>
  <c r="D77" i="3" s="1"/>
  <c r="C76" i="3"/>
  <c r="B76" i="3"/>
  <c r="D76" i="3" s="1"/>
  <c r="C75" i="3"/>
  <c r="B75" i="3"/>
  <c r="D75" i="3" s="1"/>
  <c r="C74" i="3"/>
  <c r="B74" i="3"/>
  <c r="C73" i="3"/>
  <c r="B73" i="3"/>
  <c r="C72" i="3"/>
  <c r="B72" i="3"/>
  <c r="C71" i="3"/>
  <c r="B71" i="3"/>
  <c r="D71" i="3" s="1"/>
  <c r="C70" i="3"/>
  <c r="B70" i="3"/>
  <c r="D70" i="3" s="1"/>
  <c r="C69" i="3"/>
  <c r="B69" i="3"/>
  <c r="D69" i="3" s="1"/>
  <c r="C68" i="3"/>
  <c r="B68" i="3"/>
  <c r="D68" i="3" s="1"/>
  <c r="C67" i="3"/>
  <c r="B67" i="3"/>
  <c r="D67" i="3" s="1"/>
  <c r="C66" i="3"/>
  <c r="B66" i="3"/>
  <c r="D66" i="3" s="1"/>
  <c r="C65" i="3"/>
  <c r="B65" i="3"/>
  <c r="D65" i="3" s="1"/>
  <c r="C64" i="3"/>
  <c r="B64" i="3"/>
  <c r="C63" i="3"/>
  <c r="B63" i="3"/>
  <c r="C62" i="3"/>
  <c r="B62" i="3"/>
  <c r="C61" i="3"/>
  <c r="B61" i="3"/>
  <c r="C60" i="3"/>
  <c r="B60" i="3"/>
  <c r="C59" i="3"/>
  <c r="B59" i="3"/>
  <c r="D59" i="3" s="1"/>
  <c r="C58" i="3"/>
  <c r="B58" i="3"/>
  <c r="D58" i="3" s="1"/>
  <c r="C57" i="3"/>
  <c r="B57" i="3"/>
  <c r="D57" i="3" s="1"/>
  <c r="C56" i="3"/>
  <c r="B56" i="3"/>
  <c r="D56" i="3" s="1"/>
  <c r="C55" i="3"/>
  <c r="B55" i="3"/>
  <c r="D55" i="3" s="1"/>
  <c r="C54" i="3"/>
  <c r="B54" i="3"/>
  <c r="C53" i="3"/>
  <c r="B53" i="3"/>
  <c r="C52" i="3"/>
  <c r="B52" i="3"/>
  <c r="C51" i="3"/>
  <c r="B51" i="3"/>
  <c r="D51" i="3" s="1"/>
  <c r="C50" i="3"/>
  <c r="B50" i="3"/>
  <c r="C49" i="3"/>
  <c r="B49" i="3"/>
  <c r="C48" i="3"/>
  <c r="B48" i="3"/>
  <c r="C47" i="3"/>
  <c r="B47" i="3"/>
  <c r="D47" i="3" s="1"/>
  <c r="C46" i="3"/>
  <c r="B46" i="3"/>
  <c r="D46" i="3" s="1"/>
  <c r="C45" i="3"/>
  <c r="B45" i="3"/>
  <c r="D45" i="3" s="1"/>
  <c r="C44" i="3"/>
  <c r="B44" i="3"/>
  <c r="C43" i="3"/>
  <c r="B43" i="3"/>
  <c r="C42" i="3"/>
  <c r="B42" i="3"/>
  <c r="C41" i="3"/>
  <c r="B41" i="3"/>
  <c r="D41" i="3" s="1"/>
  <c r="C40" i="3"/>
  <c r="B40" i="3"/>
  <c r="D40" i="3" s="1"/>
  <c r="C39" i="3"/>
  <c r="B39" i="3"/>
  <c r="C38" i="3"/>
  <c r="B38" i="3"/>
  <c r="D38" i="3" s="1"/>
  <c r="C37" i="3"/>
  <c r="B37" i="3"/>
  <c r="C36" i="3"/>
  <c r="B36" i="3"/>
  <c r="C35" i="3"/>
  <c r="B35" i="3"/>
  <c r="D35" i="3" s="1"/>
  <c r="C34" i="3"/>
  <c r="B34" i="3"/>
  <c r="C33" i="3"/>
  <c r="B33" i="3"/>
  <c r="C32" i="3"/>
  <c r="B32" i="3"/>
  <c r="C31" i="3"/>
  <c r="B31" i="3"/>
  <c r="D31" i="3" s="1"/>
  <c r="C30" i="3"/>
  <c r="B30" i="3"/>
  <c r="D30" i="3" s="1"/>
  <c r="C29" i="3"/>
  <c r="B29" i="3"/>
  <c r="D29" i="3" s="1"/>
  <c r="C28" i="3"/>
  <c r="B28" i="3"/>
  <c r="C27" i="3"/>
  <c r="B27" i="3"/>
  <c r="D27" i="3" s="1"/>
  <c r="C26" i="3"/>
  <c r="B26" i="3"/>
  <c r="D26" i="3" s="1"/>
  <c r="C25" i="3"/>
  <c r="B25" i="3"/>
  <c r="C24" i="3"/>
  <c r="B24" i="3"/>
  <c r="C23" i="3"/>
  <c r="B23" i="3"/>
  <c r="C22" i="3"/>
  <c r="B22" i="3"/>
  <c r="C21" i="3"/>
  <c r="B21" i="3"/>
  <c r="D21" i="3" s="1"/>
  <c r="C20" i="3"/>
  <c r="B20" i="3"/>
  <c r="D20" i="3" s="1"/>
  <c r="C19" i="3"/>
  <c r="B19" i="3"/>
  <c r="D19" i="3" s="1"/>
  <c r="C18" i="3"/>
  <c r="B18" i="3"/>
  <c r="D18" i="3" s="1"/>
  <c r="C17" i="3"/>
  <c r="B17" i="3"/>
  <c r="C16" i="3"/>
  <c r="B16" i="3"/>
  <c r="D16" i="3" s="1"/>
  <c r="C15" i="3"/>
  <c r="B15" i="3"/>
  <c r="D15" i="3" s="1"/>
  <c r="C14" i="3"/>
  <c r="B14" i="3"/>
  <c r="C13" i="3"/>
  <c r="B13" i="3"/>
  <c r="C12" i="3"/>
  <c r="B12" i="3"/>
  <c r="C11" i="3"/>
  <c r="B11" i="3"/>
  <c r="D11" i="3" s="1"/>
  <c r="C10" i="3"/>
  <c r="B10" i="3"/>
  <c r="D10" i="3" s="1"/>
  <c r="C9" i="3"/>
  <c r="B9" i="3"/>
  <c r="D9" i="3" s="1"/>
  <c r="C8" i="3"/>
  <c r="B8" i="3"/>
  <c r="D8" i="3" s="1"/>
  <c r="C7" i="3"/>
  <c r="B7" i="3"/>
  <c r="D7" i="3" s="1"/>
  <c r="C6" i="3"/>
  <c r="B6" i="3"/>
  <c r="D6" i="3" s="1"/>
  <c r="C5" i="3"/>
  <c r="B5" i="3"/>
  <c r="D5" i="3" s="1"/>
  <c r="C4" i="3"/>
  <c r="B4" i="3"/>
  <c r="C3" i="3"/>
  <c r="B3" i="3"/>
  <c r="C2" i="3"/>
  <c r="B2" i="3"/>
  <c r="D36" i="3" l="1"/>
  <c r="D48" i="3"/>
  <c r="D60" i="3"/>
  <c r="D96" i="3"/>
  <c r="D108" i="3"/>
  <c r="D120" i="3"/>
  <c r="D156" i="3"/>
  <c r="D168" i="3"/>
  <c r="D180" i="3"/>
  <c r="D228" i="3"/>
  <c r="D240" i="3"/>
  <c r="D252" i="3"/>
  <c r="D264" i="3"/>
  <c r="D276" i="3"/>
  <c r="D288" i="3"/>
  <c r="D300" i="3"/>
  <c r="D208" i="3"/>
  <c r="D145" i="3"/>
  <c r="D134" i="3"/>
  <c r="D25" i="3"/>
  <c r="D37" i="3"/>
  <c r="D49" i="3"/>
  <c r="D73" i="3"/>
  <c r="D85" i="3"/>
  <c r="D97" i="3"/>
  <c r="D157" i="3"/>
  <c r="D124" i="3"/>
  <c r="D196" i="3"/>
  <c r="D206" i="3"/>
  <c r="D176" i="3"/>
  <c r="D226" i="3"/>
  <c r="D109" i="3"/>
  <c r="D121" i="3"/>
  <c r="D133" i="3"/>
  <c r="D216" i="3"/>
  <c r="D82" i="3"/>
  <c r="D98" i="3"/>
  <c r="D169" i="3"/>
  <c r="D181" i="3"/>
  <c r="D193" i="3"/>
  <c r="D205" i="3"/>
  <c r="D217" i="3"/>
  <c r="D229" i="3"/>
  <c r="D241" i="3"/>
  <c r="D253" i="3"/>
  <c r="D265" i="3"/>
  <c r="D277" i="3"/>
  <c r="D301" i="3"/>
  <c r="D186" i="3"/>
  <c r="D93" i="3"/>
  <c r="D72" i="3"/>
  <c r="D110" i="3"/>
  <c r="D146" i="3"/>
  <c r="D280" i="3"/>
  <c r="D104" i="3"/>
  <c r="D260" i="3"/>
  <c r="D53" i="3"/>
  <c r="D250" i="3"/>
  <c r="D43" i="3"/>
  <c r="D34" i="3"/>
  <c r="D202" i="3"/>
  <c r="D3" i="3"/>
  <c r="D152" i="3"/>
  <c r="D204" i="3"/>
  <c r="D164" i="3"/>
  <c r="D62" i="3"/>
  <c r="D94" i="3"/>
  <c r="D270" i="3"/>
  <c r="D52" i="3"/>
  <c r="D64" i="3"/>
  <c r="D239" i="3"/>
  <c r="D22" i="3"/>
  <c r="D12" i="3"/>
  <c r="D2" i="3"/>
  <c r="D172" i="3"/>
  <c r="D212" i="3"/>
  <c r="D14" i="3"/>
  <c r="D122" i="3"/>
  <c r="D174" i="3"/>
  <c r="D214" i="3"/>
  <c r="D112" i="3"/>
  <c r="D102" i="3"/>
  <c r="D154" i="3"/>
  <c r="D289" i="3"/>
  <c r="D259" i="3"/>
  <c r="D84" i="3"/>
  <c r="D74" i="3"/>
  <c r="D249" i="3"/>
  <c r="D42" i="3"/>
  <c r="D32" i="3"/>
  <c r="D44" i="3"/>
  <c r="D24" i="3"/>
  <c r="D192" i="3"/>
  <c r="D162" i="3"/>
  <c r="D142" i="3"/>
  <c r="D184" i="3"/>
  <c r="D224" i="3"/>
  <c r="D92" i="3"/>
  <c r="D144" i="3"/>
  <c r="D114" i="3"/>
  <c r="D269" i="3"/>
  <c r="D63" i="3"/>
  <c r="D54" i="3"/>
  <c r="D33" i="3"/>
  <c r="D23" i="3"/>
  <c r="D13" i="3"/>
  <c r="D182" i="3"/>
  <c r="D222" i="3"/>
  <c r="D4" i="3"/>
  <c r="D132" i="3"/>
  <c r="D194" i="3"/>
  <c r="D17" i="3"/>
  <c r="D28" i="3"/>
  <c r="D39" i="3"/>
  <c r="D50" i="3"/>
  <c r="D61" i="3"/>
  <c r="D236" i="3"/>
  <c r="D279" i="3"/>
  <c r="D290" i="3"/>
</calcChain>
</file>

<file path=xl/sharedStrings.xml><?xml version="1.0" encoding="utf-8"?>
<sst xmlns="http://schemas.openxmlformats.org/spreadsheetml/2006/main" count="623" uniqueCount="305">
  <si>
    <t>Item Name</t>
  </si>
  <si>
    <t>Items Sold</t>
  </si>
  <si>
    <t>Apple Marble</t>
  </si>
  <si>
    <t>Chiffon Apple</t>
  </si>
  <si>
    <t>Horn Apple</t>
  </si>
  <si>
    <t>Horn Chocolate</t>
  </si>
  <si>
    <t>WW Challah</t>
  </si>
  <si>
    <t>WW Challah Roll</t>
  </si>
  <si>
    <t>Ceremonial Challah 2#</t>
  </si>
  <si>
    <t>Ceremonial Challah 4#</t>
  </si>
  <si>
    <t>Challah , Poppy</t>
  </si>
  <si>
    <t>Challah, Chocolate Chip</t>
  </si>
  <si>
    <t>Challah, Egg</t>
  </si>
  <si>
    <t>Challah, Raisin</t>
  </si>
  <si>
    <t>Challah, Water</t>
  </si>
  <si>
    <t>Challah, Whole Wheat</t>
  </si>
  <si>
    <t>Dough Balls 1 Pound</t>
  </si>
  <si>
    <t>Italian Bread</t>
  </si>
  <si>
    <t>Onion Board</t>
  </si>
  <si>
    <t>Roll, Challah</t>
  </si>
  <si>
    <t>Roll, Challah 6 Pack</t>
  </si>
  <si>
    <t>Roll, Challah Poppy</t>
  </si>
  <si>
    <t>Roll, Chocolate Chip</t>
  </si>
  <si>
    <t>Roll, Onion Pocket</t>
  </si>
  <si>
    <t>Roll, Onion Pocket (6 pack)</t>
  </si>
  <si>
    <t>Roll, WW</t>
  </si>
  <si>
    <t>Roll, Water</t>
  </si>
  <si>
    <t>Rye, Marble</t>
  </si>
  <si>
    <t>Rye, Onion</t>
  </si>
  <si>
    <t>Rye, Plain</t>
  </si>
  <si>
    <t>Rye, Pumpernickle</t>
  </si>
  <si>
    <t>Rye, Raisin Pumpernickle</t>
  </si>
  <si>
    <t>Rye, Seeded</t>
  </si>
  <si>
    <t>7 Layer, Full</t>
  </si>
  <si>
    <t>7 Layer, Half</t>
  </si>
  <si>
    <t>Bobka, Chocolate</t>
  </si>
  <si>
    <t>Bobka, Cinnamon</t>
  </si>
  <si>
    <t>Horn, Apple</t>
  </si>
  <si>
    <t>Horn, Chocolate</t>
  </si>
  <si>
    <t>Horn, Chocolate Cherry</t>
  </si>
  <si>
    <t>Marble Sponge Loaf</t>
  </si>
  <si>
    <t>Meltaway, Apple</t>
  </si>
  <si>
    <t>Meltaway, Blueberry</t>
  </si>
  <si>
    <t>Meltaway, Cherry</t>
  </si>
  <si>
    <t>Meltaway, Chocolate</t>
  </si>
  <si>
    <t>Mondel, Fruit</t>
  </si>
  <si>
    <t>Philly Fluff</t>
  </si>
  <si>
    <t>Plain Sponge Loaf</t>
  </si>
  <si>
    <t>Russian Coffeecake</t>
  </si>
  <si>
    <t>1# Cookie Platter</t>
  </si>
  <si>
    <t>2# Cookie Platter</t>
  </si>
  <si>
    <t>2.5# Cookie Platter</t>
  </si>
  <si>
    <t>3# Cookie Platter</t>
  </si>
  <si>
    <t>Bowties, Chocolate</t>
  </si>
  <si>
    <t>Bowties, Plain</t>
  </si>
  <si>
    <t>Bowties, Raspberry</t>
  </si>
  <si>
    <t>Cookie Cake</t>
  </si>
  <si>
    <t>Cookies by the pound</t>
  </si>
  <si>
    <t>Hammentaschen, LG, Apricot</t>
  </si>
  <si>
    <t>Hammentaschen, LG, Chocolate</t>
  </si>
  <si>
    <t>Hammentaschen, LG, Poppy</t>
  </si>
  <si>
    <t>Hammentaschen, LG, Prune</t>
  </si>
  <si>
    <t>Hammentaschen, LG, Raspberry</t>
  </si>
  <si>
    <t>Large Cookies</t>
  </si>
  <si>
    <t>Large black and white cookie</t>
  </si>
  <si>
    <t>Large black and white cookie pie</t>
  </si>
  <si>
    <t>Small black and white cookie pie</t>
  </si>
  <si>
    <t>Cupcake 6 pack</t>
  </si>
  <si>
    <t>Cupcake Each</t>
  </si>
  <si>
    <t>Cupcakes, Specialty</t>
  </si>
  <si>
    <t>10" Round Cake</t>
  </si>
  <si>
    <t>10" Square Cake</t>
  </si>
  <si>
    <t>12" Square Cake</t>
  </si>
  <si>
    <t>7" Layer Cake</t>
  </si>
  <si>
    <t>Edible Image</t>
  </si>
  <si>
    <t>Full Sheet Cake</t>
  </si>
  <si>
    <t>Half Sheet Cake</t>
  </si>
  <si>
    <t>Mini Doughnuts</t>
  </si>
  <si>
    <t>Ring Doughnut</t>
  </si>
  <si>
    <t>1 # Platter</t>
  </si>
  <si>
    <t>6 pack Holiday cupcakes</t>
  </si>
  <si>
    <t>7" Decorated cake</t>
  </si>
  <si>
    <t>Apricot Roll</t>
  </si>
  <si>
    <t>Bobka Chocolate</t>
  </si>
  <si>
    <t>Bobka Cinnamon</t>
  </si>
  <si>
    <t>Bowties Chocolate</t>
  </si>
  <si>
    <t>Bowties Plain</t>
  </si>
  <si>
    <t>Bowties Raspberry</t>
  </si>
  <si>
    <t>Box Apricot Rugalach 1#</t>
  </si>
  <si>
    <t>Box Assorted Rugalach 1#</t>
  </si>
  <si>
    <t>Box Asst. Cookies 1#</t>
  </si>
  <si>
    <t>Box Chocolate Rugalach 1#</t>
  </si>
  <si>
    <t>Box Cinnamon Rugalach 1#</t>
  </si>
  <si>
    <t>Box Mini Black &amp; Whites 1#</t>
  </si>
  <si>
    <t>Box Mini Chocolate Linzer Tarts #1</t>
  </si>
  <si>
    <t>Box Mini Linzer Tarts #1</t>
  </si>
  <si>
    <t>Box Rainbow Cookies 1#</t>
  </si>
  <si>
    <t>Brownie Cake</t>
  </si>
  <si>
    <t>Chalalh Roll 6 pack</t>
  </si>
  <si>
    <t>Chiffon Apple Marble</t>
  </si>
  <si>
    <t>Chiffon Marble</t>
  </si>
  <si>
    <t>Chiffon Plain</t>
  </si>
  <si>
    <t>Chocolate Cigars 2 pack</t>
  </si>
  <si>
    <t>Chocolate Loaf</t>
  </si>
  <si>
    <t>Chocolate Roll</t>
  </si>
  <si>
    <t>Fruit Honey Loaf</t>
  </si>
  <si>
    <t>Honey Loaf</t>
  </si>
  <si>
    <t>Large Black and Whites Cookies 2 pack</t>
  </si>
  <si>
    <t>Large Chocolate Chip Cookies 2 pack</t>
  </si>
  <si>
    <t>Large Chocolate Linzer Cookies 2 pack</t>
  </si>
  <si>
    <t>Large Rainbow Sprinkles Cookies 2 pack</t>
  </si>
  <si>
    <t>Marble Loaf</t>
  </si>
  <si>
    <t>Meltaway Apple</t>
  </si>
  <si>
    <t>Meltaway Blueberry</t>
  </si>
  <si>
    <t>Meltaway Cherry</t>
  </si>
  <si>
    <t>Meltaway Chocolate</t>
  </si>
  <si>
    <t>Mondel, Chocolate</t>
  </si>
  <si>
    <t>Mondel, Sugar Free Marble</t>
  </si>
  <si>
    <t>Onion 6pk</t>
  </si>
  <si>
    <t>Plain Loaf</t>
  </si>
  <si>
    <t>Railroad Cake</t>
  </si>
  <si>
    <t>Raspberry Roll</t>
  </si>
  <si>
    <t>Raspberry Sheet</t>
  </si>
  <si>
    <t>Round Challah Chocolate Chip</t>
  </si>
  <si>
    <t>Round Challah Raisin</t>
  </si>
  <si>
    <t>Round Egg Challah</t>
  </si>
  <si>
    <t>Round Water Challah</t>
  </si>
  <si>
    <t>Round Whole Wheat Challah</t>
  </si>
  <si>
    <t>Seven Layer Full</t>
  </si>
  <si>
    <t>Seven Layer Half</t>
  </si>
  <si>
    <t>Sugar Free Turnovers 2 pack</t>
  </si>
  <si>
    <t>Tagalach</t>
  </si>
  <si>
    <t>challah rolls six pack</t>
  </si>
  <si>
    <t>Whole Wheat Challah Roll 6 pack</t>
  </si>
  <si>
    <t>Brownie</t>
  </si>
  <si>
    <t>Cigar, Chocolate</t>
  </si>
  <si>
    <t>Cigar, Cinnamon</t>
  </si>
  <si>
    <t>Cigar, Raspberry</t>
  </si>
  <si>
    <t>Danish, Cinnamon Raisin</t>
  </si>
  <si>
    <t>Danish, Prune</t>
  </si>
  <si>
    <t>Eclair</t>
  </si>
  <si>
    <t>Mini Eclair</t>
  </si>
  <si>
    <t>Mini Napolean</t>
  </si>
  <si>
    <t>Muffin, Blueberry</t>
  </si>
  <si>
    <t>Muffin, Chocolate Chip</t>
  </si>
  <si>
    <t>Muffin, Corn</t>
  </si>
  <si>
    <t>Muffin, Marble</t>
  </si>
  <si>
    <t>Raspberry Muffin Pullapart</t>
  </si>
  <si>
    <t>Rugalach, Assorted</t>
  </si>
  <si>
    <t>Rugalach, Chocolate</t>
  </si>
  <si>
    <t>Rugalach, Cinnamon</t>
  </si>
  <si>
    <t>Turnover, Apple</t>
  </si>
  <si>
    <t>Turnover, Cherry</t>
  </si>
  <si>
    <t>Cigar, Sugar Free Apricot</t>
  </si>
  <si>
    <t>Cigar, Sugar Free Chocolate</t>
  </si>
  <si>
    <t>Cigar, Sugar Free Raspberry</t>
  </si>
  <si>
    <t>Rugalach, SF Chocolate</t>
  </si>
  <si>
    <t>Turnover, Sugar Free Apple</t>
  </si>
  <si>
    <t>Turnover, Sugar Free Blueberry</t>
  </si>
  <si>
    <t>Turnover, Sugar Free Cherry</t>
  </si>
  <si>
    <t>1 POUND COOKIE PLATTER</t>
  </si>
  <si>
    <t>1# COOKIE PLATTER</t>
  </si>
  <si>
    <t>1/2 SEVEN LAYER</t>
  </si>
  <si>
    <t>10705 Blueberry Cookies</t>
  </si>
  <si>
    <t>12 oz Assorted Cookies</t>
  </si>
  <si>
    <t>12 oz Assorted Rugalach</t>
  </si>
  <si>
    <t>2 LB COOKIE PLATTER</t>
  </si>
  <si>
    <t>2 POUND CEREMONIAL CHALLAH</t>
  </si>
  <si>
    <t>2.5 POUND PLATTER</t>
  </si>
  <si>
    <t>3 LB COOKIE PLATTER</t>
  </si>
  <si>
    <t>3 POUND CEREMONIAL CHALLAH</t>
  </si>
  <si>
    <t>4 POUND CEREMONIAL CHALLAH</t>
  </si>
  <si>
    <t>Apple Horn</t>
  </si>
  <si>
    <t>Apple Meltaway</t>
  </si>
  <si>
    <t>Apple Turnovers LG</t>
  </si>
  <si>
    <t>Apricot Danish</t>
  </si>
  <si>
    <t>Asst Bowties - 1/2 lb</t>
  </si>
  <si>
    <t>Asst Rugalach LB</t>
  </si>
  <si>
    <t>Asst. Cigars</t>
  </si>
  <si>
    <t>Asst. Cupcake Med</t>
  </si>
  <si>
    <t>Asst. Mini Turnover LB</t>
  </si>
  <si>
    <t>Black &amp; White LG</t>
  </si>
  <si>
    <t>Blueberry Meltaway</t>
  </si>
  <si>
    <t>Brownie Sheet</t>
  </si>
  <si>
    <t>CAKE 1/2 SHEET EA</t>
  </si>
  <si>
    <t>CAKE FULL SHEET</t>
  </si>
  <si>
    <t>CAKE-10" ROUND OCASSION EA</t>
  </si>
  <si>
    <t>Challah Mini</t>
  </si>
  <si>
    <t>Challah Rolls (Dozen)</t>
  </si>
  <si>
    <t>Challah Rolls 6 pack</t>
  </si>
  <si>
    <t>Challah Rolls Each</t>
  </si>
  <si>
    <t>Challah Sliced</t>
  </si>
  <si>
    <t>Challah Temple</t>
  </si>
  <si>
    <t>Challah Wholesale</t>
  </si>
  <si>
    <t>Cherry Meltaway</t>
  </si>
  <si>
    <t>Choc. Babka</t>
  </si>
  <si>
    <t>Choc. Chip Muffin LG</t>
  </si>
  <si>
    <t>Choc. Covered Mondel Sliced</t>
  </si>
  <si>
    <t>Choc. Linzer Tarts LG</t>
  </si>
  <si>
    <t>Choc. Russian Coffee Cake</t>
  </si>
  <si>
    <t>Chocolate Bobka</t>
  </si>
  <si>
    <t>Chocolate Cherry Horn</t>
  </si>
  <si>
    <t>Chocolate Chip Challah</t>
  </si>
  <si>
    <t>Chocolate Chip Cookies LG</t>
  </si>
  <si>
    <t>Chocolate Cigars</t>
  </si>
  <si>
    <t>Chocolate Meltaway</t>
  </si>
  <si>
    <t>Chocolate Rugalach LB</t>
  </si>
  <si>
    <t>Chocolate Sponge Loaf</t>
  </si>
  <si>
    <t>Cinn. Babka</t>
  </si>
  <si>
    <t>Cinn. Cigars</t>
  </si>
  <si>
    <t>Cinn. Rugalach LB</t>
  </si>
  <si>
    <t>COOKIE MINI BLACK AND WHITE EA</t>
  </si>
  <si>
    <t>COOKIE MINI BUTTER SPRINKLES LB</t>
  </si>
  <si>
    <t>COOKIE MINI CHOC. CHIP EA</t>
  </si>
  <si>
    <t>Cookies</t>
  </si>
  <si>
    <t>Credit</t>
  </si>
  <si>
    <t>Credit Card Fee</t>
  </si>
  <si>
    <t>Crunch Cookie</t>
  </si>
  <si>
    <t>CUPCAKE MED. CHOCOLATE FROSTED SPRINKLES DZ</t>
  </si>
  <si>
    <t>CUPCAKE MED. CHOCOLATE FROSTED SPRINKLES EZ</t>
  </si>
  <si>
    <t>CUPCAKE MED. VANILLA FROSTED SPRINKLES DZ</t>
  </si>
  <si>
    <t>CUPCAKE MED. VANILLA FROSTED SPRINKLES EA</t>
  </si>
  <si>
    <t>Cupcakes</t>
  </si>
  <si>
    <t>DANISH MINI APRICOT DZ</t>
  </si>
  <si>
    <t>DANISH MINI BLUEBERRY EA</t>
  </si>
  <si>
    <t>DANISH MINI FRUIT ASSORTED DZ</t>
  </si>
  <si>
    <t>DANISH MINI RASPBERRY EA</t>
  </si>
  <si>
    <t>Delivery Fee</t>
  </si>
  <si>
    <t>Dough Balls - Pieces</t>
  </si>
  <si>
    <t>Egg Challah Rolls 6 pack</t>
  </si>
  <si>
    <t>EGG Dough Balls - 1 Pound</t>
  </si>
  <si>
    <t>EGG Dough Balls - 1/2 LB</t>
  </si>
  <si>
    <t>Fancy Asst. Cookies Per LB</t>
  </si>
  <si>
    <t>Fudge Cookies</t>
  </si>
  <si>
    <t>Layer Cake Round 7 Inch</t>
  </si>
  <si>
    <t>Layer Cake Square 12 Inch</t>
  </si>
  <si>
    <t>Linzer Tarts LG</t>
  </si>
  <si>
    <t>Marble Chiffon</t>
  </si>
  <si>
    <t>Marble Cookie</t>
  </si>
  <si>
    <t>Mini Asst. Cupcake DZ</t>
  </si>
  <si>
    <t>Mini Asst. Danish LB</t>
  </si>
  <si>
    <t>Mini Asst. Muffin DZ</t>
  </si>
  <si>
    <t>Mini Bell Cookies DZ</t>
  </si>
  <si>
    <t>Mini Black &amp; White LB</t>
  </si>
  <si>
    <t>Mini Blue &amp; White LB</t>
  </si>
  <si>
    <t>Mini Chocolate Sufganiyot EA</t>
  </si>
  <si>
    <t>Mini Eclair DZ</t>
  </si>
  <si>
    <t>Mini Linzer Tarts LB</t>
  </si>
  <si>
    <t>Mini Napoleon DZ</t>
  </si>
  <si>
    <t>Mini Raspberry Hamentashen LB</t>
  </si>
  <si>
    <t>Mini Ring Doughnut EA.</t>
  </si>
  <si>
    <t>Miscellaneous</t>
  </si>
  <si>
    <t>MRS</t>
  </si>
  <si>
    <t>MUFFIN MINI ASST. DZ</t>
  </si>
  <si>
    <t>MUFFIN MINI CHOCOLATE CHIP DZ</t>
  </si>
  <si>
    <t>MUFFIN MINI CHOCOLATE CHIP EA</t>
  </si>
  <si>
    <t>MUFFIN MINI CORN DZ</t>
  </si>
  <si>
    <t>MUFFIN MINI CORN EA</t>
  </si>
  <si>
    <t>Muffins</t>
  </si>
  <si>
    <t>Oatmeal Cookies</t>
  </si>
  <si>
    <t>Onion Pocket (6 Pack)</t>
  </si>
  <si>
    <t>Pastries</t>
  </si>
  <si>
    <t>Plain Chiffon</t>
  </si>
  <si>
    <t>Plain Muffin LG</t>
  </si>
  <si>
    <t>Rainbow Cookies LB.</t>
  </si>
  <si>
    <t>Raisin Challah</t>
  </si>
  <si>
    <t>Raspberry Rugalach LB</t>
  </si>
  <si>
    <t>Retail Challah</t>
  </si>
  <si>
    <t>Retail Sales</t>
  </si>
  <si>
    <t>Round Challah</t>
  </si>
  <si>
    <t>Round Chocolate Chip Challah</t>
  </si>
  <si>
    <t>Round Raisin Challah</t>
  </si>
  <si>
    <t>ROUTE</t>
  </si>
  <si>
    <t>Rugalach</t>
  </si>
  <si>
    <t>Rye Plain</t>
  </si>
  <si>
    <t>S/F Asst. Cigars</t>
  </si>
  <si>
    <t>Sales</t>
  </si>
  <si>
    <t>Seven Layer Full Sized</t>
  </si>
  <si>
    <t>Sheet Cake - Half</t>
  </si>
  <si>
    <t>Sheet Cake Full</t>
  </si>
  <si>
    <t>TOTAL</t>
  </si>
  <si>
    <t>Total for Bread / Rye</t>
  </si>
  <si>
    <t>Total for Cake</t>
  </si>
  <si>
    <t>Total for Challah</t>
  </si>
  <si>
    <t>Total for Cookies</t>
  </si>
  <si>
    <t>Total for Cupcakes</t>
  </si>
  <si>
    <t>Total for Large Cookies</t>
  </si>
  <si>
    <t>Total for MRS</t>
  </si>
  <si>
    <t>Total for Muffins</t>
  </si>
  <si>
    <t>Total for Pastries</t>
  </si>
  <si>
    <t>Total for Rugalach</t>
  </si>
  <si>
    <t>Total for Wholesale</t>
  </si>
  <si>
    <t>W/W Challah Whole Wheat Round</t>
  </si>
  <si>
    <t>Water Challah</t>
  </si>
  <si>
    <t>Water Challah Sliced</t>
  </si>
  <si>
    <t>Water Dough Balls - 1 Pound</t>
  </si>
  <si>
    <t>Water Rolls Challah (6 Pack)</t>
  </si>
  <si>
    <t>Water Round Challah</t>
  </si>
  <si>
    <t>Whole Wheat Challah</t>
  </si>
  <si>
    <t>Whole Wheat Rolls Challah (6 Pack)</t>
  </si>
  <si>
    <t>Wholesale</t>
  </si>
  <si>
    <t>Accrual Basis Friday, July 18, 2025 03:13 PM GMTZ</t>
  </si>
  <si>
    <t>Square Items Sold</t>
  </si>
  <si>
    <t>QuickBooks Items Sold</t>
  </si>
  <si>
    <t>Total Items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</si>
</sst>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4"/>
  <sheetViews>
    <sheetView tabSelected="1" workbookViewId="0"/>
  </sheetViews>
  <sheetFormatPr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9</v>
      </c>
    </row>
    <row r="4" spans="1:2" x14ac:dyDescent="0.25">
      <c r="A4" t="s">
        <v>4</v>
      </c>
      <c r="B4">
        <v>17</v>
      </c>
    </row>
    <row r="5" spans="1:2" x14ac:dyDescent="0.25">
      <c r="A5" t="s">
        <v>5</v>
      </c>
      <c r="B5">
        <v>17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10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4</v>
      </c>
    </row>
    <row r="10" spans="1:2" x14ac:dyDescent="0.25">
      <c r="A10" t="s">
        <v>10</v>
      </c>
      <c r="B10">
        <v>9</v>
      </c>
    </row>
    <row r="11" spans="1:2" x14ac:dyDescent="0.25">
      <c r="A11" t="s">
        <v>11</v>
      </c>
      <c r="B11">
        <v>43</v>
      </c>
    </row>
    <row r="12" spans="1:2" x14ac:dyDescent="0.25">
      <c r="A12" t="s">
        <v>12</v>
      </c>
      <c r="B12">
        <v>254</v>
      </c>
    </row>
    <row r="13" spans="1:2" x14ac:dyDescent="0.25">
      <c r="A13" t="s">
        <v>13</v>
      </c>
      <c r="B13">
        <v>34</v>
      </c>
    </row>
    <row r="14" spans="1:2" x14ac:dyDescent="0.25">
      <c r="A14" t="s">
        <v>14</v>
      </c>
      <c r="B14">
        <v>25</v>
      </c>
    </row>
    <row r="15" spans="1:2" x14ac:dyDescent="0.25">
      <c r="A15" t="s">
        <v>15</v>
      </c>
      <c r="B15">
        <v>2</v>
      </c>
    </row>
    <row r="16" spans="1:2" x14ac:dyDescent="0.25">
      <c r="A16" t="s">
        <v>16</v>
      </c>
      <c r="B16">
        <v>46</v>
      </c>
    </row>
    <row r="17" spans="1:2" x14ac:dyDescent="0.25">
      <c r="A17" t="s">
        <v>17</v>
      </c>
      <c r="B17">
        <v>36</v>
      </c>
    </row>
    <row r="18" spans="1:2" x14ac:dyDescent="0.25">
      <c r="A18" t="s">
        <v>18</v>
      </c>
      <c r="B18">
        <v>23</v>
      </c>
    </row>
    <row r="19" spans="1:2" x14ac:dyDescent="0.25">
      <c r="A19" t="s">
        <v>19</v>
      </c>
      <c r="B19">
        <v>430</v>
      </c>
    </row>
    <row r="20" spans="1:2" x14ac:dyDescent="0.25">
      <c r="A20" t="s">
        <v>20</v>
      </c>
      <c r="B20">
        <v>66</v>
      </c>
    </row>
    <row r="21" spans="1:2" x14ac:dyDescent="0.25">
      <c r="A21" t="s">
        <v>21</v>
      </c>
      <c r="B21">
        <v>18</v>
      </c>
    </row>
    <row r="22" spans="1:2" x14ac:dyDescent="0.25">
      <c r="A22" t="s">
        <v>22</v>
      </c>
      <c r="B22">
        <v>23</v>
      </c>
    </row>
    <row r="23" spans="1:2" x14ac:dyDescent="0.25">
      <c r="A23" t="s">
        <v>23</v>
      </c>
      <c r="B23">
        <v>205</v>
      </c>
    </row>
    <row r="24" spans="1:2" x14ac:dyDescent="0.25">
      <c r="A24" t="s">
        <v>24</v>
      </c>
      <c r="B24">
        <v>23</v>
      </c>
    </row>
    <row r="25" spans="1:2" x14ac:dyDescent="0.25">
      <c r="A25" t="s">
        <v>25</v>
      </c>
      <c r="B25">
        <v>32</v>
      </c>
    </row>
    <row r="26" spans="1:2" x14ac:dyDescent="0.25">
      <c r="A26" t="s">
        <v>26</v>
      </c>
      <c r="B26">
        <v>90</v>
      </c>
    </row>
    <row r="27" spans="1:2" x14ac:dyDescent="0.25">
      <c r="A27" t="s">
        <v>27</v>
      </c>
      <c r="B27">
        <v>3</v>
      </c>
    </row>
    <row r="28" spans="1:2" x14ac:dyDescent="0.25">
      <c r="A28" t="s">
        <v>28</v>
      </c>
      <c r="B28">
        <v>5</v>
      </c>
    </row>
    <row r="29" spans="1:2" x14ac:dyDescent="0.25">
      <c r="A29" t="s">
        <v>29</v>
      </c>
      <c r="B29">
        <v>30</v>
      </c>
    </row>
    <row r="30" spans="1:2" x14ac:dyDescent="0.25">
      <c r="A30" t="s">
        <v>30</v>
      </c>
      <c r="B30">
        <v>10</v>
      </c>
    </row>
    <row r="31" spans="1:2" x14ac:dyDescent="0.25">
      <c r="A31" t="s">
        <v>31</v>
      </c>
      <c r="B31">
        <v>11</v>
      </c>
    </row>
    <row r="32" spans="1:2" x14ac:dyDescent="0.25">
      <c r="A32" t="s">
        <v>32</v>
      </c>
      <c r="B32">
        <v>17</v>
      </c>
    </row>
    <row r="33" spans="1:2" x14ac:dyDescent="0.25">
      <c r="A33" t="s">
        <v>33</v>
      </c>
      <c r="B33">
        <v>18</v>
      </c>
    </row>
    <row r="34" spans="1:2" x14ac:dyDescent="0.25">
      <c r="A34" t="s">
        <v>34</v>
      </c>
      <c r="B34">
        <v>27</v>
      </c>
    </row>
    <row r="35" spans="1:2" x14ac:dyDescent="0.25">
      <c r="A35" t="s">
        <v>2</v>
      </c>
      <c r="B35">
        <v>2</v>
      </c>
    </row>
    <row r="36" spans="1:2" x14ac:dyDescent="0.25">
      <c r="A36" t="s">
        <v>35</v>
      </c>
      <c r="B36">
        <v>54</v>
      </c>
    </row>
    <row r="37" spans="1:2" x14ac:dyDescent="0.25">
      <c r="A37" t="s">
        <v>36</v>
      </c>
      <c r="B37">
        <v>13</v>
      </c>
    </row>
    <row r="38" spans="1:2" x14ac:dyDescent="0.25">
      <c r="A38" t="s">
        <v>37</v>
      </c>
      <c r="B38">
        <v>5</v>
      </c>
    </row>
    <row r="39" spans="1:2" x14ac:dyDescent="0.25">
      <c r="A39" t="s">
        <v>38</v>
      </c>
      <c r="B39">
        <v>5</v>
      </c>
    </row>
    <row r="40" spans="1:2" x14ac:dyDescent="0.25">
      <c r="A40" t="s">
        <v>39</v>
      </c>
      <c r="B40">
        <v>21</v>
      </c>
    </row>
    <row r="41" spans="1:2" x14ac:dyDescent="0.25">
      <c r="A41" t="s">
        <v>40</v>
      </c>
      <c r="B41">
        <v>41</v>
      </c>
    </row>
    <row r="42" spans="1:2" x14ac:dyDescent="0.25">
      <c r="A42" t="s">
        <v>41</v>
      </c>
      <c r="B42">
        <v>13</v>
      </c>
    </row>
    <row r="43" spans="1:2" x14ac:dyDescent="0.25">
      <c r="A43" t="s">
        <v>42</v>
      </c>
      <c r="B43">
        <v>1</v>
      </c>
    </row>
    <row r="44" spans="1:2" x14ac:dyDescent="0.25">
      <c r="A44" t="s">
        <v>43</v>
      </c>
      <c r="B44">
        <v>2</v>
      </c>
    </row>
    <row r="45" spans="1:2" x14ac:dyDescent="0.25">
      <c r="A45" t="s">
        <v>44</v>
      </c>
      <c r="B45">
        <v>57</v>
      </c>
    </row>
    <row r="46" spans="1:2" x14ac:dyDescent="0.25">
      <c r="A46" t="s">
        <v>45</v>
      </c>
      <c r="B46">
        <v>28</v>
      </c>
    </row>
    <row r="47" spans="1:2" x14ac:dyDescent="0.25">
      <c r="A47" t="s">
        <v>46</v>
      </c>
      <c r="B47">
        <v>21</v>
      </c>
    </row>
    <row r="48" spans="1:2" x14ac:dyDescent="0.25">
      <c r="A48" t="s">
        <v>47</v>
      </c>
      <c r="B48">
        <v>9</v>
      </c>
    </row>
    <row r="49" spans="1:2" x14ac:dyDescent="0.25">
      <c r="A49" t="s">
        <v>48</v>
      </c>
      <c r="B49">
        <v>17</v>
      </c>
    </row>
    <row r="50" spans="1:2" x14ac:dyDescent="0.25">
      <c r="A50" t="s">
        <v>49</v>
      </c>
      <c r="B50">
        <v>31</v>
      </c>
    </row>
    <row r="51" spans="1:2" x14ac:dyDescent="0.25">
      <c r="A51" t="s">
        <v>50</v>
      </c>
      <c r="B51">
        <v>6</v>
      </c>
    </row>
    <row r="52" spans="1:2" x14ac:dyDescent="0.25">
      <c r="A52" t="s">
        <v>51</v>
      </c>
      <c r="B52">
        <v>1</v>
      </c>
    </row>
    <row r="53" spans="1:2" x14ac:dyDescent="0.25">
      <c r="A53" t="s">
        <v>52</v>
      </c>
      <c r="B53">
        <v>6</v>
      </c>
    </row>
    <row r="54" spans="1:2" x14ac:dyDescent="0.25">
      <c r="A54" t="s">
        <v>53</v>
      </c>
      <c r="B54">
        <v>2</v>
      </c>
    </row>
    <row r="55" spans="1:2" x14ac:dyDescent="0.25">
      <c r="A55" t="s">
        <v>54</v>
      </c>
      <c r="B55">
        <v>11</v>
      </c>
    </row>
    <row r="56" spans="1:2" x14ac:dyDescent="0.25">
      <c r="A56" t="s">
        <v>55</v>
      </c>
      <c r="B56">
        <v>2</v>
      </c>
    </row>
    <row r="57" spans="1:2" x14ac:dyDescent="0.25">
      <c r="A57" t="s">
        <v>56</v>
      </c>
      <c r="B57">
        <v>1</v>
      </c>
    </row>
    <row r="58" spans="1:2" x14ac:dyDescent="0.25">
      <c r="A58" t="s">
        <v>57</v>
      </c>
      <c r="B58">
        <v>271</v>
      </c>
    </row>
    <row r="59" spans="1:2" x14ac:dyDescent="0.25">
      <c r="A59" t="s">
        <v>58</v>
      </c>
      <c r="B59">
        <v>59</v>
      </c>
    </row>
    <row r="60" spans="1:2" x14ac:dyDescent="0.25">
      <c r="A60" t="s">
        <v>59</v>
      </c>
      <c r="B60">
        <v>2</v>
      </c>
    </row>
    <row r="61" spans="1:2" x14ac:dyDescent="0.25">
      <c r="A61" t="s">
        <v>60</v>
      </c>
      <c r="B61">
        <v>17</v>
      </c>
    </row>
    <row r="62" spans="1:2" x14ac:dyDescent="0.25">
      <c r="A62" t="s">
        <v>61</v>
      </c>
      <c r="B62">
        <v>44</v>
      </c>
    </row>
    <row r="63" spans="1:2" x14ac:dyDescent="0.25">
      <c r="A63" t="s">
        <v>62</v>
      </c>
      <c r="B63">
        <v>30</v>
      </c>
    </row>
    <row r="64" spans="1:2" x14ac:dyDescent="0.25">
      <c r="A64" t="s">
        <v>63</v>
      </c>
      <c r="B64">
        <v>251</v>
      </c>
    </row>
    <row r="65" spans="1:2" x14ac:dyDescent="0.25">
      <c r="A65" t="s">
        <v>64</v>
      </c>
      <c r="B65">
        <v>22</v>
      </c>
    </row>
    <row r="66" spans="1:2" x14ac:dyDescent="0.25">
      <c r="A66" t="s">
        <v>65</v>
      </c>
      <c r="B66">
        <v>18</v>
      </c>
    </row>
    <row r="67" spans="1:2" x14ac:dyDescent="0.25">
      <c r="A67" t="s">
        <v>66</v>
      </c>
      <c r="B67">
        <v>80</v>
      </c>
    </row>
    <row r="68" spans="1:2" x14ac:dyDescent="0.25">
      <c r="A68" t="s">
        <v>67</v>
      </c>
      <c r="B68">
        <v>40</v>
      </c>
    </row>
    <row r="69" spans="1:2" x14ac:dyDescent="0.25">
      <c r="A69" t="s">
        <v>68</v>
      </c>
      <c r="B69">
        <v>82</v>
      </c>
    </row>
    <row r="70" spans="1:2" x14ac:dyDescent="0.25">
      <c r="A70" t="s">
        <v>69</v>
      </c>
      <c r="B70">
        <v>1</v>
      </c>
    </row>
    <row r="71" spans="1:2" x14ac:dyDescent="0.25">
      <c r="A71" t="s">
        <v>70</v>
      </c>
      <c r="B71">
        <v>3</v>
      </c>
    </row>
    <row r="72" spans="1:2" x14ac:dyDescent="0.25">
      <c r="A72" t="s">
        <v>71</v>
      </c>
      <c r="B72">
        <v>1</v>
      </c>
    </row>
    <row r="73" spans="1:2" x14ac:dyDescent="0.25">
      <c r="A73" t="s">
        <v>72</v>
      </c>
      <c r="B73">
        <v>2</v>
      </c>
    </row>
    <row r="74" spans="1:2" x14ac:dyDescent="0.25">
      <c r="A74" t="s">
        <v>73</v>
      </c>
      <c r="B74">
        <v>49</v>
      </c>
    </row>
    <row r="75" spans="1:2" x14ac:dyDescent="0.25">
      <c r="A75" t="s">
        <v>74</v>
      </c>
      <c r="B75">
        <v>3</v>
      </c>
    </row>
    <row r="76" spans="1:2" x14ac:dyDescent="0.25">
      <c r="A76" t="s">
        <v>75</v>
      </c>
      <c r="B76">
        <v>1</v>
      </c>
    </row>
    <row r="77" spans="1:2" x14ac:dyDescent="0.25">
      <c r="A77" t="s">
        <v>76</v>
      </c>
      <c r="B77">
        <v>4</v>
      </c>
    </row>
    <row r="78" spans="1:2" x14ac:dyDescent="0.25">
      <c r="A78" t="s">
        <v>77</v>
      </c>
      <c r="B78">
        <v>182</v>
      </c>
    </row>
    <row r="79" spans="1:2" x14ac:dyDescent="0.25">
      <c r="A79" t="s">
        <v>78</v>
      </c>
      <c r="B79">
        <v>32</v>
      </c>
    </row>
    <row r="80" spans="1:2" x14ac:dyDescent="0.25">
      <c r="A80" t="s">
        <v>79</v>
      </c>
      <c r="B80">
        <v>26</v>
      </c>
    </row>
    <row r="81" spans="1:2" x14ac:dyDescent="0.25">
      <c r="A81" t="s">
        <v>80</v>
      </c>
      <c r="B81">
        <v>30</v>
      </c>
    </row>
    <row r="82" spans="1:2" x14ac:dyDescent="0.25">
      <c r="A82" t="s">
        <v>81</v>
      </c>
      <c r="B82">
        <v>42</v>
      </c>
    </row>
    <row r="83" spans="1:2" x14ac:dyDescent="0.25">
      <c r="A83" t="s">
        <v>82</v>
      </c>
      <c r="B83">
        <v>17</v>
      </c>
    </row>
    <row r="84" spans="1:2" x14ac:dyDescent="0.25">
      <c r="A84" t="s">
        <v>83</v>
      </c>
      <c r="B84">
        <v>232</v>
      </c>
    </row>
    <row r="85" spans="1:2" x14ac:dyDescent="0.25">
      <c r="A85" t="s">
        <v>84</v>
      </c>
      <c r="B85">
        <v>24</v>
      </c>
    </row>
    <row r="86" spans="1:2" x14ac:dyDescent="0.25">
      <c r="A86" t="s">
        <v>85</v>
      </c>
      <c r="B86">
        <v>14</v>
      </c>
    </row>
    <row r="87" spans="1:2" x14ac:dyDescent="0.25">
      <c r="A87" t="s">
        <v>86</v>
      </c>
      <c r="B87">
        <v>43</v>
      </c>
    </row>
    <row r="88" spans="1:2" x14ac:dyDescent="0.25">
      <c r="A88" t="s">
        <v>87</v>
      </c>
      <c r="B88">
        <v>10</v>
      </c>
    </row>
    <row r="89" spans="1:2" x14ac:dyDescent="0.25">
      <c r="A89" t="s">
        <v>88</v>
      </c>
      <c r="B89">
        <v>1</v>
      </c>
    </row>
    <row r="90" spans="1:2" x14ac:dyDescent="0.25">
      <c r="A90" t="s">
        <v>89</v>
      </c>
      <c r="B90">
        <v>132</v>
      </c>
    </row>
    <row r="91" spans="1:2" x14ac:dyDescent="0.25">
      <c r="A91" t="s">
        <v>90</v>
      </c>
      <c r="B91">
        <v>102</v>
      </c>
    </row>
    <row r="92" spans="1:2" x14ac:dyDescent="0.25">
      <c r="A92" t="s">
        <v>91</v>
      </c>
      <c r="B92">
        <v>72</v>
      </c>
    </row>
    <row r="93" spans="1:2" x14ac:dyDescent="0.25">
      <c r="A93" t="s">
        <v>92</v>
      </c>
      <c r="B93">
        <v>1</v>
      </c>
    </row>
    <row r="94" spans="1:2" x14ac:dyDescent="0.25">
      <c r="A94" t="s">
        <v>93</v>
      </c>
      <c r="B94">
        <v>46</v>
      </c>
    </row>
    <row r="95" spans="1:2" x14ac:dyDescent="0.25">
      <c r="A95" t="s">
        <v>94</v>
      </c>
      <c r="B95">
        <v>6</v>
      </c>
    </row>
    <row r="96" spans="1:2" x14ac:dyDescent="0.25">
      <c r="A96" t="s">
        <v>95</v>
      </c>
      <c r="B96">
        <v>11</v>
      </c>
    </row>
    <row r="97" spans="1:2" x14ac:dyDescent="0.25">
      <c r="A97" t="s">
        <v>96</v>
      </c>
      <c r="B97">
        <v>124</v>
      </c>
    </row>
    <row r="98" spans="1:2" x14ac:dyDescent="0.25">
      <c r="A98" t="s">
        <v>97</v>
      </c>
      <c r="B98">
        <v>36</v>
      </c>
    </row>
    <row r="99" spans="1:2" x14ac:dyDescent="0.25">
      <c r="A99" t="s">
        <v>98</v>
      </c>
      <c r="B99">
        <v>105</v>
      </c>
    </row>
    <row r="100" spans="1:2" x14ac:dyDescent="0.25">
      <c r="A100" t="s">
        <v>99</v>
      </c>
      <c r="B100">
        <v>32</v>
      </c>
    </row>
    <row r="101" spans="1:2" x14ac:dyDescent="0.25">
      <c r="A101" t="s">
        <v>100</v>
      </c>
      <c r="B101">
        <v>3</v>
      </c>
    </row>
    <row r="102" spans="1:2" x14ac:dyDescent="0.25">
      <c r="A102" t="s">
        <v>101</v>
      </c>
      <c r="B102">
        <v>1</v>
      </c>
    </row>
    <row r="103" spans="1:2" x14ac:dyDescent="0.25">
      <c r="A103" t="s">
        <v>102</v>
      </c>
      <c r="B103">
        <v>30</v>
      </c>
    </row>
    <row r="104" spans="1:2" x14ac:dyDescent="0.25">
      <c r="A104" t="s">
        <v>103</v>
      </c>
      <c r="B104">
        <v>9</v>
      </c>
    </row>
    <row r="105" spans="1:2" x14ac:dyDescent="0.25">
      <c r="A105" t="s">
        <v>104</v>
      </c>
      <c r="B105">
        <v>20</v>
      </c>
    </row>
    <row r="106" spans="1:2" x14ac:dyDescent="0.25">
      <c r="A106" t="s">
        <v>57</v>
      </c>
      <c r="B106">
        <v>36</v>
      </c>
    </row>
    <row r="107" spans="1:2" x14ac:dyDescent="0.25">
      <c r="A107" t="s">
        <v>105</v>
      </c>
      <c r="B107">
        <v>25</v>
      </c>
    </row>
    <row r="108" spans="1:2" x14ac:dyDescent="0.25">
      <c r="A108" t="s">
        <v>106</v>
      </c>
      <c r="B108">
        <v>133</v>
      </c>
    </row>
    <row r="109" spans="1:2" x14ac:dyDescent="0.25">
      <c r="A109" t="s">
        <v>107</v>
      </c>
      <c r="B109">
        <v>5</v>
      </c>
    </row>
    <row r="110" spans="1:2" x14ac:dyDescent="0.25">
      <c r="A110" t="s">
        <v>108</v>
      </c>
      <c r="B110">
        <v>11</v>
      </c>
    </row>
    <row r="111" spans="1:2" x14ac:dyDescent="0.25">
      <c r="A111" t="s">
        <v>109</v>
      </c>
      <c r="B111">
        <v>1</v>
      </c>
    </row>
    <row r="112" spans="1:2" x14ac:dyDescent="0.25">
      <c r="A112" t="s">
        <v>110</v>
      </c>
      <c r="B112">
        <v>10</v>
      </c>
    </row>
    <row r="113" spans="1:2" x14ac:dyDescent="0.25">
      <c r="A113" t="s">
        <v>111</v>
      </c>
      <c r="B113">
        <v>39</v>
      </c>
    </row>
    <row r="114" spans="1:2" x14ac:dyDescent="0.25">
      <c r="A114" t="s">
        <v>112</v>
      </c>
      <c r="B114">
        <v>76</v>
      </c>
    </row>
    <row r="115" spans="1:2" x14ac:dyDescent="0.25">
      <c r="A115" t="s">
        <v>113</v>
      </c>
      <c r="B115">
        <v>10</v>
      </c>
    </row>
    <row r="116" spans="1:2" x14ac:dyDescent="0.25">
      <c r="A116" t="s">
        <v>114</v>
      </c>
      <c r="B116">
        <v>5</v>
      </c>
    </row>
    <row r="117" spans="1:2" x14ac:dyDescent="0.25">
      <c r="A117" t="s">
        <v>115</v>
      </c>
      <c r="B117">
        <v>226</v>
      </c>
    </row>
    <row r="118" spans="1:2" x14ac:dyDescent="0.25">
      <c r="A118" t="s">
        <v>116</v>
      </c>
      <c r="B118">
        <v>189</v>
      </c>
    </row>
    <row r="119" spans="1:2" x14ac:dyDescent="0.25">
      <c r="A119" t="s">
        <v>45</v>
      </c>
      <c r="B119">
        <v>1</v>
      </c>
    </row>
    <row r="120" spans="1:2" x14ac:dyDescent="0.25">
      <c r="A120" t="s">
        <v>117</v>
      </c>
      <c r="B120">
        <v>1</v>
      </c>
    </row>
    <row r="121" spans="1:2" x14ac:dyDescent="0.25">
      <c r="A121" t="s">
        <v>118</v>
      </c>
      <c r="B121">
        <v>27</v>
      </c>
    </row>
    <row r="122" spans="1:2" x14ac:dyDescent="0.25">
      <c r="A122" t="s">
        <v>119</v>
      </c>
      <c r="B122">
        <v>19</v>
      </c>
    </row>
    <row r="123" spans="1:2" x14ac:dyDescent="0.25">
      <c r="A123" t="s">
        <v>120</v>
      </c>
      <c r="B123">
        <v>32</v>
      </c>
    </row>
    <row r="124" spans="1:2" x14ac:dyDescent="0.25">
      <c r="A124" t="s">
        <v>121</v>
      </c>
      <c r="B124">
        <v>28</v>
      </c>
    </row>
    <row r="125" spans="1:2" x14ac:dyDescent="0.25">
      <c r="A125" t="s">
        <v>122</v>
      </c>
      <c r="B125">
        <v>3</v>
      </c>
    </row>
    <row r="126" spans="1:2" x14ac:dyDescent="0.25">
      <c r="A126" t="s">
        <v>123</v>
      </c>
      <c r="B126">
        <v>204</v>
      </c>
    </row>
    <row r="127" spans="1:2" x14ac:dyDescent="0.25">
      <c r="A127" t="s">
        <v>124</v>
      </c>
      <c r="B127">
        <v>388</v>
      </c>
    </row>
    <row r="128" spans="1:2" x14ac:dyDescent="0.25">
      <c r="A128" t="s">
        <v>125</v>
      </c>
      <c r="B128">
        <v>1536</v>
      </c>
    </row>
    <row r="129" spans="1:2" x14ac:dyDescent="0.25">
      <c r="A129" t="s">
        <v>126</v>
      </c>
      <c r="B129">
        <v>127</v>
      </c>
    </row>
    <row r="130" spans="1:2" x14ac:dyDescent="0.25">
      <c r="A130" t="s">
        <v>127</v>
      </c>
      <c r="B130">
        <v>38</v>
      </c>
    </row>
    <row r="131" spans="1:2" x14ac:dyDescent="0.25">
      <c r="A131" t="s">
        <v>48</v>
      </c>
      <c r="B131">
        <v>46</v>
      </c>
    </row>
    <row r="132" spans="1:2" x14ac:dyDescent="0.25">
      <c r="A132" t="s">
        <v>128</v>
      </c>
      <c r="B132">
        <v>48</v>
      </c>
    </row>
    <row r="133" spans="1:2" x14ac:dyDescent="0.25">
      <c r="A133" t="s">
        <v>129</v>
      </c>
      <c r="B133">
        <v>79</v>
      </c>
    </row>
    <row r="134" spans="1:2" x14ac:dyDescent="0.25">
      <c r="A134" t="s">
        <v>130</v>
      </c>
      <c r="B134">
        <v>16</v>
      </c>
    </row>
    <row r="135" spans="1:2" x14ac:dyDescent="0.25">
      <c r="A135" t="s">
        <v>131</v>
      </c>
      <c r="B135">
        <v>135</v>
      </c>
    </row>
    <row r="136" spans="1:2" x14ac:dyDescent="0.25">
      <c r="A136" t="s">
        <v>132</v>
      </c>
      <c r="B136">
        <v>12</v>
      </c>
    </row>
    <row r="137" spans="1:2" x14ac:dyDescent="0.25">
      <c r="A137" t="s">
        <v>133</v>
      </c>
      <c r="B137">
        <v>2</v>
      </c>
    </row>
    <row r="138" spans="1:2" x14ac:dyDescent="0.25">
      <c r="A138" t="s">
        <v>134</v>
      </c>
      <c r="B138">
        <v>78</v>
      </c>
    </row>
    <row r="139" spans="1:2" x14ac:dyDescent="0.25">
      <c r="A139" t="s">
        <v>97</v>
      </c>
      <c r="B139">
        <v>1</v>
      </c>
    </row>
    <row r="140" spans="1:2" x14ac:dyDescent="0.25">
      <c r="A140" t="s">
        <v>135</v>
      </c>
      <c r="B140">
        <v>126</v>
      </c>
    </row>
    <row r="141" spans="1:2" x14ac:dyDescent="0.25">
      <c r="A141" t="s">
        <v>136</v>
      </c>
      <c r="B141">
        <v>50</v>
      </c>
    </row>
    <row r="142" spans="1:2" x14ac:dyDescent="0.25">
      <c r="A142" t="s">
        <v>137</v>
      </c>
      <c r="B142">
        <v>33</v>
      </c>
    </row>
    <row r="143" spans="1:2" x14ac:dyDescent="0.25">
      <c r="A143" t="s">
        <v>138</v>
      </c>
      <c r="B143">
        <v>76</v>
      </c>
    </row>
    <row r="144" spans="1:2" x14ac:dyDescent="0.25">
      <c r="A144" t="s">
        <v>139</v>
      </c>
      <c r="B144">
        <v>8</v>
      </c>
    </row>
    <row r="145" spans="1:2" x14ac:dyDescent="0.25">
      <c r="A145" t="s">
        <v>140</v>
      </c>
      <c r="B145">
        <v>1</v>
      </c>
    </row>
    <row r="146" spans="1:2" x14ac:dyDescent="0.25">
      <c r="A146" t="s">
        <v>141</v>
      </c>
      <c r="B146">
        <v>36</v>
      </c>
    </row>
    <row r="147" spans="1:2" x14ac:dyDescent="0.25">
      <c r="A147" t="s">
        <v>142</v>
      </c>
      <c r="B147">
        <v>7</v>
      </c>
    </row>
    <row r="148" spans="1:2" x14ac:dyDescent="0.25">
      <c r="A148" t="s">
        <v>143</v>
      </c>
      <c r="B148">
        <v>46</v>
      </c>
    </row>
    <row r="149" spans="1:2" x14ac:dyDescent="0.25">
      <c r="A149" t="s">
        <v>144</v>
      </c>
      <c r="B149">
        <v>39</v>
      </c>
    </row>
    <row r="150" spans="1:2" x14ac:dyDescent="0.25">
      <c r="A150" t="s">
        <v>145</v>
      </c>
      <c r="B150">
        <v>42</v>
      </c>
    </row>
    <row r="151" spans="1:2" x14ac:dyDescent="0.25">
      <c r="A151" t="s">
        <v>146</v>
      </c>
      <c r="B151">
        <v>20</v>
      </c>
    </row>
    <row r="152" spans="1:2" x14ac:dyDescent="0.25">
      <c r="A152" t="s">
        <v>147</v>
      </c>
      <c r="B152">
        <v>39</v>
      </c>
    </row>
    <row r="153" spans="1:2" x14ac:dyDescent="0.25">
      <c r="A153" t="s">
        <v>148</v>
      </c>
      <c r="B153">
        <v>4</v>
      </c>
    </row>
    <row r="154" spans="1:2" x14ac:dyDescent="0.25">
      <c r="A154" t="s">
        <v>149</v>
      </c>
      <c r="B154">
        <v>1</v>
      </c>
    </row>
    <row r="155" spans="1:2" x14ac:dyDescent="0.25">
      <c r="A155" t="s">
        <v>150</v>
      </c>
      <c r="B155">
        <v>1</v>
      </c>
    </row>
    <row r="156" spans="1:2" x14ac:dyDescent="0.25">
      <c r="A156" t="s">
        <v>151</v>
      </c>
      <c r="B156">
        <v>90</v>
      </c>
    </row>
    <row r="157" spans="1:2" x14ac:dyDescent="0.25">
      <c r="A157" t="s">
        <v>152</v>
      </c>
      <c r="B157">
        <v>4</v>
      </c>
    </row>
    <row r="158" spans="1:2" x14ac:dyDescent="0.25">
      <c r="A158" t="s">
        <v>153</v>
      </c>
      <c r="B158">
        <v>11</v>
      </c>
    </row>
    <row r="159" spans="1:2" x14ac:dyDescent="0.25">
      <c r="A159" t="s">
        <v>154</v>
      </c>
      <c r="B159">
        <v>10</v>
      </c>
    </row>
    <row r="160" spans="1:2" x14ac:dyDescent="0.25">
      <c r="A160" t="s">
        <v>155</v>
      </c>
      <c r="B160">
        <v>4</v>
      </c>
    </row>
    <row r="161" spans="1:2" x14ac:dyDescent="0.25">
      <c r="A161" t="s">
        <v>156</v>
      </c>
      <c r="B161">
        <v>1</v>
      </c>
    </row>
    <row r="162" spans="1:2" x14ac:dyDescent="0.25">
      <c r="A162" t="s">
        <v>157</v>
      </c>
      <c r="B162">
        <v>26</v>
      </c>
    </row>
    <row r="163" spans="1:2" x14ac:dyDescent="0.25">
      <c r="A163" t="s">
        <v>158</v>
      </c>
      <c r="B163">
        <v>4</v>
      </c>
    </row>
    <row r="164" spans="1:2" x14ac:dyDescent="0.25">
      <c r="A164" t="s">
        <v>159</v>
      </c>
      <c r="B164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3"/>
  <sheetViews>
    <sheetView workbookViewId="0"/>
  </sheetViews>
  <sheetFormatPr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160</v>
      </c>
      <c r="B2">
        <v>110</v>
      </c>
    </row>
    <row r="3" spans="1:2" x14ac:dyDescent="0.25">
      <c r="A3" t="s">
        <v>161</v>
      </c>
      <c r="B3">
        <v>89</v>
      </c>
    </row>
    <row r="4" spans="1:2" x14ac:dyDescent="0.25">
      <c r="A4" t="s">
        <v>162</v>
      </c>
      <c r="B4">
        <v>273</v>
      </c>
    </row>
    <row r="5" spans="1:2" x14ac:dyDescent="0.25">
      <c r="A5" t="s">
        <v>163</v>
      </c>
      <c r="B5">
        <v>40</v>
      </c>
    </row>
    <row r="6" spans="1:2" x14ac:dyDescent="0.25">
      <c r="A6" t="s">
        <v>164</v>
      </c>
      <c r="B6">
        <v>8</v>
      </c>
    </row>
    <row r="7" spans="1:2" x14ac:dyDescent="0.25">
      <c r="A7" t="s">
        <v>165</v>
      </c>
      <c r="B7">
        <v>5</v>
      </c>
    </row>
    <row r="8" spans="1:2" x14ac:dyDescent="0.25">
      <c r="A8" t="s">
        <v>166</v>
      </c>
      <c r="B8">
        <v>23</v>
      </c>
    </row>
    <row r="9" spans="1:2" x14ac:dyDescent="0.25">
      <c r="A9" t="s">
        <v>167</v>
      </c>
      <c r="B9">
        <v>6</v>
      </c>
    </row>
    <row r="10" spans="1:2" x14ac:dyDescent="0.25">
      <c r="A10" t="s">
        <v>168</v>
      </c>
      <c r="B10">
        <v>9</v>
      </c>
    </row>
    <row r="11" spans="1:2" x14ac:dyDescent="0.25">
      <c r="A11" t="s">
        <v>169</v>
      </c>
      <c r="B11">
        <v>4</v>
      </c>
    </row>
    <row r="12" spans="1:2" x14ac:dyDescent="0.25">
      <c r="A12" t="s">
        <v>170</v>
      </c>
      <c r="B12">
        <v>4</v>
      </c>
    </row>
    <row r="13" spans="1:2" x14ac:dyDescent="0.25">
      <c r="A13" t="s">
        <v>171</v>
      </c>
      <c r="B13">
        <v>4</v>
      </c>
    </row>
    <row r="14" spans="1:2" x14ac:dyDescent="0.25">
      <c r="A14" t="s">
        <v>172</v>
      </c>
      <c r="B14">
        <v>6</v>
      </c>
    </row>
    <row r="15" spans="1:2" x14ac:dyDescent="0.25">
      <c r="A15" t="s">
        <v>173</v>
      </c>
      <c r="B15">
        <v>30</v>
      </c>
    </row>
    <row r="16" spans="1:2" x14ac:dyDescent="0.25">
      <c r="A16" t="s">
        <v>174</v>
      </c>
      <c r="B16">
        <v>2</v>
      </c>
    </row>
    <row r="17" spans="1:2" x14ac:dyDescent="0.25">
      <c r="A17" t="s">
        <v>175</v>
      </c>
      <c r="B17">
        <v>2</v>
      </c>
    </row>
    <row r="18" spans="1:2" x14ac:dyDescent="0.25">
      <c r="A18" t="s">
        <v>176</v>
      </c>
      <c r="B18">
        <v>6</v>
      </c>
    </row>
    <row r="19" spans="1:2" x14ac:dyDescent="0.25">
      <c r="A19" t="s">
        <v>177</v>
      </c>
      <c r="B19">
        <v>18</v>
      </c>
    </row>
    <row r="20" spans="1:2" x14ac:dyDescent="0.25">
      <c r="A20" t="s">
        <v>178</v>
      </c>
      <c r="B20">
        <v>18</v>
      </c>
    </row>
    <row r="21" spans="1:2" x14ac:dyDescent="0.25">
      <c r="A21" t="s">
        <v>179</v>
      </c>
      <c r="B21">
        <v>156</v>
      </c>
    </row>
    <row r="22" spans="1:2" x14ac:dyDescent="0.25">
      <c r="A22" t="s">
        <v>180</v>
      </c>
      <c r="B22">
        <v>10.5</v>
      </c>
    </row>
    <row r="23" spans="1:2" x14ac:dyDescent="0.25">
      <c r="A23" t="s">
        <v>181</v>
      </c>
      <c r="B23">
        <v>2</v>
      </c>
    </row>
    <row r="24" spans="1:2" x14ac:dyDescent="0.25">
      <c r="A24" t="s">
        <v>182</v>
      </c>
      <c r="B24">
        <v>11</v>
      </c>
    </row>
    <row r="25" spans="1:2" x14ac:dyDescent="0.25">
      <c r="A25" t="s">
        <v>134</v>
      </c>
      <c r="B25">
        <v>100</v>
      </c>
    </row>
    <row r="26" spans="1:2" x14ac:dyDescent="0.25">
      <c r="A26" t="s">
        <v>183</v>
      </c>
      <c r="B26">
        <v>1</v>
      </c>
    </row>
    <row r="27" spans="1:2" x14ac:dyDescent="0.25">
      <c r="A27" t="s">
        <v>184</v>
      </c>
      <c r="B27">
        <v>1</v>
      </c>
    </row>
    <row r="28" spans="1:2" x14ac:dyDescent="0.25">
      <c r="A28" t="s">
        <v>185</v>
      </c>
      <c r="B28">
        <v>4</v>
      </c>
    </row>
    <row r="29" spans="1:2" x14ac:dyDescent="0.25">
      <c r="A29" t="s">
        <v>186</v>
      </c>
      <c r="B29">
        <v>2</v>
      </c>
    </row>
    <row r="30" spans="1:2" x14ac:dyDescent="0.25">
      <c r="A30" t="s">
        <v>187</v>
      </c>
      <c r="B30">
        <v>100</v>
      </c>
    </row>
    <row r="31" spans="1:2" x14ac:dyDescent="0.25">
      <c r="A31" t="s">
        <v>188</v>
      </c>
      <c r="B31">
        <v>37</v>
      </c>
    </row>
    <row r="32" spans="1:2" x14ac:dyDescent="0.25">
      <c r="A32" t="s">
        <v>189</v>
      </c>
      <c r="B32">
        <v>1848</v>
      </c>
    </row>
    <row r="33" spans="1:2" x14ac:dyDescent="0.25">
      <c r="A33" t="s">
        <v>190</v>
      </c>
      <c r="B33">
        <v>254</v>
      </c>
    </row>
    <row r="34" spans="1:2" x14ac:dyDescent="0.25">
      <c r="A34" t="s">
        <v>191</v>
      </c>
      <c r="B34">
        <v>122</v>
      </c>
    </row>
    <row r="35" spans="1:2" x14ac:dyDescent="0.25">
      <c r="A35" t="s">
        <v>192</v>
      </c>
      <c r="B35">
        <v>667</v>
      </c>
    </row>
    <row r="36" spans="1:2" x14ac:dyDescent="0.25">
      <c r="A36" t="s">
        <v>193</v>
      </c>
      <c r="B36">
        <v>2762</v>
      </c>
    </row>
    <row r="37" spans="1:2" x14ac:dyDescent="0.25">
      <c r="A37" t="s">
        <v>194</v>
      </c>
      <c r="B37">
        <v>7</v>
      </c>
    </row>
    <row r="38" spans="1:2" x14ac:dyDescent="0.25">
      <c r="A38" t="s">
        <v>195</v>
      </c>
      <c r="B38">
        <v>896</v>
      </c>
    </row>
    <row r="39" spans="1:2" x14ac:dyDescent="0.25">
      <c r="A39" t="s">
        <v>196</v>
      </c>
      <c r="B39">
        <v>16</v>
      </c>
    </row>
    <row r="40" spans="1:2" x14ac:dyDescent="0.25">
      <c r="A40" t="s">
        <v>197</v>
      </c>
      <c r="B40">
        <v>771</v>
      </c>
    </row>
    <row r="41" spans="1:2" x14ac:dyDescent="0.25">
      <c r="A41" t="s">
        <v>198</v>
      </c>
      <c r="B41">
        <v>12</v>
      </c>
    </row>
    <row r="42" spans="1:2" x14ac:dyDescent="0.25">
      <c r="A42" t="s">
        <v>199</v>
      </c>
      <c r="B42">
        <v>26</v>
      </c>
    </row>
    <row r="43" spans="1:2" x14ac:dyDescent="0.25">
      <c r="A43" t="s">
        <v>200</v>
      </c>
      <c r="B43">
        <v>32</v>
      </c>
    </row>
    <row r="44" spans="1:2" x14ac:dyDescent="0.25">
      <c r="A44" t="s">
        <v>201</v>
      </c>
      <c r="B44">
        <v>1</v>
      </c>
    </row>
    <row r="45" spans="1:2" x14ac:dyDescent="0.25">
      <c r="A45" t="s">
        <v>202</v>
      </c>
      <c r="B45">
        <v>33</v>
      </c>
    </row>
    <row r="46" spans="1:2" x14ac:dyDescent="0.25">
      <c r="A46" t="s">
        <v>203</v>
      </c>
      <c r="B46">
        <v>2</v>
      </c>
    </row>
    <row r="47" spans="1:2" x14ac:dyDescent="0.25">
      <c r="A47" t="s">
        <v>204</v>
      </c>
      <c r="B47">
        <v>70</v>
      </c>
    </row>
    <row r="48" spans="1:2" x14ac:dyDescent="0.25">
      <c r="A48" t="s">
        <v>205</v>
      </c>
      <c r="B48">
        <v>968</v>
      </c>
    </row>
    <row r="49" spans="1:2" x14ac:dyDescent="0.25">
      <c r="A49" t="s">
        <v>205</v>
      </c>
      <c r="B49">
        <v>26</v>
      </c>
    </row>
    <row r="50" spans="1:2" x14ac:dyDescent="0.25">
      <c r="A50" t="s">
        <v>206</v>
      </c>
      <c r="B50">
        <v>1</v>
      </c>
    </row>
    <row r="51" spans="1:2" x14ac:dyDescent="0.25">
      <c r="A51" t="s">
        <v>207</v>
      </c>
      <c r="B51">
        <v>10</v>
      </c>
    </row>
    <row r="52" spans="1:2" x14ac:dyDescent="0.25">
      <c r="A52" t="s">
        <v>208</v>
      </c>
      <c r="B52">
        <v>25</v>
      </c>
    </row>
    <row r="53" spans="1:2" x14ac:dyDescent="0.25">
      <c r="A53" t="s">
        <v>209</v>
      </c>
      <c r="B53">
        <v>10</v>
      </c>
    </row>
    <row r="54" spans="1:2" x14ac:dyDescent="0.25">
      <c r="A54" t="s">
        <v>210</v>
      </c>
      <c r="B54">
        <v>1</v>
      </c>
    </row>
    <row r="55" spans="1:2" x14ac:dyDescent="0.25">
      <c r="A55" t="s">
        <v>211</v>
      </c>
      <c r="B55">
        <v>926</v>
      </c>
    </row>
    <row r="56" spans="1:2" x14ac:dyDescent="0.25">
      <c r="A56" t="s">
        <v>212</v>
      </c>
      <c r="B56">
        <v>2</v>
      </c>
    </row>
    <row r="57" spans="1:2" x14ac:dyDescent="0.25">
      <c r="A57" t="s">
        <v>213</v>
      </c>
      <c r="B57">
        <v>2</v>
      </c>
    </row>
    <row r="58" spans="1:2" x14ac:dyDescent="0.25">
      <c r="A58" t="s">
        <v>214</v>
      </c>
      <c r="B58">
        <v>0</v>
      </c>
    </row>
    <row r="59" spans="1:2" x14ac:dyDescent="0.25">
      <c r="A59" t="s">
        <v>215</v>
      </c>
      <c r="B59">
        <v>3</v>
      </c>
    </row>
    <row r="60" spans="1:2" x14ac:dyDescent="0.25">
      <c r="A60" t="s">
        <v>216</v>
      </c>
      <c r="B60">
        <v>23</v>
      </c>
    </row>
    <row r="61" spans="1:2" x14ac:dyDescent="0.25">
      <c r="A61" t="s">
        <v>217</v>
      </c>
      <c r="B61">
        <v>1740</v>
      </c>
    </row>
    <row r="62" spans="1:2" x14ac:dyDescent="0.25">
      <c r="A62" t="s">
        <v>218</v>
      </c>
      <c r="B62">
        <v>0.5</v>
      </c>
    </row>
    <row r="63" spans="1:2" x14ac:dyDescent="0.25">
      <c r="A63" t="s">
        <v>219</v>
      </c>
      <c r="B63">
        <v>2</v>
      </c>
    </row>
    <row r="64" spans="1:2" x14ac:dyDescent="0.25">
      <c r="A64" t="s">
        <v>220</v>
      </c>
      <c r="B64">
        <v>3.5</v>
      </c>
    </row>
    <row r="65" spans="1:2" x14ac:dyDescent="0.25">
      <c r="A65" t="s">
        <v>221</v>
      </c>
      <c r="B65">
        <v>2</v>
      </c>
    </row>
    <row r="66" spans="1:2" x14ac:dyDescent="0.25">
      <c r="A66" t="s">
        <v>222</v>
      </c>
      <c r="B66">
        <v>0</v>
      </c>
    </row>
    <row r="67" spans="1:2" x14ac:dyDescent="0.25">
      <c r="A67" t="s">
        <v>223</v>
      </c>
      <c r="B67">
        <v>46</v>
      </c>
    </row>
    <row r="68" spans="1:2" x14ac:dyDescent="0.25">
      <c r="A68" t="s">
        <v>224</v>
      </c>
      <c r="B68">
        <v>2</v>
      </c>
    </row>
    <row r="69" spans="1:2" x14ac:dyDescent="0.25">
      <c r="A69" t="s">
        <v>225</v>
      </c>
      <c r="B69">
        <v>93</v>
      </c>
    </row>
    <row r="70" spans="1:2" x14ac:dyDescent="0.25">
      <c r="A70" t="s">
        <v>226</v>
      </c>
      <c r="B70">
        <v>2</v>
      </c>
    </row>
    <row r="71" spans="1:2" x14ac:dyDescent="0.25">
      <c r="A71" t="s">
        <v>227</v>
      </c>
      <c r="B71">
        <v>3</v>
      </c>
    </row>
    <row r="72" spans="1:2" x14ac:dyDescent="0.25">
      <c r="A72" t="s">
        <v>228</v>
      </c>
      <c r="B72">
        <v>64</v>
      </c>
    </row>
    <row r="73" spans="1:2" x14ac:dyDescent="0.25">
      <c r="A73" t="s">
        <v>74</v>
      </c>
      <c r="B73">
        <v>6</v>
      </c>
    </row>
    <row r="74" spans="1:2" x14ac:dyDescent="0.25">
      <c r="A74" t="s">
        <v>229</v>
      </c>
      <c r="B74">
        <v>11</v>
      </c>
    </row>
    <row r="75" spans="1:2" x14ac:dyDescent="0.25">
      <c r="A75" t="s">
        <v>230</v>
      </c>
      <c r="B75">
        <v>619</v>
      </c>
    </row>
    <row r="76" spans="1:2" x14ac:dyDescent="0.25">
      <c r="A76" t="s">
        <v>231</v>
      </c>
      <c r="B76">
        <v>166</v>
      </c>
    </row>
    <row r="77" spans="1:2" x14ac:dyDescent="0.25">
      <c r="A77" t="s">
        <v>232</v>
      </c>
      <c r="B77">
        <v>34.75</v>
      </c>
    </row>
    <row r="78" spans="1:2" x14ac:dyDescent="0.25">
      <c r="A78" t="s">
        <v>233</v>
      </c>
      <c r="B78">
        <v>110</v>
      </c>
    </row>
    <row r="79" spans="1:2" x14ac:dyDescent="0.25">
      <c r="A79" t="s">
        <v>106</v>
      </c>
      <c r="B79">
        <v>19</v>
      </c>
    </row>
    <row r="80" spans="1:2" x14ac:dyDescent="0.25">
      <c r="A80" t="s">
        <v>17</v>
      </c>
      <c r="B80">
        <v>14</v>
      </c>
    </row>
    <row r="81" spans="1:2" x14ac:dyDescent="0.25">
      <c r="A81" t="s">
        <v>63</v>
      </c>
      <c r="B81">
        <v>0</v>
      </c>
    </row>
    <row r="82" spans="1:2" x14ac:dyDescent="0.25">
      <c r="A82" t="s">
        <v>234</v>
      </c>
      <c r="B82">
        <v>0</v>
      </c>
    </row>
    <row r="83" spans="1:2" x14ac:dyDescent="0.25">
      <c r="A83" t="s">
        <v>235</v>
      </c>
      <c r="B83">
        <v>1</v>
      </c>
    </row>
    <row r="84" spans="1:2" x14ac:dyDescent="0.25">
      <c r="A84" t="s">
        <v>236</v>
      </c>
      <c r="B84">
        <v>2</v>
      </c>
    </row>
    <row r="85" spans="1:2" x14ac:dyDescent="0.25">
      <c r="A85" t="s">
        <v>237</v>
      </c>
      <c r="B85">
        <v>8</v>
      </c>
    </row>
    <row r="86" spans="1:2" x14ac:dyDescent="0.25">
      <c r="A86" t="s">
        <v>238</v>
      </c>
      <c r="B86">
        <v>1660</v>
      </c>
    </row>
    <row r="87" spans="1:2" x14ac:dyDescent="0.25">
      <c r="A87" t="s">
        <v>40</v>
      </c>
      <c r="B87">
        <v>3</v>
      </c>
    </row>
    <row r="88" spans="1:2" x14ac:dyDescent="0.25">
      <c r="A88" t="s">
        <v>239</v>
      </c>
      <c r="B88">
        <v>6</v>
      </c>
    </row>
    <row r="89" spans="1:2" x14ac:dyDescent="0.25">
      <c r="A89" t="s">
        <v>240</v>
      </c>
      <c r="B89">
        <v>6.5</v>
      </c>
    </row>
    <row r="90" spans="1:2" x14ac:dyDescent="0.25">
      <c r="A90" t="s">
        <v>241</v>
      </c>
      <c r="B90">
        <v>9</v>
      </c>
    </row>
    <row r="91" spans="1:2" x14ac:dyDescent="0.25">
      <c r="A91" t="s">
        <v>242</v>
      </c>
      <c r="B91">
        <v>1.5</v>
      </c>
    </row>
    <row r="92" spans="1:2" x14ac:dyDescent="0.25">
      <c r="A92" t="s">
        <v>243</v>
      </c>
      <c r="B92">
        <v>14</v>
      </c>
    </row>
    <row r="93" spans="1:2" x14ac:dyDescent="0.25">
      <c r="A93" t="s">
        <v>244</v>
      </c>
      <c r="B93">
        <v>2.25</v>
      </c>
    </row>
    <row r="94" spans="1:2" x14ac:dyDescent="0.25">
      <c r="A94" t="s">
        <v>245</v>
      </c>
      <c r="B94">
        <v>6</v>
      </c>
    </row>
    <row r="95" spans="1:2" x14ac:dyDescent="0.25">
      <c r="A95" t="s">
        <v>246</v>
      </c>
      <c r="B95">
        <v>1.5</v>
      </c>
    </row>
    <row r="96" spans="1:2" x14ac:dyDescent="0.25">
      <c r="A96" t="s">
        <v>247</v>
      </c>
      <c r="B96">
        <v>1</v>
      </c>
    </row>
    <row r="97" spans="1:2" x14ac:dyDescent="0.25">
      <c r="A97" t="s">
        <v>248</v>
      </c>
      <c r="B97">
        <v>1.5</v>
      </c>
    </row>
    <row r="98" spans="1:2" x14ac:dyDescent="0.25">
      <c r="A98" t="s">
        <v>249</v>
      </c>
      <c r="B98">
        <v>2.5</v>
      </c>
    </row>
    <row r="99" spans="1:2" x14ac:dyDescent="0.25">
      <c r="A99" t="s">
        <v>250</v>
      </c>
      <c r="B99">
        <v>350</v>
      </c>
    </row>
    <row r="100" spans="1:2" x14ac:dyDescent="0.25">
      <c r="A100" t="s">
        <v>251</v>
      </c>
      <c r="B100">
        <v>116</v>
      </c>
    </row>
    <row r="101" spans="1:2" x14ac:dyDescent="0.25">
      <c r="A101" t="s">
        <v>252</v>
      </c>
      <c r="B101">
        <v>0</v>
      </c>
    </row>
    <row r="102" spans="1:2" x14ac:dyDescent="0.25">
      <c r="A102" t="s">
        <v>253</v>
      </c>
      <c r="B102">
        <v>147</v>
      </c>
    </row>
    <row r="103" spans="1:2" x14ac:dyDescent="0.25">
      <c r="A103" t="s">
        <v>254</v>
      </c>
      <c r="B103">
        <v>1</v>
      </c>
    </row>
    <row r="104" spans="1:2" x14ac:dyDescent="0.25">
      <c r="A104" t="s">
        <v>255</v>
      </c>
      <c r="B104">
        <v>2</v>
      </c>
    </row>
    <row r="105" spans="1:2" x14ac:dyDescent="0.25">
      <c r="A105" t="s">
        <v>256</v>
      </c>
      <c r="B105">
        <v>1</v>
      </c>
    </row>
    <row r="106" spans="1:2" x14ac:dyDescent="0.25">
      <c r="A106" t="s">
        <v>257</v>
      </c>
      <c r="B106">
        <v>2</v>
      </c>
    </row>
    <row r="107" spans="1:2" x14ac:dyDescent="0.25">
      <c r="A107" t="s">
        <v>258</v>
      </c>
      <c r="B107">
        <v>0</v>
      </c>
    </row>
    <row r="108" spans="1:2" x14ac:dyDescent="0.25">
      <c r="A108" t="s">
        <v>259</v>
      </c>
      <c r="B108">
        <v>1380</v>
      </c>
    </row>
    <row r="109" spans="1:2" x14ac:dyDescent="0.25">
      <c r="A109" t="s">
        <v>260</v>
      </c>
      <c r="B109">
        <v>23</v>
      </c>
    </row>
    <row r="110" spans="1:2" x14ac:dyDescent="0.25">
      <c r="A110" t="s">
        <v>261</v>
      </c>
      <c r="B110">
        <v>0</v>
      </c>
    </row>
    <row r="111" spans="1:2" x14ac:dyDescent="0.25">
      <c r="A111" t="s">
        <v>262</v>
      </c>
      <c r="B111">
        <v>6</v>
      </c>
    </row>
    <row r="112" spans="1:2" x14ac:dyDescent="0.25">
      <c r="A112" t="s">
        <v>263</v>
      </c>
      <c r="B112">
        <v>30</v>
      </c>
    </row>
    <row r="113" spans="1:2" x14ac:dyDescent="0.25">
      <c r="A113" t="s">
        <v>47</v>
      </c>
      <c r="B113">
        <v>4</v>
      </c>
    </row>
    <row r="114" spans="1:2" x14ac:dyDescent="0.25">
      <c r="A114" t="s">
        <v>264</v>
      </c>
      <c r="B114">
        <v>5.75</v>
      </c>
    </row>
    <row r="115" spans="1:2" x14ac:dyDescent="0.25">
      <c r="A115" t="s">
        <v>265</v>
      </c>
      <c r="B115">
        <v>501</v>
      </c>
    </row>
    <row r="116" spans="1:2" x14ac:dyDescent="0.25">
      <c r="A116" t="s">
        <v>266</v>
      </c>
      <c r="B116">
        <v>1</v>
      </c>
    </row>
    <row r="117" spans="1:2" x14ac:dyDescent="0.25">
      <c r="A117" t="s">
        <v>267</v>
      </c>
      <c r="B117">
        <v>32</v>
      </c>
    </row>
    <row r="118" spans="1:2" x14ac:dyDescent="0.25">
      <c r="A118" t="s">
        <v>268</v>
      </c>
      <c r="B118">
        <v>1</v>
      </c>
    </row>
    <row r="119" spans="1:2" x14ac:dyDescent="0.25">
      <c r="A119" t="s">
        <v>269</v>
      </c>
      <c r="B119">
        <v>447</v>
      </c>
    </row>
    <row r="120" spans="1:2" x14ac:dyDescent="0.25">
      <c r="A120" t="s">
        <v>269</v>
      </c>
      <c r="B120">
        <v>68</v>
      </c>
    </row>
    <row r="121" spans="1:2" x14ac:dyDescent="0.25">
      <c r="A121" t="s">
        <v>270</v>
      </c>
      <c r="B121">
        <v>44</v>
      </c>
    </row>
    <row r="122" spans="1:2" x14ac:dyDescent="0.25">
      <c r="A122" t="s">
        <v>271</v>
      </c>
      <c r="B122">
        <v>77</v>
      </c>
    </row>
    <row r="123" spans="1:2" x14ac:dyDescent="0.25">
      <c r="A123" t="s">
        <v>272</v>
      </c>
      <c r="B123">
        <v>2</v>
      </c>
    </row>
    <row r="124" spans="1:2" x14ac:dyDescent="0.25">
      <c r="A124" t="s">
        <v>273</v>
      </c>
      <c r="B124">
        <v>0</v>
      </c>
    </row>
    <row r="125" spans="1:2" x14ac:dyDescent="0.25">
      <c r="A125" t="s">
        <v>274</v>
      </c>
      <c r="B125">
        <v>1</v>
      </c>
    </row>
    <row r="126" spans="1:2" x14ac:dyDescent="0.25">
      <c r="A126" t="s">
        <v>275</v>
      </c>
      <c r="B126">
        <v>6</v>
      </c>
    </row>
    <row r="127" spans="1:2" x14ac:dyDescent="0.25">
      <c r="A127" t="s">
        <v>276</v>
      </c>
      <c r="B127">
        <v>0</v>
      </c>
    </row>
    <row r="128" spans="1:2" x14ac:dyDescent="0.25">
      <c r="A128" t="s">
        <v>277</v>
      </c>
      <c r="B128">
        <v>2</v>
      </c>
    </row>
    <row r="129" spans="1:2" x14ac:dyDescent="0.25">
      <c r="A129" t="s">
        <v>278</v>
      </c>
      <c r="B129">
        <v>4</v>
      </c>
    </row>
    <row r="130" spans="1:2" x14ac:dyDescent="0.25">
      <c r="A130" t="s">
        <v>279</v>
      </c>
      <c r="B130">
        <v>1</v>
      </c>
    </row>
    <row r="131" spans="1:2" x14ac:dyDescent="0.25">
      <c r="A131" t="s">
        <v>131</v>
      </c>
      <c r="B131">
        <v>19</v>
      </c>
    </row>
    <row r="132" spans="1:2" x14ac:dyDescent="0.25">
      <c r="A132" t="s">
        <v>280</v>
      </c>
      <c r="B132">
        <v>16515.650000000001</v>
      </c>
    </row>
    <row r="133" spans="1:2" x14ac:dyDescent="0.25">
      <c r="A133" t="s">
        <v>281</v>
      </c>
      <c r="B133">
        <v>16535.650000000001</v>
      </c>
    </row>
    <row r="134" spans="1:2" x14ac:dyDescent="0.25">
      <c r="A134" t="s">
        <v>282</v>
      </c>
      <c r="B134">
        <v>33755.300000000003</v>
      </c>
    </row>
    <row r="135" spans="1:2" x14ac:dyDescent="0.25">
      <c r="A135" t="s">
        <v>283</v>
      </c>
      <c r="B135">
        <v>68022.350000000006</v>
      </c>
    </row>
    <row r="136" spans="1:2" x14ac:dyDescent="0.25">
      <c r="A136" t="s">
        <v>284</v>
      </c>
      <c r="B136">
        <v>134861.95000000001</v>
      </c>
    </row>
    <row r="137" spans="1:2" x14ac:dyDescent="0.25">
      <c r="A137" t="s">
        <v>285</v>
      </c>
      <c r="B137">
        <v>202884.3</v>
      </c>
    </row>
    <row r="138" spans="1:2" x14ac:dyDescent="0.25">
      <c r="A138" t="s">
        <v>286</v>
      </c>
      <c r="B138">
        <v>472599.20000000013</v>
      </c>
    </row>
    <row r="139" spans="1:2" x14ac:dyDescent="0.25">
      <c r="A139" t="s">
        <v>287</v>
      </c>
      <c r="B139">
        <v>945200.40000000014</v>
      </c>
    </row>
    <row r="140" spans="1:2" x14ac:dyDescent="0.25">
      <c r="A140" t="s">
        <v>288</v>
      </c>
      <c r="B140">
        <v>1620683.9</v>
      </c>
    </row>
    <row r="141" spans="1:2" x14ac:dyDescent="0.25">
      <c r="A141" t="s">
        <v>289</v>
      </c>
      <c r="B141">
        <v>3511282.7000000011</v>
      </c>
    </row>
    <row r="142" spans="1:2" x14ac:dyDescent="0.25">
      <c r="A142" t="s">
        <v>290</v>
      </c>
      <c r="B142">
        <v>6549766.2000000011</v>
      </c>
    </row>
    <row r="143" spans="1:2" x14ac:dyDescent="0.25">
      <c r="A143" t="s">
        <v>291</v>
      </c>
      <c r="B143">
        <v>13539056.300000001</v>
      </c>
    </row>
    <row r="144" spans="1:2" x14ac:dyDescent="0.25">
      <c r="A144" t="s">
        <v>292</v>
      </c>
      <c r="B144">
        <v>21</v>
      </c>
    </row>
    <row r="145" spans="1:2" x14ac:dyDescent="0.25">
      <c r="A145" t="s">
        <v>293</v>
      </c>
      <c r="B145">
        <v>147</v>
      </c>
    </row>
    <row r="146" spans="1:2" x14ac:dyDescent="0.25">
      <c r="A146" t="s">
        <v>294</v>
      </c>
      <c r="B146">
        <v>24</v>
      </c>
    </row>
    <row r="147" spans="1:2" x14ac:dyDescent="0.25">
      <c r="A147" t="s">
        <v>295</v>
      </c>
      <c r="B147">
        <v>2</v>
      </c>
    </row>
    <row r="148" spans="1:2" x14ac:dyDescent="0.25">
      <c r="A148" t="s">
        <v>296</v>
      </c>
      <c r="B148">
        <v>147</v>
      </c>
    </row>
    <row r="149" spans="1:2" x14ac:dyDescent="0.25">
      <c r="A149" t="s">
        <v>297</v>
      </c>
      <c r="B149">
        <v>108</v>
      </c>
    </row>
    <row r="150" spans="1:2" x14ac:dyDescent="0.25">
      <c r="A150" t="s">
        <v>298</v>
      </c>
      <c r="B150">
        <v>63</v>
      </c>
    </row>
    <row r="151" spans="1:2" x14ac:dyDescent="0.25">
      <c r="A151" t="s">
        <v>299</v>
      </c>
      <c r="B151">
        <v>16</v>
      </c>
    </row>
    <row r="152" spans="1:2" x14ac:dyDescent="0.25">
      <c r="A152" t="s">
        <v>300</v>
      </c>
      <c r="B152">
        <v>0</v>
      </c>
    </row>
    <row r="153" spans="1:2" x14ac:dyDescent="0.25">
      <c r="A153" t="s">
        <v>301</v>
      </c>
      <c r="B15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1"/>
  <sheetViews>
    <sheetView workbookViewId="0"/>
  </sheetViews>
  <sheetFormatPr defaultColWidth="8.85546875" defaultRowHeight="15" x14ac:dyDescent="0.25"/>
  <sheetData>
    <row r="1" spans="1:4" x14ac:dyDescent="0.25">
      <c r="A1" t="s">
        <v>0</v>
      </c>
      <c r="B1" t="s">
        <v>302</v>
      </c>
      <c r="C1" t="s">
        <v>303</v>
      </c>
      <c r="D1" t="s">
        <v>304</v>
      </c>
    </row>
    <row r="2" spans="1:4" x14ac:dyDescent="0.25">
      <c r="A2" t="s">
        <v>2</v>
      </c>
      <c r="B2">
        <f>IFERROR(SUMIF(Square!$A:$A,A2,Square!$B:$B),0)</f>
        <v>3</v>
      </c>
      <c r="C2">
        <f>IFERROR(SUMIF(QuickBooks!$A:$A,A2,QuickBooks!$B:$B),0)</f>
        <v>0</v>
      </c>
      <c r="D2">
        <f t="shared" ref="D2:D65" si="0">B2+C2</f>
        <v>3</v>
      </c>
    </row>
    <row r="3" spans="1:4" x14ac:dyDescent="0.25">
      <c r="A3" t="s">
        <v>3</v>
      </c>
      <c r="B3">
        <f>IFERROR(SUMIF(Square!$A:$A,A3,Square!$B:$B),0)</f>
        <v>9</v>
      </c>
      <c r="C3">
        <f>IFERROR(SUMIF(QuickBooks!$A:$A,A3,QuickBooks!$B:$B),0)</f>
        <v>0</v>
      </c>
      <c r="D3">
        <f t="shared" si="0"/>
        <v>9</v>
      </c>
    </row>
    <row r="4" spans="1:4" x14ac:dyDescent="0.25">
      <c r="A4" t="s">
        <v>4</v>
      </c>
      <c r="B4">
        <f>IFERROR(SUMIF(Square!$A:$A,A4,Square!$B:$B),0)</f>
        <v>17</v>
      </c>
      <c r="C4">
        <f>IFERROR(SUMIF(QuickBooks!$A:$A,A4,QuickBooks!$B:$B),0)</f>
        <v>0</v>
      </c>
      <c r="D4">
        <f t="shared" si="0"/>
        <v>17</v>
      </c>
    </row>
    <row r="5" spans="1:4" x14ac:dyDescent="0.25">
      <c r="A5" t="s">
        <v>5</v>
      </c>
      <c r="B5">
        <f>IFERROR(SUMIF(Square!$A:$A,A5,Square!$B:$B),0)</f>
        <v>17</v>
      </c>
      <c r="C5">
        <f>IFERROR(SUMIF(QuickBooks!$A:$A,A5,QuickBooks!$B:$B),0)</f>
        <v>0</v>
      </c>
      <c r="D5">
        <f t="shared" si="0"/>
        <v>17</v>
      </c>
    </row>
    <row r="6" spans="1:4" x14ac:dyDescent="0.25">
      <c r="A6" t="s">
        <v>6</v>
      </c>
      <c r="B6">
        <f>IFERROR(SUMIF(Square!$A:$A,A6,Square!$B:$B),0)</f>
        <v>2</v>
      </c>
      <c r="C6">
        <f>IFERROR(SUMIF(QuickBooks!$A:$A,A6,QuickBooks!$B:$B),0)</f>
        <v>0</v>
      </c>
      <c r="D6">
        <f t="shared" si="0"/>
        <v>2</v>
      </c>
    </row>
    <row r="7" spans="1:4" x14ac:dyDescent="0.25">
      <c r="A7" t="s">
        <v>7</v>
      </c>
      <c r="B7">
        <f>IFERROR(SUMIF(Square!$A:$A,A7,Square!$B:$B),0)</f>
        <v>10</v>
      </c>
      <c r="C7">
        <f>IFERROR(SUMIF(QuickBooks!$A:$A,A7,QuickBooks!$B:$B),0)</f>
        <v>0</v>
      </c>
      <c r="D7">
        <f t="shared" si="0"/>
        <v>10</v>
      </c>
    </row>
    <row r="8" spans="1:4" x14ac:dyDescent="0.25">
      <c r="A8" t="s">
        <v>8</v>
      </c>
      <c r="B8">
        <f>IFERROR(SUMIF(Square!$A:$A,A8,Square!$B:$B),0)</f>
        <v>1</v>
      </c>
      <c r="C8">
        <f>IFERROR(SUMIF(QuickBooks!$A:$A,A8,QuickBooks!$B:$B),0)</f>
        <v>0</v>
      </c>
      <c r="D8">
        <f t="shared" si="0"/>
        <v>1</v>
      </c>
    </row>
    <row r="9" spans="1:4" x14ac:dyDescent="0.25">
      <c r="A9" t="s">
        <v>9</v>
      </c>
      <c r="B9">
        <f>IFERROR(SUMIF(Square!$A:$A,A9,Square!$B:$B),0)</f>
        <v>4</v>
      </c>
      <c r="C9">
        <f>IFERROR(SUMIF(QuickBooks!$A:$A,A9,QuickBooks!$B:$B),0)</f>
        <v>0</v>
      </c>
      <c r="D9">
        <f t="shared" si="0"/>
        <v>4</v>
      </c>
    </row>
    <row r="10" spans="1:4" x14ac:dyDescent="0.25">
      <c r="A10" t="s">
        <v>10</v>
      </c>
      <c r="B10">
        <f>IFERROR(SUMIF(Square!$A:$A,A10,Square!$B:$B),0)</f>
        <v>9</v>
      </c>
      <c r="C10">
        <f>IFERROR(SUMIF(QuickBooks!$A:$A,A10,QuickBooks!$B:$B),0)</f>
        <v>0</v>
      </c>
      <c r="D10">
        <f t="shared" si="0"/>
        <v>9</v>
      </c>
    </row>
    <row r="11" spans="1:4" x14ac:dyDescent="0.25">
      <c r="A11" t="s">
        <v>11</v>
      </c>
      <c r="B11">
        <f>IFERROR(SUMIF(Square!$A:$A,A11,Square!$B:$B),0)</f>
        <v>43</v>
      </c>
      <c r="C11">
        <f>IFERROR(SUMIF(QuickBooks!$A:$A,A11,QuickBooks!$B:$B),0)</f>
        <v>0</v>
      </c>
      <c r="D11">
        <f t="shared" si="0"/>
        <v>43</v>
      </c>
    </row>
    <row r="12" spans="1:4" x14ac:dyDescent="0.25">
      <c r="A12" t="s">
        <v>12</v>
      </c>
      <c r="B12">
        <f>IFERROR(SUMIF(Square!$A:$A,A12,Square!$B:$B),0)</f>
        <v>254</v>
      </c>
      <c r="C12">
        <f>IFERROR(SUMIF(QuickBooks!$A:$A,A12,QuickBooks!$B:$B),0)</f>
        <v>0</v>
      </c>
      <c r="D12">
        <f t="shared" si="0"/>
        <v>254</v>
      </c>
    </row>
    <row r="13" spans="1:4" x14ac:dyDescent="0.25">
      <c r="A13" t="s">
        <v>13</v>
      </c>
      <c r="B13">
        <f>IFERROR(SUMIF(Square!$A:$A,A13,Square!$B:$B),0)</f>
        <v>34</v>
      </c>
      <c r="C13">
        <f>IFERROR(SUMIF(QuickBooks!$A:$A,A13,QuickBooks!$B:$B),0)</f>
        <v>0</v>
      </c>
      <c r="D13">
        <f t="shared" si="0"/>
        <v>34</v>
      </c>
    </row>
    <row r="14" spans="1:4" x14ac:dyDescent="0.25">
      <c r="A14" t="s">
        <v>14</v>
      </c>
      <c r="B14">
        <f>IFERROR(SUMIF(Square!$A:$A,A14,Square!$B:$B),0)</f>
        <v>25</v>
      </c>
      <c r="C14">
        <f>IFERROR(SUMIF(QuickBooks!$A:$A,A14,QuickBooks!$B:$B),0)</f>
        <v>0</v>
      </c>
      <c r="D14">
        <f t="shared" si="0"/>
        <v>25</v>
      </c>
    </row>
    <row r="15" spans="1:4" x14ac:dyDescent="0.25">
      <c r="A15" t="s">
        <v>15</v>
      </c>
      <c r="B15">
        <f>IFERROR(SUMIF(Square!$A:$A,A15,Square!$B:$B),0)</f>
        <v>2</v>
      </c>
      <c r="C15">
        <f>IFERROR(SUMIF(QuickBooks!$A:$A,A15,QuickBooks!$B:$B),0)</f>
        <v>0</v>
      </c>
      <c r="D15">
        <f t="shared" si="0"/>
        <v>2</v>
      </c>
    </row>
    <row r="16" spans="1:4" x14ac:dyDescent="0.25">
      <c r="A16" t="s">
        <v>16</v>
      </c>
      <c r="B16">
        <f>IFERROR(SUMIF(Square!$A:$A,A16,Square!$B:$B),0)</f>
        <v>46</v>
      </c>
      <c r="C16">
        <f>IFERROR(SUMIF(QuickBooks!$A:$A,A16,QuickBooks!$B:$B),0)</f>
        <v>0</v>
      </c>
      <c r="D16">
        <f t="shared" si="0"/>
        <v>46</v>
      </c>
    </row>
    <row r="17" spans="1:4" x14ac:dyDescent="0.25">
      <c r="A17" t="s">
        <v>17</v>
      </c>
      <c r="B17">
        <f>IFERROR(SUMIF(Square!$A:$A,A17,Square!$B:$B),0)</f>
        <v>36</v>
      </c>
      <c r="C17">
        <f>IFERROR(SUMIF(QuickBooks!$A:$A,A17,QuickBooks!$B:$B),0)</f>
        <v>14</v>
      </c>
      <c r="D17">
        <f t="shared" si="0"/>
        <v>50</v>
      </c>
    </row>
    <row r="18" spans="1:4" x14ac:dyDescent="0.25">
      <c r="A18" t="s">
        <v>18</v>
      </c>
      <c r="B18">
        <f>IFERROR(SUMIF(Square!$A:$A,A18,Square!$B:$B),0)</f>
        <v>23</v>
      </c>
      <c r="C18">
        <f>IFERROR(SUMIF(QuickBooks!$A:$A,A18,QuickBooks!$B:$B),0)</f>
        <v>0</v>
      </c>
      <c r="D18">
        <f t="shared" si="0"/>
        <v>23</v>
      </c>
    </row>
    <row r="19" spans="1:4" x14ac:dyDescent="0.25">
      <c r="A19" t="s">
        <v>19</v>
      </c>
      <c r="B19">
        <f>IFERROR(SUMIF(Square!$A:$A,A19,Square!$B:$B),0)</f>
        <v>430</v>
      </c>
      <c r="C19">
        <f>IFERROR(SUMIF(QuickBooks!$A:$A,A19,QuickBooks!$B:$B),0)</f>
        <v>0</v>
      </c>
      <c r="D19">
        <f t="shared" si="0"/>
        <v>430</v>
      </c>
    </row>
    <row r="20" spans="1:4" x14ac:dyDescent="0.25">
      <c r="A20" t="s">
        <v>20</v>
      </c>
      <c r="B20">
        <f>IFERROR(SUMIF(Square!$A:$A,A20,Square!$B:$B),0)</f>
        <v>66</v>
      </c>
      <c r="C20">
        <f>IFERROR(SUMIF(QuickBooks!$A:$A,A20,QuickBooks!$B:$B),0)</f>
        <v>0</v>
      </c>
      <c r="D20">
        <f t="shared" si="0"/>
        <v>66</v>
      </c>
    </row>
    <row r="21" spans="1:4" x14ac:dyDescent="0.25">
      <c r="A21" t="s">
        <v>21</v>
      </c>
      <c r="B21">
        <f>IFERROR(SUMIF(Square!$A:$A,A21,Square!$B:$B),0)</f>
        <v>18</v>
      </c>
      <c r="C21">
        <f>IFERROR(SUMIF(QuickBooks!$A:$A,A21,QuickBooks!$B:$B),0)</f>
        <v>0</v>
      </c>
      <c r="D21">
        <f t="shared" si="0"/>
        <v>18</v>
      </c>
    </row>
    <row r="22" spans="1:4" x14ac:dyDescent="0.25">
      <c r="A22" t="s">
        <v>22</v>
      </c>
      <c r="B22">
        <f>IFERROR(SUMIF(Square!$A:$A,A22,Square!$B:$B),0)</f>
        <v>23</v>
      </c>
      <c r="C22">
        <f>IFERROR(SUMIF(QuickBooks!$A:$A,A22,QuickBooks!$B:$B),0)</f>
        <v>0</v>
      </c>
      <c r="D22">
        <f t="shared" si="0"/>
        <v>23</v>
      </c>
    </row>
    <row r="23" spans="1:4" x14ac:dyDescent="0.25">
      <c r="A23" t="s">
        <v>23</v>
      </c>
      <c r="B23">
        <f>IFERROR(SUMIF(Square!$A:$A,A23,Square!$B:$B),0)</f>
        <v>205</v>
      </c>
      <c r="C23">
        <f>IFERROR(SUMIF(QuickBooks!$A:$A,A23,QuickBooks!$B:$B),0)</f>
        <v>0</v>
      </c>
      <c r="D23">
        <f t="shared" si="0"/>
        <v>205</v>
      </c>
    </row>
    <row r="24" spans="1:4" x14ac:dyDescent="0.25">
      <c r="A24" t="s">
        <v>24</v>
      </c>
      <c r="B24">
        <f>IFERROR(SUMIF(Square!$A:$A,A24,Square!$B:$B),0)</f>
        <v>23</v>
      </c>
      <c r="C24">
        <f>IFERROR(SUMIF(QuickBooks!$A:$A,A24,QuickBooks!$B:$B),0)</f>
        <v>0</v>
      </c>
      <c r="D24">
        <f t="shared" si="0"/>
        <v>23</v>
      </c>
    </row>
    <row r="25" spans="1:4" x14ac:dyDescent="0.25">
      <c r="A25" t="s">
        <v>25</v>
      </c>
      <c r="B25">
        <f>IFERROR(SUMIF(Square!$A:$A,A25,Square!$B:$B),0)</f>
        <v>32</v>
      </c>
      <c r="C25">
        <f>IFERROR(SUMIF(QuickBooks!$A:$A,A25,QuickBooks!$B:$B),0)</f>
        <v>0</v>
      </c>
      <c r="D25">
        <f t="shared" si="0"/>
        <v>32</v>
      </c>
    </row>
    <row r="26" spans="1:4" x14ac:dyDescent="0.25">
      <c r="A26" t="s">
        <v>26</v>
      </c>
      <c r="B26">
        <f>IFERROR(SUMIF(Square!$A:$A,A26,Square!$B:$B),0)</f>
        <v>90</v>
      </c>
      <c r="C26">
        <f>IFERROR(SUMIF(QuickBooks!$A:$A,A26,QuickBooks!$B:$B),0)</f>
        <v>0</v>
      </c>
      <c r="D26">
        <f t="shared" si="0"/>
        <v>90</v>
      </c>
    </row>
    <row r="27" spans="1:4" x14ac:dyDescent="0.25">
      <c r="A27" t="s">
        <v>27</v>
      </c>
      <c r="B27">
        <f>IFERROR(SUMIF(Square!$A:$A,A27,Square!$B:$B),0)</f>
        <v>3</v>
      </c>
      <c r="C27">
        <f>IFERROR(SUMIF(QuickBooks!$A:$A,A27,QuickBooks!$B:$B),0)</f>
        <v>0</v>
      </c>
      <c r="D27">
        <f t="shared" si="0"/>
        <v>3</v>
      </c>
    </row>
    <row r="28" spans="1:4" x14ac:dyDescent="0.25">
      <c r="A28" t="s">
        <v>28</v>
      </c>
      <c r="B28">
        <f>IFERROR(SUMIF(Square!$A:$A,A28,Square!$B:$B),0)</f>
        <v>5</v>
      </c>
      <c r="C28">
        <f>IFERROR(SUMIF(QuickBooks!$A:$A,A28,QuickBooks!$B:$B),0)</f>
        <v>0</v>
      </c>
      <c r="D28">
        <f t="shared" si="0"/>
        <v>5</v>
      </c>
    </row>
    <row r="29" spans="1:4" x14ac:dyDescent="0.25">
      <c r="A29" t="s">
        <v>29</v>
      </c>
      <c r="B29">
        <f>IFERROR(SUMIF(Square!$A:$A,A29,Square!$B:$B),0)</f>
        <v>30</v>
      </c>
      <c r="C29">
        <f>IFERROR(SUMIF(QuickBooks!$A:$A,A29,QuickBooks!$B:$B),0)</f>
        <v>0</v>
      </c>
      <c r="D29">
        <f t="shared" si="0"/>
        <v>30</v>
      </c>
    </row>
    <row r="30" spans="1:4" x14ac:dyDescent="0.25">
      <c r="A30" t="s">
        <v>30</v>
      </c>
      <c r="B30">
        <f>IFERROR(SUMIF(Square!$A:$A,A30,Square!$B:$B),0)</f>
        <v>10</v>
      </c>
      <c r="C30">
        <f>IFERROR(SUMIF(QuickBooks!$A:$A,A30,QuickBooks!$B:$B),0)</f>
        <v>0</v>
      </c>
      <c r="D30">
        <f t="shared" si="0"/>
        <v>10</v>
      </c>
    </row>
    <row r="31" spans="1:4" x14ac:dyDescent="0.25">
      <c r="A31" t="s">
        <v>31</v>
      </c>
      <c r="B31">
        <f>IFERROR(SUMIF(Square!$A:$A,A31,Square!$B:$B),0)</f>
        <v>11</v>
      </c>
      <c r="C31">
        <f>IFERROR(SUMIF(QuickBooks!$A:$A,A31,QuickBooks!$B:$B),0)</f>
        <v>0</v>
      </c>
      <c r="D31">
        <f t="shared" si="0"/>
        <v>11</v>
      </c>
    </row>
    <row r="32" spans="1:4" x14ac:dyDescent="0.25">
      <c r="A32" t="s">
        <v>32</v>
      </c>
      <c r="B32">
        <f>IFERROR(SUMIF(Square!$A:$A,A32,Square!$B:$B),0)</f>
        <v>17</v>
      </c>
      <c r="C32">
        <f>IFERROR(SUMIF(QuickBooks!$A:$A,A32,QuickBooks!$B:$B),0)</f>
        <v>0</v>
      </c>
      <c r="D32">
        <f t="shared" si="0"/>
        <v>17</v>
      </c>
    </row>
    <row r="33" spans="1:4" x14ac:dyDescent="0.25">
      <c r="A33" t="s">
        <v>33</v>
      </c>
      <c r="B33">
        <f>IFERROR(SUMIF(Square!$A:$A,A33,Square!$B:$B),0)</f>
        <v>18</v>
      </c>
      <c r="C33">
        <f>IFERROR(SUMIF(QuickBooks!$A:$A,A33,QuickBooks!$B:$B),0)</f>
        <v>0</v>
      </c>
      <c r="D33">
        <f t="shared" si="0"/>
        <v>18</v>
      </c>
    </row>
    <row r="34" spans="1:4" x14ac:dyDescent="0.25">
      <c r="A34" t="s">
        <v>34</v>
      </c>
      <c r="B34">
        <f>IFERROR(SUMIF(Square!$A:$A,A34,Square!$B:$B),0)</f>
        <v>27</v>
      </c>
      <c r="C34">
        <f>IFERROR(SUMIF(QuickBooks!$A:$A,A34,QuickBooks!$B:$B),0)</f>
        <v>0</v>
      </c>
      <c r="D34">
        <f t="shared" si="0"/>
        <v>27</v>
      </c>
    </row>
    <row r="35" spans="1:4" x14ac:dyDescent="0.25">
      <c r="A35" t="s">
        <v>35</v>
      </c>
      <c r="B35">
        <f>IFERROR(SUMIF(Square!$A:$A,A35,Square!$B:$B),0)</f>
        <v>54</v>
      </c>
      <c r="C35">
        <f>IFERROR(SUMIF(QuickBooks!$A:$A,A35,QuickBooks!$B:$B),0)</f>
        <v>0</v>
      </c>
      <c r="D35">
        <f t="shared" si="0"/>
        <v>54</v>
      </c>
    </row>
    <row r="36" spans="1:4" x14ac:dyDescent="0.25">
      <c r="A36" t="s">
        <v>36</v>
      </c>
      <c r="B36">
        <f>IFERROR(SUMIF(Square!$A:$A,A36,Square!$B:$B),0)</f>
        <v>13</v>
      </c>
      <c r="C36">
        <f>IFERROR(SUMIF(QuickBooks!$A:$A,A36,QuickBooks!$B:$B),0)</f>
        <v>0</v>
      </c>
      <c r="D36">
        <f t="shared" si="0"/>
        <v>13</v>
      </c>
    </row>
    <row r="37" spans="1:4" x14ac:dyDescent="0.25">
      <c r="A37" t="s">
        <v>37</v>
      </c>
      <c r="B37">
        <f>IFERROR(SUMIF(Square!$A:$A,A37,Square!$B:$B),0)</f>
        <v>5</v>
      </c>
      <c r="C37">
        <f>IFERROR(SUMIF(QuickBooks!$A:$A,A37,QuickBooks!$B:$B),0)</f>
        <v>0</v>
      </c>
      <c r="D37">
        <f t="shared" si="0"/>
        <v>5</v>
      </c>
    </row>
    <row r="38" spans="1:4" x14ac:dyDescent="0.25">
      <c r="A38" t="s">
        <v>38</v>
      </c>
      <c r="B38">
        <f>IFERROR(SUMIF(Square!$A:$A,A38,Square!$B:$B),0)</f>
        <v>5</v>
      </c>
      <c r="C38">
        <f>IFERROR(SUMIF(QuickBooks!$A:$A,A38,QuickBooks!$B:$B),0)</f>
        <v>0</v>
      </c>
      <c r="D38">
        <f t="shared" si="0"/>
        <v>5</v>
      </c>
    </row>
    <row r="39" spans="1:4" x14ac:dyDescent="0.25">
      <c r="A39" t="s">
        <v>39</v>
      </c>
      <c r="B39">
        <f>IFERROR(SUMIF(Square!$A:$A,A39,Square!$B:$B),0)</f>
        <v>21</v>
      </c>
      <c r="C39">
        <f>IFERROR(SUMIF(QuickBooks!$A:$A,A39,QuickBooks!$B:$B),0)</f>
        <v>0</v>
      </c>
      <c r="D39">
        <f t="shared" si="0"/>
        <v>21</v>
      </c>
    </row>
    <row r="40" spans="1:4" x14ac:dyDescent="0.25">
      <c r="A40" t="s">
        <v>40</v>
      </c>
      <c r="B40">
        <f>IFERROR(SUMIF(Square!$A:$A,A40,Square!$B:$B),0)</f>
        <v>41</v>
      </c>
      <c r="C40">
        <f>IFERROR(SUMIF(QuickBooks!$A:$A,A40,QuickBooks!$B:$B),0)</f>
        <v>3</v>
      </c>
      <c r="D40">
        <f t="shared" si="0"/>
        <v>44</v>
      </c>
    </row>
    <row r="41" spans="1:4" x14ac:dyDescent="0.25">
      <c r="A41" t="s">
        <v>41</v>
      </c>
      <c r="B41">
        <f>IFERROR(SUMIF(Square!$A:$A,A41,Square!$B:$B),0)</f>
        <v>13</v>
      </c>
      <c r="C41">
        <f>IFERROR(SUMIF(QuickBooks!$A:$A,A41,QuickBooks!$B:$B),0)</f>
        <v>0</v>
      </c>
      <c r="D41">
        <f t="shared" si="0"/>
        <v>13</v>
      </c>
    </row>
    <row r="42" spans="1:4" x14ac:dyDescent="0.25">
      <c r="A42" t="s">
        <v>42</v>
      </c>
      <c r="B42">
        <f>IFERROR(SUMIF(Square!$A:$A,A42,Square!$B:$B),0)</f>
        <v>1</v>
      </c>
      <c r="C42">
        <f>IFERROR(SUMIF(QuickBooks!$A:$A,A42,QuickBooks!$B:$B),0)</f>
        <v>0</v>
      </c>
      <c r="D42">
        <f t="shared" si="0"/>
        <v>1</v>
      </c>
    </row>
    <row r="43" spans="1:4" x14ac:dyDescent="0.25">
      <c r="A43" t="s">
        <v>43</v>
      </c>
      <c r="B43">
        <f>IFERROR(SUMIF(Square!$A:$A,A43,Square!$B:$B),0)</f>
        <v>2</v>
      </c>
      <c r="C43">
        <f>IFERROR(SUMIF(QuickBooks!$A:$A,A43,QuickBooks!$B:$B),0)</f>
        <v>0</v>
      </c>
      <c r="D43">
        <f t="shared" si="0"/>
        <v>2</v>
      </c>
    </row>
    <row r="44" spans="1:4" x14ac:dyDescent="0.25">
      <c r="A44" t="s">
        <v>44</v>
      </c>
      <c r="B44">
        <f>IFERROR(SUMIF(Square!$A:$A,A44,Square!$B:$B),0)</f>
        <v>57</v>
      </c>
      <c r="C44">
        <f>IFERROR(SUMIF(QuickBooks!$A:$A,A44,QuickBooks!$B:$B),0)</f>
        <v>0</v>
      </c>
      <c r="D44">
        <f t="shared" si="0"/>
        <v>57</v>
      </c>
    </row>
    <row r="45" spans="1:4" x14ac:dyDescent="0.25">
      <c r="A45" t="s">
        <v>45</v>
      </c>
      <c r="B45">
        <f>IFERROR(SUMIF(Square!$A:$A,A45,Square!$B:$B),0)</f>
        <v>29</v>
      </c>
      <c r="C45">
        <f>IFERROR(SUMIF(QuickBooks!$A:$A,A45,QuickBooks!$B:$B),0)</f>
        <v>0</v>
      </c>
      <c r="D45">
        <f t="shared" si="0"/>
        <v>29</v>
      </c>
    </row>
    <row r="46" spans="1:4" x14ac:dyDescent="0.25">
      <c r="A46" t="s">
        <v>46</v>
      </c>
      <c r="B46">
        <f>IFERROR(SUMIF(Square!$A:$A,A46,Square!$B:$B),0)</f>
        <v>21</v>
      </c>
      <c r="C46">
        <f>IFERROR(SUMIF(QuickBooks!$A:$A,A46,QuickBooks!$B:$B),0)</f>
        <v>0</v>
      </c>
      <c r="D46">
        <f t="shared" si="0"/>
        <v>21</v>
      </c>
    </row>
    <row r="47" spans="1:4" x14ac:dyDescent="0.25">
      <c r="A47" t="s">
        <v>47</v>
      </c>
      <c r="B47">
        <f>IFERROR(SUMIF(Square!$A:$A,A47,Square!$B:$B),0)</f>
        <v>9</v>
      </c>
      <c r="C47">
        <f>IFERROR(SUMIF(QuickBooks!$A:$A,A47,QuickBooks!$B:$B),0)</f>
        <v>4</v>
      </c>
      <c r="D47">
        <f t="shared" si="0"/>
        <v>13</v>
      </c>
    </row>
    <row r="48" spans="1:4" x14ac:dyDescent="0.25">
      <c r="A48" t="s">
        <v>48</v>
      </c>
      <c r="B48">
        <f>IFERROR(SUMIF(Square!$A:$A,A48,Square!$B:$B),0)</f>
        <v>63</v>
      </c>
      <c r="C48">
        <f>IFERROR(SUMIF(QuickBooks!$A:$A,A48,QuickBooks!$B:$B),0)</f>
        <v>0</v>
      </c>
      <c r="D48">
        <f t="shared" si="0"/>
        <v>63</v>
      </c>
    </row>
    <row r="49" spans="1:4" x14ac:dyDescent="0.25">
      <c r="A49" t="s">
        <v>49</v>
      </c>
      <c r="B49">
        <f>IFERROR(SUMIF(Square!$A:$A,A49,Square!$B:$B),0)</f>
        <v>31</v>
      </c>
      <c r="C49">
        <f>IFERROR(SUMIF(QuickBooks!$A:$A,A49,QuickBooks!$B:$B),0)</f>
        <v>89</v>
      </c>
      <c r="D49">
        <f t="shared" si="0"/>
        <v>120</v>
      </c>
    </row>
    <row r="50" spans="1:4" x14ac:dyDescent="0.25">
      <c r="A50" t="s">
        <v>50</v>
      </c>
      <c r="B50">
        <f>IFERROR(SUMIF(Square!$A:$A,A50,Square!$B:$B),0)</f>
        <v>6</v>
      </c>
      <c r="C50">
        <f>IFERROR(SUMIF(QuickBooks!$A:$A,A50,QuickBooks!$B:$B),0)</f>
        <v>0</v>
      </c>
      <c r="D50">
        <f t="shared" si="0"/>
        <v>6</v>
      </c>
    </row>
    <row r="51" spans="1:4" x14ac:dyDescent="0.25">
      <c r="A51" t="s">
        <v>51</v>
      </c>
      <c r="B51">
        <f>IFERROR(SUMIF(Square!$A:$A,A51,Square!$B:$B),0)</f>
        <v>1</v>
      </c>
      <c r="C51">
        <f>IFERROR(SUMIF(QuickBooks!$A:$A,A51,QuickBooks!$B:$B),0)</f>
        <v>0</v>
      </c>
      <c r="D51">
        <f t="shared" si="0"/>
        <v>1</v>
      </c>
    </row>
    <row r="52" spans="1:4" x14ac:dyDescent="0.25">
      <c r="A52" t="s">
        <v>52</v>
      </c>
      <c r="B52">
        <f>IFERROR(SUMIF(Square!$A:$A,A52,Square!$B:$B),0)</f>
        <v>6</v>
      </c>
      <c r="C52">
        <f>IFERROR(SUMIF(QuickBooks!$A:$A,A52,QuickBooks!$B:$B),0)</f>
        <v>0</v>
      </c>
      <c r="D52">
        <f t="shared" si="0"/>
        <v>6</v>
      </c>
    </row>
    <row r="53" spans="1:4" x14ac:dyDescent="0.25">
      <c r="A53" t="s">
        <v>53</v>
      </c>
      <c r="B53">
        <f>IFERROR(SUMIF(Square!$A:$A,A53,Square!$B:$B),0)</f>
        <v>2</v>
      </c>
      <c r="C53">
        <f>IFERROR(SUMIF(QuickBooks!$A:$A,A53,QuickBooks!$B:$B),0)</f>
        <v>0</v>
      </c>
      <c r="D53">
        <f t="shared" si="0"/>
        <v>2</v>
      </c>
    </row>
    <row r="54" spans="1:4" x14ac:dyDescent="0.25">
      <c r="A54" t="s">
        <v>54</v>
      </c>
      <c r="B54">
        <f>IFERROR(SUMIF(Square!$A:$A,A54,Square!$B:$B),0)</f>
        <v>11</v>
      </c>
      <c r="C54">
        <f>IFERROR(SUMIF(QuickBooks!$A:$A,A54,QuickBooks!$B:$B),0)</f>
        <v>0</v>
      </c>
      <c r="D54">
        <f t="shared" si="0"/>
        <v>11</v>
      </c>
    </row>
    <row r="55" spans="1:4" x14ac:dyDescent="0.25">
      <c r="A55" t="s">
        <v>55</v>
      </c>
      <c r="B55">
        <f>IFERROR(SUMIF(Square!$A:$A,A55,Square!$B:$B),0)</f>
        <v>2</v>
      </c>
      <c r="C55">
        <f>IFERROR(SUMIF(QuickBooks!$A:$A,A55,QuickBooks!$B:$B),0)</f>
        <v>0</v>
      </c>
      <c r="D55">
        <f t="shared" si="0"/>
        <v>2</v>
      </c>
    </row>
    <row r="56" spans="1:4" x14ac:dyDescent="0.25">
      <c r="A56" t="s">
        <v>56</v>
      </c>
      <c r="B56">
        <f>IFERROR(SUMIF(Square!$A:$A,A56,Square!$B:$B),0)</f>
        <v>1</v>
      </c>
      <c r="C56">
        <f>IFERROR(SUMIF(QuickBooks!$A:$A,A56,QuickBooks!$B:$B),0)</f>
        <v>0</v>
      </c>
      <c r="D56">
        <f t="shared" si="0"/>
        <v>1</v>
      </c>
    </row>
    <row r="57" spans="1:4" x14ac:dyDescent="0.25">
      <c r="A57" t="s">
        <v>57</v>
      </c>
      <c r="B57">
        <f>IFERROR(SUMIF(Square!$A:$A,A57,Square!$B:$B),0)</f>
        <v>307</v>
      </c>
      <c r="C57">
        <f>IFERROR(SUMIF(QuickBooks!$A:$A,A57,QuickBooks!$B:$B),0)</f>
        <v>0</v>
      </c>
      <c r="D57">
        <f t="shared" si="0"/>
        <v>307</v>
      </c>
    </row>
    <row r="58" spans="1:4" x14ac:dyDescent="0.25">
      <c r="A58" t="s">
        <v>58</v>
      </c>
      <c r="B58">
        <f>IFERROR(SUMIF(Square!$A:$A,A58,Square!$B:$B),0)</f>
        <v>59</v>
      </c>
      <c r="C58">
        <f>IFERROR(SUMIF(QuickBooks!$A:$A,A58,QuickBooks!$B:$B),0)</f>
        <v>0</v>
      </c>
      <c r="D58">
        <f t="shared" si="0"/>
        <v>59</v>
      </c>
    </row>
    <row r="59" spans="1:4" x14ac:dyDescent="0.25">
      <c r="A59" t="s">
        <v>59</v>
      </c>
      <c r="B59">
        <f>IFERROR(SUMIF(Square!$A:$A,A59,Square!$B:$B),0)</f>
        <v>2</v>
      </c>
      <c r="C59">
        <f>IFERROR(SUMIF(QuickBooks!$A:$A,A59,QuickBooks!$B:$B),0)</f>
        <v>0</v>
      </c>
      <c r="D59">
        <f t="shared" si="0"/>
        <v>2</v>
      </c>
    </row>
    <row r="60" spans="1:4" x14ac:dyDescent="0.25">
      <c r="A60" t="s">
        <v>60</v>
      </c>
      <c r="B60">
        <f>IFERROR(SUMIF(Square!$A:$A,A60,Square!$B:$B),0)</f>
        <v>17</v>
      </c>
      <c r="C60">
        <f>IFERROR(SUMIF(QuickBooks!$A:$A,A60,QuickBooks!$B:$B),0)</f>
        <v>0</v>
      </c>
      <c r="D60">
        <f t="shared" si="0"/>
        <v>17</v>
      </c>
    </row>
    <row r="61" spans="1:4" x14ac:dyDescent="0.25">
      <c r="A61" t="s">
        <v>61</v>
      </c>
      <c r="B61">
        <f>IFERROR(SUMIF(Square!$A:$A,A61,Square!$B:$B),0)</f>
        <v>44</v>
      </c>
      <c r="C61">
        <f>IFERROR(SUMIF(QuickBooks!$A:$A,A61,QuickBooks!$B:$B),0)</f>
        <v>0</v>
      </c>
      <c r="D61">
        <f t="shared" si="0"/>
        <v>44</v>
      </c>
    </row>
    <row r="62" spans="1:4" x14ac:dyDescent="0.25">
      <c r="A62" t="s">
        <v>62</v>
      </c>
      <c r="B62">
        <f>IFERROR(SUMIF(Square!$A:$A,A62,Square!$B:$B),0)</f>
        <v>30</v>
      </c>
      <c r="C62">
        <f>IFERROR(SUMIF(QuickBooks!$A:$A,A62,QuickBooks!$B:$B),0)</f>
        <v>0</v>
      </c>
      <c r="D62">
        <f t="shared" si="0"/>
        <v>30</v>
      </c>
    </row>
    <row r="63" spans="1:4" x14ac:dyDescent="0.25">
      <c r="A63" t="s">
        <v>63</v>
      </c>
      <c r="B63">
        <f>IFERROR(SUMIF(Square!$A:$A,A63,Square!$B:$B),0)</f>
        <v>251</v>
      </c>
      <c r="C63">
        <f>IFERROR(SUMIF(QuickBooks!$A:$A,A63,QuickBooks!$B:$B),0)</f>
        <v>0</v>
      </c>
      <c r="D63">
        <f t="shared" si="0"/>
        <v>251</v>
      </c>
    </row>
    <row r="64" spans="1:4" x14ac:dyDescent="0.25">
      <c r="A64" t="s">
        <v>64</v>
      </c>
      <c r="B64">
        <f>IFERROR(SUMIF(Square!$A:$A,A64,Square!$B:$B),0)</f>
        <v>22</v>
      </c>
      <c r="C64">
        <f>IFERROR(SUMIF(QuickBooks!$A:$A,A64,QuickBooks!$B:$B),0)</f>
        <v>0</v>
      </c>
      <c r="D64">
        <f t="shared" si="0"/>
        <v>22</v>
      </c>
    </row>
    <row r="65" spans="1:4" x14ac:dyDescent="0.25">
      <c r="A65" t="s">
        <v>65</v>
      </c>
      <c r="B65">
        <f>IFERROR(SUMIF(Square!$A:$A,A65,Square!$B:$B),0)</f>
        <v>18</v>
      </c>
      <c r="C65">
        <f>IFERROR(SUMIF(QuickBooks!$A:$A,A65,QuickBooks!$B:$B),0)</f>
        <v>0</v>
      </c>
      <c r="D65">
        <f t="shared" si="0"/>
        <v>18</v>
      </c>
    </row>
    <row r="66" spans="1:4" x14ac:dyDescent="0.25">
      <c r="A66" t="s">
        <v>66</v>
      </c>
      <c r="B66">
        <f>IFERROR(SUMIF(Square!$A:$A,A66,Square!$B:$B),0)</f>
        <v>80</v>
      </c>
      <c r="C66">
        <f>IFERROR(SUMIF(QuickBooks!$A:$A,A66,QuickBooks!$B:$B),0)</f>
        <v>0</v>
      </c>
      <c r="D66">
        <f t="shared" ref="D66:D129" si="1">B66+C66</f>
        <v>80</v>
      </c>
    </row>
    <row r="67" spans="1:4" x14ac:dyDescent="0.25">
      <c r="A67" t="s">
        <v>67</v>
      </c>
      <c r="B67">
        <f>IFERROR(SUMIF(Square!$A:$A,A67,Square!$B:$B),0)</f>
        <v>40</v>
      </c>
      <c r="C67">
        <f>IFERROR(SUMIF(QuickBooks!$A:$A,A67,QuickBooks!$B:$B),0)</f>
        <v>0</v>
      </c>
      <c r="D67">
        <f t="shared" si="1"/>
        <v>40</v>
      </c>
    </row>
    <row r="68" spans="1:4" x14ac:dyDescent="0.25">
      <c r="A68" t="s">
        <v>68</v>
      </c>
      <c r="B68">
        <f>IFERROR(SUMIF(Square!$A:$A,A68,Square!$B:$B),0)</f>
        <v>82</v>
      </c>
      <c r="C68">
        <f>IFERROR(SUMIF(QuickBooks!$A:$A,A68,QuickBooks!$B:$B),0)</f>
        <v>0</v>
      </c>
      <c r="D68">
        <f t="shared" si="1"/>
        <v>82</v>
      </c>
    </row>
    <row r="69" spans="1:4" x14ac:dyDescent="0.25">
      <c r="A69" t="s">
        <v>69</v>
      </c>
      <c r="B69">
        <f>IFERROR(SUMIF(Square!$A:$A,A69,Square!$B:$B),0)</f>
        <v>1</v>
      </c>
      <c r="C69">
        <f>IFERROR(SUMIF(QuickBooks!$A:$A,A69,QuickBooks!$B:$B),0)</f>
        <v>0</v>
      </c>
      <c r="D69">
        <f t="shared" si="1"/>
        <v>1</v>
      </c>
    </row>
    <row r="70" spans="1:4" x14ac:dyDescent="0.25">
      <c r="A70" t="s">
        <v>70</v>
      </c>
      <c r="B70">
        <f>IFERROR(SUMIF(Square!$A:$A,A70,Square!$B:$B),0)</f>
        <v>3</v>
      </c>
      <c r="C70">
        <f>IFERROR(SUMIF(QuickBooks!$A:$A,A70,QuickBooks!$B:$B),0)</f>
        <v>0</v>
      </c>
      <c r="D70">
        <f t="shared" si="1"/>
        <v>3</v>
      </c>
    </row>
    <row r="71" spans="1:4" x14ac:dyDescent="0.25">
      <c r="A71" t="s">
        <v>71</v>
      </c>
      <c r="B71">
        <f>IFERROR(SUMIF(Square!$A:$A,A71,Square!$B:$B),0)</f>
        <v>1</v>
      </c>
      <c r="C71">
        <f>IFERROR(SUMIF(QuickBooks!$A:$A,A71,QuickBooks!$B:$B),0)</f>
        <v>0</v>
      </c>
      <c r="D71">
        <f t="shared" si="1"/>
        <v>1</v>
      </c>
    </row>
    <row r="72" spans="1:4" x14ac:dyDescent="0.25">
      <c r="A72" t="s">
        <v>72</v>
      </c>
      <c r="B72">
        <f>IFERROR(SUMIF(Square!$A:$A,A72,Square!$B:$B),0)</f>
        <v>2</v>
      </c>
      <c r="C72">
        <f>IFERROR(SUMIF(QuickBooks!$A:$A,A72,QuickBooks!$B:$B),0)</f>
        <v>0</v>
      </c>
      <c r="D72">
        <f t="shared" si="1"/>
        <v>2</v>
      </c>
    </row>
    <row r="73" spans="1:4" x14ac:dyDescent="0.25">
      <c r="A73" t="s">
        <v>73</v>
      </c>
      <c r="B73">
        <f>IFERROR(SUMIF(Square!$A:$A,A73,Square!$B:$B),0)</f>
        <v>49</v>
      </c>
      <c r="C73">
        <f>IFERROR(SUMIF(QuickBooks!$A:$A,A73,QuickBooks!$B:$B),0)</f>
        <v>0</v>
      </c>
      <c r="D73">
        <f t="shared" si="1"/>
        <v>49</v>
      </c>
    </row>
    <row r="74" spans="1:4" x14ac:dyDescent="0.25">
      <c r="A74" t="s">
        <v>74</v>
      </c>
      <c r="B74">
        <f>IFERROR(SUMIF(Square!$A:$A,A74,Square!$B:$B),0)</f>
        <v>3</v>
      </c>
      <c r="C74">
        <f>IFERROR(SUMIF(QuickBooks!$A:$A,A74,QuickBooks!$B:$B),0)</f>
        <v>6</v>
      </c>
      <c r="D74">
        <f t="shared" si="1"/>
        <v>9</v>
      </c>
    </row>
    <row r="75" spans="1:4" x14ac:dyDescent="0.25">
      <c r="A75" t="s">
        <v>75</v>
      </c>
      <c r="B75">
        <f>IFERROR(SUMIF(Square!$A:$A,A75,Square!$B:$B),0)</f>
        <v>1</v>
      </c>
      <c r="C75">
        <f>IFERROR(SUMIF(QuickBooks!$A:$A,A75,QuickBooks!$B:$B),0)</f>
        <v>0</v>
      </c>
      <c r="D75">
        <f t="shared" si="1"/>
        <v>1</v>
      </c>
    </row>
    <row r="76" spans="1:4" x14ac:dyDescent="0.25">
      <c r="A76" t="s">
        <v>76</v>
      </c>
      <c r="B76">
        <f>IFERROR(SUMIF(Square!$A:$A,A76,Square!$B:$B),0)</f>
        <v>4</v>
      </c>
      <c r="C76">
        <f>IFERROR(SUMIF(QuickBooks!$A:$A,A76,QuickBooks!$B:$B),0)</f>
        <v>0</v>
      </c>
      <c r="D76">
        <f t="shared" si="1"/>
        <v>4</v>
      </c>
    </row>
    <row r="77" spans="1:4" x14ac:dyDescent="0.25">
      <c r="A77" t="s">
        <v>77</v>
      </c>
      <c r="B77">
        <f>IFERROR(SUMIF(Square!$A:$A,A77,Square!$B:$B),0)</f>
        <v>182</v>
      </c>
      <c r="C77">
        <f>IFERROR(SUMIF(QuickBooks!$A:$A,A77,QuickBooks!$B:$B),0)</f>
        <v>0</v>
      </c>
      <c r="D77">
        <f t="shared" si="1"/>
        <v>182</v>
      </c>
    </row>
    <row r="78" spans="1:4" x14ac:dyDescent="0.25">
      <c r="A78" t="s">
        <v>78</v>
      </c>
      <c r="B78">
        <f>IFERROR(SUMIF(Square!$A:$A,A78,Square!$B:$B),0)</f>
        <v>32</v>
      </c>
      <c r="C78">
        <f>IFERROR(SUMIF(QuickBooks!$A:$A,A78,QuickBooks!$B:$B),0)</f>
        <v>0</v>
      </c>
      <c r="D78">
        <f t="shared" si="1"/>
        <v>32</v>
      </c>
    </row>
    <row r="79" spans="1:4" x14ac:dyDescent="0.25">
      <c r="A79" t="s">
        <v>79</v>
      </c>
      <c r="B79">
        <f>IFERROR(SUMIF(Square!$A:$A,A79,Square!$B:$B),0)</f>
        <v>26</v>
      </c>
      <c r="C79">
        <f>IFERROR(SUMIF(QuickBooks!$A:$A,A79,QuickBooks!$B:$B),0)</f>
        <v>0</v>
      </c>
      <c r="D79">
        <f t="shared" si="1"/>
        <v>26</v>
      </c>
    </row>
    <row r="80" spans="1:4" x14ac:dyDescent="0.25">
      <c r="A80" t="s">
        <v>80</v>
      </c>
      <c r="B80">
        <f>IFERROR(SUMIF(Square!$A:$A,A80,Square!$B:$B),0)</f>
        <v>30</v>
      </c>
      <c r="C80">
        <f>IFERROR(SUMIF(QuickBooks!$A:$A,A80,QuickBooks!$B:$B),0)</f>
        <v>0</v>
      </c>
      <c r="D80">
        <f t="shared" si="1"/>
        <v>30</v>
      </c>
    </row>
    <row r="81" spans="1:4" x14ac:dyDescent="0.25">
      <c r="A81" t="s">
        <v>81</v>
      </c>
      <c r="B81">
        <f>IFERROR(SUMIF(Square!$A:$A,A81,Square!$B:$B),0)</f>
        <v>42</v>
      </c>
      <c r="C81">
        <f>IFERROR(SUMIF(QuickBooks!$A:$A,A81,QuickBooks!$B:$B),0)</f>
        <v>0</v>
      </c>
      <c r="D81">
        <f t="shared" si="1"/>
        <v>42</v>
      </c>
    </row>
    <row r="82" spans="1:4" x14ac:dyDescent="0.25">
      <c r="A82" t="s">
        <v>82</v>
      </c>
      <c r="B82">
        <f>IFERROR(SUMIF(Square!$A:$A,A82,Square!$B:$B),0)</f>
        <v>17</v>
      </c>
      <c r="C82">
        <f>IFERROR(SUMIF(QuickBooks!$A:$A,A82,QuickBooks!$B:$B),0)</f>
        <v>0</v>
      </c>
      <c r="D82">
        <f t="shared" si="1"/>
        <v>17</v>
      </c>
    </row>
    <row r="83" spans="1:4" x14ac:dyDescent="0.25">
      <c r="A83" t="s">
        <v>83</v>
      </c>
      <c r="B83">
        <f>IFERROR(SUMIF(Square!$A:$A,A83,Square!$B:$B),0)</f>
        <v>232</v>
      </c>
      <c r="C83">
        <f>IFERROR(SUMIF(QuickBooks!$A:$A,A83,QuickBooks!$B:$B),0)</f>
        <v>0</v>
      </c>
      <c r="D83">
        <f t="shared" si="1"/>
        <v>232</v>
      </c>
    </row>
    <row r="84" spans="1:4" x14ac:dyDescent="0.25">
      <c r="A84" t="s">
        <v>84</v>
      </c>
      <c r="B84">
        <f>IFERROR(SUMIF(Square!$A:$A,A84,Square!$B:$B),0)</f>
        <v>24</v>
      </c>
      <c r="C84">
        <f>IFERROR(SUMIF(QuickBooks!$A:$A,A84,QuickBooks!$B:$B),0)</f>
        <v>0</v>
      </c>
      <c r="D84">
        <f t="shared" si="1"/>
        <v>24</v>
      </c>
    </row>
    <row r="85" spans="1:4" x14ac:dyDescent="0.25">
      <c r="A85" t="s">
        <v>85</v>
      </c>
      <c r="B85">
        <f>IFERROR(SUMIF(Square!$A:$A,A85,Square!$B:$B),0)</f>
        <v>14</v>
      </c>
      <c r="C85">
        <f>IFERROR(SUMIF(QuickBooks!$A:$A,A85,QuickBooks!$B:$B),0)</f>
        <v>0</v>
      </c>
      <c r="D85">
        <f t="shared" si="1"/>
        <v>14</v>
      </c>
    </row>
    <row r="86" spans="1:4" x14ac:dyDescent="0.25">
      <c r="A86" t="s">
        <v>86</v>
      </c>
      <c r="B86">
        <f>IFERROR(SUMIF(Square!$A:$A,A86,Square!$B:$B),0)</f>
        <v>43</v>
      </c>
      <c r="C86">
        <f>IFERROR(SUMIF(QuickBooks!$A:$A,A86,QuickBooks!$B:$B),0)</f>
        <v>0</v>
      </c>
      <c r="D86">
        <f t="shared" si="1"/>
        <v>43</v>
      </c>
    </row>
    <row r="87" spans="1:4" x14ac:dyDescent="0.25">
      <c r="A87" t="s">
        <v>87</v>
      </c>
      <c r="B87">
        <f>IFERROR(SUMIF(Square!$A:$A,A87,Square!$B:$B),0)</f>
        <v>10</v>
      </c>
      <c r="C87">
        <f>IFERROR(SUMIF(QuickBooks!$A:$A,A87,QuickBooks!$B:$B),0)</f>
        <v>0</v>
      </c>
      <c r="D87">
        <f t="shared" si="1"/>
        <v>10</v>
      </c>
    </row>
    <row r="88" spans="1:4" x14ac:dyDescent="0.25">
      <c r="A88" t="s">
        <v>88</v>
      </c>
      <c r="B88">
        <f>IFERROR(SUMIF(Square!$A:$A,A88,Square!$B:$B),0)</f>
        <v>1</v>
      </c>
      <c r="C88">
        <f>IFERROR(SUMIF(QuickBooks!$A:$A,A88,QuickBooks!$B:$B),0)</f>
        <v>0</v>
      </c>
      <c r="D88">
        <f t="shared" si="1"/>
        <v>1</v>
      </c>
    </row>
    <row r="89" spans="1:4" x14ac:dyDescent="0.25">
      <c r="A89" t="s">
        <v>89</v>
      </c>
      <c r="B89">
        <f>IFERROR(SUMIF(Square!$A:$A,A89,Square!$B:$B),0)</f>
        <v>132</v>
      </c>
      <c r="C89">
        <f>IFERROR(SUMIF(QuickBooks!$A:$A,A89,QuickBooks!$B:$B),0)</f>
        <v>0</v>
      </c>
      <c r="D89">
        <f t="shared" si="1"/>
        <v>132</v>
      </c>
    </row>
    <row r="90" spans="1:4" x14ac:dyDescent="0.25">
      <c r="A90" t="s">
        <v>90</v>
      </c>
      <c r="B90">
        <f>IFERROR(SUMIF(Square!$A:$A,A90,Square!$B:$B),0)</f>
        <v>102</v>
      </c>
      <c r="C90">
        <f>IFERROR(SUMIF(QuickBooks!$A:$A,A90,QuickBooks!$B:$B),0)</f>
        <v>0</v>
      </c>
      <c r="D90">
        <f t="shared" si="1"/>
        <v>102</v>
      </c>
    </row>
    <row r="91" spans="1:4" x14ac:dyDescent="0.25">
      <c r="A91" t="s">
        <v>91</v>
      </c>
      <c r="B91">
        <f>IFERROR(SUMIF(Square!$A:$A,A91,Square!$B:$B),0)</f>
        <v>72</v>
      </c>
      <c r="C91">
        <f>IFERROR(SUMIF(QuickBooks!$A:$A,A91,QuickBooks!$B:$B),0)</f>
        <v>0</v>
      </c>
      <c r="D91">
        <f t="shared" si="1"/>
        <v>72</v>
      </c>
    </row>
    <row r="92" spans="1:4" x14ac:dyDescent="0.25">
      <c r="A92" t="s">
        <v>92</v>
      </c>
      <c r="B92">
        <f>IFERROR(SUMIF(Square!$A:$A,A92,Square!$B:$B),0)</f>
        <v>1</v>
      </c>
      <c r="C92">
        <f>IFERROR(SUMIF(QuickBooks!$A:$A,A92,QuickBooks!$B:$B),0)</f>
        <v>0</v>
      </c>
      <c r="D92">
        <f t="shared" si="1"/>
        <v>1</v>
      </c>
    </row>
    <row r="93" spans="1:4" x14ac:dyDescent="0.25">
      <c r="A93" t="s">
        <v>93</v>
      </c>
      <c r="B93">
        <f>IFERROR(SUMIF(Square!$A:$A,A93,Square!$B:$B),0)</f>
        <v>46</v>
      </c>
      <c r="C93">
        <f>IFERROR(SUMIF(QuickBooks!$A:$A,A93,QuickBooks!$B:$B),0)</f>
        <v>0</v>
      </c>
      <c r="D93">
        <f t="shared" si="1"/>
        <v>46</v>
      </c>
    </row>
    <row r="94" spans="1:4" x14ac:dyDescent="0.25">
      <c r="A94" t="s">
        <v>94</v>
      </c>
      <c r="B94">
        <f>IFERROR(SUMIF(Square!$A:$A,A94,Square!$B:$B),0)</f>
        <v>6</v>
      </c>
      <c r="C94">
        <f>IFERROR(SUMIF(QuickBooks!$A:$A,A94,QuickBooks!$B:$B),0)</f>
        <v>0</v>
      </c>
      <c r="D94">
        <f t="shared" si="1"/>
        <v>6</v>
      </c>
    </row>
    <row r="95" spans="1:4" x14ac:dyDescent="0.25">
      <c r="A95" t="s">
        <v>95</v>
      </c>
      <c r="B95">
        <f>IFERROR(SUMIF(Square!$A:$A,A95,Square!$B:$B),0)</f>
        <v>11</v>
      </c>
      <c r="C95">
        <f>IFERROR(SUMIF(QuickBooks!$A:$A,A95,QuickBooks!$B:$B),0)</f>
        <v>0</v>
      </c>
      <c r="D95">
        <f t="shared" si="1"/>
        <v>11</v>
      </c>
    </row>
    <row r="96" spans="1:4" x14ac:dyDescent="0.25">
      <c r="A96" t="s">
        <v>96</v>
      </c>
      <c r="B96">
        <f>IFERROR(SUMIF(Square!$A:$A,A96,Square!$B:$B),0)</f>
        <v>124</v>
      </c>
      <c r="C96">
        <f>IFERROR(SUMIF(QuickBooks!$A:$A,A96,QuickBooks!$B:$B),0)</f>
        <v>0</v>
      </c>
      <c r="D96">
        <f t="shared" si="1"/>
        <v>124</v>
      </c>
    </row>
    <row r="97" spans="1:4" x14ac:dyDescent="0.25">
      <c r="A97" t="s">
        <v>97</v>
      </c>
      <c r="B97">
        <f>IFERROR(SUMIF(Square!$A:$A,A97,Square!$B:$B),0)</f>
        <v>37</v>
      </c>
      <c r="C97">
        <f>IFERROR(SUMIF(QuickBooks!$A:$A,A97,QuickBooks!$B:$B),0)</f>
        <v>0</v>
      </c>
      <c r="D97">
        <f t="shared" si="1"/>
        <v>37</v>
      </c>
    </row>
    <row r="98" spans="1:4" x14ac:dyDescent="0.25">
      <c r="A98" t="s">
        <v>98</v>
      </c>
      <c r="B98">
        <f>IFERROR(SUMIF(Square!$A:$A,A98,Square!$B:$B),0)</f>
        <v>105</v>
      </c>
      <c r="C98">
        <f>IFERROR(SUMIF(QuickBooks!$A:$A,A98,QuickBooks!$B:$B),0)</f>
        <v>0</v>
      </c>
      <c r="D98">
        <f t="shared" si="1"/>
        <v>105</v>
      </c>
    </row>
    <row r="99" spans="1:4" x14ac:dyDescent="0.25">
      <c r="A99" t="s">
        <v>99</v>
      </c>
      <c r="B99">
        <f>IFERROR(SUMIF(Square!$A:$A,A99,Square!$B:$B),0)</f>
        <v>32</v>
      </c>
      <c r="C99">
        <f>IFERROR(SUMIF(QuickBooks!$A:$A,A99,QuickBooks!$B:$B),0)</f>
        <v>0</v>
      </c>
      <c r="D99">
        <f t="shared" si="1"/>
        <v>32</v>
      </c>
    </row>
    <row r="100" spans="1:4" x14ac:dyDescent="0.25">
      <c r="A100" t="s">
        <v>100</v>
      </c>
      <c r="B100">
        <f>IFERROR(SUMIF(Square!$A:$A,A100,Square!$B:$B),0)</f>
        <v>3</v>
      </c>
      <c r="C100">
        <f>IFERROR(SUMIF(QuickBooks!$A:$A,A100,QuickBooks!$B:$B),0)</f>
        <v>0</v>
      </c>
      <c r="D100">
        <f t="shared" si="1"/>
        <v>3</v>
      </c>
    </row>
    <row r="101" spans="1:4" x14ac:dyDescent="0.25">
      <c r="A101" t="s">
        <v>101</v>
      </c>
      <c r="B101">
        <f>IFERROR(SUMIF(Square!$A:$A,A101,Square!$B:$B),0)</f>
        <v>1</v>
      </c>
      <c r="C101">
        <f>IFERROR(SUMIF(QuickBooks!$A:$A,A101,QuickBooks!$B:$B),0)</f>
        <v>0</v>
      </c>
      <c r="D101">
        <f t="shared" si="1"/>
        <v>1</v>
      </c>
    </row>
    <row r="102" spans="1:4" x14ac:dyDescent="0.25">
      <c r="A102" t="s">
        <v>102</v>
      </c>
      <c r="B102">
        <f>IFERROR(SUMIF(Square!$A:$A,A102,Square!$B:$B),0)</f>
        <v>30</v>
      </c>
      <c r="C102">
        <f>IFERROR(SUMIF(QuickBooks!$A:$A,A102,QuickBooks!$B:$B),0)</f>
        <v>0</v>
      </c>
      <c r="D102">
        <f t="shared" si="1"/>
        <v>30</v>
      </c>
    </row>
    <row r="103" spans="1:4" x14ac:dyDescent="0.25">
      <c r="A103" t="s">
        <v>103</v>
      </c>
      <c r="B103">
        <f>IFERROR(SUMIF(Square!$A:$A,A103,Square!$B:$B),0)</f>
        <v>9</v>
      </c>
      <c r="C103">
        <f>IFERROR(SUMIF(QuickBooks!$A:$A,A103,QuickBooks!$B:$B),0)</f>
        <v>0</v>
      </c>
      <c r="D103">
        <f t="shared" si="1"/>
        <v>9</v>
      </c>
    </row>
    <row r="104" spans="1:4" x14ac:dyDescent="0.25">
      <c r="A104" t="s">
        <v>104</v>
      </c>
      <c r="B104">
        <f>IFERROR(SUMIF(Square!$A:$A,A104,Square!$B:$B),0)</f>
        <v>20</v>
      </c>
      <c r="C104">
        <f>IFERROR(SUMIF(QuickBooks!$A:$A,A104,QuickBooks!$B:$B),0)</f>
        <v>0</v>
      </c>
      <c r="D104">
        <f t="shared" si="1"/>
        <v>20</v>
      </c>
    </row>
    <row r="105" spans="1:4" x14ac:dyDescent="0.25">
      <c r="A105" t="s">
        <v>105</v>
      </c>
      <c r="B105">
        <f>IFERROR(SUMIF(Square!$A:$A,A105,Square!$B:$B),0)</f>
        <v>25</v>
      </c>
      <c r="C105">
        <f>IFERROR(SUMIF(QuickBooks!$A:$A,A105,QuickBooks!$B:$B),0)</f>
        <v>0</v>
      </c>
      <c r="D105">
        <f t="shared" si="1"/>
        <v>25</v>
      </c>
    </row>
    <row r="106" spans="1:4" x14ac:dyDescent="0.25">
      <c r="A106" t="s">
        <v>106</v>
      </c>
      <c r="B106">
        <f>IFERROR(SUMIF(Square!$A:$A,A106,Square!$B:$B),0)</f>
        <v>133</v>
      </c>
      <c r="C106">
        <f>IFERROR(SUMIF(QuickBooks!$A:$A,A106,QuickBooks!$B:$B),0)</f>
        <v>19</v>
      </c>
      <c r="D106">
        <f t="shared" si="1"/>
        <v>152</v>
      </c>
    </row>
    <row r="107" spans="1:4" x14ac:dyDescent="0.25">
      <c r="A107" t="s">
        <v>107</v>
      </c>
      <c r="B107">
        <f>IFERROR(SUMIF(Square!$A:$A,A107,Square!$B:$B),0)</f>
        <v>5</v>
      </c>
      <c r="C107">
        <f>IFERROR(SUMIF(QuickBooks!$A:$A,A107,QuickBooks!$B:$B),0)</f>
        <v>0</v>
      </c>
      <c r="D107">
        <f t="shared" si="1"/>
        <v>5</v>
      </c>
    </row>
    <row r="108" spans="1:4" x14ac:dyDescent="0.25">
      <c r="A108" t="s">
        <v>108</v>
      </c>
      <c r="B108">
        <f>IFERROR(SUMIF(Square!$A:$A,A108,Square!$B:$B),0)</f>
        <v>11</v>
      </c>
      <c r="C108">
        <f>IFERROR(SUMIF(QuickBooks!$A:$A,A108,QuickBooks!$B:$B),0)</f>
        <v>0</v>
      </c>
      <c r="D108">
        <f t="shared" si="1"/>
        <v>11</v>
      </c>
    </row>
    <row r="109" spans="1:4" x14ac:dyDescent="0.25">
      <c r="A109" t="s">
        <v>109</v>
      </c>
      <c r="B109">
        <f>IFERROR(SUMIF(Square!$A:$A,A109,Square!$B:$B),0)</f>
        <v>1</v>
      </c>
      <c r="C109">
        <f>IFERROR(SUMIF(QuickBooks!$A:$A,A109,QuickBooks!$B:$B),0)</f>
        <v>0</v>
      </c>
      <c r="D109">
        <f t="shared" si="1"/>
        <v>1</v>
      </c>
    </row>
    <row r="110" spans="1:4" x14ac:dyDescent="0.25">
      <c r="A110" t="s">
        <v>110</v>
      </c>
      <c r="B110">
        <f>IFERROR(SUMIF(Square!$A:$A,A110,Square!$B:$B),0)</f>
        <v>10</v>
      </c>
      <c r="C110">
        <f>IFERROR(SUMIF(QuickBooks!$A:$A,A110,QuickBooks!$B:$B),0)</f>
        <v>0</v>
      </c>
      <c r="D110">
        <f t="shared" si="1"/>
        <v>10</v>
      </c>
    </row>
    <row r="111" spans="1:4" x14ac:dyDescent="0.25">
      <c r="A111" t="s">
        <v>111</v>
      </c>
      <c r="B111">
        <f>IFERROR(SUMIF(Square!$A:$A,A111,Square!$B:$B),0)</f>
        <v>39</v>
      </c>
      <c r="C111">
        <f>IFERROR(SUMIF(QuickBooks!$A:$A,A111,QuickBooks!$B:$B),0)</f>
        <v>0</v>
      </c>
      <c r="D111">
        <f t="shared" si="1"/>
        <v>39</v>
      </c>
    </row>
    <row r="112" spans="1:4" x14ac:dyDescent="0.25">
      <c r="A112" t="s">
        <v>112</v>
      </c>
      <c r="B112">
        <f>IFERROR(SUMIF(Square!$A:$A,A112,Square!$B:$B),0)</f>
        <v>76</v>
      </c>
      <c r="C112">
        <f>IFERROR(SUMIF(QuickBooks!$A:$A,A112,QuickBooks!$B:$B),0)</f>
        <v>0</v>
      </c>
      <c r="D112">
        <f t="shared" si="1"/>
        <v>76</v>
      </c>
    </row>
    <row r="113" spans="1:4" x14ac:dyDescent="0.25">
      <c r="A113" t="s">
        <v>113</v>
      </c>
      <c r="B113">
        <f>IFERROR(SUMIF(Square!$A:$A,A113,Square!$B:$B),0)</f>
        <v>10</v>
      </c>
      <c r="C113">
        <f>IFERROR(SUMIF(QuickBooks!$A:$A,A113,QuickBooks!$B:$B),0)</f>
        <v>0</v>
      </c>
      <c r="D113">
        <f t="shared" si="1"/>
        <v>10</v>
      </c>
    </row>
    <row r="114" spans="1:4" x14ac:dyDescent="0.25">
      <c r="A114" t="s">
        <v>114</v>
      </c>
      <c r="B114">
        <f>IFERROR(SUMIF(Square!$A:$A,A114,Square!$B:$B),0)</f>
        <v>5</v>
      </c>
      <c r="C114">
        <f>IFERROR(SUMIF(QuickBooks!$A:$A,A114,QuickBooks!$B:$B),0)</f>
        <v>0</v>
      </c>
      <c r="D114">
        <f t="shared" si="1"/>
        <v>5</v>
      </c>
    </row>
    <row r="115" spans="1:4" x14ac:dyDescent="0.25">
      <c r="A115" t="s">
        <v>115</v>
      </c>
      <c r="B115">
        <f>IFERROR(SUMIF(Square!$A:$A,A115,Square!$B:$B),0)</f>
        <v>226</v>
      </c>
      <c r="C115">
        <f>IFERROR(SUMIF(QuickBooks!$A:$A,A115,QuickBooks!$B:$B),0)</f>
        <v>0</v>
      </c>
      <c r="D115">
        <f t="shared" si="1"/>
        <v>226</v>
      </c>
    </row>
    <row r="116" spans="1:4" x14ac:dyDescent="0.25">
      <c r="A116" t="s">
        <v>116</v>
      </c>
      <c r="B116">
        <f>IFERROR(SUMIF(Square!$A:$A,A116,Square!$B:$B),0)</f>
        <v>189</v>
      </c>
      <c r="C116">
        <f>IFERROR(SUMIF(QuickBooks!$A:$A,A116,QuickBooks!$B:$B),0)</f>
        <v>0</v>
      </c>
      <c r="D116">
        <f t="shared" si="1"/>
        <v>189</v>
      </c>
    </row>
    <row r="117" spans="1:4" x14ac:dyDescent="0.25">
      <c r="A117" t="s">
        <v>117</v>
      </c>
      <c r="B117">
        <f>IFERROR(SUMIF(Square!$A:$A,A117,Square!$B:$B),0)</f>
        <v>1</v>
      </c>
      <c r="C117">
        <f>IFERROR(SUMIF(QuickBooks!$A:$A,A117,QuickBooks!$B:$B),0)</f>
        <v>0</v>
      </c>
      <c r="D117">
        <f t="shared" si="1"/>
        <v>1</v>
      </c>
    </row>
    <row r="118" spans="1:4" x14ac:dyDescent="0.25">
      <c r="A118" t="s">
        <v>118</v>
      </c>
      <c r="B118">
        <f>IFERROR(SUMIF(Square!$A:$A,A118,Square!$B:$B),0)</f>
        <v>27</v>
      </c>
      <c r="C118">
        <f>IFERROR(SUMIF(QuickBooks!$A:$A,A118,QuickBooks!$B:$B),0)</f>
        <v>0</v>
      </c>
      <c r="D118">
        <f t="shared" si="1"/>
        <v>27</v>
      </c>
    </row>
    <row r="119" spans="1:4" x14ac:dyDescent="0.25">
      <c r="A119" t="s">
        <v>119</v>
      </c>
      <c r="B119">
        <f>IFERROR(SUMIF(Square!$A:$A,A119,Square!$B:$B),0)</f>
        <v>19</v>
      </c>
      <c r="C119">
        <f>IFERROR(SUMIF(QuickBooks!$A:$A,A119,QuickBooks!$B:$B),0)</f>
        <v>0</v>
      </c>
      <c r="D119">
        <f t="shared" si="1"/>
        <v>19</v>
      </c>
    </row>
    <row r="120" spans="1:4" x14ac:dyDescent="0.25">
      <c r="A120" t="s">
        <v>120</v>
      </c>
      <c r="B120">
        <f>IFERROR(SUMIF(Square!$A:$A,A120,Square!$B:$B),0)</f>
        <v>32</v>
      </c>
      <c r="C120">
        <f>IFERROR(SUMIF(QuickBooks!$A:$A,A120,QuickBooks!$B:$B),0)</f>
        <v>0</v>
      </c>
      <c r="D120">
        <f t="shared" si="1"/>
        <v>32</v>
      </c>
    </row>
    <row r="121" spans="1:4" x14ac:dyDescent="0.25">
      <c r="A121" t="s">
        <v>121</v>
      </c>
      <c r="B121">
        <f>IFERROR(SUMIF(Square!$A:$A,A121,Square!$B:$B),0)</f>
        <v>28</v>
      </c>
      <c r="C121">
        <f>IFERROR(SUMIF(QuickBooks!$A:$A,A121,QuickBooks!$B:$B),0)</f>
        <v>0</v>
      </c>
      <c r="D121">
        <f t="shared" si="1"/>
        <v>28</v>
      </c>
    </row>
    <row r="122" spans="1:4" x14ac:dyDescent="0.25">
      <c r="A122" t="s">
        <v>122</v>
      </c>
      <c r="B122">
        <f>IFERROR(SUMIF(Square!$A:$A,A122,Square!$B:$B),0)</f>
        <v>3</v>
      </c>
      <c r="C122">
        <f>IFERROR(SUMIF(QuickBooks!$A:$A,A122,QuickBooks!$B:$B),0)</f>
        <v>0</v>
      </c>
      <c r="D122">
        <f t="shared" si="1"/>
        <v>3</v>
      </c>
    </row>
    <row r="123" spans="1:4" x14ac:dyDescent="0.25">
      <c r="A123" t="s">
        <v>123</v>
      </c>
      <c r="B123">
        <f>IFERROR(SUMIF(Square!$A:$A,A123,Square!$B:$B),0)</f>
        <v>204</v>
      </c>
      <c r="C123">
        <f>IFERROR(SUMIF(QuickBooks!$A:$A,A123,QuickBooks!$B:$B),0)</f>
        <v>0</v>
      </c>
      <c r="D123">
        <f t="shared" si="1"/>
        <v>204</v>
      </c>
    </row>
    <row r="124" spans="1:4" x14ac:dyDescent="0.25">
      <c r="A124" t="s">
        <v>124</v>
      </c>
      <c r="B124">
        <f>IFERROR(SUMIF(Square!$A:$A,A124,Square!$B:$B),0)</f>
        <v>388</v>
      </c>
      <c r="C124">
        <f>IFERROR(SUMIF(QuickBooks!$A:$A,A124,QuickBooks!$B:$B),0)</f>
        <v>0</v>
      </c>
      <c r="D124">
        <f t="shared" si="1"/>
        <v>388</v>
      </c>
    </row>
    <row r="125" spans="1:4" x14ac:dyDescent="0.25">
      <c r="A125" t="s">
        <v>125</v>
      </c>
      <c r="B125">
        <f>IFERROR(SUMIF(Square!$A:$A,A125,Square!$B:$B),0)</f>
        <v>1536</v>
      </c>
      <c r="C125">
        <f>IFERROR(SUMIF(QuickBooks!$A:$A,A125,QuickBooks!$B:$B),0)</f>
        <v>0</v>
      </c>
      <c r="D125">
        <f t="shared" si="1"/>
        <v>1536</v>
      </c>
    </row>
    <row r="126" spans="1:4" x14ac:dyDescent="0.25">
      <c r="A126" t="s">
        <v>126</v>
      </c>
      <c r="B126">
        <f>IFERROR(SUMIF(Square!$A:$A,A126,Square!$B:$B),0)</f>
        <v>127</v>
      </c>
      <c r="C126">
        <f>IFERROR(SUMIF(QuickBooks!$A:$A,A126,QuickBooks!$B:$B),0)</f>
        <v>0</v>
      </c>
      <c r="D126">
        <f t="shared" si="1"/>
        <v>127</v>
      </c>
    </row>
    <row r="127" spans="1:4" x14ac:dyDescent="0.25">
      <c r="A127" t="s">
        <v>127</v>
      </c>
      <c r="B127">
        <f>IFERROR(SUMIF(Square!$A:$A,A127,Square!$B:$B),0)</f>
        <v>38</v>
      </c>
      <c r="C127">
        <f>IFERROR(SUMIF(QuickBooks!$A:$A,A127,QuickBooks!$B:$B),0)</f>
        <v>0</v>
      </c>
      <c r="D127">
        <f t="shared" si="1"/>
        <v>38</v>
      </c>
    </row>
    <row r="128" spans="1:4" x14ac:dyDescent="0.25">
      <c r="A128" t="s">
        <v>128</v>
      </c>
      <c r="B128">
        <f>IFERROR(SUMIF(Square!$A:$A,A128,Square!$B:$B),0)</f>
        <v>48</v>
      </c>
      <c r="C128">
        <f>IFERROR(SUMIF(QuickBooks!$A:$A,A128,QuickBooks!$B:$B),0)</f>
        <v>0</v>
      </c>
      <c r="D128">
        <f t="shared" si="1"/>
        <v>48</v>
      </c>
    </row>
    <row r="129" spans="1:4" x14ac:dyDescent="0.25">
      <c r="A129" t="s">
        <v>129</v>
      </c>
      <c r="B129">
        <f>IFERROR(SUMIF(Square!$A:$A,A129,Square!$B:$B),0)</f>
        <v>79</v>
      </c>
      <c r="C129">
        <f>IFERROR(SUMIF(QuickBooks!$A:$A,A129,QuickBooks!$B:$B),0)</f>
        <v>0</v>
      </c>
      <c r="D129">
        <f t="shared" si="1"/>
        <v>79</v>
      </c>
    </row>
    <row r="130" spans="1:4" x14ac:dyDescent="0.25">
      <c r="A130" t="s">
        <v>130</v>
      </c>
      <c r="B130">
        <f>IFERROR(SUMIF(Square!$A:$A,A130,Square!$B:$B),0)</f>
        <v>16</v>
      </c>
      <c r="C130">
        <f>IFERROR(SUMIF(QuickBooks!$A:$A,A130,QuickBooks!$B:$B),0)</f>
        <v>0</v>
      </c>
      <c r="D130">
        <f t="shared" ref="D130:D193" si="2">B130+C130</f>
        <v>16</v>
      </c>
    </row>
    <row r="131" spans="1:4" x14ac:dyDescent="0.25">
      <c r="A131" t="s">
        <v>131</v>
      </c>
      <c r="B131">
        <f>IFERROR(SUMIF(Square!$A:$A,A131,Square!$B:$B),0)</f>
        <v>135</v>
      </c>
      <c r="C131">
        <f>IFERROR(SUMIF(QuickBooks!$A:$A,A131,QuickBooks!$B:$B),0)</f>
        <v>19</v>
      </c>
      <c r="D131">
        <f t="shared" si="2"/>
        <v>154</v>
      </c>
    </row>
    <row r="132" spans="1:4" x14ac:dyDescent="0.25">
      <c r="A132" t="s">
        <v>132</v>
      </c>
      <c r="B132">
        <f>IFERROR(SUMIF(Square!$A:$A,A132,Square!$B:$B),0)</f>
        <v>12</v>
      </c>
      <c r="C132">
        <f>IFERROR(SUMIF(QuickBooks!$A:$A,A132,QuickBooks!$B:$B),0)</f>
        <v>0</v>
      </c>
      <c r="D132">
        <f t="shared" si="2"/>
        <v>12</v>
      </c>
    </row>
    <row r="133" spans="1:4" x14ac:dyDescent="0.25">
      <c r="A133" t="s">
        <v>133</v>
      </c>
      <c r="B133">
        <f>IFERROR(SUMIF(Square!$A:$A,A133,Square!$B:$B),0)</f>
        <v>2</v>
      </c>
      <c r="C133">
        <f>IFERROR(SUMIF(QuickBooks!$A:$A,A133,QuickBooks!$B:$B),0)</f>
        <v>0</v>
      </c>
      <c r="D133">
        <f t="shared" si="2"/>
        <v>2</v>
      </c>
    </row>
    <row r="134" spans="1:4" x14ac:dyDescent="0.25">
      <c r="A134" t="s">
        <v>134</v>
      </c>
      <c r="B134">
        <f>IFERROR(SUMIF(Square!$A:$A,A134,Square!$B:$B),0)</f>
        <v>78</v>
      </c>
      <c r="C134">
        <f>IFERROR(SUMIF(QuickBooks!$A:$A,A134,QuickBooks!$B:$B),0)</f>
        <v>100</v>
      </c>
      <c r="D134">
        <f t="shared" si="2"/>
        <v>178</v>
      </c>
    </row>
    <row r="135" spans="1:4" x14ac:dyDescent="0.25">
      <c r="A135" t="s">
        <v>135</v>
      </c>
      <c r="B135">
        <f>IFERROR(SUMIF(Square!$A:$A,A135,Square!$B:$B),0)</f>
        <v>126</v>
      </c>
      <c r="C135">
        <f>IFERROR(SUMIF(QuickBooks!$A:$A,A135,QuickBooks!$B:$B),0)</f>
        <v>0</v>
      </c>
      <c r="D135">
        <f t="shared" si="2"/>
        <v>126</v>
      </c>
    </row>
    <row r="136" spans="1:4" x14ac:dyDescent="0.25">
      <c r="A136" t="s">
        <v>136</v>
      </c>
      <c r="B136">
        <f>IFERROR(SUMIF(Square!$A:$A,A136,Square!$B:$B),0)</f>
        <v>50</v>
      </c>
      <c r="C136">
        <f>IFERROR(SUMIF(QuickBooks!$A:$A,A136,QuickBooks!$B:$B),0)</f>
        <v>0</v>
      </c>
      <c r="D136">
        <f t="shared" si="2"/>
        <v>50</v>
      </c>
    </row>
    <row r="137" spans="1:4" x14ac:dyDescent="0.25">
      <c r="A137" t="s">
        <v>137</v>
      </c>
      <c r="B137">
        <f>IFERROR(SUMIF(Square!$A:$A,A137,Square!$B:$B),0)</f>
        <v>33</v>
      </c>
      <c r="C137">
        <f>IFERROR(SUMIF(QuickBooks!$A:$A,A137,QuickBooks!$B:$B),0)</f>
        <v>0</v>
      </c>
      <c r="D137">
        <f t="shared" si="2"/>
        <v>33</v>
      </c>
    </row>
    <row r="138" spans="1:4" x14ac:dyDescent="0.25">
      <c r="A138" t="s">
        <v>138</v>
      </c>
      <c r="B138">
        <f>IFERROR(SUMIF(Square!$A:$A,A138,Square!$B:$B),0)</f>
        <v>76</v>
      </c>
      <c r="C138">
        <f>IFERROR(SUMIF(QuickBooks!$A:$A,A138,QuickBooks!$B:$B),0)</f>
        <v>0</v>
      </c>
      <c r="D138">
        <f t="shared" si="2"/>
        <v>76</v>
      </c>
    </row>
    <row r="139" spans="1:4" x14ac:dyDescent="0.25">
      <c r="A139" t="s">
        <v>139</v>
      </c>
      <c r="B139">
        <f>IFERROR(SUMIF(Square!$A:$A,A139,Square!$B:$B),0)</f>
        <v>8</v>
      </c>
      <c r="C139">
        <f>IFERROR(SUMIF(QuickBooks!$A:$A,A139,QuickBooks!$B:$B),0)</f>
        <v>0</v>
      </c>
      <c r="D139">
        <f t="shared" si="2"/>
        <v>8</v>
      </c>
    </row>
    <row r="140" spans="1:4" x14ac:dyDescent="0.25">
      <c r="A140" t="s">
        <v>140</v>
      </c>
      <c r="B140">
        <f>IFERROR(SUMIF(Square!$A:$A,A140,Square!$B:$B),0)</f>
        <v>1</v>
      </c>
      <c r="C140">
        <f>IFERROR(SUMIF(QuickBooks!$A:$A,A140,QuickBooks!$B:$B),0)</f>
        <v>0</v>
      </c>
      <c r="D140">
        <f t="shared" si="2"/>
        <v>1</v>
      </c>
    </row>
    <row r="141" spans="1:4" x14ac:dyDescent="0.25">
      <c r="A141" t="s">
        <v>141</v>
      </c>
      <c r="B141">
        <f>IFERROR(SUMIF(Square!$A:$A,A141,Square!$B:$B),0)</f>
        <v>36</v>
      </c>
      <c r="C141">
        <f>IFERROR(SUMIF(QuickBooks!$A:$A,A141,QuickBooks!$B:$B),0)</f>
        <v>0</v>
      </c>
      <c r="D141">
        <f t="shared" si="2"/>
        <v>36</v>
      </c>
    </row>
    <row r="142" spans="1:4" x14ac:dyDescent="0.25">
      <c r="A142" t="s">
        <v>142</v>
      </c>
      <c r="B142">
        <f>IFERROR(SUMIF(Square!$A:$A,A142,Square!$B:$B),0)</f>
        <v>7</v>
      </c>
      <c r="C142">
        <f>IFERROR(SUMIF(QuickBooks!$A:$A,A142,QuickBooks!$B:$B),0)</f>
        <v>0</v>
      </c>
      <c r="D142">
        <f t="shared" si="2"/>
        <v>7</v>
      </c>
    </row>
    <row r="143" spans="1:4" x14ac:dyDescent="0.25">
      <c r="A143" t="s">
        <v>143</v>
      </c>
      <c r="B143">
        <f>IFERROR(SUMIF(Square!$A:$A,A143,Square!$B:$B),0)</f>
        <v>46</v>
      </c>
      <c r="C143">
        <f>IFERROR(SUMIF(QuickBooks!$A:$A,A143,QuickBooks!$B:$B),0)</f>
        <v>0</v>
      </c>
      <c r="D143">
        <f t="shared" si="2"/>
        <v>46</v>
      </c>
    </row>
    <row r="144" spans="1:4" x14ac:dyDescent="0.25">
      <c r="A144" t="s">
        <v>144</v>
      </c>
      <c r="B144">
        <f>IFERROR(SUMIF(Square!$A:$A,A144,Square!$B:$B),0)</f>
        <v>39</v>
      </c>
      <c r="C144">
        <f>IFERROR(SUMIF(QuickBooks!$A:$A,A144,QuickBooks!$B:$B),0)</f>
        <v>0</v>
      </c>
      <c r="D144">
        <f t="shared" si="2"/>
        <v>39</v>
      </c>
    </row>
    <row r="145" spans="1:4" x14ac:dyDescent="0.25">
      <c r="A145" t="s">
        <v>145</v>
      </c>
      <c r="B145">
        <f>IFERROR(SUMIF(Square!$A:$A,A145,Square!$B:$B),0)</f>
        <v>42</v>
      </c>
      <c r="C145">
        <f>IFERROR(SUMIF(QuickBooks!$A:$A,A145,QuickBooks!$B:$B),0)</f>
        <v>0</v>
      </c>
      <c r="D145">
        <f t="shared" si="2"/>
        <v>42</v>
      </c>
    </row>
    <row r="146" spans="1:4" x14ac:dyDescent="0.25">
      <c r="A146" t="s">
        <v>146</v>
      </c>
      <c r="B146">
        <f>IFERROR(SUMIF(Square!$A:$A,A146,Square!$B:$B),0)</f>
        <v>20</v>
      </c>
      <c r="C146">
        <f>IFERROR(SUMIF(QuickBooks!$A:$A,A146,QuickBooks!$B:$B),0)</f>
        <v>0</v>
      </c>
      <c r="D146">
        <f t="shared" si="2"/>
        <v>20</v>
      </c>
    </row>
    <row r="147" spans="1:4" x14ac:dyDescent="0.25">
      <c r="A147" t="s">
        <v>147</v>
      </c>
      <c r="B147">
        <f>IFERROR(SUMIF(Square!$A:$A,A147,Square!$B:$B),0)</f>
        <v>39</v>
      </c>
      <c r="C147">
        <f>IFERROR(SUMIF(QuickBooks!$A:$A,A147,QuickBooks!$B:$B),0)</f>
        <v>0</v>
      </c>
      <c r="D147">
        <f t="shared" si="2"/>
        <v>39</v>
      </c>
    </row>
    <row r="148" spans="1:4" x14ac:dyDescent="0.25">
      <c r="A148" t="s">
        <v>148</v>
      </c>
      <c r="B148">
        <f>IFERROR(SUMIF(Square!$A:$A,A148,Square!$B:$B),0)</f>
        <v>4</v>
      </c>
      <c r="C148">
        <f>IFERROR(SUMIF(QuickBooks!$A:$A,A148,QuickBooks!$B:$B),0)</f>
        <v>0</v>
      </c>
      <c r="D148">
        <f t="shared" si="2"/>
        <v>4</v>
      </c>
    </row>
    <row r="149" spans="1:4" x14ac:dyDescent="0.25">
      <c r="A149" t="s">
        <v>149</v>
      </c>
      <c r="B149">
        <f>IFERROR(SUMIF(Square!$A:$A,A149,Square!$B:$B),0)</f>
        <v>1</v>
      </c>
      <c r="C149">
        <f>IFERROR(SUMIF(QuickBooks!$A:$A,A149,QuickBooks!$B:$B),0)</f>
        <v>0</v>
      </c>
      <c r="D149">
        <f t="shared" si="2"/>
        <v>1</v>
      </c>
    </row>
    <row r="150" spans="1:4" x14ac:dyDescent="0.25">
      <c r="A150" t="s">
        <v>150</v>
      </c>
      <c r="B150">
        <f>IFERROR(SUMIF(Square!$A:$A,A150,Square!$B:$B),0)</f>
        <v>1</v>
      </c>
      <c r="C150">
        <f>IFERROR(SUMIF(QuickBooks!$A:$A,A150,QuickBooks!$B:$B),0)</f>
        <v>0</v>
      </c>
      <c r="D150">
        <f t="shared" si="2"/>
        <v>1</v>
      </c>
    </row>
    <row r="151" spans="1:4" x14ac:dyDescent="0.25">
      <c r="A151" t="s">
        <v>151</v>
      </c>
      <c r="B151">
        <f>IFERROR(SUMIF(Square!$A:$A,A151,Square!$B:$B),0)</f>
        <v>90</v>
      </c>
      <c r="C151">
        <f>IFERROR(SUMIF(QuickBooks!$A:$A,A151,QuickBooks!$B:$B),0)</f>
        <v>0</v>
      </c>
      <c r="D151">
        <f t="shared" si="2"/>
        <v>90</v>
      </c>
    </row>
    <row r="152" spans="1:4" x14ac:dyDescent="0.25">
      <c r="A152" t="s">
        <v>152</v>
      </c>
      <c r="B152">
        <f>IFERROR(SUMIF(Square!$A:$A,A152,Square!$B:$B),0)</f>
        <v>4</v>
      </c>
      <c r="C152">
        <f>IFERROR(SUMIF(QuickBooks!$A:$A,A152,QuickBooks!$B:$B),0)</f>
        <v>0</v>
      </c>
      <c r="D152">
        <f t="shared" si="2"/>
        <v>4</v>
      </c>
    </row>
    <row r="153" spans="1:4" x14ac:dyDescent="0.25">
      <c r="A153" t="s">
        <v>153</v>
      </c>
      <c r="B153">
        <f>IFERROR(SUMIF(Square!$A:$A,A153,Square!$B:$B),0)</f>
        <v>11</v>
      </c>
      <c r="C153">
        <f>IFERROR(SUMIF(QuickBooks!$A:$A,A153,QuickBooks!$B:$B),0)</f>
        <v>0</v>
      </c>
      <c r="D153">
        <f t="shared" si="2"/>
        <v>11</v>
      </c>
    </row>
    <row r="154" spans="1:4" x14ac:dyDescent="0.25">
      <c r="A154" t="s">
        <v>154</v>
      </c>
      <c r="B154">
        <f>IFERROR(SUMIF(Square!$A:$A,A154,Square!$B:$B),0)</f>
        <v>10</v>
      </c>
      <c r="C154">
        <f>IFERROR(SUMIF(QuickBooks!$A:$A,A154,QuickBooks!$B:$B),0)</f>
        <v>0</v>
      </c>
      <c r="D154">
        <f t="shared" si="2"/>
        <v>10</v>
      </c>
    </row>
    <row r="155" spans="1:4" x14ac:dyDescent="0.25">
      <c r="A155" t="s">
        <v>155</v>
      </c>
      <c r="B155">
        <f>IFERROR(SUMIF(Square!$A:$A,A155,Square!$B:$B),0)</f>
        <v>4</v>
      </c>
      <c r="C155">
        <f>IFERROR(SUMIF(QuickBooks!$A:$A,A155,QuickBooks!$B:$B),0)</f>
        <v>0</v>
      </c>
      <c r="D155">
        <f t="shared" si="2"/>
        <v>4</v>
      </c>
    </row>
    <row r="156" spans="1:4" x14ac:dyDescent="0.25">
      <c r="A156" t="s">
        <v>156</v>
      </c>
      <c r="B156">
        <f>IFERROR(SUMIF(Square!$A:$A,A156,Square!$B:$B),0)</f>
        <v>1</v>
      </c>
      <c r="C156">
        <f>IFERROR(SUMIF(QuickBooks!$A:$A,A156,QuickBooks!$B:$B),0)</f>
        <v>0</v>
      </c>
      <c r="D156">
        <f t="shared" si="2"/>
        <v>1</v>
      </c>
    </row>
    <row r="157" spans="1:4" x14ac:dyDescent="0.25">
      <c r="A157" t="s">
        <v>157</v>
      </c>
      <c r="B157">
        <f>IFERROR(SUMIF(Square!$A:$A,A157,Square!$B:$B),0)</f>
        <v>26</v>
      </c>
      <c r="C157">
        <f>IFERROR(SUMIF(QuickBooks!$A:$A,A157,QuickBooks!$B:$B),0)</f>
        <v>0</v>
      </c>
      <c r="D157">
        <f t="shared" si="2"/>
        <v>26</v>
      </c>
    </row>
    <row r="158" spans="1:4" x14ac:dyDescent="0.25">
      <c r="A158" t="s">
        <v>158</v>
      </c>
      <c r="B158">
        <f>IFERROR(SUMIF(Square!$A:$A,A158,Square!$B:$B),0)</f>
        <v>4</v>
      </c>
      <c r="C158">
        <f>IFERROR(SUMIF(QuickBooks!$A:$A,A158,QuickBooks!$B:$B),0)</f>
        <v>0</v>
      </c>
      <c r="D158">
        <f t="shared" si="2"/>
        <v>4</v>
      </c>
    </row>
    <row r="159" spans="1:4" x14ac:dyDescent="0.25">
      <c r="A159" t="s">
        <v>159</v>
      </c>
      <c r="B159">
        <f>IFERROR(SUMIF(Square!$A:$A,A159,Square!$B:$B),0)</f>
        <v>8</v>
      </c>
      <c r="C159">
        <f>IFERROR(SUMIF(QuickBooks!$A:$A,A159,QuickBooks!$B:$B),0)</f>
        <v>0</v>
      </c>
      <c r="D159">
        <f t="shared" si="2"/>
        <v>8</v>
      </c>
    </row>
    <row r="160" spans="1:4" x14ac:dyDescent="0.25">
      <c r="A160" t="s">
        <v>160</v>
      </c>
      <c r="B160">
        <f>IFERROR(SUMIF(Square!$A:$A,A160,Square!$B:$B),0)</f>
        <v>0</v>
      </c>
      <c r="C160">
        <f>IFERROR(SUMIF(QuickBooks!$A:$A,A160,QuickBooks!$B:$B),0)</f>
        <v>110</v>
      </c>
      <c r="D160">
        <f t="shared" si="2"/>
        <v>110</v>
      </c>
    </row>
    <row r="161" spans="1:4" x14ac:dyDescent="0.25">
      <c r="A161" t="s">
        <v>161</v>
      </c>
      <c r="B161">
        <f>IFERROR(SUMIF(Square!$A:$A,A161,Square!$B:$B),0)</f>
        <v>31</v>
      </c>
      <c r="C161">
        <f>IFERROR(SUMIF(QuickBooks!$A:$A,A161,QuickBooks!$B:$B),0)</f>
        <v>89</v>
      </c>
      <c r="D161">
        <f t="shared" si="2"/>
        <v>120</v>
      </c>
    </row>
    <row r="162" spans="1:4" x14ac:dyDescent="0.25">
      <c r="A162" t="s">
        <v>162</v>
      </c>
      <c r="B162">
        <f>IFERROR(SUMIF(Square!$A:$A,A162,Square!$B:$B),0)</f>
        <v>0</v>
      </c>
      <c r="C162">
        <f>IFERROR(SUMIF(QuickBooks!$A:$A,A162,QuickBooks!$B:$B),0)</f>
        <v>273</v>
      </c>
      <c r="D162">
        <f t="shared" si="2"/>
        <v>273</v>
      </c>
    </row>
    <row r="163" spans="1:4" x14ac:dyDescent="0.25">
      <c r="A163" t="s">
        <v>163</v>
      </c>
      <c r="B163">
        <f>IFERROR(SUMIF(Square!$A:$A,A163,Square!$B:$B),0)</f>
        <v>0</v>
      </c>
      <c r="C163">
        <f>IFERROR(SUMIF(QuickBooks!$A:$A,A163,QuickBooks!$B:$B),0)</f>
        <v>40</v>
      </c>
      <c r="D163">
        <f t="shared" si="2"/>
        <v>40</v>
      </c>
    </row>
    <row r="164" spans="1:4" x14ac:dyDescent="0.25">
      <c r="A164" t="s">
        <v>164</v>
      </c>
      <c r="B164">
        <f>IFERROR(SUMIF(Square!$A:$A,A164,Square!$B:$B),0)</f>
        <v>0</v>
      </c>
      <c r="C164">
        <f>IFERROR(SUMIF(QuickBooks!$A:$A,A164,QuickBooks!$B:$B),0)</f>
        <v>8</v>
      </c>
      <c r="D164">
        <f t="shared" si="2"/>
        <v>8</v>
      </c>
    </row>
    <row r="165" spans="1:4" x14ac:dyDescent="0.25">
      <c r="A165" t="s">
        <v>165</v>
      </c>
      <c r="B165">
        <f>IFERROR(SUMIF(Square!$A:$A,A165,Square!$B:$B),0)</f>
        <v>0</v>
      </c>
      <c r="C165">
        <f>IFERROR(SUMIF(QuickBooks!$A:$A,A165,QuickBooks!$B:$B),0)</f>
        <v>5</v>
      </c>
      <c r="D165">
        <f t="shared" si="2"/>
        <v>5</v>
      </c>
    </row>
    <row r="166" spans="1:4" x14ac:dyDescent="0.25">
      <c r="A166" t="s">
        <v>166</v>
      </c>
      <c r="B166">
        <f>IFERROR(SUMIF(Square!$A:$A,A166,Square!$B:$B),0)</f>
        <v>0</v>
      </c>
      <c r="C166">
        <f>IFERROR(SUMIF(QuickBooks!$A:$A,A166,QuickBooks!$B:$B),0)</f>
        <v>23</v>
      </c>
      <c r="D166">
        <f t="shared" si="2"/>
        <v>23</v>
      </c>
    </row>
    <row r="167" spans="1:4" x14ac:dyDescent="0.25">
      <c r="A167" t="s">
        <v>167</v>
      </c>
      <c r="B167">
        <f>IFERROR(SUMIF(Square!$A:$A,A167,Square!$B:$B),0)</f>
        <v>0</v>
      </c>
      <c r="C167">
        <f>IFERROR(SUMIF(QuickBooks!$A:$A,A167,QuickBooks!$B:$B),0)</f>
        <v>6</v>
      </c>
      <c r="D167">
        <f t="shared" si="2"/>
        <v>6</v>
      </c>
    </row>
    <row r="168" spans="1:4" x14ac:dyDescent="0.25">
      <c r="A168" t="s">
        <v>168</v>
      </c>
      <c r="B168">
        <f>IFERROR(SUMIF(Square!$A:$A,A168,Square!$B:$B),0)</f>
        <v>0</v>
      </c>
      <c r="C168">
        <f>IFERROR(SUMIF(QuickBooks!$A:$A,A168,QuickBooks!$B:$B),0)</f>
        <v>9</v>
      </c>
      <c r="D168">
        <f t="shared" si="2"/>
        <v>9</v>
      </c>
    </row>
    <row r="169" spans="1:4" x14ac:dyDescent="0.25">
      <c r="A169" t="s">
        <v>169</v>
      </c>
      <c r="B169">
        <f>IFERROR(SUMIF(Square!$A:$A,A169,Square!$B:$B),0)</f>
        <v>0</v>
      </c>
      <c r="C169">
        <f>IFERROR(SUMIF(QuickBooks!$A:$A,A169,QuickBooks!$B:$B),0)</f>
        <v>4</v>
      </c>
      <c r="D169">
        <f t="shared" si="2"/>
        <v>4</v>
      </c>
    </row>
    <row r="170" spans="1:4" x14ac:dyDescent="0.25">
      <c r="A170" t="s">
        <v>170</v>
      </c>
      <c r="B170">
        <f>IFERROR(SUMIF(Square!$A:$A,A170,Square!$B:$B),0)</f>
        <v>0</v>
      </c>
      <c r="C170">
        <f>IFERROR(SUMIF(QuickBooks!$A:$A,A170,QuickBooks!$B:$B),0)</f>
        <v>4</v>
      </c>
      <c r="D170">
        <f t="shared" si="2"/>
        <v>4</v>
      </c>
    </row>
    <row r="171" spans="1:4" x14ac:dyDescent="0.25">
      <c r="A171" t="s">
        <v>171</v>
      </c>
      <c r="B171">
        <f>IFERROR(SUMIF(Square!$A:$A,A171,Square!$B:$B),0)</f>
        <v>0</v>
      </c>
      <c r="C171">
        <f>IFERROR(SUMIF(QuickBooks!$A:$A,A171,QuickBooks!$B:$B),0)</f>
        <v>4</v>
      </c>
      <c r="D171">
        <f t="shared" si="2"/>
        <v>4</v>
      </c>
    </row>
    <row r="172" spans="1:4" x14ac:dyDescent="0.25">
      <c r="A172" t="s">
        <v>172</v>
      </c>
      <c r="B172">
        <f>IFERROR(SUMIF(Square!$A:$A,A172,Square!$B:$B),0)</f>
        <v>0</v>
      </c>
      <c r="C172">
        <f>IFERROR(SUMIF(QuickBooks!$A:$A,A172,QuickBooks!$B:$B),0)</f>
        <v>6</v>
      </c>
      <c r="D172">
        <f t="shared" si="2"/>
        <v>6</v>
      </c>
    </row>
    <row r="173" spans="1:4" x14ac:dyDescent="0.25">
      <c r="A173" t="s">
        <v>173</v>
      </c>
      <c r="B173">
        <f>IFERROR(SUMIF(Square!$A:$A,A173,Square!$B:$B),0)</f>
        <v>0</v>
      </c>
      <c r="C173">
        <f>IFERROR(SUMIF(QuickBooks!$A:$A,A173,QuickBooks!$B:$B),0)</f>
        <v>30</v>
      </c>
      <c r="D173">
        <f t="shared" si="2"/>
        <v>30</v>
      </c>
    </row>
    <row r="174" spans="1:4" x14ac:dyDescent="0.25">
      <c r="A174" t="s">
        <v>174</v>
      </c>
      <c r="B174">
        <f>IFERROR(SUMIF(Square!$A:$A,A174,Square!$B:$B),0)</f>
        <v>0</v>
      </c>
      <c r="C174">
        <f>IFERROR(SUMIF(QuickBooks!$A:$A,A174,QuickBooks!$B:$B),0)</f>
        <v>2</v>
      </c>
      <c r="D174">
        <f t="shared" si="2"/>
        <v>2</v>
      </c>
    </row>
    <row r="175" spans="1:4" x14ac:dyDescent="0.25">
      <c r="A175" t="s">
        <v>175</v>
      </c>
      <c r="B175">
        <f>IFERROR(SUMIF(Square!$A:$A,A175,Square!$B:$B),0)</f>
        <v>0</v>
      </c>
      <c r="C175">
        <f>IFERROR(SUMIF(QuickBooks!$A:$A,A175,QuickBooks!$B:$B),0)</f>
        <v>2</v>
      </c>
      <c r="D175">
        <f t="shared" si="2"/>
        <v>2</v>
      </c>
    </row>
    <row r="176" spans="1:4" x14ac:dyDescent="0.25">
      <c r="A176" t="s">
        <v>176</v>
      </c>
      <c r="B176">
        <f>IFERROR(SUMIF(Square!$A:$A,A176,Square!$B:$B),0)</f>
        <v>0</v>
      </c>
      <c r="C176">
        <f>IFERROR(SUMIF(QuickBooks!$A:$A,A176,QuickBooks!$B:$B),0)</f>
        <v>6</v>
      </c>
      <c r="D176">
        <f t="shared" si="2"/>
        <v>6</v>
      </c>
    </row>
    <row r="177" spans="1:4" x14ac:dyDescent="0.25">
      <c r="A177" t="s">
        <v>177</v>
      </c>
      <c r="B177">
        <f>IFERROR(SUMIF(Square!$A:$A,A177,Square!$B:$B),0)</f>
        <v>0</v>
      </c>
      <c r="C177">
        <f>IFERROR(SUMIF(QuickBooks!$A:$A,A177,QuickBooks!$B:$B),0)</f>
        <v>18</v>
      </c>
      <c r="D177">
        <f t="shared" si="2"/>
        <v>18</v>
      </c>
    </row>
    <row r="178" spans="1:4" x14ac:dyDescent="0.25">
      <c r="A178" t="s">
        <v>178</v>
      </c>
      <c r="B178">
        <f>IFERROR(SUMIF(Square!$A:$A,A178,Square!$B:$B),0)</f>
        <v>0</v>
      </c>
      <c r="C178">
        <f>IFERROR(SUMIF(QuickBooks!$A:$A,A178,QuickBooks!$B:$B),0)</f>
        <v>18</v>
      </c>
      <c r="D178">
        <f t="shared" si="2"/>
        <v>18</v>
      </c>
    </row>
    <row r="179" spans="1:4" x14ac:dyDescent="0.25">
      <c r="A179" t="s">
        <v>179</v>
      </c>
      <c r="B179">
        <f>IFERROR(SUMIF(Square!$A:$A,A179,Square!$B:$B),0)</f>
        <v>0</v>
      </c>
      <c r="C179">
        <f>IFERROR(SUMIF(QuickBooks!$A:$A,A179,QuickBooks!$B:$B),0)</f>
        <v>156</v>
      </c>
      <c r="D179">
        <f t="shared" si="2"/>
        <v>156</v>
      </c>
    </row>
    <row r="180" spans="1:4" x14ac:dyDescent="0.25">
      <c r="A180" t="s">
        <v>180</v>
      </c>
      <c r="B180">
        <f>IFERROR(SUMIF(Square!$A:$A,A180,Square!$B:$B),0)</f>
        <v>0</v>
      </c>
      <c r="C180">
        <f>IFERROR(SUMIF(QuickBooks!$A:$A,A180,QuickBooks!$B:$B),0)</f>
        <v>10.5</v>
      </c>
      <c r="D180">
        <f t="shared" si="2"/>
        <v>10.5</v>
      </c>
    </row>
    <row r="181" spans="1:4" x14ac:dyDescent="0.25">
      <c r="A181" t="s">
        <v>181</v>
      </c>
      <c r="B181">
        <f>IFERROR(SUMIF(Square!$A:$A,A181,Square!$B:$B),0)</f>
        <v>0</v>
      </c>
      <c r="C181">
        <f>IFERROR(SUMIF(QuickBooks!$A:$A,A181,QuickBooks!$B:$B),0)</f>
        <v>2</v>
      </c>
      <c r="D181">
        <f t="shared" si="2"/>
        <v>2</v>
      </c>
    </row>
    <row r="182" spans="1:4" x14ac:dyDescent="0.25">
      <c r="A182" t="s">
        <v>182</v>
      </c>
      <c r="B182">
        <f>IFERROR(SUMIF(Square!$A:$A,A182,Square!$B:$B),0)</f>
        <v>0</v>
      </c>
      <c r="C182">
        <f>IFERROR(SUMIF(QuickBooks!$A:$A,A182,QuickBooks!$B:$B),0)</f>
        <v>11</v>
      </c>
      <c r="D182">
        <f t="shared" si="2"/>
        <v>11</v>
      </c>
    </row>
    <row r="183" spans="1:4" x14ac:dyDescent="0.25">
      <c r="A183" t="s">
        <v>183</v>
      </c>
      <c r="B183">
        <f>IFERROR(SUMIF(Square!$A:$A,A183,Square!$B:$B),0)</f>
        <v>0</v>
      </c>
      <c r="C183">
        <f>IFERROR(SUMIF(QuickBooks!$A:$A,A183,QuickBooks!$B:$B),0)</f>
        <v>1</v>
      </c>
      <c r="D183">
        <f t="shared" si="2"/>
        <v>1</v>
      </c>
    </row>
    <row r="184" spans="1:4" x14ac:dyDescent="0.25">
      <c r="A184" t="s">
        <v>184</v>
      </c>
      <c r="B184">
        <f>IFERROR(SUMIF(Square!$A:$A,A184,Square!$B:$B),0)</f>
        <v>0</v>
      </c>
      <c r="C184">
        <f>IFERROR(SUMIF(QuickBooks!$A:$A,A184,QuickBooks!$B:$B),0)</f>
        <v>1</v>
      </c>
      <c r="D184">
        <f t="shared" si="2"/>
        <v>1</v>
      </c>
    </row>
    <row r="185" spans="1:4" x14ac:dyDescent="0.25">
      <c r="A185" t="s">
        <v>185</v>
      </c>
      <c r="B185">
        <f>IFERROR(SUMIF(Square!$A:$A,A185,Square!$B:$B),0)</f>
        <v>0</v>
      </c>
      <c r="C185">
        <f>IFERROR(SUMIF(QuickBooks!$A:$A,A185,QuickBooks!$B:$B),0)</f>
        <v>4</v>
      </c>
      <c r="D185">
        <f t="shared" si="2"/>
        <v>4</v>
      </c>
    </row>
    <row r="186" spans="1:4" x14ac:dyDescent="0.25">
      <c r="A186" t="s">
        <v>186</v>
      </c>
      <c r="B186">
        <f>IFERROR(SUMIF(Square!$A:$A,A186,Square!$B:$B),0)</f>
        <v>0</v>
      </c>
      <c r="C186">
        <f>IFERROR(SUMIF(QuickBooks!$A:$A,A186,QuickBooks!$B:$B),0)</f>
        <v>2</v>
      </c>
      <c r="D186">
        <f t="shared" si="2"/>
        <v>2</v>
      </c>
    </row>
    <row r="187" spans="1:4" x14ac:dyDescent="0.25">
      <c r="A187" t="s">
        <v>187</v>
      </c>
      <c r="B187">
        <f>IFERROR(SUMIF(Square!$A:$A,A187,Square!$B:$B),0)</f>
        <v>0</v>
      </c>
      <c r="C187">
        <f>IFERROR(SUMIF(QuickBooks!$A:$A,A187,QuickBooks!$B:$B),0)</f>
        <v>100</v>
      </c>
      <c r="D187">
        <f t="shared" si="2"/>
        <v>100</v>
      </c>
    </row>
    <row r="188" spans="1:4" x14ac:dyDescent="0.25">
      <c r="A188" t="s">
        <v>188</v>
      </c>
      <c r="B188">
        <f>IFERROR(SUMIF(Square!$A:$A,A188,Square!$B:$B),0)</f>
        <v>0</v>
      </c>
      <c r="C188">
        <f>IFERROR(SUMIF(QuickBooks!$A:$A,A188,QuickBooks!$B:$B),0)</f>
        <v>37</v>
      </c>
      <c r="D188">
        <f t="shared" si="2"/>
        <v>37</v>
      </c>
    </row>
    <row r="189" spans="1:4" x14ac:dyDescent="0.25">
      <c r="A189" t="s">
        <v>189</v>
      </c>
      <c r="B189">
        <f>IFERROR(SUMIF(Square!$A:$A,A189,Square!$B:$B),0)</f>
        <v>0</v>
      </c>
      <c r="C189">
        <f>IFERROR(SUMIF(QuickBooks!$A:$A,A189,QuickBooks!$B:$B),0)</f>
        <v>1848</v>
      </c>
      <c r="D189">
        <f t="shared" si="2"/>
        <v>1848</v>
      </c>
    </row>
    <row r="190" spans="1:4" x14ac:dyDescent="0.25">
      <c r="A190" t="s">
        <v>190</v>
      </c>
      <c r="B190">
        <f>IFERROR(SUMIF(Square!$A:$A,A190,Square!$B:$B),0)</f>
        <v>0</v>
      </c>
      <c r="C190">
        <f>IFERROR(SUMIF(QuickBooks!$A:$A,A190,QuickBooks!$B:$B),0)</f>
        <v>254</v>
      </c>
      <c r="D190">
        <f t="shared" si="2"/>
        <v>254</v>
      </c>
    </row>
    <row r="191" spans="1:4" x14ac:dyDescent="0.25">
      <c r="A191" t="s">
        <v>191</v>
      </c>
      <c r="B191">
        <f>IFERROR(SUMIF(Square!$A:$A,A191,Square!$B:$B),0)</f>
        <v>0</v>
      </c>
      <c r="C191">
        <f>IFERROR(SUMIF(QuickBooks!$A:$A,A191,QuickBooks!$B:$B),0)</f>
        <v>122</v>
      </c>
      <c r="D191">
        <f t="shared" si="2"/>
        <v>122</v>
      </c>
    </row>
    <row r="192" spans="1:4" x14ac:dyDescent="0.25">
      <c r="A192" t="s">
        <v>192</v>
      </c>
      <c r="B192">
        <f>IFERROR(SUMIF(Square!$A:$A,A192,Square!$B:$B),0)</f>
        <v>0</v>
      </c>
      <c r="C192">
        <f>IFERROR(SUMIF(QuickBooks!$A:$A,A192,QuickBooks!$B:$B),0)</f>
        <v>667</v>
      </c>
      <c r="D192">
        <f t="shared" si="2"/>
        <v>667</v>
      </c>
    </row>
    <row r="193" spans="1:4" x14ac:dyDescent="0.25">
      <c r="A193" t="s">
        <v>193</v>
      </c>
      <c r="B193">
        <f>IFERROR(SUMIF(Square!$A:$A,A193,Square!$B:$B),0)</f>
        <v>0</v>
      </c>
      <c r="C193">
        <f>IFERROR(SUMIF(QuickBooks!$A:$A,A193,QuickBooks!$B:$B),0)</f>
        <v>2762</v>
      </c>
      <c r="D193">
        <f t="shared" si="2"/>
        <v>2762</v>
      </c>
    </row>
    <row r="194" spans="1:4" x14ac:dyDescent="0.25">
      <c r="A194" t="s">
        <v>194</v>
      </c>
      <c r="B194">
        <f>IFERROR(SUMIF(Square!$A:$A,A194,Square!$B:$B),0)</f>
        <v>0</v>
      </c>
      <c r="C194">
        <f>IFERROR(SUMIF(QuickBooks!$A:$A,A194,QuickBooks!$B:$B),0)</f>
        <v>7</v>
      </c>
      <c r="D194">
        <f t="shared" ref="D194:D257" si="3">B194+C194</f>
        <v>7</v>
      </c>
    </row>
    <row r="195" spans="1:4" x14ac:dyDescent="0.25">
      <c r="A195" t="s">
        <v>195</v>
      </c>
      <c r="B195">
        <f>IFERROR(SUMIF(Square!$A:$A,A195,Square!$B:$B),0)</f>
        <v>0</v>
      </c>
      <c r="C195">
        <f>IFERROR(SUMIF(QuickBooks!$A:$A,A195,QuickBooks!$B:$B),0)</f>
        <v>896</v>
      </c>
      <c r="D195">
        <f t="shared" si="3"/>
        <v>896</v>
      </c>
    </row>
    <row r="196" spans="1:4" x14ac:dyDescent="0.25">
      <c r="A196" t="s">
        <v>196</v>
      </c>
      <c r="B196">
        <f>IFERROR(SUMIF(Square!$A:$A,A196,Square!$B:$B),0)</f>
        <v>0</v>
      </c>
      <c r="C196">
        <f>IFERROR(SUMIF(QuickBooks!$A:$A,A196,QuickBooks!$B:$B),0)</f>
        <v>16</v>
      </c>
      <c r="D196">
        <f t="shared" si="3"/>
        <v>16</v>
      </c>
    </row>
    <row r="197" spans="1:4" x14ac:dyDescent="0.25">
      <c r="A197" t="s">
        <v>197</v>
      </c>
      <c r="B197">
        <f>IFERROR(SUMIF(Square!$A:$A,A197,Square!$B:$B),0)</f>
        <v>0</v>
      </c>
      <c r="C197">
        <f>IFERROR(SUMIF(QuickBooks!$A:$A,A197,QuickBooks!$B:$B),0)</f>
        <v>771</v>
      </c>
      <c r="D197">
        <f t="shared" si="3"/>
        <v>771</v>
      </c>
    </row>
    <row r="198" spans="1:4" x14ac:dyDescent="0.25">
      <c r="A198" t="s">
        <v>198</v>
      </c>
      <c r="B198">
        <f>IFERROR(SUMIF(Square!$A:$A,A198,Square!$B:$B),0)</f>
        <v>0</v>
      </c>
      <c r="C198">
        <f>IFERROR(SUMIF(QuickBooks!$A:$A,A198,QuickBooks!$B:$B),0)</f>
        <v>12</v>
      </c>
      <c r="D198">
        <f t="shared" si="3"/>
        <v>12</v>
      </c>
    </row>
    <row r="199" spans="1:4" x14ac:dyDescent="0.25">
      <c r="A199" t="s">
        <v>199</v>
      </c>
      <c r="B199">
        <f>IFERROR(SUMIF(Square!$A:$A,A199,Square!$B:$B),0)</f>
        <v>0</v>
      </c>
      <c r="C199">
        <f>IFERROR(SUMIF(QuickBooks!$A:$A,A199,QuickBooks!$B:$B),0)</f>
        <v>26</v>
      </c>
      <c r="D199">
        <f t="shared" si="3"/>
        <v>26</v>
      </c>
    </row>
    <row r="200" spans="1:4" x14ac:dyDescent="0.25">
      <c r="A200" t="s">
        <v>200</v>
      </c>
      <c r="B200">
        <f>IFERROR(SUMIF(Square!$A:$A,A200,Square!$B:$B),0)</f>
        <v>0</v>
      </c>
      <c r="C200">
        <f>IFERROR(SUMIF(QuickBooks!$A:$A,A200,QuickBooks!$B:$B),0)</f>
        <v>32</v>
      </c>
      <c r="D200">
        <f t="shared" si="3"/>
        <v>32</v>
      </c>
    </row>
    <row r="201" spans="1:4" x14ac:dyDescent="0.25">
      <c r="A201" t="s">
        <v>201</v>
      </c>
      <c r="B201">
        <f>IFERROR(SUMIF(Square!$A:$A,A201,Square!$B:$B),0)</f>
        <v>0</v>
      </c>
      <c r="C201">
        <f>IFERROR(SUMIF(QuickBooks!$A:$A,A201,QuickBooks!$B:$B),0)</f>
        <v>1</v>
      </c>
      <c r="D201">
        <f t="shared" si="3"/>
        <v>1</v>
      </c>
    </row>
    <row r="202" spans="1:4" x14ac:dyDescent="0.25">
      <c r="A202" t="s">
        <v>202</v>
      </c>
      <c r="B202">
        <f>IFERROR(SUMIF(Square!$A:$A,A202,Square!$B:$B),0)</f>
        <v>0</v>
      </c>
      <c r="C202">
        <f>IFERROR(SUMIF(QuickBooks!$A:$A,A202,QuickBooks!$B:$B),0)</f>
        <v>33</v>
      </c>
      <c r="D202">
        <f t="shared" si="3"/>
        <v>33</v>
      </c>
    </row>
    <row r="203" spans="1:4" x14ac:dyDescent="0.25">
      <c r="A203" t="s">
        <v>203</v>
      </c>
      <c r="B203">
        <f>IFERROR(SUMIF(Square!$A:$A,A203,Square!$B:$B),0)</f>
        <v>0</v>
      </c>
      <c r="C203">
        <f>IFERROR(SUMIF(QuickBooks!$A:$A,A203,QuickBooks!$B:$B),0)</f>
        <v>2</v>
      </c>
      <c r="D203">
        <f t="shared" si="3"/>
        <v>2</v>
      </c>
    </row>
    <row r="204" spans="1:4" x14ac:dyDescent="0.25">
      <c r="A204" t="s">
        <v>204</v>
      </c>
      <c r="B204">
        <f>IFERROR(SUMIF(Square!$A:$A,A204,Square!$B:$B),0)</f>
        <v>0</v>
      </c>
      <c r="C204">
        <f>IFERROR(SUMIF(QuickBooks!$A:$A,A204,QuickBooks!$B:$B),0)</f>
        <v>70</v>
      </c>
      <c r="D204">
        <f t="shared" si="3"/>
        <v>70</v>
      </c>
    </row>
    <row r="205" spans="1:4" x14ac:dyDescent="0.25">
      <c r="A205" t="s">
        <v>205</v>
      </c>
      <c r="B205">
        <f>IFERROR(SUMIF(Square!$A:$A,A205,Square!$B:$B),0)</f>
        <v>0</v>
      </c>
      <c r="C205">
        <f>IFERROR(SUMIF(QuickBooks!$A:$A,A205,QuickBooks!$B:$B),0)</f>
        <v>994</v>
      </c>
      <c r="D205">
        <f t="shared" si="3"/>
        <v>994</v>
      </c>
    </row>
    <row r="206" spans="1:4" x14ac:dyDescent="0.25">
      <c r="A206" t="s">
        <v>206</v>
      </c>
      <c r="B206">
        <f>IFERROR(SUMIF(Square!$A:$A,A206,Square!$B:$B),0)</f>
        <v>0</v>
      </c>
      <c r="C206">
        <f>IFERROR(SUMIF(QuickBooks!$A:$A,A206,QuickBooks!$B:$B),0)</f>
        <v>1</v>
      </c>
      <c r="D206">
        <f t="shared" si="3"/>
        <v>1</v>
      </c>
    </row>
    <row r="207" spans="1:4" x14ac:dyDescent="0.25">
      <c r="A207" t="s">
        <v>207</v>
      </c>
      <c r="B207">
        <f>IFERROR(SUMIF(Square!$A:$A,A207,Square!$B:$B),0)</f>
        <v>0</v>
      </c>
      <c r="C207">
        <f>IFERROR(SUMIF(QuickBooks!$A:$A,A207,QuickBooks!$B:$B),0)</f>
        <v>10</v>
      </c>
      <c r="D207">
        <f t="shared" si="3"/>
        <v>10</v>
      </c>
    </row>
    <row r="208" spans="1:4" x14ac:dyDescent="0.25">
      <c r="A208" t="s">
        <v>208</v>
      </c>
      <c r="B208">
        <f>IFERROR(SUMIF(Square!$A:$A,A208,Square!$B:$B),0)</f>
        <v>0</v>
      </c>
      <c r="C208">
        <f>IFERROR(SUMIF(QuickBooks!$A:$A,A208,QuickBooks!$B:$B),0)</f>
        <v>25</v>
      </c>
      <c r="D208">
        <f t="shared" si="3"/>
        <v>25</v>
      </c>
    </row>
    <row r="209" spans="1:4" x14ac:dyDescent="0.25">
      <c r="A209" t="s">
        <v>209</v>
      </c>
      <c r="B209">
        <f>IFERROR(SUMIF(Square!$A:$A,A209,Square!$B:$B),0)</f>
        <v>0</v>
      </c>
      <c r="C209">
        <f>IFERROR(SUMIF(QuickBooks!$A:$A,A209,QuickBooks!$B:$B),0)</f>
        <v>10</v>
      </c>
      <c r="D209">
        <f t="shared" si="3"/>
        <v>10</v>
      </c>
    </row>
    <row r="210" spans="1:4" x14ac:dyDescent="0.25">
      <c r="A210" t="s">
        <v>210</v>
      </c>
      <c r="B210">
        <f>IFERROR(SUMIF(Square!$A:$A,A210,Square!$B:$B),0)</f>
        <v>0</v>
      </c>
      <c r="C210">
        <f>IFERROR(SUMIF(QuickBooks!$A:$A,A210,QuickBooks!$B:$B),0)</f>
        <v>1</v>
      </c>
      <c r="D210">
        <f t="shared" si="3"/>
        <v>1</v>
      </c>
    </row>
    <row r="211" spans="1:4" x14ac:dyDescent="0.25">
      <c r="A211" t="s">
        <v>211</v>
      </c>
      <c r="B211">
        <f>IFERROR(SUMIF(Square!$A:$A,A211,Square!$B:$B),0)</f>
        <v>0</v>
      </c>
      <c r="C211">
        <f>IFERROR(SUMIF(QuickBooks!$A:$A,A211,QuickBooks!$B:$B),0)</f>
        <v>926</v>
      </c>
      <c r="D211">
        <f t="shared" si="3"/>
        <v>926</v>
      </c>
    </row>
    <row r="212" spans="1:4" x14ac:dyDescent="0.25">
      <c r="A212" t="s">
        <v>212</v>
      </c>
      <c r="B212">
        <f>IFERROR(SUMIF(Square!$A:$A,A212,Square!$B:$B),0)</f>
        <v>0</v>
      </c>
      <c r="C212">
        <f>IFERROR(SUMIF(QuickBooks!$A:$A,A212,QuickBooks!$B:$B),0)</f>
        <v>2</v>
      </c>
      <c r="D212">
        <f t="shared" si="3"/>
        <v>2</v>
      </c>
    </row>
    <row r="213" spans="1:4" x14ac:dyDescent="0.25">
      <c r="A213" t="s">
        <v>213</v>
      </c>
      <c r="B213">
        <f>IFERROR(SUMIF(Square!$A:$A,A213,Square!$B:$B),0)</f>
        <v>0</v>
      </c>
      <c r="C213">
        <f>IFERROR(SUMIF(QuickBooks!$A:$A,A213,QuickBooks!$B:$B),0)</f>
        <v>2</v>
      </c>
      <c r="D213">
        <f t="shared" si="3"/>
        <v>2</v>
      </c>
    </row>
    <row r="214" spans="1:4" x14ac:dyDescent="0.25">
      <c r="A214" t="s">
        <v>214</v>
      </c>
      <c r="B214">
        <f>IFERROR(SUMIF(Square!$A:$A,A214,Square!$B:$B),0)</f>
        <v>0</v>
      </c>
      <c r="C214">
        <f>IFERROR(SUMIF(QuickBooks!$A:$A,A214,QuickBooks!$B:$B),0)</f>
        <v>0</v>
      </c>
      <c r="D214">
        <f t="shared" si="3"/>
        <v>0</v>
      </c>
    </row>
    <row r="215" spans="1:4" x14ac:dyDescent="0.25">
      <c r="A215" t="s">
        <v>215</v>
      </c>
      <c r="B215">
        <f>IFERROR(SUMIF(Square!$A:$A,A215,Square!$B:$B),0)</f>
        <v>0</v>
      </c>
      <c r="C215">
        <f>IFERROR(SUMIF(QuickBooks!$A:$A,A215,QuickBooks!$B:$B),0)</f>
        <v>3</v>
      </c>
      <c r="D215">
        <f t="shared" si="3"/>
        <v>3</v>
      </c>
    </row>
    <row r="216" spans="1:4" x14ac:dyDescent="0.25">
      <c r="A216" t="s">
        <v>216</v>
      </c>
      <c r="B216">
        <f>IFERROR(SUMIF(Square!$A:$A,A216,Square!$B:$B),0)</f>
        <v>0</v>
      </c>
      <c r="C216">
        <f>IFERROR(SUMIF(QuickBooks!$A:$A,A216,QuickBooks!$B:$B),0)</f>
        <v>23</v>
      </c>
      <c r="D216">
        <f t="shared" si="3"/>
        <v>23</v>
      </c>
    </row>
    <row r="217" spans="1:4" x14ac:dyDescent="0.25">
      <c r="A217" t="s">
        <v>217</v>
      </c>
      <c r="B217">
        <f>IFERROR(SUMIF(Square!$A:$A,A217,Square!$B:$B),0)</f>
        <v>0</v>
      </c>
      <c r="C217">
        <f>IFERROR(SUMIF(QuickBooks!$A:$A,A217,QuickBooks!$B:$B),0)</f>
        <v>1740</v>
      </c>
      <c r="D217">
        <f t="shared" si="3"/>
        <v>1740</v>
      </c>
    </row>
    <row r="218" spans="1:4" x14ac:dyDescent="0.25">
      <c r="A218" t="s">
        <v>218</v>
      </c>
      <c r="B218">
        <f>IFERROR(SUMIF(Square!$A:$A,A218,Square!$B:$B),0)</f>
        <v>0</v>
      </c>
      <c r="C218">
        <f>IFERROR(SUMIF(QuickBooks!$A:$A,A218,QuickBooks!$B:$B),0)</f>
        <v>0.5</v>
      </c>
      <c r="D218">
        <f t="shared" si="3"/>
        <v>0.5</v>
      </c>
    </row>
    <row r="219" spans="1:4" x14ac:dyDescent="0.25">
      <c r="A219" t="s">
        <v>219</v>
      </c>
      <c r="B219">
        <f>IFERROR(SUMIF(Square!$A:$A,A219,Square!$B:$B),0)</f>
        <v>0</v>
      </c>
      <c r="C219">
        <f>IFERROR(SUMIF(QuickBooks!$A:$A,A219,QuickBooks!$B:$B),0)</f>
        <v>2</v>
      </c>
      <c r="D219">
        <f t="shared" si="3"/>
        <v>2</v>
      </c>
    </row>
    <row r="220" spans="1:4" x14ac:dyDescent="0.25">
      <c r="A220" t="s">
        <v>220</v>
      </c>
      <c r="B220">
        <f>IFERROR(SUMIF(Square!$A:$A,A220,Square!$B:$B),0)</f>
        <v>0</v>
      </c>
      <c r="C220">
        <f>IFERROR(SUMIF(QuickBooks!$A:$A,A220,QuickBooks!$B:$B),0)</f>
        <v>3.5</v>
      </c>
      <c r="D220">
        <f t="shared" si="3"/>
        <v>3.5</v>
      </c>
    </row>
    <row r="221" spans="1:4" x14ac:dyDescent="0.25">
      <c r="A221" t="s">
        <v>221</v>
      </c>
      <c r="B221">
        <f>IFERROR(SUMIF(Square!$A:$A,A221,Square!$B:$B),0)</f>
        <v>0</v>
      </c>
      <c r="C221">
        <f>IFERROR(SUMIF(QuickBooks!$A:$A,A221,QuickBooks!$B:$B),0)</f>
        <v>2</v>
      </c>
      <c r="D221">
        <f t="shared" si="3"/>
        <v>2</v>
      </c>
    </row>
    <row r="222" spans="1:4" x14ac:dyDescent="0.25">
      <c r="A222" t="s">
        <v>222</v>
      </c>
      <c r="B222">
        <f>IFERROR(SUMIF(Square!$A:$A,A222,Square!$B:$B),0)</f>
        <v>0</v>
      </c>
      <c r="C222">
        <f>IFERROR(SUMIF(QuickBooks!$A:$A,A222,QuickBooks!$B:$B),0)</f>
        <v>0</v>
      </c>
      <c r="D222">
        <f t="shared" si="3"/>
        <v>0</v>
      </c>
    </row>
    <row r="223" spans="1:4" x14ac:dyDescent="0.25">
      <c r="A223" t="s">
        <v>223</v>
      </c>
      <c r="B223">
        <f>IFERROR(SUMIF(Square!$A:$A,A223,Square!$B:$B),0)</f>
        <v>0</v>
      </c>
      <c r="C223">
        <f>IFERROR(SUMIF(QuickBooks!$A:$A,A223,QuickBooks!$B:$B),0)</f>
        <v>46</v>
      </c>
      <c r="D223">
        <f t="shared" si="3"/>
        <v>46</v>
      </c>
    </row>
    <row r="224" spans="1:4" x14ac:dyDescent="0.25">
      <c r="A224" t="s">
        <v>224</v>
      </c>
      <c r="B224">
        <f>IFERROR(SUMIF(Square!$A:$A,A224,Square!$B:$B),0)</f>
        <v>0</v>
      </c>
      <c r="C224">
        <f>IFERROR(SUMIF(QuickBooks!$A:$A,A224,QuickBooks!$B:$B),0)</f>
        <v>2</v>
      </c>
      <c r="D224">
        <f t="shared" si="3"/>
        <v>2</v>
      </c>
    </row>
    <row r="225" spans="1:4" x14ac:dyDescent="0.25">
      <c r="A225" t="s">
        <v>225</v>
      </c>
      <c r="B225">
        <f>IFERROR(SUMIF(Square!$A:$A,A225,Square!$B:$B),0)</f>
        <v>0</v>
      </c>
      <c r="C225">
        <f>IFERROR(SUMIF(QuickBooks!$A:$A,A225,QuickBooks!$B:$B),0)</f>
        <v>93</v>
      </c>
      <c r="D225">
        <f t="shared" si="3"/>
        <v>93</v>
      </c>
    </row>
    <row r="226" spans="1:4" x14ac:dyDescent="0.25">
      <c r="A226" t="s">
        <v>226</v>
      </c>
      <c r="B226">
        <f>IFERROR(SUMIF(Square!$A:$A,A226,Square!$B:$B),0)</f>
        <v>0</v>
      </c>
      <c r="C226">
        <f>IFERROR(SUMIF(QuickBooks!$A:$A,A226,QuickBooks!$B:$B),0)</f>
        <v>2</v>
      </c>
      <c r="D226">
        <f t="shared" si="3"/>
        <v>2</v>
      </c>
    </row>
    <row r="227" spans="1:4" x14ac:dyDescent="0.25">
      <c r="A227" t="s">
        <v>227</v>
      </c>
      <c r="B227">
        <f>IFERROR(SUMIF(Square!$A:$A,A227,Square!$B:$B),0)</f>
        <v>0</v>
      </c>
      <c r="C227">
        <f>IFERROR(SUMIF(QuickBooks!$A:$A,A227,QuickBooks!$B:$B),0)</f>
        <v>3</v>
      </c>
      <c r="D227">
        <f t="shared" si="3"/>
        <v>3</v>
      </c>
    </row>
    <row r="228" spans="1:4" x14ac:dyDescent="0.25">
      <c r="A228" t="s">
        <v>228</v>
      </c>
      <c r="B228">
        <f>IFERROR(SUMIF(Square!$A:$A,A228,Square!$B:$B),0)</f>
        <v>0</v>
      </c>
      <c r="C228">
        <f>IFERROR(SUMIF(QuickBooks!$A:$A,A228,QuickBooks!$B:$B),0)</f>
        <v>64</v>
      </c>
      <c r="D228">
        <f t="shared" si="3"/>
        <v>64</v>
      </c>
    </row>
    <row r="229" spans="1:4" x14ac:dyDescent="0.25">
      <c r="A229" t="s">
        <v>229</v>
      </c>
      <c r="B229">
        <f>IFERROR(SUMIF(Square!$A:$A,A229,Square!$B:$B),0)</f>
        <v>0</v>
      </c>
      <c r="C229">
        <f>IFERROR(SUMIF(QuickBooks!$A:$A,A229,QuickBooks!$B:$B),0)</f>
        <v>11</v>
      </c>
      <c r="D229">
        <f t="shared" si="3"/>
        <v>11</v>
      </c>
    </row>
    <row r="230" spans="1:4" x14ac:dyDescent="0.25">
      <c r="A230" t="s">
        <v>230</v>
      </c>
      <c r="B230">
        <f>IFERROR(SUMIF(Square!$A:$A,A230,Square!$B:$B),0)</f>
        <v>0</v>
      </c>
      <c r="C230">
        <f>IFERROR(SUMIF(QuickBooks!$A:$A,A230,QuickBooks!$B:$B),0)</f>
        <v>619</v>
      </c>
      <c r="D230">
        <f t="shared" si="3"/>
        <v>619</v>
      </c>
    </row>
    <row r="231" spans="1:4" x14ac:dyDescent="0.25">
      <c r="A231" t="s">
        <v>231</v>
      </c>
      <c r="B231">
        <f>IFERROR(SUMIF(Square!$A:$A,A231,Square!$B:$B),0)</f>
        <v>0</v>
      </c>
      <c r="C231">
        <f>IFERROR(SUMIF(QuickBooks!$A:$A,A231,QuickBooks!$B:$B),0)</f>
        <v>166</v>
      </c>
      <c r="D231">
        <f t="shared" si="3"/>
        <v>166</v>
      </c>
    </row>
    <row r="232" spans="1:4" x14ac:dyDescent="0.25">
      <c r="A232" t="s">
        <v>232</v>
      </c>
      <c r="B232">
        <f>IFERROR(SUMIF(Square!$A:$A,A232,Square!$B:$B),0)</f>
        <v>0</v>
      </c>
      <c r="C232">
        <f>IFERROR(SUMIF(QuickBooks!$A:$A,A232,QuickBooks!$B:$B),0)</f>
        <v>34.75</v>
      </c>
      <c r="D232">
        <f t="shared" si="3"/>
        <v>34.75</v>
      </c>
    </row>
    <row r="233" spans="1:4" x14ac:dyDescent="0.25">
      <c r="A233" t="s">
        <v>233</v>
      </c>
      <c r="B233">
        <f>IFERROR(SUMIF(Square!$A:$A,A233,Square!$B:$B),0)</f>
        <v>0</v>
      </c>
      <c r="C233">
        <f>IFERROR(SUMIF(QuickBooks!$A:$A,A233,QuickBooks!$B:$B),0)</f>
        <v>110</v>
      </c>
      <c r="D233">
        <f t="shared" si="3"/>
        <v>110</v>
      </c>
    </row>
    <row r="234" spans="1:4" x14ac:dyDescent="0.25">
      <c r="A234" t="s">
        <v>234</v>
      </c>
      <c r="B234">
        <f>IFERROR(SUMIF(Square!$A:$A,A234,Square!$B:$B),0)</f>
        <v>0</v>
      </c>
      <c r="C234">
        <f>IFERROR(SUMIF(QuickBooks!$A:$A,A234,QuickBooks!$B:$B),0)</f>
        <v>0</v>
      </c>
      <c r="D234">
        <f t="shared" si="3"/>
        <v>0</v>
      </c>
    </row>
    <row r="235" spans="1:4" x14ac:dyDescent="0.25">
      <c r="A235" t="s">
        <v>235</v>
      </c>
      <c r="B235">
        <f>IFERROR(SUMIF(Square!$A:$A,A235,Square!$B:$B),0)</f>
        <v>0</v>
      </c>
      <c r="C235">
        <f>IFERROR(SUMIF(QuickBooks!$A:$A,A235,QuickBooks!$B:$B),0)</f>
        <v>1</v>
      </c>
      <c r="D235">
        <f t="shared" si="3"/>
        <v>1</v>
      </c>
    </row>
    <row r="236" spans="1:4" x14ac:dyDescent="0.25">
      <c r="A236" t="s">
        <v>236</v>
      </c>
      <c r="B236">
        <f>IFERROR(SUMIF(Square!$A:$A,A236,Square!$B:$B),0)</f>
        <v>0</v>
      </c>
      <c r="C236">
        <f>IFERROR(SUMIF(QuickBooks!$A:$A,A236,QuickBooks!$B:$B),0)</f>
        <v>2</v>
      </c>
      <c r="D236">
        <f t="shared" si="3"/>
        <v>2</v>
      </c>
    </row>
    <row r="237" spans="1:4" x14ac:dyDescent="0.25">
      <c r="A237" t="s">
        <v>237</v>
      </c>
      <c r="B237">
        <f>IFERROR(SUMIF(Square!$A:$A,A237,Square!$B:$B),0)</f>
        <v>0</v>
      </c>
      <c r="C237">
        <f>IFERROR(SUMIF(QuickBooks!$A:$A,A237,QuickBooks!$B:$B),0)</f>
        <v>8</v>
      </c>
      <c r="D237">
        <f t="shared" si="3"/>
        <v>8</v>
      </c>
    </row>
    <row r="238" spans="1:4" x14ac:dyDescent="0.25">
      <c r="A238" t="s">
        <v>238</v>
      </c>
      <c r="B238">
        <f>IFERROR(SUMIF(Square!$A:$A,A238,Square!$B:$B),0)</f>
        <v>0</v>
      </c>
      <c r="C238">
        <f>IFERROR(SUMIF(QuickBooks!$A:$A,A238,QuickBooks!$B:$B),0)</f>
        <v>1660</v>
      </c>
      <c r="D238">
        <f t="shared" si="3"/>
        <v>1660</v>
      </c>
    </row>
    <row r="239" spans="1:4" x14ac:dyDescent="0.25">
      <c r="A239" t="s">
        <v>239</v>
      </c>
      <c r="B239">
        <f>IFERROR(SUMIF(Square!$A:$A,A239,Square!$B:$B),0)</f>
        <v>0</v>
      </c>
      <c r="C239">
        <f>IFERROR(SUMIF(QuickBooks!$A:$A,A239,QuickBooks!$B:$B),0)</f>
        <v>6</v>
      </c>
      <c r="D239">
        <f t="shared" si="3"/>
        <v>6</v>
      </c>
    </row>
    <row r="240" spans="1:4" x14ac:dyDescent="0.25">
      <c r="A240" t="s">
        <v>240</v>
      </c>
      <c r="B240">
        <f>IFERROR(SUMIF(Square!$A:$A,A240,Square!$B:$B),0)</f>
        <v>0</v>
      </c>
      <c r="C240">
        <f>IFERROR(SUMIF(QuickBooks!$A:$A,A240,QuickBooks!$B:$B),0)</f>
        <v>6.5</v>
      </c>
      <c r="D240">
        <f t="shared" si="3"/>
        <v>6.5</v>
      </c>
    </row>
    <row r="241" spans="1:4" x14ac:dyDescent="0.25">
      <c r="A241" t="s">
        <v>241</v>
      </c>
      <c r="B241">
        <f>IFERROR(SUMIF(Square!$A:$A,A241,Square!$B:$B),0)</f>
        <v>0</v>
      </c>
      <c r="C241">
        <f>IFERROR(SUMIF(QuickBooks!$A:$A,A241,QuickBooks!$B:$B),0)</f>
        <v>9</v>
      </c>
      <c r="D241">
        <f t="shared" si="3"/>
        <v>9</v>
      </c>
    </row>
    <row r="242" spans="1:4" x14ac:dyDescent="0.25">
      <c r="A242" t="s">
        <v>242</v>
      </c>
      <c r="B242">
        <f>IFERROR(SUMIF(Square!$A:$A,A242,Square!$B:$B),0)</f>
        <v>0</v>
      </c>
      <c r="C242">
        <f>IFERROR(SUMIF(QuickBooks!$A:$A,A242,QuickBooks!$B:$B),0)</f>
        <v>1.5</v>
      </c>
      <c r="D242">
        <f t="shared" si="3"/>
        <v>1.5</v>
      </c>
    </row>
    <row r="243" spans="1:4" x14ac:dyDescent="0.25">
      <c r="A243" t="s">
        <v>243</v>
      </c>
      <c r="B243">
        <f>IFERROR(SUMIF(Square!$A:$A,A243,Square!$B:$B),0)</f>
        <v>0</v>
      </c>
      <c r="C243">
        <f>IFERROR(SUMIF(QuickBooks!$A:$A,A243,QuickBooks!$B:$B),0)</f>
        <v>14</v>
      </c>
      <c r="D243">
        <f t="shared" si="3"/>
        <v>14</v>
      </c>
    </row>
    <row r="244" spans="1:4" x14ac:dyDescent="0.25">
      <c r="A244" t="s">
        <v>244</v>
      </c>
      <c r="B244">
        <f>IFERROR(SUMIF(Square!$A:$A,A244,Square!$B:$B),0)</f>
        <v>0</v>
      </c>
      <c r="C244">
        <f>IFERROR(SUMIF(QuickBooks!$A:$A,A244,QuickBooks!$B:$B),0)</f>
        <v>2.25</v>
      </c>
      <c r="D244">
        <f t="shared" si="3"/>
        <v>2.25</v>
      </c>
    </row>
    <row r="245" spans="1:4" x14ac:dyDescent="0.25">
      <c r="A245" t="s">
        <v>245</v>
      </c>
      <c r="B245">
        <f>IFERROR(SUMIF(Square!$A:$A,A245,Square!$B:$B),0)</f>
        <v>0</v>
      </c>
      <c r="C245">
        <f>IFERROR(SUMIF(QuickBooks!$A:$A,A245,QuickBooks!$B:$B),0)</f>
        <v>6</v>
      </c>
      <c r="D245">
        <f t="shared" si="3"/>
        <v>6</v>
      </c>
    </row>
    <row r="246" spans="1:4" x14ac:dyDescent="0.25">
      <c r="A246" t="s">
        <v>246</v>
      </c>
      <c r="B246">
        <f>IFERROR(SUMIF(Square!$A:$A,A246,Square!$B:$B),0)</f>
        <v>0</v>
      </c>
      <c r="C246">
        <f>IFERROR(SUMIF(QuickBooks!$A:$A,A246,QuickBooks!$B:$B),0)</f>
        <v>1.5</v>
      </c>
      <c r="D246">
        <f t="shared" si="3"/>
        <v>1.5</v>
      </c>
    </row>
    <row r="247" spans="1:4" x14ac:dyDescent="0.25">
      <c r="A247" t="s">
        <v>247</v>
      </c>
      <c r="B247">
        <f>IFERROR(SUMIF(Square!$A:$A,A247,Square!$B:$B),0)</f>
        <v>0</v>
      </c>
      <c r="C247">
        <f>IFERROR(SUMIF(QuickBooks!$A:$A,A247,QuickBooks!$B:$B),0)</f>
        <v>1</v>
      </c>
      <c r="D247">
        <f t="shared" si="3"/>
        <v>1</v>
      </c>
    </row>
    <row r="248" spans="1:4" x14ac:dyDescent="0.25">
      <c r="A248" t="s">
        <v>248</v>
      </c>
      <c r="B248">
        <f>IFERROR(SUMIF(Square!$A:$A,A248,Square!$B:$B),0)</f>
        <v>0</v>
      </c>
      <c r="C248">
        <f>IFERROR(SUMIF(QuickBooks!$A:$A,A248,QuickBooks!$B:$B),0)</f>
        <v>1.5</v>
      </c>
      <c r="D248">
        <f t="shared" si="3"/>
        <v>1.5</v>
      </c>
    </row>
    <row r="249" spans="1:4" x14ac:dyDescent="0.25">
      <c r="A249" t="s">
        <v>249</v>
      </c>
      <c r="B249">
        <f>IFERROR(SUMIF(Square!$A:$A,A249,Square!$B:$B),0)</f>
        <v>0</v>
      </c>
      <c r="C249">
        <f>IFERROR(SUMIF(QuickBooks!$A:$A,A249,QuickBooks!$B:$B),0)</f>
        <v>2.5</v>
      </c>
      <c r="D249">
        <f t="shared" si="3"/>
        <v>2.5</v>
      </c>
    </row>
    <row r="250" spans="1:4" x14ac:dyDescent="0.25">
      <c r="A250" t="s">
        <v>250</v>
      </c>
      <c r="B250">
        <f>IFERROR(SUMIF(Square!$A:$A,A250,Square!$B:$B),0)</f>
        <v>0</v>
      </c>
      <c r="C250">
        <f>IFERROR(SUMIF(QuickBooks!$A:$A,A250,QuickBooks!$B:$B),0)</f>
        <v>350</v>
      </c>
      <c r="D250">
        <f t="shared" si="3"/>
        <v>350</v>
      </c>
    </row>
    <row r="251" spans="1:4" x14ac:dyDescent="0.25">
      <c r="A251" t="s">
        <v>251</v>
      </c>
      <c r="B251">
        <f>IFERROR(SUMIF(Square!$A:$A,A251,Square!$B:$B),0)</f>
        <v>0</v>
      </c>
      <c r="C251">
        <f>IFERROR(SUMIF(QuickBooks!$A:$A,A251,QuickBooks!$B:$B),0)</f>
        <v>116</v>
      </c>
      <c r="D251">
        <f t="shared" si="3"/>
        <v>116</v>
      </c>
    </row>
    <row r="252" spans="1:4" x14ac:dyDescent="0.25">
      <c r="A252" t="s">
        <v>252</v>
      </c>
      <c r="B252">
        <f>IFERROR(SUMIF(Square!$A:$A,A252,Square!$B:$B),0)</f>
        <v>0</v>
      </c>
      <c r="C252">
        <f>IFERROR(SUMIF(QuickBooks!$A:$A,A252,QuickBooks!$B:$B),0)</f>
        <v>0</v>
      </c>
      <c r="D252">
        <f t="shared" si="3"/>
        <v>0</v>
      </c>
    </row>
    <row r="253" spans="1:4" x14ac:dyDescent="0.25">
      <c r="A253" t="s">
        <v>253</v>
      </c>
      <c r="B253">
        <f>IFERROR(SUMIF(Square!$A:$A,A253,Square!$B:$B),0)</f>
        <v>0</v>
      </c>
      <c r="C253">
        <f>IFERROR(SUMIF(QuickBooks!$A:$A,A253,QuickBooks!$B:$B),0)</f>
        <v>147</v>
      </c>
      <c r="D253">
        <f t="shared" si="3"/>
        <v>147</v>
      </c>
    </row>
    <row r="254" spans="1:4" x14ac:dyDescent="0.25">
      <c r="A254" t="s">
        <v>254</v>
      </c>
      <c r="B254">
        <f>IFERROR(SUMIF(Square!$A:$A,A254,Square!$B:$B),0)</f>
        <v>0</v>
      </c>
      <c r="C254">
        <f>IFERROR(SUMIF(QuickBooks!$A:$A,A254,QuickBooks!$B:$B),0)</f>
        <v>1</v>
      </c>
      <c r="D254">
        <f t="shared" si="3"/>
        <v>1</v>
      </c>
    </row>
    <row r="255" spans="1:4" x14ac:dyDescent="0.25">
      <c r="A255" t="s">
        <v>255</v>
      </c>
      <c r="B255">
        <f>IFERROR(SUMIF(Square!$A:$A,A255,Square!$B:$B),0)</f>
        <v>0</v>
      </c>
      <c r="C255">
        <f>IFERROR(SUMIF(QuickBooks!$A:$A,A255,QuickBooks!$B:$B),0)</f>
        <v>2</v>
      </c>
      <c r="D255">
        <f t="shared" si="3"/>
        <v>2</v>
      </c>
    </row>
    <row r="256" spans="1:4" x14ac:dyDescent="0.25">
      <c r="A256" t="s">
        <v>256</v>
      </c>
      <c r="B256">
        <f>IFERROR(SUMIF(Square!$A:$A,A256,Square!$B:$B),0)</f>
        <v>0</v>
      </c>
      <c r="C256">
        <f>IFERROR(SUMIF(QuickBooks!$A:$A,A256,QuickBooks!$B:$B),0)</f>
        <v>1</v>
      </c>
      <c r="D256">
        <f t="shared" si="3"/>
        <v>1</v>
      </c>
    </row>
    <row r="257" spans="1:4" x14ac:dyDescent="0.25">
      <c r="A257" t="s">
        <v>257</v>
      </c>
      <c r="B257">
        <f>IFERROR(SUMIF(Square!$A:$A,A257,Square!$B:$B),0)</f>
        <v>0</v>
      </c>
      <c r="C257">
        <f>IFERROR(SUMIF(QuickBooks!$A:$A,A257,QuickBooks!$B:$B),0)</f>
        <v>2</v>
      </c>
      <c r="D257">
        <f t="shared" si="3"/>
        <v>2</v>
      </c>
    </row>
    <row r="258" spans="1:4" x14ac:dyDescent="0.25">
      <c r="A258" t="s">
        <v>258</v>
      </c>
      <c r="B258">
        <f>IFERROR(SUMIF(Square!$A:$A,A258,Square!$B:$B),0)</f>
        <v>0</v>
      </c>
      <c r="C258">
        <f>IFERROR(SUMIF(QuickBooks!$A:$A,A258,QuickBooks!$B:$B),0)</f>
        <v>0</v>
      </c>
      <c r="D258">
        <f t="shared" ref="D258:D301" si="4">B258+C258</f>
        <v>0</v>
      </c>
    </row>
    <row r="259" spans="1:4" x14ac:dyDescent="0.25">
      <c r="A259" t="s">
        <v>259</v>
      </c>
      <c r="B259">
        <f>IFERROR(SUMIF(Square!$A:$A,A259,Square!$B:$B),0)</f>
        <v>0</v>
      </c>
      <c r="C259">
        <f>IFERROR(SUMIF(QuickBooks!$A:$A,A259,QuickBooks!$B:$B),0)</f>
        <v>1380</v>
      </c>
      <c r="D259">
        <f t="shared" si="4"/>
        <v>1380</v>
      </c>
    </row>
    <row r="260" spans="1:4" x14ac:dyDescent="0.25">
      <c r="A260" t="s">
        <v>260</v>
      </c>
      <c r="B260">
        <f>IFERROR(SUMIF(Square!$A:$A,A260,Square!$B:$B),0)</f>
        <v>0</v>
      </c>
      <c r="C260">
        <f>IFERROR(SUMIF(QuickBooks!$A:$A,A260,QuickBooks!$B:$B),0)</f>
        <v>23</v>
      </c>
      <c r="D260">
        <f t="shared" si="4"/>
        <v>23</v>
      </c>
    </row>
    <row r="261" spans="1:4" x14ac:dyDescent="0.25">
      <c r="A261" t="s">
        <v>261</v>
      </c>
      <c r="B261">
        <f>IFERROR(SUMIF(Square!$A:$A,A261,Square!$B:$B),0)</f>
        <v>0</v>
      </c>
      <c r="C261">
        <f>IFERROR(SUMIF(QuickBooks!$A:$A,A261,QuickBooks!$B:$B),0)</f>
        <v>0</v>
      </c>
      <c r="D261">
        <f t="shared" si="4"/>
        <v>0</v>
      </c>
    </row>
    <row r="262" spans="1:4" x14ac:dyDescent="0.25">
      <c r="A262" t="s">
        <v>262</v>
      </c>
      <c r="B262">
        <f>IFERROR(SUMIF(Square!$A:$A,A262,Square!$B:$B),0)</f>
        <v>0</v>
      </c>
      <c r="C262">
        <f>IFERROR(SUMIF(QuickBooks!$A:$A,A262,QuickBooks!$B:$B),0)</f>
        <v>6</v>
      </c>
      <c r="D262">
        <f t="shared" si="4"/>
        <v>6</v>
      </c>
    </row>
    <row r="263" spans="1:4" x14ac:dyDescent="0.25">
      <c r="A263" t="s">
        <v>263</v>
      </c>
      <c r="B263">
        <f>IFERROR(SUMIF(Square!$A:$A,A263,Square!$B:$B),0)</f>
        <v>0</v>
      </c>
      <c r="C263">
        <f>IFERROR(SUMIF(QuickBooks!$A:$A,A263,QuickBooks!$B:$B),0)</f>
        <v>30</v>
      </c>
      <c r="D263">
        <f t="shared" si="4"/>
        <v>30</v>
      </c>
    </row>
    <row r="264" spans="1:4" x14ac:dyDescent="0.25">
      <c r="A264" t="s">
        <v>264</v>
      </c>
      <c r="B264">
        <f>IFERROR(SUMIF(Square!$A:$A,A264,Square!$B:$B),0)</f>
        <v>0</v>
      </c>
      <c r="C264">
        <f>IFERROR(SUMIF(QuickBooks!$A:$A,A264,QuickBooks!$B:$B),0)</f>
        <v>5.75</v>
      </c>
      <c r="D264">
        <f t="shared" si="4"/>
        <v>5.75</v>
      </c>
    </row>
    <row r="265" spans="1:4" x14ac:dyDescent="0.25">
      <c r="A265" t="s">
        <v>265</v>
      </c>
      <c r="B265">
        <f>IFERROR(SUMIF(Square!$A:$A,A265,Square!$B:$B),0)</f>
        <v>0</v>
      </c>
      <c r="C265">
        <f>IFERROR(SUMIF(QuickBooks!$A:$A,A265,QuickBooks!$B:$B),0)</f>
        <v>501</v>
      </c>
      <c r="D265">
        <f t="shared" si="4"/>
        <v>501</v>
      </c>
    </row>
    <row r="266" spans="1:4" x14ac:dyDescent="0.25">
      <c r="A266" t="s">
        <v>266</v>
      </c>
      <c r="B266">
        <f>IFERROR(SUMIF(Square!$A:$A,A266,Square!$B:$B),0)</f>
        <v>0</v>
      </c>
      <c r="C266">
        <f>IFERROR(SUMIF(QuickBooks!$A:$A,A266,QuickBooks!$B:$B),0)</f>
        <v>1</v>
      </c>
      <c r="D266">
        <f t="shared" si="4"/>
        <v>1</v>
      </c>
    </row>
    <row r="267" spans="1:4" x14ac:dyDescent="0.25">
      <c r="A267" t="s">
        <v>267</v>
      </c>
      <c r="B267">
        <f>IFERROR(SUMIF(Square!$A:$A,A267,Square!$B:$B),0)</f>
        <v>0</v>
      </c>
      <c r="C267">
        <f>IFERROR(SUMIF(QuickBooks!$A:$A,A267,QuickBooks!$B:$B),0)</f>
        <v>32</v>
      </c>
      <c r="D267">
        <f t="shared" si="4"/>
        <v>32</v>
      </c>
    </row>
    <row r="268" spans="1:4" x14ac:dyDescent="0.25">
      <c r="A268" t="s">
        <v>268</v>
      </c>
      <c r="B268">
        <f>IFERROR(SUMIF(Square!$A:$A,A268,Square!$B:$B),0)</f>
        <v>0</v>
      </c>
      <c r="C268">
        <f>IFERROR(SUMIF(QuickBooks!$A:$A,A268,QuickBooks!$B:$B),0)</f>
        <v>1</v>
      </c>
      <c r="D268">
        <f t="shared" si="4"/>
        <v>1</v>
      </c>
    </row>
    <row r="269" spans="1:4" x14ac:dyDescent="0.25">
      <c r="A269" t="s">
        <v>269</v>
      </c>
      <c r="B269">
        <f>IFERROR(SUMIF(Square!$A:$A,A269,Square!$B:$B),0)</f>
        <v>0</v>
      </c>
      <c r="C269">
        <f>IFERROR(SUMIF(QuickBooks!$A:$A,A269,QuickBooks!$B:$B),0)</f>
        <v>515</v>
      </c>
      <c r="D269">
        <f t="shared" si="4"/>
        <v>515</v>
      </c>
    </row>
    <row r="270" spans="1:4" x14ac:dyDescent="0.25">
      <c r="A270" t="s">
        <v>270</v>
      </c>
      <c r="B270">
        <f>IFERROR(SUMIF(Square!$A:$A,A270,Square!$B:$B),0)</f>
        <v>0</v>
      </c>
      <c r="C270">
        <f>IFERROR(SUMIF(QuickBooks!$A:$A,A270,QuickBooks!$B:$B),0)</f>
        <v>44</v>
      </c>
      <c r="D270">
        <f t="shared" si="4"/>
        <v>44</v>
      </c>
    </row>
    <row r="271" spans="1:4" x14ac:dyDescent="0.25">
      <c r="A271" t="s">
        <v>271</v>
      </c>
      <c r="B271">
        <f>IFERROR(SUMIF(Square!$A:$A,A271,Square!$B:$B),0)</f>
        <v>0</v>
      </c>
      <c r="C271">
        <f>IFERROR(SUMIF(QuickBooks!$A:$A,A271,QuickBooks!$B:$B),0)</f>
        <v>77</v>
      </c>
      <c r="D271">
        <f t="shared" si="4"/>
        <v>77</v>
      </c>
    </row>
    <row r="272" spans="1:4" x14ac:dyDescent="0.25">
      <c r="A272" t="s">
        <v>272</v>
      </c>
      <c r="B272">
        <f>IFERROR(SUMIF(Square!$A:$A,A272,Square!$B:$B),0)</f>
        <v>0</v>
      </c>
      <c r="C272">
        <f>IFERROR(SUMIF(QuickBooks!$A:$A,A272,QuickBooks!$B:$B),0)</f>
        <v>2</v>
      </c>
      <c r="D272">
        <f t="shared" si="4"/>
        <v>2</v>
      </c>
    </row>
    <row r="273" spans="1:4" x14ac:dyDescent="0.25">
      <c r="A273" t="s">
        <v>273</v>
      </c>
      <c r="B273">
        <f>IFERROR(SUMIF(Square!$A:$A,A273,Square!$B:$B),0)</f>
        <v>0</v>
      </c>
      <c r="C273">
        <f>IFERROR(SUMIF(QuickBooks!$A:$A,A273,QuickBooks!$B:$B),0)</f>
        <v>0</v>
      </c>
      <c r="D273">
        <f t="shared" si="4"/>
        <v>0</v>
      </c>
    </row>
    <row r="274" spans="1:4" x14ac:dyDescent="0.25">
      <c r="A274" t="s">
        <v>274</v>
      </c>
      <c r="B274">
        <f>IFERROR(SUMIF(Square!$A:$A,A274,Square!$B:$B),0)</f>
        <v>0</v>
      </c>
      <c r="C274">
        <f>IFERROR(SUMIF(QuickBooks!$A:$A,A274,QuickBooks!$B:$B),0)</f>
        <v>1</v>
      </c>
      <c r="D274">
        <f t="shared" si="4"/>
        <v>1</v>
      </c>
    </row>
    <row r="275" spans="1:4" x14ac:dyDescent="0.25">
      <c r="A275" t="s">
        <v>275</v>
      </c>
      <c r="B275">
        <f>IFERROR(SUMIF(Square!$A:$A,A275,Square!$B:$B),0)</f>
        <v>0</v>
      </c>
      <c r="C275">
        <f>IFERROR(SUMIF(QuickBooks!$A:$A,A275,QuickBooks!$B:$B),0)</f>
        <v>6</v>
      </c>
      <c r="D275">
        <f t="shared" si="4"/>
        <v>6</v>
      </c>
    </row>
    <row r="276" spans="1:4" x14ac:dyDescent="0.25">
      <c r="A276" t="s">
        <v>276</v>
      </c>
      <c r="B276">
        <f>IFERROR(SUMIF(Square!$A:$A,A276,Square!$B:$B),0)</f>
        <v>0</v>
      </c>
      <c r="C276">
        <f>IFERROR(SUMIF(QuickBooks!$A:$A,A276,QuickBooks!$B:$B),0)</f>
        <v>0</v>
      </c>
      <c r="D276">
        <f t="shared" si="4"/>
        <v>0</v>
      </c>
    </row>
    <row r="277" spans="1:4" x14ac:dyDescent="0.25">
      <c r="A277" t="s">
        <v>277</v>
      </c>
      <c r="B277">
        <f>IFERROR(SUMIF(Square!$A:$A,A277,Square!$B:$B),0)</f>
        <v>0</v>
      </c>
      <c r="C277">
        <f>IFERROR(SUMIF(QuickBooks!$A:$A,A277,QuickBooks!$B:$B),0)</f>
        <v>2</v>
      </c>
      <c r="D277">
        <f t="shared" si="4"/>
        <v>2</v>
      </c>
    </row>
    <row r="278" spans="1:4" x14ac:dyDescent="0.25">
      <c r="A278" t="s">
        <v>278</v>
      </c>
      <c r="B278">
        <f>IFERROR(SUMIF(Square!$A:$A,A278,Square!$B:$B),0)</f>
        <v>0</v>
      </c>
      <c r="C278">
        <f>IFERROR(SUMIF(QuickBooks!$A:$A,A278,QuickBooks!$B:$B),0)</f>
        <v>4</v>
      </c>
      <c r="D278">
        <f t="shared" si="4"/>
        <v>4</v>
      </c>
    </row>
    <row r="279" spans="1:4" x14ac:dyDescent="0.25">
      <c r="A279" t="s">
        <v>279</v>
      </c>
      <c r="B279">
        <f>IFERROR(SUMIF(Square!$A:$A,A279,Square!$B:$B),0)</f>
        <v>0</v>
      </c>
      <c r="C279">
        <f>IFERROR(SUMIF(QuickBooks!$A:$A,A279,QuickBooks!$B:$B),0)</f>
        <v>1</v>
      </c>
      <c r="D279">
        <f t="shared" si="4"/>
        <v>1</v>
      </c>
    </row>
    <row r="280" spans="1:4" x14ac:dyDescent="0.25">
      <c r="A280" t="s">
        <v>280</v>
      </c>
      <c r="B280">
        <f>IFERROR(SUMIF(Square!$A:$A,A280,Square!$B:$B),0)</f>
        <v>0</v>
      </c>
      <c r="C280">
        <f>IFERROR(SUMIF(QuickBooks!$A:$A,A280,QuickBooks!$B:$B),0)</f>
        <v>16515.650000000001</v>
      </c>
      <c r="D280">
        <f t="shared" si="4"/>
        <v>16515.650000000001</v>
      </c>
    </row>
    <row r="281" spans="1:4" x14ac:dyDescent="0.25">
      <c r="A281" t="s">
        <v>281</v>
      </c>
      <c r="B281">
        <f>IFERROR(SUMIF(Square!$A:$A,A281,Square!$B:$B),0)</f>
        <v>0</v>
      </c>
      <c r="C281">
        <f>IFERROR(SUMIF(QuickBooks!$A:$A,A281,QuickBooks!$B:$B),0)</f>
        <v>16535.650000000001</v>
      </c>
      <c r="D281">
        <f t="shared" si="4"/>
        <v>16535.650000000001</v>
      </c>
    </row>
    <row r="282" spans="1:4" x14ac:dyDescent="0.25">
      <c r="A282" t="s">
        <v>282</v>
      </c>
      <c r="B282">
        <f>IFERROR(SUMIF(Square!$A:$A,A282,Square!$B:$B),0)</f>
        <v>0</v>
      </c>
      <c r="C282">
        <f>IFERROR(SUMIF(QuickBooks!$A:$A,A282,QuickBooks!$B:$B),0)</f>
        <v>33755.300000000003</v>
      </c>
      <c r="D282">
        <f t="shared" si="4"/>
        <v>33755.300000000003</v>
      </c>
    </row>
    <row r="283" spans="1:4" x14ac:dyDescent="0.25">
      <c r="A283" t="s">
        <v>283</v>
      </c>
      <c r="B283">
        <f>IFERROR(SUMIF(Square!$A:$A,A283,Square!$B:$B),0)</f>
        <v>0</v>
      </c>
      <c r="C283">
        <f>IFERROR(SUMIF(QuickBooks!$A:$A,A283,QuickBooks!$B:$B),0)</f>
        <v>68022.350000000006</v>
      </c>
      <c r="D283">
        <f t="shared" si="4"/>
        <v>68022.350000000006</v>
      </c>
    </row>
    <row r="284" spans="1:4" x14ac:dyDescent="0.25">
      <c r="A284" t="s">
        <v>284</v>
      </c>
      <c r="B284">
        <f>IFERROR(SUMIF(Square!$A:$A,A284,Square!$B:$B),0)</f>
        <v>0</v>
      </c>
      <c r="C284">
        <f>IFERROR(SUMIF(QuickBooks!$A:$A,A284,QuickBooks!$B:$B),0)</f>
        <v>134861.95000000001</v>
      </c>
      <c r="D284">
        <f t="shared" si="4"/>
        <v>134861.95000000001</v>
      </c>
    </row>
    <row r="285" spans="1:4" x14ac:dyDescent="0.25">
      <c r="A285" t="s">
        <v>285</v>
      </c>
      <c r="B285">
        <f>IFERROR(SUMIF(Square!$A:$A,A285,Square!$B:$B),0)</f>
        <v>0</v>
      </c>
      <c r="C285">
        <f>IFERROR(SUMIF(QuickBooks!$A:$A,A285,QuickBooks!$B:$B),0)</f>
        <v>202884.3</v>
      </c>
      <c r="D285">
        <f t="shared" si="4"/>
        <v>202884.3</v>
      </c>
    </row>
    <row r="286" spans="1:4" x14ac:dyDescent="0.25">
      <c r="A286" t="s">
        <v>286</v>
      </c>
      <c r="B286">
        <f>IFERROR(SUMIF(Square!$A:$A,A286,Square!$B:$B),0)</f>
        <v>0</v>
      </c>
      <c r="C286">
        <f>IFERROR(SUMIF(QuickBooks!$A:$A,A286,QuickBooks!$B:$B),0)</f>
        <v>472599.20000000013</v>
      </c>
      <c r="D286">
        <f t="shared" si="4"/>
        <v>472599.20000000013</v>
      </c>
    </row>
    <row r="287" spans="1:4" x14ac:dyDescent="0.25">
      <c r="A287" t="s">
        <v>287</v>
      </c>
      <c r="B287">
        <f>IFERROR(SUMIF(Square!$A:$A,A287,Square!$B:$B),0)</f>
        <v>0</v>
      </c>
      <c r="C287">
        <f>IFERROR(SUMIF(QuickBooks!$A:$A,A287,QuickBooks!$B:$B),0)</f>
        <v>945200.40000000014</v>
      </c>
      <c r="D287">
        <f t="shared" si="4"/>
        <v>945200.40000000014</v>
      </c>
    </row>
    <row r="288" spans="1:4" x14ac:dyDescent="0.25">
      <c r="A288" t="s">
        <v>288</v>
      </c>
      <c r="B288">
        <f>IFERROR(SUMIF(Square!$A:$A,A288,Square!$B:$B),0)</f>
        <v>0</v>
      </c>
      <c r="C288">
        <f>IFERROR(SUMIF(QuickBooks!$A:$A,A288,QuickBooks!$B:$B),0)</f>
        <v>1620683.9</v>
      </c>
      <c r="D288">
        <f t="shared" si="4"/>
        <v>1620683.9</v>
      </c>
    </row>
    <row r="289" spans="1:4" x14ac:dyDescent="0.25">
      <c r="A289" t="s">
        <v>289</v>
      </c>
      <c r="B289">
        <f>IFERROR(SUMIF(Square!$A:$A,A289,Square!$B:$B),0)</f>
        <v>0</v>
      </c>
      <c r="C289">
        <f>IFERROR(SUMIF(QuickBooks!$A:$A,A289,QuickBooks!$B:$B),0)</f>
        <v>3511282.7000000011</v>
      </c>
      <c r="D289">
        <f t="shared" si="4"/>
        <v>3511282.7000000011</v>
      </c>
    </row>
    <row r="290" spans="1:4" x14ac:dyDescent="0.25">
      <c r="A290" t="s">
        <v>290</v>
      </c>
      <c r="B290">
        <f>IFERROR(SUMIF(Square!$A:$A,A290,Square!$B:$B),0)</f>
        <v>0</v>
      </c>
      <c r="C290">
        <f>IFERROR(SUMIF(QuickBooks!$A:$A,A290,QuickBooks!$B:$B),0)</f>
        <v>6549766.2000000011</v>
      </c>
      <c r="D290">
        <f t="shared" si="4"/>
        <v>6549766.2000000011</v>
      </c>
    </row>
    <row r="291" spans="1:4" x14ac:dyDescent="0.25">
      <c r="A291" t="s">
        <v>291</v>
      </c>
      <c r="B291">
        <f>IFERROR(SUMIF(Square!$A:$A,A291,Square!$B:$B),0)</f>
        <v>0</v>
      </c>
      <c r="C291">
        <f>IFERROR(SUMIF(QuickBooks!$A:$A,A291,QuickBooks!$B:$B),0)</f>
        <v>13539056.300000001</v>
      </c>
      <c r="D291">
        <f t="shared" si="4"/>
        <v>13539056.300000001</v>
      </c>
    </row>
    <row r="292" spans="1:4" x14ac:dyDescent="0.25">
      <c r="A292" t="s">
        <v>292</v>
      </c>
      <c r="B292">
        <f>IFERROR(SUMIF(Square!$A:$A,A292,Square!$B:$B),0)</f>
        <v>0</v>
      </c>
      <c r="C292">
        <f>IFERROR(SUMIF(QuickBooks!$A:$A,A292,QuickBooks!$B:$B),0)</f>
        <v>21</v>
      </c>
      <c r="D292">
        <f t="shared" si="4"/>
        <v>21</v>
      </c>
    </row>
    <row r="293" spans="1:4" x14ac:dyDescent="0.25">
      <c r="A293" t="s">
        <v>293</v>
      </c>
      <c r="B293">
        <f>IFERROR(SUMIF(Square!$A:$A,A293,Square!$B:$B),0)</f>
        <v>0</v>
      </c>
      <c r="C293">
        <f>IFERROR(SUMIF(QuickBooks!$A:$A,A293,QuickBooks!$B:$B),0)</f>
        <v>147</v>
      </c>
      <c r="D293">
        <f t="shared" si="4"/>
        <v>147</v>
      </c>
    </row>
    <row r="294" spans="1:4" x14ac:dyDescent="0.25">
      <c r="A294" t="s">
        <v>294</v>
      </c>
      <c r="B294">
        <f>IFERROR(SUMIF(Square!$A:$A,A294,Square!$B:$B),0)</f>
        <v>0</v>
      </c>
      <c r="C294">
        <f>IFERROR(SUMIF(QuickBooks!$A:$A,A294,QuickBooks!$B:$B),0)</f>
        <v>24</v>
      </c>
      <c r="D294">
        <f t="shared" si="4"/>
        <v>24</v>
      </c>
    </row>
    <row r="295" spans="1:4" x14ac:dyDescent="0.25">
      <c r="A295" t="s">
        <v>295</v>
      </c>
      <c r="B295">
        <f>IFERROR(SUMIF(Square!$A:$A,A295,Square!$B:$B),0)</f>
        <v>0</v>
      </c>
      <c r="C295">
        <f>IFERROR(SUMIF(QuickBooks!$A:$A,A295,QuickBooks!$B:$B),0)</f>
        <v>2</v>
      </c>
      <c r="D295">
        <f t="shared" si="4"/>
        <v>2</v>
      </c>
    </row>
    <row r="296" spans="1:4" x14ac:dyDescent="0.25">
      <c r="A296" t="s">
        <v>296</v>
      </c>
      <c r="B296">
        <f>IFERROR(SUMIF(Square!$A:$A,A296,Square!$B:$B),0)</f>
        <v>0</v>
      </c>
      <c r="C296">
        <f>IFERROR(SUMIF(QuickBooks!$A:$A,A296,QuickBooks!$B:$B),0)</f>
        <v>147</v>
      </c>
      <c r="D296">
        <f t="shared" si="4"/>
        <v>147</v>
      </c>
    </row>
    <row r="297" spans="1:4" x14ac:dyDescent="0.25">
      <c r="A297" t="s">
        <v>297</v>
      </c>
      <c r="B297">
        <f>IFERROR(SUMIF(Square!$A:$A,A297,Square!$B:$B),0)</f>
        <v>0</v>
      </c>
      <c r="C297">
        <f>IFERROR(SUMIF(QuickBooks!$A:$A,A297,QuickBooks!$B:$B),0)</f>
        <v>108</v>
      </c>
      <c r="D297">
        <f t="shared" si="4"/>
        <v>108</v>
      </c>
    </row>
    <row r="298" spans="1:4" x14ac:dyDescent="0.25">
      <c r="A298" t="s">
        <v>298</v>
      </c>
      <c r="B298">
        <f>IFERROR(SUMIF(Square!$A:$A,A298,Square!$B:$B),0)</f>
        <v>0</v>
      </c>
      <c r="C298">
        <f>IFERROR(SUMIF(QuickBooks!$A:$A,A298,QuickBooks!$B:$B),0)</f>
        <v>63</v>
      </c>
      <c r="D298">
        <f t="shared" si="4"/>
        <v>63</v>
      </c>
    </row>
    <row r="299" spans="1:4" x14ac:dyDescent="0.25">
      <c r="A299" t="s">
        <v>299</v>
      </c>
      <c r="B299">
        <f>IFERROR(SUMIF(Square!$A:$A,A299,Square!$B:$B),0)</f>
        <v>0</v>
      </c>
      <c r="C299">
        <f>IFERROR(SUMIF(QuickBooks!$A:$A,A299,QuickBooks!$B:$B),0)</f>
        <v>16</v>
      </c>
      <c r="D299">
        <f t="shared" si="4"/>
        <v>16</v>
      </c>
    </row>
    <row r="300" spans="1:4" x14ac:dyDescent="0.25">
      <c r="A300" t="s">
        <v>300</v>
      </c>
      <c r="B300">
        <f>IFERROR(SUMIF(Square!$A:$A,A300,Square!$B:$B),0)</f>
        <v>0</v>
      </c>
      <c r="C300">
        <f>IFERROR(SUMIF(QuickBooks!$A:$A,A300,QuickBooks!$B:$B),0)</f>
        <v>0</v>
      </c>
      <c r="D300">
        <f t="shared" si="4"/>
        <v>0</v>
      </c>
    </row>
    <row r="301" spans="1:4" x14ac:dyDescent="0.25">
      <c r="A301" t="s">
        <v>301</v>
      </c>
      <c r="B301">
        <f>IFERROR(SUMIF(Square!$A:$A,A301,Square!$B:$B),0)</f>
        <v>0</v>
      </c>
      <c r="C301">
        <f>IFERROR(SUMIF(QuickBooks!$A:$A,A301,QuickBooks!$B:$B),0)</f>
        <v>0</v>
      </c>
      <c r="D301">
        <f t="shared" si="4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Square</vt:lpstr>
      <vt:lpstr>QuickBooks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Chi, Banghao</cp:lastModifiedBy>
  <dcterms:created xsi:type="dcterms:W3CDTF">2025-10-17T06:54:07Z</dcterms:created>
  <dcterms:modified xsi:type="dcterms:W3CDTF">2026-06-04T01:34:25Z</dcterms:modified>
</cp:coreProperties>
</file>