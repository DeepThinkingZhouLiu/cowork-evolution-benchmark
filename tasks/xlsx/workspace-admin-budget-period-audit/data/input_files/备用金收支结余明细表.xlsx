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60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<sst xmlns="http://schemas.openxmlformats.org/spreadsheetml/2006/main" count="74" uniqueCount="45">
  <si>
    <t>备用金收支明细表</t>
  </si>
  <si>
    <t>备用金余额</t>
  </si>
  <si>
    <t>结束日期</t>
  </si>
  <si>
    <t>备用金总额</t>
  </si>
  <si>
    <t>日期</t>
  </si>
  <si>
    <t>存入</t>
  </si>
  <si>
    <t>支出</t>
  </si>
  <si>
    <t>项目</t>
  </si>
  <si>
    <t>情况说明</t>
  </si>
  <si>
    <t>金额（元）</t>
  </si>
  <si>
    <t>支出项目报销情况说明</t>
  </si>
  <si>
    <t>备用金领用</t>
  </si>
  <si>
    <t>上海展会备用金</t>
  </si>
  <si>
    <t>团建用酒4瓶</t>
  </si>
  <si>
    <t>天丰楼下旺角烟酒店替票</t>
  </si>
  <si>
    <t>对应颜色部分报销回款</t>
  </si>
  <si>
    <t>32G联想tu100U盘2个</t>
  </si>
  <si>
    <t>旗舰店购买，采购部行政部各一枚</t>
  </si>
  <si>
    <t>差价补费</t>
  </si>
  <si>
    <t>XX经销商自费差价</t>
  </si>
  <si>
    <t>补优质经销商授权牌1个</t>
  </si>
  <si>
    <t>展会用手提样品押金</t>
  </si>
  <si>
    <t>临时办公桌3个</t>
  </si>
  <si>
    <t>新增员工用，企业部2个、财务部1个</t>
  </si>
  <si>
    <t>3800W蒸汽清洁机1台</t>
  </si>
  <si>
    <t>淘宝购买，工厂精洗设备用</t>
  </si>
  <si>
    <t>上海展会用人型穿戴偶</t>
  </si>
  <si>
    <t>淘宝购买</t>
  </si>
  <si>
    <t>新零售授权牌1套</t>
  </si>
  <si>
    <t>河北保定刘欢 1月7日</t>
  </si>
  <si>
    <t>上海展会用束口袋样品20个</t>
  </si>
  <si>
    <t>1688购买，7*9   0.085元/个</t>
  </si>
  <si>
    <t>上海展会用束口袋样品100个</t>
  </si>
  <si>
    <t>1688购买，7*9   0.09元/个</t>
  </si>
  <si>
    <t>93枚装科目章</t>
  </si>
  <si>
    <t>上海展会用大精油瓶</t>
  </si>
  <si>
    <t>工厂30*30抹布</t>
  </si>
  <si>
    <t>淘宝购买，工厂用</t>
  </si>
  <si>
    <t>垃圾袋32*52 50捆</t>
  </si>
  <si>
    <t>得力美工刀10把+刀片5盒</t>
  </si>
  <si>
    <t>淘宝得力旗舰店购买，工厂用</t>
  </si>
  <si>
    <t>物流部2000个编织袋0.575/个</t>
  </si>
  <si>
    <t>1688购买，60*110</t>
  </si>
  <si>
    <t>展架1套</t>
  </si>
  <si>
    <t>购买样品一个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</si>
</sst>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m&quot;月&quot;d&quot;日&quot;;@"/>
  </numFmts>
  <fonts count="28">
    <font>
      <sz val="12"/>
      <name val="宋体"/>
      <charset val="134"/>
    </font>
    <font>
      <b/>
      <sz val="22"/>
      <name val="宋体"/>
      <charset val="134"/>
    </font>
    <font>
      <sz val="12"/>
      <color theme="1" tint="0.05"/>
      <name val="宋体"/>
      <charset val="134"/>
    </font>
    <font>
      <b/>
      <sz val="12"/>
      <color theme="0"/>
      <name val="微软雅黑"/>
      <charset val="134"/>
    </font>
    <font>
      <sz val="12"/>
      <color theme="1" tint="0.25"/>
      <name val="宋体"/>
      <charset val="134"/>
    </font>
    <font>
      <sz val="11"/>
      <color theme="1" tint="0.25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3E46"/>
        <bgColor indexed="64"/>
      </patternFill>
    </fill>
    <fill>
      <patternFill patternType="solid">
        <fgColor rgb="FF00AD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5"/>
      </left>
      <right style="thin">
        <color theme="0"/>
      </right>
      <top style="thin">
        <color theme="0" tint="-0.3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35"/>
      </top>
      <bottom style="thin">
        <color theme="0"/>
      </bottom>
      <diagonal/>
    </border>
    <border>
      <left style="thin">
        <color theme="0" tint="-0.35"/>
      </left>
      <right style="thin">
        <color theme="0"/>
      </right>
      <top style="thin">
        <color theme="0"/>
      </top>
      <bottom style="hair">
        <color theme="0" tint="-0.3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0" tint="-0.35"/>
      </bottom>
      <diagonal/>
    </border>
    <border>
      <left style="thin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>
      <left style="thin">
        <color theme="0" tint="-0.35"/>
      </left>
      <right style="hair">
        <color theme="0" tint="-0.35"/>
      </right>
      <top style="hair">
        <color theme="0" tint="-0.35"/>
      </top>
      <bottom style="thin">
        <color theme="0" tint="-0.35"/>
      </bottom>
      <diagonal/>
    </border>
    <border>
      <left style="hair">
        <color theme="0" tint="-0.35"/>
      </left>
      <right style="hair">
        <color theme="0" tint="-0.35"/>
      </right>
      <top style="hair">
        <color theme="0" tint="-0.35"/>
      </top>
      <bottom style="thin">
        <color theme="0" tint="-0.35"/>
      </bottom>
      <diagonal/>
    </border>
    <border>
      <left style="thin">
        <color theme="0"/>
      </left>
      <right style="thin">
        <color theme="0" tint="-0.35"/>
      </right>
      <top style="thin">
        <color theme="0" tint="-0.35"/>
      </top>
      <bottom style="thin">
        <color theme="0"/>
      </bottom>
      <diagonal/>
    </border>
    <border>
      <left style="thin">
        <color theme="0"/>
      </left>
      <right style="thin">
        <color theme="0" tint="-0.35"/>
      </right>
      <top style="thin">
        <color theme="0"/>
      </top>
      <bottom style="hair">
        <color theme="0" tint="-0.35"/>
      </bottom>
      <diagonal/>
    </border>
    <border>
      <left style="hair">
        <color theme="0" tint="-0.35"/>
      </left>
      <right style="thin">
        <color theme="0" tint="-0.35"/>
      </right>
      <top style="hair">
        <color theme="0" tint="-0.35"/>
      </top>
      <bottom style="hair">
        <color theme="0" tint="-0.35"/>
      </bottom>
      <diagonal/>
    </border>
    <border>
      <left style="hair">
        <color theme="0" tint="-0.35"/>
      </left>
      <right style="thin">
        <color theme="0" tint="-0.35"/>
      </right>
      <top style="hair">
        <color theme="0" tint="-0.35"/>
      </top>
      <bottom style="thin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77" fontId="4" fillId="2" borderId="0" xfId="0" applyNumberFormat="1" applyFont="1" applyFill="1" applyBorder="1" applyAlignment="1">
      <alignment horizontal="center" vertical="center"/>
    </xf>
    <xf numFmtId="44" fontId="4" fillId="2" borderId="0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4" fontId="5" fillId="2" borderId="6" xfId="0" applyNumberFormat="1" applyFont="1" applyFill="1" applyBorder="1" applyAlignment="1">
      <alignment horizontal="center" vertical="center"/>
    </xf>
    <xf numFmtId="177" fontId="5" fillId="2" borderId="6" xfId="0" applyNumberFormat="1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44" fontId="6" fillId="2" borderId="6" xfId="0" applyNumberFormat="1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4" fontId="7" fillId="2" borderId="6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44" fontId="6" fillId="2" borderId="8" xfId="0" applyNumberFormat="1" applyFont="1" applyFill="1" applyBorder="1" applyAlignment="1">
      <alignment horizontal="center" vertical="center"/>
    </xf>
    <xf numFmtId="177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4" fontId="7" fillId="2" borderId="8" xfId="0" applyNumberFormat="1" applyFont="1" applyFill="1" applyBorder="1" applyAlignment="1">
      <alignment horizontal="center" vertical="center"/>
    </xf>
    <xf numFmtId="44" fontId="2" fillId="2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FEF9"/>
      <color rgb="00BDD9FC"/>
      <color rgb="00DDC3E9"/>
      <color rgb="00ADD0FC"/>
      <color rgb="00D0ACE1"/>
      <color rgb="00799AC3"/>
      <color rgb="00383E46"/>
      <color rgb="0000ADB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7"/>
  <sheetViews>
    <sheetView showGridLines="0" tabSelected="1" zoomScale="85" zoomScaleNormal="85" workbookViewId="0">
      <selection activeCell="P16" sqref="P16"/>
    </sheetView>
  </sheetViews>
  <sheetFormatPr defaultColWidth="9" defaultRowHeight="15"/>
  <cols>
    <col min="1" max="1" width="3" customWidth="1"/>
    <col min="2" max="2" width="11.5" style="1" customWidth="1"/>
    <col min="3" max="3" width="21.875" style="1" customWidth="1"/>
    <col min="4" max="4" width="20.625" style="2" customWidth="1"/>
    <col min="5" max="5" width="24.5" style="2" customWidth="1"/>
    <col min="6" max="6" width="12.125" style="2" customWidth="1"/>
    <col min="7" max="7" width="26" style="3" customWidth="1"/>
    <col min="8" max="8" width="23.875" style="2" customWidth="1"/>
    <col min="9" max="9" width="30.875" style="3" customWidth="1"/>
    <col min="10" max="10" width="2.625" style="3" customWidth="1"/>
  </cols>
  <sheetData>
    <row r="2" ht="43" customHeight="1" spans="2:9">
      <c r="B2" s="4" t="s">
        <v>0</v>
      </c>
      <c r="C2" s="4"/>
      <c r="D2" s="4"/>
      <c r="E2" s="4"/>
      <c r="F2" s="4"/>
      <c r="G2" s="4"/>
      <c r="H2" s="4"/>
      <c r="I2" s="4"/>
    </row>
    <row r="3" ht="13" customHeight="1" spans="2:9">
      <c r="B3" s="4"/>
      <c r="C3" s="4"/>
      <c r="D3" s="4"/>
      <c r="E3" s="4"/>
      <c r="F3" s="4"/>
      <c r="G3" s="4"/>
      <c r="H3" s="5" t="s">
        <v>1</v>
      </c>
      <c r="I3" s="38">
        <f>SUM(E8:E9999)-SUM(H8:H9999)</f>
        <v>54168.8</v>
      </c>
    </row>
    <row r="4" ht="29" customHeight="1" spans="2:9">
      <c r="B4" s="6"/>
      <c r="C4" s="6" t="s">
        <v>2</v>
      </c>
      <c r="D4" s="6" t="s">
        <v>2</v>
      </c>
      <c r="E4" s="6" t="s">
        <v>3</v>
      </c>
      <c r="F4" s="7"/>
      <c r="G4" s="7" t="s">
        <v>2</v>
      </c>
      <c r="H4" s="7" t="s">
        <v>2</v>
      </c>
      <c r="I4" s="7" t="s">
        <v>3</v>
      </c>
    </row>
    <row r="5" ht="30" customHeight="1" spans="2:9">
      <c r="B5" s="8"/>
      <c r="C5" s="9">
        <v>45413</v>
      </c>
      <c r="D5" s="9">
        <v>45427</v>
      </c>
      <c r="E5" s="10" cm="1">
        <f t="array" ref="E5">SUMPRODUCT((B8:B10000&gt;=C5)*($B$8:$B$10000&lt;=D5)*E8:E10000)</f>
        <v>62423.2</v>
      </c>
      <c r="F5" s="8"/>
      <c r="G5" s="9">
        <v>45413</v>
      </c>
      <c r="H5" s="9">
        <v>45427</v>
      </c>
      <c r="I5" s="10" cm="1">
        <f t="array" ref="I5">SUMPRODUCT((F8:F10000&gt;=C5)*($F$8:$F$10000&lt;=D5)*H8:H10000)</f>
        <v>8293.4</v>
      </c>
    </row>
    <row r="6" ht="30" customHeight="1" spans="2:9">
      <c r="B6" s="11" t="s">
        <v>4</v>
      </c>
      <c r="C6" s="12" t="s">
        <v>5</v>
      </c>
      <c r="D6" s="12"/>
      <c r="E6" s="12"/>
      <c r="F6" s="13" t="s">
        <v>6</v>
      </c>
      <c r="G6" s="13"/>
      <c r="H6" s="13"/>
      <c r="I6" s="39"/>
    </row>
    <row r="7" ht="25" customHeight="1" spans="2:9">
      <c r="B7" s="14"/>
      <c r="C7" s="15" t="s">
        <v>7</v>
      </c>
      <c r="D7" s="16" t="s">
        <v>8</v>
      </c>
      <c r="E7" s="16" t="s">
        <v>9</v>
      </c>
      <c r="F7" s="17" t="s">
        <v>4</v>
      </c>
      <c r="G7" s="18" t="s">
        <v>7</v>
      </c>
      <c r="H7" s="17" t="s">
        <v>9</v>
      </c>
      <c r="I7" s="40" t="s">
        <v>10</v>
      </c>
    </row>
    <row r="8" ht="20" customHeight="1" spans="2:9">
      <c r="B8" s="19">
        <v>45413</v>
      </c>
      <c r="C8" s="20" t="s">
        <v>11</v>
      </c>
      <c r="D8" s="20" t="s">
        <v>12</v>
      </c>
      <c r="E8" s="21">
        <v>10000</v>
      </c>
      <c r="F8" s="22">
        <v>45414</v>
      </c>
      <c r="G8" s="20" t="s">
        <v>13</v>
      </c>
      <c r="H8" s="21">
        <v>60</v>
      </c>
      <c r="I8" s="41" t="s">
        <v>14</v>
      </c>
    </row>
    <row r="9" ht="20" customHeight="1" spans="2:9">
      <c r="B9" s="19">
        <v>45414</v>
      </c>
      <c r="C9" s="20" t="s">
        <v>15</v>
      </c>
      <c r="D9" s="23"/>
      <c r="E9" s="21">
        <v>3605.8</v>
      </c>
      <c r="F9" s="22">
        <v>45415</v>
      </c>
      <c r="G9" s="20" t="s">
        <v>16</v>
      </c>
      <c r="H9" s="21">
        <v>59.8</v>
      </c>
      <c r="I9" s="41" t="s">
        <v>17</v>
      </c>
    </row>
    <row r="10" ht="20" customHeight="1" spans="2:9">
      <c r="B10" s="19">
        <v>45415</v>
      </c>
      <c r="C10" s="20" t="s">
        <v>18</v>
      </c>
      <c r="D10" s="23" t="s">
        <v>19</v>
      </c>
      <c r="E10" s="21">
        <v>1250</v>
      </c>
      <c r="F10" s="22">
        <v>45416</v>
      </c>
      <c r="G10" s="20" t="s">
        <v>20</v>
      </c>
      <c r="H10" s="21">
        <v>93</v>
      </c>
      <c r="I10" s="41"/>
    </row>
    <row r="11" ht="20" customHeight="1" spans="2:9">
      <c r="B11" s="19">
        <v>45416</v>
      </c>
      <c r="C11" s="20" t="s">
        <v>21</v>
      </c>
      <c r="D11" s="23"/>
      <c r="E11" s="21">
        <v>1000</v>
      </c>
      <c r="F11" s="22">
        <v>45417</v>
      </c>
      <c r="G11" s="20" t="s">
        <v>22</v>
      </c>
      <c r="H11" s="21">
        <v>810</v>
      </c>
      <c r="I11" s="41" t="s">
        <v>23</v>
      </c>
    </row>
    <row r="12" ht="20" customHeight="1" spans="2:9">
      <c r="B12" s="19">
        <v>45417</v>
      </c>
      <c r="C12" s="20" t="s">
        <v>11</v>
      </c>
      <c r="D12" s="20" t="s">
        <v>12</v>
      </c>
      <c r="E12" s="21">
        <v>10000</v>
      </c>
      <c r="F12" s="22">
        <v>45418</v>
      </c>
      <c r="G12" s="20" t="s">
        <v>24</v>
      </c>
      <c r="H12" s="21">
        <v>1320</v>
      </c>
      <c r="I12" s="41" t="s">
        <v>25</v>
      </c>
    </row>
    <row r="13" ht="20" customHeight="1" spans="2:9">
      <c r="B13" s="19">
        <v>45418</v>
      </c>
      <c r="C13" s="20" t="s">
        <v>11</v>
      </c>
      <c r="D13" s="23"/>
      <c r="E13" s="21">
        <v>3605.8</v>
      </c>
      <c r="F13" s="22">
        <v>45419</v>
      </c>
      <c r="G13" s="20" t="s">
        <v>26</v>
      </c>
      <c r="H13" s="21">
        <v>1330</v>
      </c>
      <c r="I13" s="41" t="s">
        <v>27</v>
      </c>
    </row>
    <row r="14" ht="20" customHeight="1" spans="2:9">
      <c r="B14" s="19">
        <v>45419</v>
      </c>
      <c r="C14" s="20" t="s">
        <v>15</v>
      </c>
      <c r="D14" s="23" t="s">
        <v>19</v>
      </c>
      <c r="E14" s="21">
        <v>1250</v>
      </c>
      <c r="F14" s="22">
        <v>45420</v>
      </c>
      <c r="G14" s="20" t="s">
        <v>28</v>
      </c>
      <c r="H14" s="21">
        <v>17.9</v>
      </c>
      <c r="I14" s="41" t="s">
        <v>29</v>
      </c>
    </row>
    <row r="15" ht="20" customHeight="1" spans="2:9">
      <c r="B15" s="19">
        <v>45420</v>
      </c>
      <c r="C15" s="20" t="s">
        <v>18</v>
      </c>
      <c r="D15" s="23"/>
      <c r="E15" s="21">
        <v>1000</v>
      </c>
      <c r="F15" s="22">
        <v>45421</v>
      </c>
      <c r="G15" s="20" t="s">
        <v>30</v>
      </c>
      <c r="H15" s="21">
        <v>1.8</v>
      </c>
      <c r="I15" s="41" t="s">
        <v>31</v>
      </c>
    </row>
    <row r="16" ht="20" customHeight="1" spans="2:9">
      <c r="B16" s="19">
        <v>45421</v>
      </c>
      <c r="C16" s="20" t="s">
        <v>21</v>
      </c>
      <c r="D16" s="20" t="s">
        <v>12</v>
      </c>
      <c r="E16" s="21">
        <v>10000</v>
      </c>
      <c r="F16" s="22">
        <v>45422</v>
      </c>
      <c r="G16" s="20" t="s">
        <v>32</v>
      </c>
      <c r="H16" s="21">
        <v>14.5</v>
      </c>
      <c r="I16" s="41" t="s">
        <v>33</v>
      </c>
    </row>
    <row r="17" ht="20" customHeight="1" spans="2:9">
      <c r="B17" s="19">
        <v>45422</v>
      </c>
      <c r="C17" s="20" t="s">
        <v>11</v>
      </c>
      <c r="D17" s="23"/>
      <c r="E17" s="21">
        <v>3605.8</v>
      </c>
      <c r="F17" s="22">
        <v>45423</v>
      </c>
      <c r="G17" s="20" t="s">
        <v>34</v>
      </c>
      <c r="H17" s="21">
        <v>49.5</v>
      </c>
      <c r="I17" s="41" t="s">
        <v>27</v>
      </c>
    </row>
    <row r="18" ht="20" customHeight="1" spans="2:9">
      <c r="B18" s="19">
        <v>45423</v>
      </c>
      <c r="C18" s="20" t="s">
        <v>11</v>
      </c>
      <c r="D18" s="23" t="s">
        <v>19</v>
      </c>
      <c r="E18" s="21">
        <v>1250</v>
      </c>
      <c r="F18" s="22">
        <v>45424</v>
      </c>
      <c r="G18" s="20" t="s">
        <v>35</v>
      </c>
      <c r="H18" s="21">
        <v>4300</v>
      </c>
      <c r="I18" s="41" t="s">
        <v>27</v>
      </c>
    </row>
    <row r="19" ht="20" customHeight="1" spans="2:9">
      <c r="B19" s="19">
        <v>45424</v>
      </c>
      <c r="C19" s="20" t="s">
        <v>15</v>
      </c>
      <c r="D19" s="23"/>
      <c r="E19" s="21">
        <v>1000</v>
      </c>
      <c r="F19" s="22">
        <v>45425</v>
      </c>
      <c r="G19" s="20" t="s">
        <v>36</v>
      </c>
      <c r="H19" s="21">
        <v>23.9</v>
      </c>
      <c r="I19" s="41" t="s">
        <v>37</v>
      </c>
    </row>
    <row r="20" ht="20" customHeight="1" spans="2:9">
      <c r="B20" s="19">
        <v>45425</v>
      </c>
      <c r="C20" s="20" t="s">
        <v>18</v>
      </c>
      <c r="D20" s="20" t="s">
        <v>12</v>
      </c>
      <c r="E20" s="21">
        <v>10000</v>
      </c>
      <c r="F20" s="22">
        <v>45426</v>
      </c>
      <c r="G20" s="20" t="s">
        <v>38</v>
      </c>
      <c r="H20" s="21">
        <v>154.5</v>
      </c>
      <c r="I20" s="41" t="s">
        <v>37</v>
      </c>
    </row>
    <row r="21" ht="20" customHeight="1" spans="2:9">
      <c r="B21" s="19">
        <v>45426</v>
      </c>
      <c r="C21" s="20" t="s">
        <v>21</v>
      </c>
      <c r="D21" s="23"/>
      <c r="E21" s="21">
        <v>3605.8</v>
      </c>
      <c r="F21" s="22">
        <v>45427</v>
      </c>
      <c r="G21" s="20" t="s">
        <v>39</v>
      </c>
      <c r="H21" s="21">
        <v>58.5</v>
      </c>
      <c r="I21" s="41" t="s">
        <v>40</v>
      </c>
    </row>
    <row r="22" ht="20" customHeight="1" spans="2:9">
      <c r="B22" s="19">
        <v>45427</v>
      </c>
      <c r="C22" s="20" t="s">
        <v>11</v>
      </c>
      <c r="D22" s="23" t="s">
        <v>19</v>
      </c>
      <c r="E22" s="21">
        <v>1250</v>
      </c>
      <c r="F22" s="22">
        <v>45428</v>
      </c>
      <c r="G22" s="20" t="s">
        <v>41</v>
      </c>
      <c r="H22" s="21">
        <v>1150</v>
      </c>
      <c r="I22" s="41" t="s">
        <v>42</v>
      </c>
    </row>
    <row r="23" ht="20" customHeight="1" spans="2:9">
      <c r="B23" s="19">
        <v>45428</v>
      </c>
      <c r="C23" s="20" t="s">
        <v>11</v>
      </c>
      <c r="D23" s="23" t="s">
        <v>19</v>
      </c>
      <c r="E23" s="21">
        <v>1251</v>
      </c>
      <c r="F23" s="22">
        <v>45429</v>
      </c>
      <c r="G23" s="20" t="s">
        <v>43</v>
      </c>
      <c r="H23" s="21">
        <v>62</v>
      </c>
      <c r="I23" s="41" t="s">
        <v>44</v>
      </c>
    </row>
    <row r="24" ht="20" customHeight="1" spans="2:9">
      <c r="B24" s="19"/>
      <c r="C24" s="20"/>
      <c r="D24" s="23"/>
      <c r="E24" s="21"/>
      <c r="F24" s="22"/>
      <c r="G24" s="20"/>
      <c r="H24" s="21"/>
      <c r="I24" s="41"/>
    </row>
    <row r="25" ht="20" customHeight="1" spans="2:9">
      <c r="B25" s="19"/>
      <c r="C25" s="20"/>
      <c r="D25" s="23"/>
      <c r="E25" s="21"/>
      <c r="F25" s="22"/>
      <c r="G25" s="20"/>
      <c r="H25" s="21"/>
      <c r="I25" s="41"/>
    </row>
    <row r="26" ht="20" customHeight="1" spans="2:9">
      <c r="B26" s="19"/>
      <c r="C26" s="20"/>
      <c r="D26" s="23"/>
      <c r="E26" s="21"/>
      <c r="F26" s="22"/>
      <c r="G26" s="20"/>
      <c r="H26" s="21"/>
      <c r="I26" s="41"/>
    </row>
    <row r="27" ht="20" customHeight="1" spans="2:9">
      <c r="B27" s="19"/>
      <c r="C27" s="20"/>
      <c r="D27" s="23"/>
      <c r="E27" s="21"/>
      <c r="F27" s="22"/>
      <c r="G27" s="20"/>
      <c r="H27" s="21"/>
      <c r="I27" s="41"/>
    </row>
    <row r="28" ht="20" customHeight="1" spans="2:9">
      <c r="B28" s="19"/>
      <c r="C28" s="20"/>
      <c r="D28" s="23"/>
      <c r="E28" s="21"/>
      <c r="F28" s="22"/>
      <c r="G28" s="20"/>
      <c r="H28" s="21"/>
      <c r="I28" s="41"/>
    </row>
    <row r="29" ht="20" customHeight="1" spans="2:9">
      <c r="B29" s="19"/>
      <c r="C29" s="20"/>
      <c r="D29" s="23"/>
      <c r="E29" s="21"/>
      <c r="F29" s="22"/>
      <c r="G29" s="20"/>
      <c r="H29" s="21"/>
      <c r="I29" s="41"/>
    </row>
    <row r="30" ht="20" customHeight="1" spans="2:9">
      <c r="B30" s="19"/>
      <c r="C30" s="20"/>
      <c r="D30" s="23"/>
      <c r="E30" s="21"/>
      <c r="F30" s="22"/>
      <c r="G30" s="20"/>
      <c r="H30" s="21"/>
      <c r="I30" s="41"/>
    </row>
    <row r="31" ht="20" customHeight="1" spans="2:9">
      <c r="B31" s="19"/>
      <c r="C31" s="20"/>
      <c r="D31" s="23"/>
      <c r="E31" s="21"/>
      <c r="F31" s="22"/>
      <c r="G31" s="20"/>
      <c r="H31" s="21"/>
      <c r="I31" s="41"/>
    </row>
    <row r="32" ht="20" customHeight="1" spans="2:9">
      <c r="B32" s="19"/>
      <c r="C32" s="20"/>
      <c r="D32" s="23"/>
      <c r="E32" s="21"/>
      <c r="F32" s="22"/>
      <c r="G32" s="20"/>
      <c r="H32" s="21"/>
      <c r="I32" s="41"/>
    </row>
    <row r="33" ht="20" customHeight="1" spans="2:9">
      <c r="B33" s="24"/>
      <c r="C33" s="25"/>
      <c r="D33" s="26"/>
      <c r="E33" s="27"/>
      <c r="F33" s="28"/>
      <c r="G33" s="29"/>
      <c r="H33" s="30"/>
      <c r="I33" s="42"/>
    </row>
    <row r="34" ht="20" customHeight="1" spans="2:9">
      <c r="B34" s="31"/>
      <c r="C34" s="32"/>
      <c r="D34" s="33"/>
      <c r="E34" s="34"/>
      <c r="F34" s="35"/>
      <c r="G34" s="36"/>
      <c r="H34" s="37"/>
      <c r="I34" s="43"/>
    </row>
    <row r="35" ht="20" customHeight="1"/>
    <row r="36" ht="20" customHeight="1"/>
    <row r="37" ht="20" customHeight="1"/>
  </sheetData>
  <mergeCells count="4">
    <mergeCell ref="B2:I2"/>
    <mergeCell ref="C6:E6"/>
    <mergeCell ref="F6:I6"/>
    <mergeCell ref="B6:B7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徐云峰</cp:lastModifiedBy>
  <dcterms:created xsi:type="dcterms:W3CDTF">2021-04-27T07:13:00Z</dcterms:created>
  <dcterms:modified xsi:type="dcterms:W3CDTF">2024-05-09T07:18:19Z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79553EF5B0684C1BAAC0A0FE1594F489_11</vt:lpwstr>
  </property>
  <property fmtid="{D5CDD505-2E9C-101B-9397-08002B2CF9AE}" pid="3" name="KSOProductBuildVer">
    <vt:lpwstr>2052-12.1.0.16729</vt:lpwstr>
  </property>
  <property fmtid="{D5CDD505-2E9C-101B-9397-08002B2CF9AE}" pid="4" name="KSOTemplateUUID">
    <vt:lpwstr>v1.0_mb_BFK8ZpE7N4SseyH0QxbtoA==</vt:lpwstr>
  </property>
</Properties>
</file>