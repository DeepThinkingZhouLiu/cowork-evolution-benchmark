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2025年度行政费用预算表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S2DocOpenMode" hidden="1">"AS2DocumentEdit"</definedName>
    <definedName name="AS2HasNoAutoHeaderFooter" hidden="1">" "</definedName>
    <definedName name="asj">#REF!</definedName>
    <definedName name="class">[1]Sheet2!$A$2:$A$9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39036.4994560185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_xlnm.Print_Area" localSheetId="0">'2025年度行政费用预算表'!$U$30</definedName>
    <definedName name="_xlnm.Print_Area">[2]其他!$A$1:$E$19</definedName>
    <definedName name="Sheet12">#REF!</definedName>
    <definedName name="Text211">'[3]2-1'!#REF!</definedName>
    <definedName name="Text212">'[3]2-1'!#REF!</definedName>
    <definedName name="Text213">'[3]2-1'!#REF!</definedName>
    <definedName name="Text214">'[3]2-1'!#REF!</definedName>
    <definedName name="Text251">'[3]2-5'!#REF!</definedName>
    <definedName name="Text252">'[3]2-5'!#REF!</definedName>
    <definedName name="Text253">'[3]2-5'!#REF!</definedName>
    <definedName name="Text261">#REF!</definedName>
    <definedName name="Text262">#REF!</definedName>
    <definedName name="Text263">#REF!</definedName>
    <definedName name="Text412">'[3]4-1'!#REF!</definedName>
    <definedName name="Text413">'[3]4-1'!#REF!</definedName>
    <definedName name="Text431">'[3]4-3'!#REF!</definedName>
    <definedName name="Text432">'[3]4-3'!#REF!</definedName>
    <definedName name="Text433">'[3]4-3'!#REF!</definedName>
    <definedName name="Text441">'[3]4-4'!#REF!</definedName>
    <definedName name="Text442">'[3]4-4'!#REF!</definedName>
    <definedName name="Text443">'[3]4-4'!#REF!</definedName>
    <definedName name="Text461">'[3]4-7'!#REF!</definedName>
    <definedName name="TextRefCopyRangeCount" hidden="1">54</definedName>
    <definedName name="部门列表">#REF!</definedName>
    <definedName name="差旅费">#REF!</definedName>
    <definedName name="差旅费新">[2]其他!$A$1:$E$19</definedName>
    <definedName name="公司">#REF!</definedName>
    <definedName name="固定资产">#REF!</definedName>
    <definedName name="会议费2">[2]其他!$A$1:$E$19</definedName>
    <definedName name="年度">#REF!</definedName>
    <definedName name="区域">[4]码表!$A$2:$A$28</definedName>
    <definedName name="区域公司部门">[4]码表!$AA$2:$AA$3</definedName>
    <definedName name="人民商场本级">[5]其他!$A$1:$E$19</definedName>
    <definedName name="调薪类别">[4]码表!$AI$2:$AI$3</definedName>
    <definedName name="万达广场一级部门">[4]码表!$T$2:$T$16</definedName>
    <definedName name="武侯人事费用">[5]其他!$A$1:$E$19</definedName>
    <definedName name="销才">'[3]4-4'!#REF!</definedName>
    <definedName name="职级">[4]码表!$AG$2:$AG$9</definedName>
    <definedName name="装修装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<sst xmlns="http://schemas.openxmlformats.org/spreadsheetml/2006/main" count="65" uniqueCount="59">
  <si>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2025年度行政费用预算表</t>
  </si>
  <si>
    <t>单位：万元</t>
  </si>
  <si>
    <t>一级目录</t>
  </si>
  <si>
    <t>二级目录</t>
  </si>
  <si>
    <t>定义</t>
  </si>
  <si>
    <t>总计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</si>
  <si>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</si>
  <si>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</si>
  <si>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</si>
  <si>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</si>
  <si>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</si>
  <si>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</si>
  <si>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</si>
  <si>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</si>
  <si>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</si>
  <si>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</si>
  <si>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</si>
  <si>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</si>
  <si>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备注</t>
  </si>
  <si>
    <t>场地保障</t>
  </si>
  <si>
    <t>办公室租金</t>
  </si>
  <si>
    <t>物业费</t>
  </si>
  <si>
    <t>水电费</t>
  </si>
  <si>
    <t>保洁费</t>
  </si>
  <si>
    <t>安保费</t>
  </si>
  <si>
    <t>其他</t>
  </si>
  <si>
    <t>通讯物流</t>
  </si>
  <si>
    <t>固话费</t>
  </si>
  <si>
    <t>含固话及话费</t>
  </si>
  <si>
    <t>手机费</t>
  </si>
  <si>
    <t>含手机及话费</t>
  </si>
  <si>
    <t>快递费</t>
  </si>
  <si>
    <t>办公采购</t>
  </si>
  <si>
    <t>办公用品</t>
  </si>
  <si>
    <t>固定资产</t>
  </si>
  <si>
    <t>电脑耗材</t>
  </si>
  <si>
    <t>书籍报刊</t>
  </si>
  <si>
    <t>物料印刷</t>
  </si>
  <si>
    <t>业务应酬</t>
  </si>
  <si>
    <t>宴请费</t>
  </si>
  <si>
    <t>烟酒费</t>
  </si>
  <si>
    <t>住宿费</t>
  </si>
  <si>
    <t>购物卡</t>
  </si>
  <si>
    <t>差旅出行</t>
  </si>
  <si>
    <t>差旅费</t>
  </si>
  <si>
    <t>车险、年检费</t>
  </si>
  <si>
    <t>停车费</t>
  </si>
  <si>
    <t>设施运维</t>
  </si>
  <si>
    <t>设备修理费</t>
  </si>
  <si>
    <t>办公家具维修</t>
  </si>
  <si>
    <t>汽油机油费</t>
  </si>
  <si>
    <t>其他杂项</t>
  </si>
  <si>
    <t>办公室装修费</t>
  </si>
  <si>
    <t>软装费</t>
  </si>
  <si>
    <t>宣传费</t>
  </si>
  <si>
    <t>网站费</t>
  </si>
  <si>
    <t>专业软件费</t>
  </si>
  <si>
    <t>合计</t>
  </si>
  <si>
    <t>注：表格中数据仅为测试使用，请按公司实际情况填写。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</si>
</sst>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#0&quot;.&quot;0,_-;\(#0&quot;.&quot;0,\);_-\ \ &quot;-&quot;_-;_-@_-"/>
    <numFmt numFmtId="178" formatCode="&quot;编&quot;&quot;制&quot;&quot;单&quot;&quot;位&quot;\:##########"/>
    <numFmt numFmtId="179" formatCode="_-#,###,_-;\(#,###,\);_-\ \ &quot;-&quot;_-;_-@_-"/>
    <numFmt numFmtId="180" formatCode="mmm/yyyy;_-\ &quot;N/A&quot;_-;_-\ &quot;-&quot;_-"/>
    <numFmt numFmtId="181" formatCode="_-#,##0_-;\(#,##0\);_-\ \ &quot;-&quot;_-;_-@_-"/>
    <numFmt numFmtId="182" formatCode="_-#,##0.00_-;\(#,##0.00\);_-\ \ &quot;-&quot;_-;_-@_-"/>
    <numFmt numFmtId="183" formatCode="mmm/dd/yyyy;_-\ &quot;N/A&quot;_-;_-\ &quot;-&quot;_-"/>
    <numFmt numFmtId="184" formatCode="_-#,##0%_-;\(#,##0%\);_-\ &quot;-&quot;_-"/>
    <numFmt numFmtId="185" formatCode="_-#,###.00,_-;\(#,###.00,\);_-\ \ &quot;-&quot;_-;_-@_-"/>
    <numFmt numFmtId="186" formatCode="_-#0&quot;.&quot;0000_-;\(#0&quot;.&quot;0000\);_-\ \ &quot;-&quot;_-;_-@_-"/>
    <numFmt numFmtId="187" formatCode="_(* #,##0.00_);_(* \(#,##0.00\);_(* &quot;-&quot;??_);_(@_)"/>
    <numFmt numFmtId="188" formatCode="_ \¥* #,##0.00_ ;_ \¥* \-#,##0.00_ ;_ \¥* &quot;-&quot;??_ ;_ @_ "/>
    <numFmt numFmtId="189" formatCode="_([$€-2]* #,##0.00_);_([$€-2]* \(#,##0.00\);_([$€-2]* &quot;-&quot;??_)"/>
  </numFmts>
  <fonts count="78">
    <font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b/>
      <sz val="28"/>
      <name val="微软雅黑"/>
      <charset val="134"/>
    </font>
    <font>
      <sz val="9"/>
      <color theme="4" tint="-0.249977111117893"/>
      <name val="宋体"/>
      <charset val="134"/>
      <scheme val="major"/>
    </font>
    <font>
      <b/>
      <sz val="11"/>
      <color theme="0"/>
      <name val="思源黑体 CN Regular"/>
      <charset val="134"/>
    </font>
    <font>
      <b/>
      <sz val="10"/>
      <color theme="4" tint="-0.25"/>
      <name val="思源黑体 CN Regular"/>
      <charset val="134"/>
    </font>
    <font>
      <sz val="10"/>
      <name val="思源黑体 CN Regular"/>
      <charset val="134"/>
    </font>
    <font>
      <b/>
      <sz val="12"/>
      <color theme="0"/>
      <name val="思源黑体 CN Regular"/>
      <charset val="134"/>
    </font>
    <font>
      <sz val="11"/>
      <color theme="1"/>
      <name val="思源黑体 CN Regular"/>
      <charset val="134"/>
    </font>
    <font>
      <sz val="9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2"/>
      <name val="宋体"/>
      <charset val="134"/>
    </font>
    <font>
      <sz val="12"/>
      <name val="바탕체"/>
      <charset val="134"/>
    </font>
    <font>
      <b/>
      <sz val="13"/>
      <color indexed="56"/>
      <name val="宋体"/>
      <charset val="134"/>
    </font>
    <font>
      <sz val="12"/>
      <name val="Times New Roman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0"/>
      <name val="Arial"/>
      <charset val="134"/>
    </font>
    <font>
      <sz val="10"/>
      <name val="Times New Roman"/>
      <charset val="134"/>
    </font>
    <font>
      <sz val="11"/>
      <color theme="1"/>
      <name val="Tahoma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0"/>
      <name val="Geneva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u val="singleAccounting"/>
      <vertAlign val="subscript"/>
      <sz val="10"/>
      <name val="Times New Roman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i/>
      <sz val="9"/>
      <name val="Times New Roman"/>
      <charset val="134"/>
    </font>
    <font>
      <sz val="11"/>
      <color indexed="52"/>
      <name val="宋体"/>
      <charset val="134"/>
    </font>
    <font>
      <sz val="12"/>
      <name val="新細明體"/>
      <charset val="134"/>
    </font>
    <font>
      <sz val="11"/>
      <color indexed="9"/>
      <name val="Tahoma"/>
      <charset val="134"/>
    </font>
    <font>
      <b/>
      <sz val="11"/>
      <color indexed="52"/>
      <name val="宋体"/>
      <charset val="134"/>
    </font>
    <font>
      <sz val="11"/>
      <color rgb="FF9C0006"/>
      <name val="宋体"/>
      <charset val="134"/>
      <scheme val="minor"/>
    </font>
    <font>
      <sz val="1"/>
      <name val="宋体"/>
      <charset val="134"/>
    </font>
    <font>
      <b/>
      <sz val="10"/>
      <color theme="0"/>
      <name val="微软雅黑"/>
      <charset val="134"/>
    </font>
    <font>
      <u/>
      <sz val="12"/>
      <color indexed="12"/>
      <name val="宋体"/>
      <charset val="134"/>
    </font>
    <font>
      <u/>
      <sz val="10.2"/>
      <color theme="10"/>
      <name val="宋体"/>
      <charset val="134"/>
    </font>
    <font>
      <u/>
      <sz val="11"/>
      <color indexed="12"/>
      <name val="宋体"/>
      <charset val="134"/>
    </font>
    <font>
      <sz val="12"/>
      <color indexed="20"/>
      <name val="宋体"/>
      <charset val="134"/>
    </font>
    <font>
      <b/>
      <sz val="12"/>
      <name val="宋体"/>
      <charset val="134"/>
    </font>
    <font>
      <b/>
      <sz val="12"/>
      <name val="Arial"/>
      <charset val="134"/>
    </font>
    <font>
      <sz val="12"/>
      <name val="ËÎÌå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华文细黑"/>
      <charset val="134"/>
    </font>
    <font>
      <sz val="11"/>
      <color indexed="10"/>
      <name val="Tahoma"/>
      <charset val="134"/>
    </font>
    <font>
      <u/>
      <sz val="12"/>
      <color theme="10"/>
      <name val="宋体"/>
      <charset val="134"/>
    </font>
    <font>
      <sz val="11"/>
      <color rgb="FF006100"/>
      <name val="宋体"/>
      <charset val="134"/>
      <scheme val="minor"/>
    </font>
    <font>
      <sz val="11"/>
      <color indexed="52"/>
      <name val="Tahoma"/>
      <charset val="134"/>
    </font>
    <font>
      <sz val="12"/>
      <color indexed="17"/>
      <name val="宋体"/>
      <charset val="134"/>
    </font>
    <font>
      <sz val="10"/>
      <name val="MS Sans Serif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ck">
        <color theme="1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/>
      <top style="thick">
        <color theme="1"/>
      </top>
      <bottom style="thin">
        <color theme="0" tint="-0.14996795556505"/>
      </bottom>
      <diagonal/>
    </border>
    <border>
      <left/>
      <right/>
      <top style="thick">
        <color theme="1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ck">
        <color theme="1"/>
      </top>
      <bottom style="thin">
        <color theme="0" tint="-0.14996795556505"/>
      </bottom>
      <diagonal/>
    </border>
    <border>
      <left/>
      <right/>
      <top style="thin">
        <color theme="0" tint="-0.1499679555650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9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43" fontId="29" fillId="0" borderId="0" applyProtection="0"/>
    <xf numFmtId="0" fontId="30" fillId="38" borderId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43" borderId="16" applyProtection="0"/>
    <xf numFmtId="43" fontId="29" fillId="0" borderId="0" applyFont="0" applyFill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3" fillId="0" borderId="0"/>
    <xf numFmtId="0" fontId="32" fillId="45" borderId="17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2" fillId="0" borderId="0"/>
    <xf numFmtId="0" fontId="29" fillId="0" borderId="0">
      <alignment vertical="center"/>
    </xf>
    <xf numFmtId="0" fontId="35" fillId="0" borderId="0"/>
    <xf numFmtId="0" fontId="29" fillId="41" borderId="0" applyProtection="0">
      <alignment vertical="center"/>
    </xf>
    <xf numFmtId="0" fontId="30" fillId="47" borderId="0" applyNumberFormat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0" fontId="29" fillId="47" borderId="0" applyProtection="0"/>
    <xf numFmtId="0" fontId="36" fillId="35" borderId="0" applyNumberFormat="0" applyBorder="0" applyAlignment="0" applyProtection="0">
      <alignment vertical="center"/>
    </xf>
    <xf numFmtId="0" fontId="29" fillId="35" borderId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0" borderId="0">
      <alignment vertical="center"/>
    </xf>
    <xf numFmtId="0" fontId="29" fillId="0" borderId="0" applyProtection="0"/>
    <xf numFmtId="0" fontId="29" fillId="35" borderId="0" applyProtection="0"/>
    <xf numFmtId="177" fontId="39" fillId="0" borderId="0" applyFill="0" applyBorder="0" applyProtection="0">
      <alignment horizontal="right"/>
    </xf>
    <xf numFmtId="0" fontId="29" fillId="49" borderId="0" applyNumberFormat="0" applyBorder="0" applyAlignment="0" applyProtection="0">
      <alignment vertical="center"/>
    </xf>
    <xf numFmtId="0" fontId="38" fillId="0" borderId="0">
      <protection locked="0"/>
    </xf>
    <xf numFmtId="0" fontId="29" fillId="41" borderId="0" applyProtection="0"/>
    <xf numFmtId="178" fontId="29" fillId="0" borderId="0" applyFont="0" applyFill="0" applyBorder="0" applyAlignment="0" applyProtection="0">
      <alignment vertical="center"/>
    </xf>
    <xf numFmtId="0" fontId="36" fillId="35" borderId="0" applyProtection="0"/>
    <xf numFmtId="0" fontId="36" fillId="35" borderId="0" applyProtection="0">
      <alignment vertical="center"/>
    </xf>
    <xf numFmtId="178" fontId="32" fillId="0" borderId="0" applyFont="0" applyFill="0" applyBorder="0" applyAlignment="0" applyProtection="0">
      <alignment vertical="center"/>
    </xf>
    <xf numFmtId="0" fontId="29" fillId="36" borderId="0" applyNumberFormat="0" applyBorder="0" applyProtection="0">
      <alignment vertical="center"/>
    </xf>
    <xf numFmtId="0" fontId="40" fillId="0" borderId="0"/>
    <xf numFmtId="0" fontId="29" fillId="35" borderId="0" applyNumberFormat="0" applyBorder="0" applyProtection="0">
      <alignment vertical="center"/>
    </xf>
    <xf numFmtId="49" fontId="39" fillId="0" borderId="0" applyProtection="0">
      <alignment horizontal="left"/>
    </xf>
    <xf numFmtId="0" fontId="30" fillId="50" borderId="0" applyNumberFormat="0" applyBorder="0" applyAlignment="0" applyProtection="0">
      <alignment vertical="center"/>
    </xf>
    <xf numFmtId="0" fontId="29" fillId="0" borderId="0"/>
    <xf numFmtId="0" fontId="30" fillId="51" borderId="0" applyNumberFormat="0" applyBorder="0" applyAlignment="0" applyProtection="0">
      <alignment vertical="center"/>
    </xf>
    <xf numFmtId="0" fontId="29" fillId="37" borderId="0" applyProtection="0"/>
    <xf numFmtId="178" fontId="0" fillId="0" borderId="0" applyFont="0" applyFill="0" applyBorder="0" applyAlignment="0" applyProtection="0">
      <alignment vertical="center"/>
    </xf>
    <xf numFmtId="0" fontId="29" fillId="42" borderId="0" applyProtection="0"/>
    <xf numFmtId="0" fontId="30" fillId="38" borderId="0" applyNumberFormat="0" applyBorder="0" applyAlignment="0" applyProtection="0">
      <alignment vertical="center"/>
    </xf>
    <xf numFmtId="0" fontId="41" fillId="0" borderId="0"/>
    <xf numFmtId="0" fontId="42" fillId="39" borderId="0" applyNumberFormat="0" applyBorder="0" applyAlignment="0" applyProtection="0">
      <alignment vertical="center"/>
    </xf>
    <xf numFmtId="0" fontId="29" fillId="39" borderId="0" applyProtection="0"/>
    <xf numFmtId="0" fontId="38" fillId="0" borderId="0"/>
    <xf numFmtId="0" fontId="29" fillId="39" borderId="0" applyNumberFormat="0" applyBorder="0" applyProtection="0">
      <alignment vertical="center"/>
    </xf>
    <xf numFmtId="0" fontId="30" fillId="44" borderId="0" applyProtection="0"/>
    <xf numFmtId="41" fontId="32" fillId="0" borderId="0" applyFont="0" applyFill="0" applyBorder="0" applyAlignment="0" applyProtection="0">
      <alignment vertical="center"/>
    </xf>
    <xf numFmtId="0" fontId="43" fillId="0" borderId="0"/>
    <xf numFmtId="0" fontId="29" fillId="37" borderId="0" applyProtection="0">
      <alignment vertical="center"/>
    </xf>
    <xf numFmtId="0" fontId="29" fillId="45" borderId="17" applyNumberFormat="0" applyProtection="0">
      <alignment vertical="center"/>
    </xf>
    <xf numFmtId="0" fontId="44" fillId="0" borderId="0" applyProtection="0"/>
    <xf numFmtId="0" fontId="30" fillId="50" borderId="0" applyProtection="0"/>
    <xf numFmtId="0" fontId="29" fillId="39" borderId="0" applyProtection="0">
      <alignment vertical="center"/>
    </xf>
    <xf numFmtId="0" fontId="37" fillId="48" borderId="0" applyProtection="0">
      <alignment vertical="center"/>
    </xf>
    <xf numFmtId="0" fontId="29" fillId="0" borderId="0" applyNumberFormat="0" applyBorder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9" fillId="49" borderId="0" applyProtection="0"/>
    <xf numFmtId="0" fontId="34" fillId="0" borderId="18" applyProtection="0"/>
    <xf numFmtId="0" fontId="29" fillId="40" borderId="0" applyProtection="0">
      <alignment vertical="center"/>
    </xf>
    <xf numFmtId="0" fontId="30" fillId="38" borderId="0" applyProtection="0"/>
    <xf numFmtId="0" fontId="38" fillId="45" borderId="17" applyNumberFormat="0" applyFont="0" applyAlignment="0" applyProtection="0">
      <alignment vertical="center"/>
    </xf>
    <xf numFmtId="0" fontId="30" fillId="52" borderId="0" applyProtection="0"/>
    <xf numFmtId="0" fontId="30" fillId="40" borderId="0" applyProtection="0">
      <alignment vertical="center"/>
    </xf>
    <xf numFmtId="0" fontId="33" fillId="44" borderId="0" applyNumberFormat="0" applyFont="0" applyBorder="0" applyAlignment="0" applyProtection="0">
      <alignment vertical="center"/>
    </xf>
    <xf numFmtId="0" fontId="35" fillId="0" borderId="0" applyProtection="0">
      <alignment vertical="center"/>
    </xf>
    <xf numFmtId="0" fontId="46" fillId="53" borderId="19" applyProtection="0"/>
    <xf numFmtId="0" fontId="47" fillId="42" borderId="20" applyNumberFormat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29" fillId="36" borderId="0" applyProtection="0">
      <alignment vertical="center"/>
    </xf>
    <xf numFmtId="0" fontId="32" fillId="0" borderId="0" applyBorder="0"/>
    <xf numFmtId="0" fontId="29" fillId="46" borderId="0" applyNumberFormat="0" applyBorder="0" applyProtection="0">
      <alignment vertical="center"/>
    </xf>
    <xf numFmtId="0" fontId="29" fillId="46" borderId="0" applyProtection="0">
      <alignment vertical="center"/>
    </xf>
    <xf numFmtId="0" fontId="48" fillId="0" borderId="21" applyProtection="0"/>
    <xf numFmtId="0" fontId="34" fillId="0" borderId="18" applyProtection="0">
      <alignment vertical="center"/>
    </xf>
    <xf numFmtId="43" fontId="29" fillId="0" borderId="0" applyProtection="0">
      <alignment vertical="center"/>
    </xf>
    <xf numFmtId="0" fontId="48" fillId="0" borderId="21" applyProtection="0">
      <alignment vertical="center"/>
    </xf>
    <xf numFmtId="0" fontId="33" fillId="0" borderId="0">
      <alignment vertical="center"/>
    </xf>
    <xf numFmtId="0" fontId="49" fillId="0" borderId="0" applyProtection="0">
      <alignment vertical="center"/>
    </xf>
    <xf numFmtId="0" fontId="47" fillId="42" borderId="20" applyProtection="0"/>
    <xf numFmtId="0" fontId="49" fillId="0" borderId="0" applyNumberFormat="0" applyFill="0" applyBorder="0" applyAlignment="0" applyProtection="0">
      <alignment vertical="center"/>
    </xf>
    <xf numFmtId="0" fontId="30" fillId="44" borderId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9" fontId="39" fillId="0" borderId="0" applyFill="0" applyBorder="0" applyProtection="0">
      <alignment horizontal="right"/>
    </xf>
    <xf numFmtId="0" fontId="30" fillId="55" borderId="0" applyNumberFormat="0" applyBorder="0" applyProtection="0">
      <alignment vertical="center"/>
    </xf>
    <xf numFmtId="180" fontId="51" fillId="0" borderId="0" applyFill="0" applyBorder="0" applyProtection="0">
      <alignment horizontal="center"/>
    </xf>
    <xf numFmtId="0" fontId="52" fillId="0" borderId="22" applyProtection="0">
      <alignment vertical="center"/>
    </xf>
    <xf numFmtId="0" fontId="29" fillId="46" borderId="0" applyProtection="0"/>
    <xf numFmtId="0" fontId="45" fillId="0" borderId="0" applyProtection="0">
      <alignment vertical="center"/>
    </xf>
    <xf numFmtId="0" fontId="42" fillId="39" borderId="0" applyProtection="0"/>
    <xf numFmtId="0" fontId="50" fillId="0" borderId="23" applyProtection="0"/>
    <xf numFmtId="0" fontId="52" fillId="0" borderId="22" applyProtection="0"/>
    <xf numFmtId="9" fontId="32" fillId="0" borderId="0" applyFont="0" applyFill="0" applyBorder="0" applyAlignment="0" applyProtection="0">
      <alignment vertical="center"/>
    </xf>
    <xf numFmtId="0" fontId="49" fillId="0" borderId="0" applyProtection="0"/>
    <xf numFmtId="9" fontId="29" fillId="0" borderId="0" applyFont="0" applyFill="0" applyBorder="0" applyAlignment="0" applyProtection="0">
      <alignment vertical="center"/>
    </xf>
    <xf numFmtId="0" fontId="29" fillId="49" borderId="0" applyProtection="0">
      <alignment vertical="center"/>
    </xf>
    <xf numFmtId="0" fontId="32" fillId="0" borderId="0" applyNumberFormat="0" applyBorder="0" applyProtection="0">
      <alignment vertical="center"/>
    </xf>
    <xf numFmtId="0" fontId="50" fillId="0" borderId="0" applyNumberFormat="0" applyBorder="0" applyProtection="0">
      <alignment vertical="center"/>
    </xf>
    <xf numFmtId="0" fontId="30" fillId="55" borderId="0" applyProtection="0"/>
    <xf numFmtId="0" fontId="30" fillId="52" borderId="0" applyProtection="0">
      <alignment vertical="center"/>
    </xf>
    <xf numFmtId="0" fontId="35" fillId="0" borderId="0" applyProtection="0"/>
    <xf numFmtId="0" fontId="29" fillId="47" borderId="0" applyNumberFormat="0" applyBorder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42" borderId="0" applyProtection="0">
      <alignment vertical="center"/>
    </xf>
    <xf numFmtId="0" fontId="42" fillId="39" borderId="0" applyProtection="0">
      <alignment vertical="center"/>
    </xf>
    <xf numFmtId="43" fontId="32" fillId="0" borderId="0" applyBorder="0" applyProtection="0">
      <alignment vertical="center"/>
    </xf>
    <xf numFmtId="0" fontId="53" fillId="0" borderId="0">
      <alignment vertical="center"/>
    </xf>
    <xf numFmtId="0" fontId="37" fillId="48" borderId="0" applyProtection="0"/>
    <xf numFmtId="0" fontId="30" fillId="47" borderId="0" applyProtection="0">
      <alignment vertical="center"/>
    </xf>
    <xf numFmtId="0" fontId="32" fillId="0" borderId="0" applyBorder="0">
      <alignment vertical="center"/>
    </xf>
    <xf numFmtId="0" fontId="29" fillId="40" borderId="0" applyProtection="0"/>
    <xf numFmtId="0" fontId="29" fillId="41" borderId="0" applyNumberFormat="0" applyBorder="0" applyProtection="0">
      <alignment vertical="center"/>
    </xf>
    <xf numFmtId="0" fontId="29" fillId="36" borderId="0" applyProtection="0"/>
    <xf numFmtId="0" fontId="30" fillId="56" borderId="0" applyProtection="0">
      <alignment vertical="center"/>
    </xf>
    <xf numFmtId="0" fontId="30" fillId="47" borderId="0" applyProtection="0"/>
    <xf numFmtId="181" fontId="39" fillId="0" borderId="0" applyFill="0" applyBorder="0" applyProtection="0">
      <alignment horizontal="right"/>
    </xf>
    <xf numFmtId="182" fontId="39" fillId="0" borderId="0" applyFill="0" applyBorder="0" applyProtection="0">
      <alignment horizontal="right"/>
    </xf>
    <xf numFmtId="0" fontId="46" fillId="53" borderId="19" applyNumberFormat="0" applyAlignment="0" applyProtection="0">
      <alignment vertical="center"/>
    </xf>
    <xf numFmtId="183" fontId="51" fillId="0" borderId="0" applyFill="0" applyBorder="0" applyProtection="0">
      <alignment horizontal="center"/>
    </xf>
    <xf numFmtId="184" fontId="54" fillId="0" borderId="0" applyFill="0" applyBorder="0" applyProtection="0">
      <alignment horizontal="right"/>
    </xf>
    <xf numFmtId="0" fontId="30" fillId="54" borderId="0" applyProtection="0"/>
    <xf numFmtId="185" fontId="39" fillId="0" borderId="0" applyFill="0" applyBorder="0" applyProtection="0">
      <alignment horizontal="right"/>
    </xf>
    <xf numFmtId="186" fontId="39" fillId="0" borderId="0" applyFill="0" applyBorder="0" applyProtection="0">
      <alignment horizontal="right"/>
    </xf>
    <xf numFmtId="0" fontId="47" fillId="42" borderId="20" applyProtection="0">
      <alignment vertical="center"/>
    </xf>
    <xf numFmtId="0" fontId="30" fillId="57" borderId="0" applyProtection="0"/>
    <xf numFmtId="0" fontId="29" fillId="47" borderId="0" applyProtection="0">
      <alignment vertical="center"/>
    </xf>
    <xf numFmtId="0" fontId="29" fillId="37" borderId="0" applyNumberFormat="0" applyBorder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2" borderId="0" applyNumberFormat="0" applyBorder="0" applyProtection="0">
      <alignment vertical="center"/>
    </xf>
    <xf numFmtId="0" fontId="30" fillId="54" borderId="0" applyProtection="0">
      <alignment vertical="center"/>
    </xf>
    <xf numFmtId="0" fontId="55" fillId="0" borderId="24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30" fillId="47" borderId="0" applyNumberFormat="0" applyBorder="0" applyProtection="0">
      <alignment vertical="center"/>
    </xf>
    <xf numFmtId="0" fontId="30" fillId="40" borderId="0" applyProtection="0"/>
    <xf numFmtId="0" fontId="50" fillId="0" borderId="0" applyProtection="0">
      <alignment vertical="center"/>
    </xf>
    <xf numFmtId="187" fontId="32" fillId="0" borderId="0" applyFont="0" applyFill="0" applyBorder="0" applyAlignment="0" applyProtection="0"/>
    <xf numFmtId="0" fontId="56" fillId="0" borderId="0" applyBorder="0"/>
    <xf numFmtId="0" fontId="29" fillId="0" borderId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44" fillId="0" borderId="0" applyProtection="0">
      <alignment vertical="center"/>
    </xf>
    <xf numFmtId="0" fontId="58" fillId="53" borderId="20" applyProtection="0"/>
    <xf numFmtId="0" fontId="58" fillId="53" borderId="20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2" fillId="0" borderId="22" applyNumberFormat="0" applyProtection="0">
      <alignment vertical="center"/>
    </xf>
    <xf numFmtId="0" fontId="30" fillId="55" borderId="0" applyProtection="0">
      <alignment vertical="center"/>
    </xf>
    <xf numFmtId="0" fontId="50" fillId="0" borderId="0" applyProtection="0"/>
    <xf numFmtId="0" fontId="29" fillId="45" borderId="17" applyProtection="0"/>
    <xf numFmtId="0" fontId="30" fillId="57" borderId="0" applyProtection="0">
      <alignment vertical="center"/>
    </xf>
    <xf numFmtId="0" fontId="30" fillId="52" borderId="0" applyNumberFormat="0" applyBorder="0" applyProtection="0">
      <alignment vertical="center"/>
    </xf>
    <xf numFmtId="9" fontId="32" fillId="0" borderId="0" applyFont="0" applyFill="0" applyBorder="0" applyAlignment="0" applyProtection="0"/>
    <xf numFmtId="0" fontId="31" fillId="43" borderId="16" applyNumberFormat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188" fontId="29" fillId="0" borderId="0" applyProtection="0">
      <alignment vertical="center"/>
    </xf>
    <xf numFmtId="0" fontId="37" fillId="48" borderId="0" applyNumberFormat="0" applyBorder="0" applyProtection="0">
      <alignment vertical="center"/>
    </xf>
    <xf numFmtId="0" fontId="61" fillId="58" borderId="0">
      <alignment horizontal="center" vertical="center" textRotation="255"/>
    </xf>
    <xf numFmtId="0" fontId="45" fillId="0" borderId="0" applyProtection="0"/>
    <xf numFmtId="0" fontId="30" fillId="50" borderId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38" fillId="0" borderId="0" applyProtection="0"/>
    <xf numFmtId="0" fontId="30" fillId="38" borderId="0" applyNumberFormat="0" applyBorder="0" applyProtection="0">
      <alignment vertical="center"/>
    </xf>
    <xf numFmtId="0" fontId="29" fillId="40" borderId="0" applyNumberFormat="0" applyBorder="0" applyProtection="0">
      <alignment vertical="center"/>
    </xf>
    <xf numFmtId="0" fontId="50" fillId="0" borderId="23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5" fillId="0" borderId="24" applyProtection="0"/>
    <xf numFmtId="0" fontId="31" fillId="43" borderId="16" applyNumberFormat="0" applyProtection="0">
      <alignment vertical="center"/>
    </xf>
    <xf numFmtId="0" fontId="45" fillId="0" borderId="0" applyNumberFormat="0" applyBorder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47" fillId="42" borderId="20" applyNumberFormat="0" applyProtection="0">
      <alignment vertical="center"/>
    </xf>
    <xf numFmtId="0" fontId="30" fillId="54" borderId="0" applyNumberFormat="0" applyBorder="0" applyProtection="0">
      <alignment vertical="center"/>
    </xf>
    <xf numFmtId="0" fontId="30" fillId="50" borderId="0" applyNumberFormat="0" applyBorder="0" applyProtection="0">
      <alignment vertical="center"/>
    </xf>
    <xf numFmtId="0" fontId="30" fillId="56" borderId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49" borderId="0" applyNumberFormat="0" applyBorder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187" fontId="29" fillId="0" borderId="0" applyFont="0" applyFill="0" applyBorder="0" applyAlignment="0" applyProtection="0">
      <alignment vertical="center"/>
    </xf>
    <xf numFmtId="0" fontId="58" fillId="53" borderId="2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30" fillId="56" borderId="0" applyNumberFormat="0" applyBorder="0" applyProtection="0">
      <alignment vertical="center"/>
    </xf>
    <xf numFmtId="0" fontId="30" fillId="40" borderId="0" applyNumberFormat="0" applyBorder="0" applyProtection="0">
      <alignment vertical="center"/>
    </xf>
    <xf numFmtId="189" fontId="39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29" fillId="0" borderId="0">
      <alignment vertical="center"/>
    </xf>
    <xf numFmtId="0" fontId="55" fillId="0" borderId="24" applyNumberFormat="0" applyProtection="0">
      <alignment vertical="center"/>
    </xf>
    <xf numFmtId="0" fontId="44" fillId="0" borderId="0" applyNumberFormat="0" applyBorder="0" applyProtection="0">
      <alignment vertical="center"/>
    </xf>
    <xf numFmtId="0" fontId="46" fillId="53" borderId="19" applyProtection="0">
      <alignment vertical="center"/>
    </xf>
    <xf numFmtId="0" fontId="46" fillId="53" borderId="19" applyNumberFormat="0" applyProtection="0">
      <alignment vertical="center"/>
    </xf>
    <xf numFmtId="0" fontId="50" fillId="0" borderId="23" applyNumberForma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58" fillId="53" borderId="20" applyNumberFormat="0" applyProtection="0">
      <alignment vertical="center"/>
    </xf>
    <xf numFmtId="0" fontId="30" fillId="57" borderId="0" applyNumberFormat="0" applyBorder="0" applyProtection="0">
      <alignment vertical="center"/>
    </xf>
    <xf numFmtId="0" fontId="30" fillId="44" borderId="0" applyNumberFormat="0" applyBorder="0" applyProtection="0">
      <alignment vertical="center"/>
    </xf>
    <xf numFmtId="0" fontId="36" fillId="35" borderId="0" applyNumberFormat="0" applyBorder="0" applyProtection="0">
      <alignment vertical="center"/>
    </xf>
    <xf numFmtId="0" fontId="41" fillId="0" borderId="0" applyProtection="0">
      <alignment vertical="center"/>
    </xf>
    <xf numFmtId="0" fontId="66" fillId="0" borderId="0" applyNumberFormat="0" applyFill="0" applyBorder="0" applyAlignment="0" applyProtection="0"/>
    <xf numFmtId="0" fontId="42" fillId="39" borderId="0" applyNumberFormat="0" applyBorder="0" applyProtection="0">
      <alignment vertical="center"/>
    </xf>
    <xf numFmtId="0" fontId="67" fillId="0" borderId="25" applyProtection="0">
      <alignment vertical="center"/>
    </xf>
    <xf numFmtId="0" fontId="67" fillId="0" borderId="26" applyProtection="0">
      <alignment horizontal="left" vertical="center"/>
    </xf>
    <xf numFmtId="0" fontId="29" fillId="45" borderId="17" applyProtection="0">
      <alignment vertical="center"/>
    </xf>
    <xf numFmtId="0" fontId="48" fillId="0" borderId="21" applyNumberFormat="0" applyProtection="0">
      <alignment vertical="center"/>
    </xf>
    <xf numFmtId="0" fontId="34" fillId="0" borderId="18" applyNumberFormat="0" applyProtection="0">
      <alignment vertical="center"/>
    </xf>
    <xf numFmtId="0" fontId="68" fillId="0" borderId="0"/>
    <xf numFmtId="0" fontId="29" fillId="45" borderId="17" applyNumberFormat="0" applyFont="0" applyAlignment="0" applyProtection="0">
      <alignment vertical="center"/>
    </xf>
    <xf numFmtId="0" fontId="49" fillId="0" borderId="0" applyNumberFormat="0" applyBorder="0" applyProtection="0">
      <alignment vertical="center"/>
    </xf>
    <xf numFmtId="9" fontId="33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1" fillId="43" borderId="16" applyProtection="0">
      <alignment vertical="center"/>
    </xf>
    <xf numFmtId="0" fontId="69" fillId="0" borderId="0"/>
    <xf numFmtId="0" fontId="30" fillId="57" borderId="0" applyNumberFormat="0" applyBorder="0" applyAlignment="0" applyProtection="0">
      <alignment vertical="center"/>
    </xf>
    <xf numFmtId="0" fontId="70" fillId="0" borderId="0"/>
    <xf numFmtId="0" fontId="32" fillId="0" borderId="0" applyProtection="0"/>
    <xf numFmtId="0" fontId="71" fillId="0" borderId="0">
      <alignment vertical="center"/>
    </xf>
    <xf numFmtId="43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43" fontId="29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9" borderId="0" applyNumberFormat="0" applyBorder="0" applyAlignment="0" applyProtection="0">
      <alignment vertical="center"/>
    </xf>
    <xf numFmtId="0" fontId="75" fillId="0" borderId="2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38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3" fontId="77" fillId="0" borderId="0"/>
    <xf numFmtId="41" fontId="32" fillId="0" borderId="0" applyBorder="0" applyProtection="0">
      <alignment vertical="center"/>
    </xf>
    <xf numFmtId="0" fontId="57" fillId="56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43" fontId="4" fillId="3" borderId="1" xfId="0" applyNumberFormat="1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left" vertical="center"/>
    </xf>
    <xf numFmtId="43" fontId="5" fillId="4" borderId="2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43" fontId="6" fillId="2" borderId="2" xfId="0" applyNumberFormat="1" applyFont="1" applyFill="1" applyBorder="1" applyAlignment="1" applyProtection="1">
      <alignment horizontal="center" vertical="center"/>
    </xf>
    <xf numFmtId="43" fontId="6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43" fontId="6" fillId="2" borderId="3" xfId="0" applyNumberFormat="1" applyFont="1" applyFill="1" applyBorder="1" applyAlignment="1" applyProtection="1">
      <alignment horizontal="center" vertical="center"/>
      <protection locked="0"/>
    </xf>
    <xf numFmtId="43" fontId="6" fillId="2" borderId="3" xfId="0" applyNumberFormat="1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 applyProtection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/>
    </xf>
    <xf numFmtId="43" fontId="7" fillId="3" borderId="1" xfId="0" applyNumberFormat="1" applyFont="1" applyFill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8" fillId="0" borderId="0" xfId="0" applyFont="1"/>
    <xf numFmtId="0" fontId="8" fillId="0" borderId="0" xfId="0" applyFont="1" applyAlignment="1"/>
    <xf numFmtId="0" fontId="9" fillId="2" borderId="0" xfId="0" applyFont="1" applyFill="1" applyBorder="1" applyAlignment="1" applyProtection="1">
      <alignment horizontal="center" vertical="center"/>
      <protection locked="0"/>
    </xf>
  </cellXfs>
  <cellStyles count="2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2 2 2 50" xfId="49"/>
    <cellStyle name="40% - 强调文字颜色 5 2 2 88" xfId="50"/>
    <cellStyle name="20% - 强调文字颜色 4 2 2 61" xfId="51"/>
    <cellStyle name="千位分隔 4 7 6 5" xfId="52"/>
    <cellStyle name="60% - 强调文字颜色 1 11" xfId="53"/>
    <cellStyle name="20% - 强调文字颜色 3 3 76" xfId="54"/>
    <cellStyle name="40% - 强调文字颜色 2 4 87" xfId="55"/>
    <cellStyle name="20% - 强调文字颜色 1 4 42" xfId="56"/>
    <cellStyle name="20% - 强调文字颜色 6 2 12" xfId="57"/>
    <cellStyle name="检查单元格 8 3" xfId="58"/>
    <cellStyle name="千位分隔 5 5 2 15" xfId="59"/>
    <cellStyle name="强调文字颜色 2 8 5" xfId="60"/>
    <cellStyle name="常规 39" xfId="61"/>
    <cellStyle name="常规 44" xfId="62"/>
    <cellStyle name="千位分隔 3 2 2 11 5" xfId="63"/>
    <cellStyle name="60% - 强调文字颜色 2 14" xfId="64"/>
    <cellStyle name="_ET_STYLE_NoName_00__附表一 营业收入_1_WY004昆明物业-2011年预算分解表_新模板-商业终稿-1" xfId="65"/>
    <cellStyle name="注释 2 2 35 2" xfId="66"/>
    <cellStyle name="20% - 强调文字颜色 5 2 2 40" xfId="67"/>
    <cellStyle name="标题 2 2 16" xfId="68"/>
    <cellStyle name="40% - 强调文字颜色 3 3 3 2" xfId="69"/>
    <cellStyle name="常规 3 2 4 23" xfId="70"/>
    <cellStyle name="常规 3 4 120" xfId="71"/>
    <cellStyle name="_固定资产折旧及房屋装修支出预算附表(南充模范店)" xfId="72"/>
    <cellStyle name="20% - 强调文字颜色 1 11" xfId="73"/>
    <cellStyle name="60% - 强调文字颜色 3 13" xfId="74"/>
    <cellStyle name="千位分隔 2 4 12 2 3" xfId="75"/>
    <cellStyle name="40% - 强调文字颜色 3 2 7" xfId="76"/>
    <cellStyle name="差_10 5" xfId="77"/>
    <cellStyle name="20% - 强调文字颜色 2 2 2" xfId="78"/>
    <cellStyle name="适中 17" xfId="79"/>
    <cellStyle name="常规 6" xfId="80"/>
    <cellStyle name="常规 3 3 12 6" xfId="81"/>
    <cellStyle name="20% - 强调文字颜色 2 9 3" xfId="82"/>
    <cellStyle name="{Z'0000(1 dec)}" xfId="83"/>
    <cellStyle name="40% - 强调文字颜色 6 2 75" xfId="84"/>
    <cellStyle name="_门店管理报表-单店（调整员工奖励版）" xfId="85"/>
    <cellStyle name="20% - 强调文字颜色 1 11 4" xfId="86"/>
    <cellStyle name="千位分隔 4 15" xfId="87"/>
    <cellStyle name="差 2 10" xfId="88"/>
    <cellStyle name="差 7" xfId="89"/>
    <cellStyle name="千位分隔 2 3 3 29" xfId="90"/>
    <cellStyle name="40% - Accent1 4" xfId="91"/>
    <cellStyle name="常规 7 2 6 15" xfId="92"/>
    <cellStyle name="20% - Accent2 3 2" xfId="93"/>
    <cellStyle name="@_text" xfId="94"/>
    <cellStyle name="60% - 强调文字颜色 6 23" xfId="95"/>
    <cellStyle name="常规 3 4 17 4" xfId="96"/>
    <cellStyle name="60% - 强调文字颜色 4 28" xfId="97"/>
    <cellStyle name="40% - 强调文字颜色 4 2 3 3" xfId="98"/>
    <cellStyle name="千位分隔 8 7 2" xfId="99"/>
    <cellStyle name="20% - 强调文字颜色 6 4 3" xfId="100"/>
    <cellStyle name="60% - 强调文字颜色 1 2 11" xfId="101"/>
    <cellStyle name="_2008-2-汪蕊-全国-第三批" xfId="102"/>
    <cellStyle name="好_附件09：SY015上海五角场-工程维保费（持有型）" xfId="103"/>
    <cellStyle name="20% - 强调文字颜色 3 11 3" xfId="104"/>
    <cellStyle name="常规 2 2 2 2 2 10 2" xfId="105"/>
    <cellStyle name="20% - Accent3 2" xfId="106"/>
    <cellStyle name="强调文字颜色 2 2 4 2" xfId="107"/>
    <cellStyle name="千位分隔[0] 2 2 10" xfId="108"/>
    <cellStyle name=" 3]_x000d__x000a_Zoomed=1_x000d__x000a_Row=128_x000d__x000a_Column=101_x000d__x000a_Height=300_x000d__x000a_Width=301_x000d__x000a_FontName=System_x000d__x000a_FontStyle=1_x000d__x000a_FontSize=12_x000d__x000a_PrtFontNa" xfId="109"/>
    <cellStyle name="40% - 强调文字颜色 4 2 3 2" xfId="110"/>
    <cellStyle name="Note 3 2" xfId="111"/>
    <cellStyle name="警告文本 11 4" xfId="112"/>
    <cellStyle name="60% - 强调文字颜色 6 5 3" xfId="113"/>
    <cellStyle name="20% - 强调文字颜色 3 3 2" xfId="114"/>
    <cellStyle name="适中 8 2" xfId="115"/>
    <cellStyle name="常规 2 3 2 13 2" xfId="116"/>
    <cellStyle name="解释性文本 2 17" xfId="117"/>
    <cellStyle name="40% - 强调文字颜色 6 9 3" xfId="118"/>
    <cellStyle name="标题 2 2 4 6" xfId="119"/>
    <cellStyle name="40% - 强调文字颜色 2 11 2" xfId="120"/>
    <cellStyle name="60% - 强调文字颜色 1 2 4 3" xfId="121"/>
    <cellStyle name="?" xfId="122"/>
    <cellStyle name="强调文字颜色 3 9 4" xfId="123"/>
    <cellStyle name="60% - 强调文字颜色 2 8 2" xfId="124"/>
    <cellStyle name="@ET_Style?CF_Style_1" xfId="125"/>
    <cellStyle name="_2010.09.25商业公司2011年年度预算-综合管理部" xfId="126"/>
    <cellStyle name="输出 9 5" xfId="127"/>
    <cellStyle name="输入 2 11" xfId="128"/>
    <cellStyle name="60% - 强调文字颜色 5 21" xfId="129"/>
    <cellStyle name="40% - 强调文字颜色 1 7 2" xfId="130"/>
    <cellStyle name="3232 3" xfId="131"/>
    <cellStyle name="20% - Accent5 4" xfId="132"/>
    <cellStyle name="20% - 强调文字颜色 5 5" xfId="133"/>
    <cellStyle name="标题 1 2 4 7" xfId="134"/>
    <cellStyle name="标题 2 9" xfId="135"/>
    <cellStyle name="千位分隔 10 2" xfId="136"/>
    <cellStyle name="标题 1 11 2" xfId="137"/>
    <cellStyle name="_ET_STYLE_NoName_00__附表一 营业收入" xfId="138"/>
    <cellStyle name="标题 8 2" xfId="139"/>
    <cellStyle name="输入 10 6" xfId="140"/>
    <cellStyle name="标题 6 2 2" xfId="141"/>
    <cellStyle name="强调文字颜色 2 2 3" xfId="142"/>
    <cellStyle name="标题 4 2 13" xfId="143"/>
    <cellStyle name="{Thousand [0]}" xfId="144"/>
    <cellStyle name="60% - Accent4" xfId="145"/>
    <cellStyle name="{Month}" xfId="146"/>
    <cellStyle name="汇总 11 2" xfId="147"/>
    <cellStyle name="20% - 强调文字颜色 5 2 8" xfId="148"/>
    <cellStyle name="解释性文本 11" xfId="149"/>
    <cellStyle name="好 5 4" xfId="150"/>
    <cellStyle name="标题 3 6 3" xfId="151"/>
    <cellStyle name="汇总 11 3" xfId="152"/>
    <cellStyle name="百分比 2 2 34" xfId="153"/>
    <cellStyle name="标题 10 4" xfId="154"/>
    <cellStyle name="百分比 3 2 9" xfId="155"/>
    <cellStyle name="40% - 强调文字颜色 6 9" xfId="156"/>
    <cellStyle name="常规 5 2 10 5" xfId="157"/>
    <cellStyle name="Heading 4 3" xfId="158"/>
    <cellStyle name="强调文字颜色 4 2 4 4" xfId="159"/>
    <cellStyle name="强调文字颜色 3 9 2" xfId="160"/>
    <cellStyle name="样式 1 9" xfId="161"/>
    <cellStyle name="40% - Accent3 4" xfId="162"/>
    <cellStyle name="强调文字颜色 3 2 14" xfId="163"/>
    <cellStyle name="20% - 强调文字颜色 6 11 2" xfId="164"/>
    <cellStyle name="好 6 2" xfId="165"/>
    <cellStyle name="千位分隔 4 25 5" xfId="166"/>
    <cellStyle name="常规 5" xfId="167"/>
    <cellStyle name="适中 2 3 3" xfId="168"/>
    <cellStyle name="60% - 强调文字颜色 3 6" xfId="169"/>
    <cellStyle name="3232" xfId="170"/>
    <cellStyle name="40% - 强调文字颜色 2 11 3" xfId="171"/>
    <cellStyle name="20% - Accent1 3 2" xfId="172"/>
    <cellStyle name="40% - 强调文字颜色 5 8 3" xfId="173"/>
    <cellStyle name="强调文字颜色 6 10 2" xfId="174"/>
    <cellStyle name="60% - 强调文字颜色 3 9 4" xfId="175"/>
    <cellStyle name="{Comma [0]}" xfId="176"/>
    <cellStyle name="{Comma}" xfId="177"/>
    <cellStyle name="输出 2 16" xfId="178"/>
    <cellStyle name="{Date}" xfId="179"/>
    <cellStyle name="{Percent}" xfId="180"/>
    <cellStyle name="60% - 强调文字颜色 5 2 2 4" xfId="181"/>
    <cellStyle name="{Thousand}" xfId="182"/>
    <cellStyle name="{Z'0000(4 dec)}" xfId="183"/>
    <cellStyle name="输入 6 2" xfId="184"/>
    <cellStyle name="强调文字颜色 1 2 4 2" xfId="185"/>
    <cellStyle name="40% - 强调文字颜色 3 11 2" xfId="186"/>
    <cellStyle name="20% - Accent4" xfId="187"/>
    <cellStyle name="强调文字颜色 2 2 5" xfId="188"/>
    <cellStyle name="20% - Accent6" xfId="189"/>
    <cellStyle name="60% - 强调文字颜色 5 10 2" xfId="190"/>
    <cellStyle name="链接单元格 11" xfId="191"/>
    <cellStyle name="链接单元格 12" xfId="192"/>
    <cellStyle name="60% - Accent3 2 2" xfId="193"/>
    <cellStyle name="60% - 强调文字颜色 2 8 3" xfId="194"/>
    <cellStyle name="标题 4 10 2" xfId="195"/>
    <cellStyle name="千位分隔 20 2" xfId="196"/>
    <cellStyle name="一般_AR Aging Report Format" xfId="197"/>
    <cellStyle name="常规 20 2_非独立物业" xfId="198"/>
    <cellStyle name="㼿㼿㼿?" xfId="199"/>
    <cellStyle name="警告文本 9" xfId="200"/>
    <cellStyle name="计算 2 19" xfId="201"/>
    <cellStyle name="计算 2 25" xfId="202"/>
    <cellStyle name="差_RESULTS_1" xfId="203"/>
    <cellStyle name="Total 2 2" xfId="204"/>
    <cellStyle name="60% - 强调文字颜色 4 8 2" xfId="205"/>
    <cellStyle name="标题 4 10 3" xfId="206"/>
    <cellStyle name="注释 2 2 59" xfId="207"/>
    <cellStyle name="强调文字颜色 1 2 2 2" xfId="208"/>
    <cellStyle name="Accent3 3 2" xfId="209"/>
    <cellStyle name="百分比 7" xfId="210"/>
    <cellStyle name="检查单元格 2 11 2" xfId="211"/>
    <cellStyle name="强调文字颜色 2 2 3 5" xfId="212"/>
    <cellStyle name="Currency_IT budget" xfId="213"/>
    <cellStyle name="Neutral 2" xfId="214"/>
    <cellStyle name="Title1" xfId="215"/>
    <cellStyle name="解释性文本 5 3" xfId="216"/>
    <cellStyle name="60% - 强调文字颜色 6 10 2" xfId="217"/>
    <cellStyle name="标题 1 3" xfId="218"/>
    <cellStyle name="常规 18 2 2" xfId="219"/>
    <cellStyle name="60% - Accent1 2 2" xfId="220"/>
    <cellStyle name="40% - Accent2" xfId="221"/>
    <cellStyle name="标题 3 4 2" xfId="222"/>
    <cellStyle name="标题 3 4 5" xfId="223"/>
    <cellStyle name="链接单元格 9 3" xfId="224"/>
    <cellStyle name="Check Cell 2 2" xfId="225"/>
    <cellStyle name="Explanatory Text 2" xfId="226"/>
    <cellStyle name="千位分隔[0] 2 2 3" xfId="227"/>
    <cellStyle name="Input 2 2 2" xfId="228"/>
    <cellStyle name="60% - Accent5 2" xfId="229"/>
    <cellStyle name="60% - Accent6 2" xfId="230"/>
    <cellStyle name="强调文字颜色 6 10 3" xfId="231"/>
    <cellStyle name="超链接 2" xfId="232"/>
    <cellStyle name="超链接 3" xfId="233"/>
    <cellStyle name="超链接 4" xfId="234"/>
    <cellStyle name="40% - Accent6 2" xfId="235"/>
    <cellStyle name="千位分隔 2 5" xfId="236"/>
    <cellStyle name="千位分隔 14 20" xfId="237"/>
    <cellStyle name="计算 9" xfId="238"/>
    <cellStyle name="汇总 2 2 5" xfId="239"/>
    <cellStyle name="Accent6 2" xfId="240"/>
    <cellStyle name="60% - Accent2 3 2" xfId="241"/>
    <cellStyle name="Euro" xfId="242"/>
    <cellStyle name="千位分隔 25 6" xfId="243"/>
    <cellStyle name="千位分隔 3 4 115" xfId="244"/>
    <cellStyle name="Linked Cell 3 2" xfId="245"/>
    <cellStyle name="Warning Text 3 2" xfId="246"/>
    <cellStyle name="输出 9 2" xfId="247"/>
    <cellStyle name="Output" xfId="248"/>
    <cellStyle name="Heading 3 2" xfId="249"/>
    <cellStyle name="差_能源费模板_新模板-商业终稿-1" xfId="250"/>
    <cellStyle name="Calculation" xfId="251"/>
    <cellStyle name="Accent1" xfId="252"/>
    <cellStyle name="Accent2" xfId="253"/>
    <cellStyle name="Bad" xfId="254"/>
    <cellStyle name="Calc Currency (0)" xfId="255"/>
    <cellStyle name="ColLevel_0" xfId="256"/>
    <cellStyle name="Good" xfId="257"/>
    <cellStyle name="Header1" xfId="258"/>
    <cellStyle name="Header2" xfId="259"/>
    <cellStyle name="注释 9 2" xfId="260"/>
    <cellStyle name="Heading 1" xfId="261"/>
    <cellStyle name="Heading 2" xfId="262"/>
    <cellStyle name="Normal_A300-2003" xfId="263"/>
    <cellStyle name="注释 32" xfId="264"/>
    <cellStyle name="Title" xfId="265"/>
    <cellStyle name="百分比 2 13" xfId="266"/>
    <cellStyle name="百分比 2 2" xfId="267"/>
    <cellStyle name="警告文本 2 11" xfId="268"/>
    <cellStyle name="检查单元格 4" xfId="269"/>
    <cellStyle name="常规 2 17" xfId="270"/>
    <cellStyle name="强调文字颜色 1 16" xfId="271"/>
    <cellStyle name="常规 2 3 2 44" xfId="272"/>
    <cellStyle name="常规 3 6 11" xfId="273"/>
    <cellStyle name="常规 21 22" xfId="274"/>
    <cellStyle name="千位分隔 4 55" xfId="275"/>
    <cellStyle name="千位分隔 3 5 12" xfId="276"/>
    <cellStyle name="㼿" xfId="277"/>
    <cellStyle name="强调文字颜色 6 12" xfId="278"/>
    <cellStyle name="千位分隔 3 3 109" xfId="279"/>
    <cellStyle name="超链接 2 3" xfId="280"/>
    <cellStyle name="好 2 3 5" xfId="281"/>
    <cellStyle name="㼿?" xfId="282"/>
    <cellStyle name="千位分隔[0] 2 2" xfId="283"/>
    <cellStyle name="好_能源费模板" xfId="284"/>
    <cellStyle name="千位分隔 2 35" xfId="285"/>
    <cellStyle name="千位分隔 2 5 113" xfId="286"/>
    <cellStyle name="样式 1_南京" xfId="287"/>
    <cellStyle name="千位分隔[0] 4" xfId="288"/>
    <cellStyle name="㼿㼿" xfId="28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J\&#20844;&#21496;&#22521;&#35757;\&#23545;&#24080;\20090310\&#21442;&#19982;&#20154;&#21592;&#32479;&#35745;&#34920;&#65288;&#37101;&#24311;&#23041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844;&#21496;&#25253;&#34920;\2010&#24180;\2010&#24180;&#39044;&#31639;\&#38376;&#24215;&#39044;&#31639;\&#24322;&#22320;&#21306;&#22495;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c\Desktop\20150309%20&#39044;&#31639;&#24037;&#20316;\20150309%20%20&#39044;&#31639;&#27719;&#24635;&#25351;&#26631;-&#26118;&#20177;&#27719;&#25253;&#29256;\lorna-771471n\2008.12.31%20on%20jason-772588\ricky.bi\maoye\PBC11&#26376;&#31206;&#30343;&#2370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044;&#31639;&#24037;&#20316;\&#20840;&#38754;&#39044;&#31639;&#35774;&#35745;&#35268;&#21010;\SY019&#21271;&#20140;&#30707;&#26223;&#23665;-2013&#24180;&#39044;&#31639;\SY019&#21271;&#20140;&#30707;&#26223;&#23665;-2013&#24180;&#39044;&#31639;(&#25171;&#21360;&#29256;265&#19975;)\&#25345;&#26377;&#22411;\&#38468;&#20214;14&#65306;SY019&#21271;&#20140;&#30707;&#26223;&#23665;-&#20154;&#24037;&#25104;&#26412;(&#25345;&#26377;&#22411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c\Desktop\20150309%20&#39044;&#31639;&#24037;&#20316;\20150309%20%20&#39044;&#31639;&#27719;&#24635;&#25351;&#26631;-&#26118;&#20177;&#27719;&#25253;&#29256;\192.168.1.70\&#20010;&#20154;&#25991;&#20214;&#22841;\&#20844;&#21496;&#25253;&#34920;\2010&#24180;\2010&#24180;&#39044;&#31639;\&#38376;&#24215;&#39044;&#31639;\&#24322;&#22320;&#21306;&#22495;\Book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商品损耗"/>
      <sheetName val="物料销耗"/>
      <sheetName val="采购人员差旅费"/>
      <sheetName val="采购销售人员出国费"/>
      <sheetName val="售后服务"/>
      <sheetName val="销售佣金"/>
      <sheetName val="检验费"/>
      <sheetName val="仓储费"/>
      <sheetName val="其他"/>
      <sheetName val="管理人员出国费用"/>
      <sheetName val="会员费"/>
      <sheetName val="交通费"/>
      <sheetName val="印刷费"/>
      <sheetName val="报纸与定期刊物"/>
      <sheetName val="咨询费"/>
      <sheetName val="消防费"/>
      <sheetName val="董事会费"/>
      <sheetName val="低值易耗品摊销"/>
      <sheetName val="装修装饰支出"/>
      <sheetName val="计算机配件"/>
      <sheetName val="坏帐"/>
      <sheetName val="开办费摊销"/>
      <sheetName val="法律费"/>
      <sheetName val="无形资产摊销"/>
      <sheetName val="保安服务费"/>
      <sheetName val="专家顾问费"/>
      <sheetName val="物业管理"/>
      <sheetName val="2)其他业务支出预算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-1"/>
      <sheetName val="2-5"/>
      <sheetName val="4-1"/>
      <sheetName val="4-3"/>
      <sheetName val="4-4"/>
      <sheetName val="4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sults"/>
      <sheetName val="一级表-人工成本汇总"/>
      <sheetName val="二级表-人工成本明细"/>
      <sheetName val="二级表-年度调薪计划"/>
      <sheetName val="三级表-工资总额（不含年度调薪）"/>
      <sheetName val="三级表-社保公积金"/>
      <sheetName val="三级表-职工福利"/>
      <sheetName val="三级表-调薪计划"/>
      <sheetName val="人工成本 (3)"/>
      <sheetName val="码表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其他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showGridLines="0" tabSelected="1" workbookViewId="0">
      <selection activeCell="X15" sqref="X15"/>
    </sheetView>
  </sheetViews>
  <sheetFormatPr defaultColWidth="9" defaultRowHeight="14"/>
  <cols>
    <col min="1" max="1" width="9.18181818181818" customWidth="1"/>
    <col min="2" max="2" width="11.5454545454545" customWidth="1"/>
    <col min="3" max="3" width="12.8181818181818" style="2" customWidth="1"/>
    <col min="4" max="4" width="9.90909090909091" customWidth="1"/>
    <col min="5" max="16" width="8.63636363636364" customWidth="1"/>
    <col min="17" max="17" width="9.72727272727273" customWidth="1"/>
  </cols>
  <sheetData>
    <row r="1" ht="36" customHeight="1" spans="1:17">
      <c r="A1" s="3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5.75" customHeight="1" spans="1:17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31" t="s">
        <v>1</v>
      </c>
    </row>
    <row r="3" ht="26.25" customHeight="1" spans="1:17">
      <c r="A3" s="7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</row>
    <row r="4" s="1" customFormat="1" ht="16.5" spans="1:17">
      <c r="A4" s="10" t="s">
        <v>19</v>
      </c>
      <c r="B4" s="10"/>
      <c r="C4" s="11"/>
      <c r="D4" s="12">
        <f>SUM(E4:P4)</f>
        <v>87.6</v>
      </c>
      <c r="E4" s="12">
        <f>SUM(E5:E10)</f>
        <v>7.3</v>
      </c>
      <c r="F4" s="12">
        <f t="shared" ref="E4:P4" si="0">SUM(F5:F10)</f>
        <v>7.3</v>
      </c>
      <c r="G4" s="12">
        <f t="shared" si="0"/>
        <v>7.3</v>
      </c>
      <c r="H4" s="12">
        <f t="shared" si="0"/>
        <v>7.3</v>
      </c>
      <c r="I4" s="12">
        <f t="shared" si="0"/>
        <v>7.3</v>
      </c>
      <c r="J4" s="12">
        <f t="shared" si="0"/>
        <v>7.3</v>
      </c>
      <c r="K4" s="12">
        <f t="shared" si="0"/>
        <v>7.3</v>
      </c>
      <c r="L4" s="12">
        <f t="shared" si="0"/>
        <v>7.3</v>
      </c>
      <c r="M4" s="12">
        <f t="shared" si="0"/>
        <v>7.3</v>
      </c>
      <c r="N4" s="12">
        <f t="shared" si="0"/>
        <v>7.3</v>
      </c>
      <c r="O4" s="12">
        <f t="shared" si="0"/>
        <v>7.3</v>
      </c>
      <c r="P4" s="12">
        <f t="shared" si="0"/>
        <v>7.3</v>
      </c>
      <c r="Q4" s="12"/>
    </row>
    <row r="5" ht="16.5" outlineLevel="1" spans="1:17">
      <c r="A5" s="13"/>
      <c r="B5" s="13" t="s">
        <v>20</v>
      </c>
      <c r="C5" s="14"/>
      <c r="D5" s="15">
        <f>SUM(E5:P5)</f>
        <v>60</v>
      </c>
      <c r="E5" s="16">
        <v>5</v>
      </c>
      <c r="F5" s="16">
        <v>5</v>
      </c>
      <c r="G5" s="16">
        <v>5</v>
      </c>
      <c r="H5" s="16">
        <v>5</v>
      </c>
      <c r="I5" s="16">
        <v>5</v>
      </c>
      <c r="J5" s="16">
        <v>5</v>
      </c>
      <c r="K5" s="16">
        <v>5</v>
      </c>
      <c r="L5" s="16">
        <v>5</v>
      </c>
      <c r="M5" s="16">
        <v>5</v>
      </c>
      <c r="N5" s="16">
        <v>5</v>
      </c>
      <c r="O5" s="16">
        <v>5</v>
      </c>
      <c r="P5" s="16">
        <v>5</v>
      </c>
      <c r="Q5" s="16"/>
    </row>
    <row r="6" ht="16.5" outlineLevel="1" spans="1:17">
      <c r="A6" s="13"/>
      <c r="B6" s="13" t="s">
        <v>21</v>
      </c>
      <c r="C6" s="14"/>
      <c r="D6" s="15"/>
      <c r="E6" s="16">
        <v>0.6</v>
      </c>
      <c r="F6" s="16">
        <v>0.6</v>
      </c>
      <c r="G6" s="16">
        <v>0.6</v>
      </c>
      <c r="H6" s="16">
        <v>0.6</v>
      </c>
      <c r="I6" s="16">
        <v>0.6</v>
      </c>
      <c r="J6" s="16">
        <v>0.6</v>
      </c>
      <c r="K6" s="16">
        <v>0.6</v>
      </c>
      <c r="L6" s="16">
        <v>0.6</v>
      </c>
      <c r="M6" s="16">
        <v>0.6</v>
      </c>
      <c r="N6" s="16">
        <v>0.6</v>
      </c>
      <c r="O6" s="16">
        <v>0.6</v>
      </c>
      <c r="P6" s="16">
        <v>0.6</v>
      </c>
      <c r="Q6" s="16"/>
    </row>
    <row r="7" ht="16.5" outlineLevel="1" spans="1:17">
      <c r="A7" s="13"/>
      <c r="B7" s="13" t="s">
        <v>22</v>
      </c>
      <c r="C7" s="14"/>
      <c r="D7" s="15">
        <f>SUM(E7:P7)</f>
        <v>6</v>
      </c>
      <c r="E7" s="16">
        <v>0.5</v>
      </c>
      <c r="F7" s="16">
        <v>0.5</v>
      </c>
      <c r="G7" s="16">
        <v>0.5</v>
      </c>
      <c r="H7" s="16">
        <v>0.5</v>
      </c>
      <c r="I7" s="16">
        <v>0.5</v>
      </c>
      <c r="J7" s="16">
        <v>0.5</v>
      </c>
      <c r="K7" s="16">
        <v>0.5</v>
      </c>
      <c r="L7" s="16">
        <v>0.5</v>
      </c>
      <c r="M7" s="16">
        <v>0.5</v>
      </c>
      <c r="N7" s="16">
        <v>0.5</v>
      </c>
      <c r="O7" s="16">
        <v>0.5</v>
      </c>
      <c r="P7" s="16">
        <v>0.5</v>
      </c>
      <c r="Q7" s="16"/>
    </row>
    <row r="8" ht="16.5" outlineLevel="1" spans="1:17">
      <c r="A8" s="13"/>
      <c r="B8" s="13" t="s">
        <v>23</v>
      </c>
      <c r="C8" s="14"/>
      <c r="D8" s="15"/>
      <c r="E8" s="16">
        <v>1.2</v>
      </c>
      <c r="F8" s="16">
        <v>1.2</v>
      </c>
      <c r="G8" s="16">
        <v>1.2</v>
      </c>
      <c r="H8" s="16">
        <v>1.2</v>
      </c>
      <c r="I8" s="16">
        <v>1.2</v>
      </c>
      <c r="J8" s="16">
        <v>1.2</v>
      </c>
      <c r="K8" s="16">
        <v>1.2</v>
      </c>
      <c r="L8" s="16">
        <v>1.2</v>
      </c>
      <c r="M8" s="16">
        <v>1.2</v>
      </c>
      <c r="N8" s="16">
        <v>1.2</v>
      </c>
      <c r="O8" s="16">
        <v>1.2</v>
      </c>
      <c r="P8" s="16">
        <v>1.2</v>
      </c>
      <c r="Q8" s="16"/>
    </row>
    <row r="9" ht="16.5" outlineLevel="1" spans="1:17">
      <c r="A9" s="13"/>
      <c r="B9" s="13" t="s">
        <v>24</v>
      </c>
      <c r="C9" s="14"/>
      <c r="D9" s="15">
        <f t="shared" ref="D9:D14" si="1">SUM(E9:P9)</f>
        <v>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16.5" outlineLevel="1" spans="1:17">
      <c r="A10" s="13"/>
      <c r="B10" s="17" t="s">
        <v>25</v>
      </c>
      <c r="C10" s="14"/>
      <c r="D10" s="15">
        <f t="shared" si="1"/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/>
    </row>
    <row r="11" s="1" customFormat="1" ht="16.5" spans="1:17">
      <c r="A11" s="10" t="s">
        <v>26</v>
      </c>
      <c r="B11" s="10"/>
      <c r="C11" s="11"/>
      <c r="D11" s="12">
        <f t="shared" si="1"/>
        <v>20.76</v>
      </c>
      <c r="E11" s="12">
        <f>SUM(E12:E15)</f>
        <v>1.73</v>
      </c>
      <c r="F11" s="12">
        <f t="shared" ref="F11:P11" si="2">SUM(F12:F15)</f>
        <v>1.73</v>
      </c>
      <c r="G11" s="12">
        <f t="shared" si="2"/>
        <v>1.73</v>
      </c>
      <c r="H11" s="12">
        <f t="shared" si="2"/>
        <v>1.73</v>
      </c>
      <c r="I11" s="12">
        <f t="shared" si="2"/>
        <v>1.73</v>
      </c>
      <c r="J11" s="12">
        <f t="shared" si="2"/>
        <v>1.73</v>
      </c>
      <c r="K11" s="12">
        <f t="shared" si="2"/>
        <v>1.73</v>
      </c>
      <c r="L11" s="12">
        <f t="shared" si="2"/>
        <v>1.73</v>
      </c>
      <c r="M11" s="12">
        <f t="shared" si="2"/>
        <v>1.73</v>
      </c>
      <c r="N11" s="12">
        <f t="shared" si="2"/>
        <v>1.73</v>
      </c>
      <c r="O11" s="12">
        <f t="shared" si="2"/>
        <v>1.73</v>
      </c>
      <c r="P11" s="12">
        <f t="shared" si="2"/>
        <v>1.73</v>
      </c>
      <c r="Q11" s="12"/>
    </row>
    <row r="12" ht="16.5" outlineLevel="1" spans="1:17">
      <c r="A12" s="17"/>
      <c r="B12" s="17" t="s">
        <v>27</v>
      </c>
      <c r="C12" s="18" t="s">
        <v>28</v>
      </c>
      <c r="D12" s="15">
        <f t="shared" si="1"/>
        <v>1.2</v>
      </c>
      <c r="E12" s="16">
        <v>0.1</v>
      </c>
      <c r="F12" s="16">
        <v>0.1</v>
      </c>
      <c r="G12" s="16">
        <v>0.1</v>
      </c>
      <c r="H12" s="16">
        <v>0.1</v>
      </c>
      <c r="I12" s="16">
        <v>0.1</v>
      </c>
      <c r="J12" s="16">
        <v>0.1</v>
      </c>
      <c r="K12" s="16">
        <v>0.1</v>
      </c>
      <c r="L12" s="16">
        <v>0.1</v>
      </c>
      <c r="M12" s="16">
        <v>0.1</v>
      </c>
      <c r="N12" s="16">
        <v>0.1</v>
      </c>
      <c r="O12" s="16">
        <v>0.1</v>
      </c>
      <c r="P12" s="16">
        <v>0.1</v>
      </c>
      <c r="Q12" s="15"/>
    </row>
    <row r="13" ht="16.5" outlineLevel="1" spans="1:17">
      <c r="A13" s="17"/>
      <c r="B13" s="17" t="s">
        <v>29</v>
      </c>
      <c r="C13" s="18" t="s">
        <v>30</v>
      </c>
      <c r="D13" s="15">
        <f t="shared" si="1"/>
        <v>13.2</v>
      </c>
      <c r="E13" s="16">
        <v>1.1</v>
      </c>
      <c r="F13" s="16">
        <v>1.1</v>
      </c>
      <c r="G13" s="16">
        <v>1.1</v>
      </c>
      <c r="H13" s="16">
        <v>1.1</v>
      </c>
      <c r="I13" s="16">
        <v>1.1</v>
      </c>
      <c r="J13" s="16">
        <v>1.1</v>
      </c>
      <c r="K13" s="16">
        <v>1.1</v>
      </c>
      <c r="L13" s="16">
        <v>1.1</v>
      </c>
      <c r="M13" s="16">
        <v>1.1</v>
      </c>
      <c r="N13" s="16">
        <v>1.1</v>
      </c>
      <c r="O13" s="16">
        <v>1.1</v>
      </c>
      <c r="P13" s="16">
        <v>1.1</v>
      </c>
      <c r="Q13" s="15"/>
    </row>
    <row r="14" ht="16.5" outlineLevel="1" spans="1:17">
      <c r="A14" s="17"/>
      <c r="B14" s="17" t="s">
        <v>31</v>
      </c>
      <c r="C14" s="18"/>
      <c r="D14" s="15">
        <f t="shared" si="1"/>
        <v>6.36</v>
      </c>
      <c r="E14" s="16">
        <v>0.53</v>
      </c>
      <c r="F14" s="16">
        <v>0.53</v>
      </c>
      <c r="G14" s="16">
        <v>0.53</v>
      </c>
      <c r="H14" s="16">
        <v>0.53</v>
      </c>
      <c r="I14" s="16">
        <v>0.53</v>
      </c>
      <c r="J14" s="16">
        <v>0.53</v>
      </c>
      <c r="K14" s="16">
        <v>0.53</v>
      </c>
      <c r="L14" s="16">
        <v>0.53</v>
      </c>
      <c r="M14" s="16">
        <v>0.53</v>
      </c>
      <c r="N14" s="16">
        <v>0.53</v>
      </c>
      <c r="O14" s="16">
        <v>0.53</v>
      </c>
      <c r="P14" s="16">
        <v>0.53</v>
      </c>
      <c r="Q14" s="15"/>
    </row>
    <row r="15" ht="16.5" outlineLevel="1" spans="1:17">
      <c r="A15" s="17"/>
      <c r="B15" s="17" t="s">
        <v>25</v>
      </c>
      <c r="C15" s="18"/>
      <c r="D15" s="15">
        <f t="shared" ref="D15:D22" si="3">SUM(E15:P15)</f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5"/>
    </row>
    <row r="16" s="1" customFormat="1" ht="16.5" spans="1:17">
      <c r="A16" s="10" t="s">
        <v>32</v>
      </c>
      <c r="B16" s="10"/>
      <c r="C16" s="11"/>
      <c r="D16" s="12">
        <f t="shared" si="3"/>
        <v>30</v>
      </c>
      <c r="E16" s="12">
        <f>SUM(E17:E22)</f>
        <v>2.5</v>
      </c>
      <c r="F16" s="12">
        <f t="shared" ref="F16:P16" si="4">SUM(F17:F22)</f>
        <v>2.5</v>
      </c>
      <c r="G16" s="12">
        <f t="shared" si="4"/>
        <v>2.5</v>
      </c>
      <c r="H16" s="12">
        <f t="shared" si="4"/>
        <v>2.5</v>
      </c>
      <c r="I16" s="12">
        <f t="shared" si="4"/>
        <v>2.5</v>
      </c>
      <c r="J16" s="12">
        <f t="shared" si="4"/>
        <v>2.5</v>
      </c>
      <c r="K16" s="12">
        <f t="shared" si="4"/>
        <v>2.5</v>
      </c>
      <c r="L16" s="12">
        <f t="shared" si="4"/>
        <v>2.5</v>
      </c>
      <c r="M16" s="12">
        <f t="shared" si="4"/>
        <v>2.5</v>
      </c>
      <c r="N16" s="12">
        <f t="shared" si="4"/>
        <v>2.5</v>
      </c>
      <c r="O16" s="12">
        <f t="shared" si="4"/>
        <v>2.5</v>
      </c>
      <c r="P16" s="12">
        <f t="shared" si="4"/>
        <v>2.5</v>
      </c>
      <c r="Q16" s="12"/>
    </row>
    <row r="17" ht="16.5" outlineLevel="1" spans="1:17">
      <c r="A17" s="17"/>
      <c r="B17" s="17" t="s">
        <v>33</v>
      </c>
      <c r="C17" s="18"/>
      <c r="D17" s="15">
        <f t="shared" si="3"/>
        <v>18</v>
      </c>
      <c r="E17" s="15">
        <v>1.5</v>
      </c>
      <c r="F17" s="15">
        <v>1.5</v>
      </c>
      <c r="G17" s="15">
        <v>1.5</v>
      </c>
      <c r="H17" s="15">
        <v>1.5</v>
      </c>
      <c r="I17" s="15">
        <v>1.5</v>
      </c>
      <c r="J17" s="15">
        <v>1.5</v>
      </c>
      <c r="K17" s="15">
        <v>1.5</v>
      </c>
      <c r="L17" s="15">
        <v>1.5</v>
      </c>
      <c r="M17" s="15">
        <v>1.5</v>
      </c>
      <c r="N17" s="15">
        <v>1.5</v>
      </c>
      <c r="O17" s="15">
        <v>1.5</v>
      </c>
      <c r="P17" s="15">
        <v>1.5</v>
      </c>
      <c r="Q17" s="15"/>
    </row>
    <row r="18" ht="16.5" outlineLevel="1" spans="1:17">
      <c r="A18" s="17"/>
      <c r="B18" s="17" t="s">
        <v>34</v>
      </c>
      <c r="C18" s="18"/>
      <c r="D18" s="15">
        <f t="shared" si="3"/>
        <v>8.4</v>
      </c>
      <c r="E18" s="15">
        <v>0.7</v>
      </c>
      <c r="F18" s="15">
        <v>0.7</v>
      </c>
      <c r="G18" s="15">
        <v>0.7</v>
      </c>
      <c r="H18" s="15">
        <v>0.7</v>
      </c>
      <c r="I18" s="15">
        <v>0.7</v>
      </c>
      <c r="J18" s="15">
        <v>0.7</v>
      </c>
      <c r="K18" s="15">
        <v>0.7</v>
      </c>
      <c r="L18" s="15">
        <v>0.7</v>
      </c>
      <c r="M18" s="15">
        <v>0.7</v>
      </c>
      <c r="N18" s="15">
        <v>0.7</v>
      </c>
      <c r="O18" s="15">
        <v>0.7</v>
      </c>
      <c r="P18" s="15">
        <v>0.7</v>
      </c>
      <c r="Q18" s="15"/>
    </row>
    <row r="19" ht="16.5" outlineLevel="1" spans="1:17">
      <c r="A19" s="17"/>
      <c r="B19" s="17" t="s">
        <v>35</v>
      </c>
      <c r="C19" s="18"/>
      <c r="D19" s="15">
        <f t="shared" si="3"/>
        <v>2.4</v>
      </c>
      <c r="E19" s="15">
        <v>0.2</v>
      </c>
      <c r="F19" s="15">
        <v>0.2</v>
      </c>
      <c r="G19" s="15">
        <v>0.2</v>
      </c>
      <c r="H19" s="15">
        <v>0.2</v>
      </c>
      <c r="I19" s="15">
        <v>0.2</v>
      </c>
      <c r="J19" s="15">
        <v>0.2</v>
      </c>
      <c r="K19" s="15">
        <v>0.2</v>
      </c>
      <c r="L19" s="15">
        <v>0.2</v>
      </c>
      <c r="M19" s="15">
        <v>0.2</v>
      </c>
      <c r="N19" s="15">
        <v>0.2</v>
      </c>
      <c r="O19" s="15">
        <v>0.2</v>
      </c>
      <c r="P19" s="15">
        <v>0.2</v>
      </c>
      <c r="Q19" s="15"/>
    </row>
    <row r="20" ht="16.5" outlineLevel="1" spans="1:17">
      <c r="A20" s="17"/>
      <c r="B20" s="17" t="s">
        <v>36</v>
      </c>
      <c r="C20" s="18"/>
      <c r="D20" s="15">
        <f t="shared" si="3"/>
        <v>1.2</v>
      </c>
      <c r="E20" s="16">
        <v>0.1</v>
      </c>
      <c r="F20" s="16">
        <v>0.1</v>
      </c>
      <c r="G20" s="16">
        <v>0.1</v>
      </c>
      <c r="H20" s="16">
        <v>0.1</v>
      </c>
      <c r="I20" s="16">
        <v>0.1</v>
      </c>
      <c r="J20" s="16">
        <v>0.1</v>
      </c>
      <c r="K20" s="16">
        <v>0.1</v>
      </c>
      <c r="L20" s="16">
        <v>0.1</v>
      </c>
      <c r="M20" s="16">
        <v>0.1</v>
      </c>
      <c r="N20" s="16">
        <v>0.1</v>
      </c>
      <c r="O20" s="16">
        <v>0.1</v>
      </c>
      <c r="P20" s="16">
        <v>0.1</v>
      </c>
      <c r="Q20" s="15"/>
    </row>
    <row r="21" ht="16.5" outlineLevel="1" spans="1:17">
      <c r="A21" s="17"/>
      <c r="B21" s="17" t="s">
        <v>37</v>
      </c>
      <c r="C21" s="18"/>
      <c r="D21" s="15">
        <f t="shared" si="3"/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5"/>
    </row>
    <row r="22" ht="16.5" outlineLevel="1" spans="1:17">
      <c r="A22" s="17"/>
      <c r="B22" s="17" t="s">
        <v>25</v>
      </c>
      <c r="C22" s="18"/>
      <c r="D22" s="15">
        <f t="shared" si="3"/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5"/>
    </row>
    <row r="23" s="1" customFormat="1" ht="16.5" spans="1:17">
      <c r="A23" s="10" t="s">
        <v>38</v>
      </c>
      <c r="B23" s="10"/>
      <c r="C23" s="11"/>
      <c r="D23" s="12">
        <f t="shared" ref="D23:D28" si="5">SUM(E23:P23)</f>
        <v>33</v>
      </c>
      <c r="E23" s="12">
        <f>SUM(E24:E28)</f>
        <v>5</v>
      </c>
      <c r="F23" s="12">
        <f t="shared" ref="E23:P23" si="6">SUM(F24:F28)</f>
        <v>5</v>
      </c>
      <c r="G23" s="12">
        <f t="shared" si="6"/>
        <v>2</v>
      </c>
      <c r="H23" s="12">
        <f t="shared" si="6"/>
        <v>2</v>
      </c>
      <c r="I23" s="12">
        <f t="shared" si="6"/>
        <v>2</v>
      </c>
      <c r="J23" s="12">
        <f t="shared" si="6"/>
        <v>2</v>
      </c>
      <c r="K23" s="12">
        <f t="shared" si="6"/>
        <v>2</v>
      </c>
      <c r="L23" s="12">
        <f t="shared" si="6"/>
        <v>2</v>
      </c>
      <c r="M23" s="12">
        <f t="shared" si="6"/>
        <v>2</v>
      </c>
      <c r="N23" s="12">
        <f t="shared" si="6"/>
        <v>2</v>
      </c>
      <c r="O23" s="12">
        <f t="shared" si="6"/>
        <v>2</v>
      </c>
      <c r="P23" s="12">
        <f t="shared" si="6"/>
        <v>5</v>
      </c>
      <c r="Q23" s="12"/>
    </row>
    <row r="24" ht="16.5" outlineLevel="1" spans="1:17">
      <c r="A24" s="13"/>
      <c r="B24" s="13" t="s">
        <v>39</v>
      </c>
      <c r="C24" s="14"/>
      <c r="D24" s="15">
        <f t="shared" si="5"/>
        <v>33</v>
      </c>
      <c r="E24" s="16">
        <v>5</v>
      </c>
      <c r="F24" s="16">
        <v>5</v>
      </c>
      <c r="G24" s="16">
        <v>2</v>
      </c>
      <c r="H24" s="16">
        <v>2</v>
      </c>
      <c r="I24" s="16">
        <v>2</v>
      </c>
      <c r="J24" s="16">
        <v>2</v>
      </c>
      <c r="K24" s="16">
        <v>2</v>
      </c>
      <c r="L24" s="16">
        <v>2</v>
      </c>
      <c r="M24" s="16">
        <v>2</v>
      </c>
      <c r="N24" s="16">
        <v>2</v>
      </c>
      <c r="O24" s="16">
        <v>2</v>
      </c>
      <c r="P24" s="16">
        <v>5</v>
      </c>
      <c r="Q24" s="16"/>
    </row>
    <row r="25" ht="16.5" outlineLevel="1" spans="1:17">
      <c r="A25" s="13"/>
      <c r="B25" s="13" t="s">
        <v>40</v>
      </c>
      <c r="C25" s="14"/>
      <c r="D25" s="15">
        <f t="shared" si="5"/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/>
    </row>
    <row r="26" ht="16.5" outlineLevel="1" spans="1:17">
      <c r="A26" s="13"/>
      <c r="B26" s="13" t="s">
        <v>41</v>
      </c>
      <c r="C26" s="14"/>
      <c r="D26" s="15">
        <f t="shared" si="5"/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/>
    </row>
    <row r="27" ht="16.5" outlineLevel="1" spans="1:17">
      <c r="A27" s="13"/>
      <c r="B27" s="13" t="s">
        <v>42</v>
      </c>
      <c r="C27" s="14"/>
      <c r="D27" s="15">
        <f t="shared" si="5"/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/>
    </row>
    <row r="28" ht="16.5" outlineLevel="1" spans="1:17">
      <c r="A28" s="13"/>
      <c r="B28" s="17" t="s">
        <v>25</v>
      </c>
      <c r="C28" s="14"/>
      <c r="D28" s="15">
        <f t="shared" si="5"/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/>
    </row>
    <row r="29" s="1" customFormat="1" ht="16.5" spans="1:17">
      <c r="A29" s="10" t="s">
        <v>43</v>
      </c>
      <c r="B29" s="10"/>
      <c r="C29" s="11"/>
      <c r="D29" s="12">
        <f t="shared" ref="D29:D46" si="7">SUM(E29:P29)</f>
        <v>33.24</v>
      </c>
      <c r="E29" s="12">
        <f>SUM(E30:E33)</f>
        <v>5.02</v>
      </c>
      <c r="F29" s="12">
        <f t="shared" ref="E29:P29" si="8">SUM(F30:F33)</f>
        <v>5.02</v>
      </c>
      <c r="G29" s="12">
        <f t="shared" si="8"/>
        <v>2.02</v>
      </c>
      <c r="H29" s="12">
        <f t="shared" si="8"/>
        <v>2.02</v>
      </c>
      <c r="I29" s="12">
        <f t="shared" si="8"/>
        <v>2.02</v>
      </c>
      <c r="J29" s="12">
        <f t="shared" si="8"/>
        <v>2.02</v>
      </c>
      <c r="K29" s="12">
        <f t="shared" si="8"/>
        <v>2.02</v>
      </c>
      <c r="L29" s="12">
        <f t="shared" si="8"/>
        <v>2.02</v>
      </c>
      <c r="M29" s="12">
        <f t="shared" si="8"/>
        <v>2.02</v>
      </c>
      <c r="N29" s="12">
        <f t="shared" si="8"/>
        <v>2.02</v>
      </c>
      <c r="O29" s="12">
        <f t="shared" si="8"/>
        <v>2.02</v>
      </c>
      <c r="P29" s="12">
        <f t="shared" si="8"/>
        <v>5.02</v>
      </c>
      <c r="Q29" s="12"/>
    </row>
    <row r="30" ht="16.5" outlineLevel="1" spans="1:17">
      <c r="A30" s="13"/>
      <c r="B30" s="13" t="s">
        <v>44</v>
      </c>
      <c r="C30" s="14"/>
      <c r="D30" s="15">
        <f t="shared" si="7"/>
        <v>33</v>
      </c>
      <c r="E30" s="16">
        <v>5</v>
      </c>
      <c r="F30" s="16">
        <v>5</v>
      </c>
      <c r="G30" s="16">
        <v>2</v>
      </c>
      <c r="H30" s="16">
        <v>2</v>
      </c>
      <c r="I30" s="16">
        <v>2</v>
      </c>
      <c r="J30" s="16">
        <v>2</v>
      </c>
      <c r="K30" s="16">
        <v>2</v>
      </c>
      <c r="L30" s="16">
        <v>2</v>
      </c>
      <c r="M30" s="16">
        <v>2</v>
      </c>
      <c r="N30" s="16">
        <v>2</v>
      </c>
      <c r="O30" s="16">
        <v>2</v>
      </c>
      <c r="P30" s="16">
        <v>5</v>
      </c>
      <c r="Q30" s="16"/>
    </row>
    <row r="31" ht="16.5" outlineLevel="1" spans="1:17">
      <c r="A31" s="13"/>
      <c r="B31" s="13" t="s">
        <v>45</v>
      </c>
      <c r="C31" s="14"/>
      <c r="D31" s="15">
        <f t="shared" si="7"/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/>
    </row>
    <row r="32" ht="16.5" outlineLevel="1" spans="1:17">
      <c r="A32" s="13"/>
      <c r="B32" s="13" t="s">
        <v>46</v>
      </c>
      <c r="C32" s="14"/>
      <c r="D32" s="15">
        <f t="shared" si="7"/>
        <v>0.24</v>
      </c>
      <c r="E32" s="16">
        <v>0.02</v>
      </c>
      <c r="F32" s="16">
        <v>0.02</v>
      </c>
      <c r="G32" s="16">
        <v>0.02</v>
      </c>
      <c r="H32" s="16">
        <v>0.02</v>
      </c>
      <c r="I32" s="16">
        <v>0.02</v>
      </c>
      <c r="J32" s="16">
        <v>0.02</v>
      </c>
      <c r="K32" s="16">
        <v>0.02</v>
      </c>
      <c r="L32" s="16">
        <v>0.02</v>
      </c>
      <c r="M32" s="16">
        <v>0.02</v>
      </c>
      <c r="N32" s="16">
        <v>0.02</v>
      </c>
      <c r="O32" s="16">
        <v>0.02</v>
      </c>
      <c r="P32" s="16">
        <v>0.02</v>
      </c>
      <c r="Q32" s="16"/>
    </row>
    <row r="33" customFormat="1" ht="16.5" outlineLevel="1" spans="1:17">
      <c r="A33" s="19"/>
      <c r="B33" s="19" t="s">
        <v>25</v>
      </c>
      <c r="C33" s="20"/>
      <c r="D33" s="15">
        <f t="shared" si="7"/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21"/>
    </row>
    <row r="34" s="1" customFormat="1" ht="16.5" spans="1:17">
      <c r="A34" s="10" t="s">
        <v>47</v>
      </c>
      <c r="B34" s="10"/>
      <c r="C34" s="11"/>
      <c r="D34" s="12">
        <f t="shared" si="7"/>
        <v>0.36</v>
      </c>
      <c r="E34" s="12">
        <f>SUM(E35:E38)</f>
        <v>0.03</v>
      </c>
      <c r="F34" s="12">
        <f>SUM(F35:F38)</f>
        <v>0.03</v>
      </c>
      <c r="G34" s="12">
        <f t="shared" ref="F34:P34" si="9">SUM(G35:G38)</f>
        <v>0.03</v>
      </c>
      <c r="H34" s="12">
        <f t="shared" si="9"/>
        <v>0.03</v>
      </c>
      <c r="I34" s="12">
        <f t="shared" si="9"/>
        <v>0.03</v>
      </c>
      <c r="J34" s="12">
        <f t="shared" si="9"/>
        <v>0.03</v>
      </c>
      <c r="K34" s="12">
        <f t="shared" si="9"/>
        <v>0.03</v>
      </c>
      <c r="L34" s="12">
        <f t="shared" si="9"/>
        <v>0.03</v>
      </c>
      <c r="M34" s="12">
        <f t="shared" si="9"/>
        <v>0.03</v>
      </c>
      <c r="N34" s="12">
        <f t="shared" si="9"/>
        <v>0.03</v>
      </c>
      <c r="O34" s="12">
        <f t="shared" si="9"/>
        <v>0.03</v>
      </c>
      <c r="P34" s="12">
        <f t="shared" si="9"/>
        <v>0.03</v>
      </c>
      <c r="Q34" s="12"/>
    </row>
    <row r="35" ht="16.5" outlineLevel="1" spans="1:17">
      <c r="A35" s="17"/>
      <c r="B35" s="17" t="s">
        <v>48</v>
      </c>
      <c r="C35" s="18"/>
      <c r="D35" s="15">
        <f t="shared" si="7"/>
        <v>0.36</v>
      </c>
      <c r="E35" s="16">
        <v>0.03</v>
      </c>
      <c r="F35" s="16">
        <v>0.03</v>
      </c>
      <c r="G35" s="16">
        <v>0.03</v>
      </c>
      <c r="H35" s="16">
        <v>0.03</v>
      </c>
      <c r="I35" s="16">
        <v>0.03</v>
      </c>
      <c r="J35" s="16">
        <v>0.03</v>
      </c>
      <c r="K35" s="16">
        <v>0.03</v>
      </c>
      <c r="L35" s="16">
        <v>0.03</v>
      </c>
      <c r="M35" s="16">
        <v>0.03</v>
      </c>
      <c r="N35" s="16">
        <v>0.03</v>
      </c>
      <c r="O35" s="16">
        <v>0.03</v>
      </c>
      <c r="P35" s="16">
        <v>0.03</v>
      </c>
      <c r="Q35" s="15"/>
    </row>
    <row r="36" ht="16.5" outlineLevel="1" spans="1:17">
      <c r="A36" s="17"/>
      <c r="B36" s="17" t="s">
        <v>49</v>
      </c>
      <c r="C36" s="18"/>
      <c r="D36" s="15">
        <f t="shared" si="7"/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5"/>
    </row>
    <row r="37" ht="16.5" outlineLevel="1" spans="1:17">
      <c r="A37" s="17"/>
      <c r="B37" s="17" t="s">
        <v>50</v>
      </c>
      <c r="C37" s="18"/>
      <c r="D37" s="15">
        <f t="shared" si="7"/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5"/>
    </row>
    <row r="38" ht="16.5" outlineLevel="1" spans="1:17">
      <c r="A38" s="17"/>
      <c r="B38" s="17" t="s">
        <v>25</v>
      </c>
      <c r="C38" s="18"/>
      <c r="D38" s="15">
        <f t="shared" si="7"/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5"/>
    </row>
    <row r="39" s="1" customFormat="1" ht="16.5" spans="1:17">
      <c r="A39" s="10" t="s">
        <v>51</v>
      </c>
      <c r="B39" s="10"/>
      <c r="C39" s="11"/>
      <c r="D39" s="12">
        <f t="shared" si="7"/>
        <v>4.44</v>
      </c>
      <c r="E39" s="12">
        <f>SUM(E40:E45)</f>
        <v>0.37</v>
      </c>
      <c r="F39" s="12">
        <f t="shared" ref="E39:P39" si="10">SUM(F40:F45)</f>
        <v>0.37</v>
      </c>
      <c r="G39" s="12">
        <f t="shared" si="10"/>
        <v>0.37</v>
      </c>
      <c r="H39" s="12">
        <f t="shared" si="10"/>
        <v>0.37</v>
      </c>
      <c r="I39" s="12">
        <f t="shared" si="10"/>
        <v>0.37</v>
      </c>
      <c r="J39" s="12">
        <f t="shared" si="10"/>
        <v>0.37</v>
      </c>
      <c r="K39" s="12">
        <f t="shared" si="10"/>
        <v>0.37</v>
      </c>
      <c r="L39" s="12">
        <f t="shared" si="10"/>
        <v>0.37</v>
      </c>
      <c r="M39" s="12">
        <f t="shared" si="10"/>
        <v>0.37</v>
      </c>
      <c r="N39" s="12">
        <f t="shared" si="10"/>
        <v>0.37</v>
      </c>
      <c r="O39" s="12">
        <f t="shared" si="10"/>
        <v>0.37</v>
      </c>
      <c r="P39" s="12">
        <f t="shared" si="10"/>
        <v>0.37</v>
      </c>
      <c r="Q39" s="12"/>
    </row>
    <row r="40" customFormat="1" ht="16.5" outlineLevel="1" spans="1:17">
      <c r="A40" s="13"/>
      <c r="B40" s="13" t="s">
        <v>52</v>
      </c>
      <c r="C40" s="14"/>
      <c r="D40" s="15">
        <f t="shared" si="7"/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/>
    </row>
    <row r="41" customFormat="1" ht="16.5" outlineLevel="1" spans="1:17">
      <c r="A41" s="13"/>
      <c r="B41" s="13" t="s">
        <v>53</v>
      </c>
      <c r="C41" s="14"/>
      <c r="D41" s="15">
        <f t="shared" si="7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16"/>
    </row>
    <row r="42" customFormat="1" ht="16.5" outlineLevel="1" spans="1:17">
      <c r="A42" s="13"/>
      <c r="B42" s="13" t="s">
        <v>54</v>
      </c>
      <c r="C42" s="14"/>
      <c r="D42" s="15">
        <f t="shared" si="7"/>
        <v>0.24</v>
      </c>
      <c r="E42" s="16">
        <v>0.02</v>
      </c>
      <c r="F42" s="16">
        <v>0.02</v>
      </c>
      <c r="G42" s="16">
        <v>0.02</v>
      </c>
      <c r="H42" s="16">
        <v>0.02</v>
      </c>
      <c r="I42" s="16">
        <v>0.02</v>
      </c>
      <c r="J42" s="16">
        <v>0.02</v>
      </c>
      <c r="K42" s="16">
        <v>0.02</v>
      </c>
      <c r="L42" s="16">
        <v>0.02</v>
      </c>
      <c r="M42" s="16">
        <v>0.02</v>
      </c>
      <c r="N42" s="16">
        <v>0.02</v>
      </c>
      <c r="O42" s="16">
        <v>0.02</v>
      </c>
      <c r="P42" s="16">
        <v>0.02</v>
      </c>
      <c r="Q42" s="16"/>
    </row>
    <row r="43" customFormat="1" ht="16.5" outlineLevel="1" spans="1:17">
      <c r="A43" s="13"/>
      <c r="B43" s="13" t="s">
        <v>55</v>
      </c>
      <c r="C43" s="14"/>
      <c r="D43" s="15">
        <f t="shared" si="7"/>
        <v>4.2</v>
      </c>
      <c r="E43" s="16">
        <v>0.35</v>
      </c>
      <c r="F43" s="16">
        <v>0.35</v>
      </c>
      <c r="G43" s="16">
        <v>0.35</v>
      </c>
      <c r="H43" s="16">
        <v>0.35</v>
      </c>
      <c r="I43" s="16">
        <v>0.35</v>
      </c>
      <c r="J43" s="16">
        <v>0.35</v>
      </c>
      <c r="K43" s="16">
        <v>0.35</v>
      </c>
      <c r="L43" s="16">
        <v>0.35</v>
      </c>
      <c r="M43" s="16">
        <v>0.35</v>
      </c>
      <c r="N43" s="16">
        <v>0.35</v>
      </c>
      <c r="O43" s="16">
        <v>0.35</v>
      </c>
      <c r="P43" s="16">
        <v>0.35</v>
      </c>
      <c r="Q43" s="16"/>
    </row>
    <row r="44" customFormat="1" ht="16.5" outlineLevel="1" spans="1:17">
      <c r="A44" s="13"/>
      <c r="B44" s="19" t="s">
        <v>56</v>
      </c>
      <c r="C44" s="14"/>
      <c r="D44" s="15">
        <f t="shared" si="7"/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/>
    </row>
    <row r="45" customFormat="1" ht="17.25" outlineLevel="1" spans="1:17">
      <c r="A45" s="19"/>
      <c r="B45" s="19" t="s">
        <v>25</v>
      </c>
      <c r="C45" s="20"/>
      <c r="D45" s="22">
        <f t="shared" si="7"/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/>
    </row>
    <row r="46" ht="19.75" spans="1:17">
      <c r="A46" s="23" t="s">
        <v>57</v>
      </c>
      <c r="B46" s="24"/>
      <c r="C46" s="25"/>
      <c r="D46" s="26">
        <f t="shared" si="7"/>
        <v>209.4</v>
      </c>
      <c r="E46" s="26">
        <f>E4+E11+E16+E23+E29+E34+E39</f>
        <v>21.95</v>
      </c>
      <c r="F46" s="26">
        <f t="shared" ref="F46:P46" si="11">F4+F11+F16+F23+F29+F34+F39</f>
        <v>21.95</v>
      </c>
      <c r="G46" s="26">
        <f t="shared" si="11"/>
        <v>15.95</v>
      </c>
      <c r="H46" s="26">
        <f t="shared" si="11"/>
        <v>15.95</v>
      </c>
      <c r="I46" s="26">
        <f t="shared" si="11"/>
        <v>15.95</v>
      </c>
      <c r="J46" s="26">
        <f t="shared" si="11"/>
        <v>15.95</v>
      </c>
      <c r="K46" s="26">
        <f t="shared" si="11"/>
        <v>15.95</v>
      </c>
      <c r="L46" s="26">
        <f t="shared" si="11"/>
        <v>15.95</v>
      </c>
      <c r="M46" s="26">
        <f t="shared" si="11"/>
        <v>15.95</v>
      </c>
      <c r="N46" s="26">
        <f t="shared" si="11"/>
        <v>15.95</v>
      </c>
      <c r="O46" s="26">
        <f t="shared" si="11"/>
        <v>15.95</v>
      </c>
      <c r="P46" s="26">
        <f t="shared" si="11"/>
        <v>21.95</v>
      </c>
      <c r="Q46" s="26"/>
    </row>
    <row r="47" ht="18" spans="1:17">
      <c r="A47" s="27" t="s">
        <v>58</v>
      </c>
      <c r="B47" s="27"/>
      <c r="C47" s="28"/>
      <c r="D47" s="27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</row>
    <row r="48" ht="18" spans="1:17">
      <c r="A48" s="29"/>
      <c r="B48" s="29"/>
      <c r="C48" s="3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</sheetData>
  <sheetProtection selectLockedCells="1"/>
  <mergeCells count="4">
    <mergeCell ref="A1:Q1"/>
    <mergeCell ref="A2:B2"/>
    <mergeCell ref="A46:C46"/>
    <mergeCell ref="A47:D47"/>
  </mergeCells>
  <pageMargins left="0.708661417322835" right="0.708661417322835" top="0.748031496062992" bottom="0.748031496062992" header="0.31496062992126" footer="0.31496062992126"/>
  <pageSetup paperSize="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2025年度行政费用预算表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莫菲</cp:lastModifiedBy>
  <dcterms:created xsi:type="dcterms:W3CDTF">2006-09-16T00:00:00Z</dcterms:created>
  <dcterms:modified xsi:type="dcterms:W3CDTF">2025-01-13T11:50:10Z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KSOTemplateUUID">
    <vt:lpwstr>v1.0_mb_J1KOxe55PUO+5u74uG103Q==</vt:lpwstr>
  </property>
  <property fmtid="{D5CDD505-2E9C-101B-9397-08002B2CF9AE}" pid="4" name="ICV">
    <vt:lpwstr>F512CF92CA9146129D0E951E7AC94D31_13</vt:lpwstr>
  </property>
</Properties>
</file>