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2024" sheetId="1" state="visible" r:id="rId1"/>
    <sheet xmlns:r="http://schemas.openxmlformats.org/officeDocument/2006/relationships" name="预算2025" sheetId="2" state="visible" r:id="rId2"/>
    <sheet xmlns:r="http://schemas.openxmlformats.org/officeDocument/2006/relationships" name="备用2022" sheetId="3" state="visible" r:id="rId3"/>
    <sheet xmlns:r="http://schemas.openxmlformats.org/officeDocument/2006/relationships" name="备用2024" sheetId="4" state="visible" r:id="rId4"/>
    <sheet xmlns:r="http://schemas.openxmlformats.org/officeDocument/2006/relationships" name="预算对比" sheetId="5" state="visible" r:id="rId5"/>
    <sheet xmlns:r="http://schemas.openxmlformats.org/officeDocument/2006/relationships" name="审计指标" sheetId="6" state="visible" r:id="rId6"/>
    <sheet xmlns:r="http://schemas.openxmlformats.org/officeDocument/2006/relationships" name="问题清单" sheetId="7" state="visible" r:id="rId7"/>
  </sheets>
  <definedNames>
    <definedName name="_xlnm._FilterDatabase" localSheetId="0" hidden="1">'实际2024'!$A$1:$E$14</definedName>
    <definedName name="_xlnm.Print_Titles" localSheetId="0">'实际2024'!$1:$1</definedName>
    <definedName name="_xlnm._FilterDatabase" localSheetId="1" hidden="1">'预算2025'!$A$1:$R$36</definedName>
    <definedName name="_xlnm.Print_Titles" localSheetId="1">'预算2025'!$1:$1</definedName>
    <definedName name="_xlnm._FilterDatabase" localSheetId="2" hidden="1">'备用2022'!$A$1:$H$6</definedName>
    <definedName name="_xlnm.Print_Titles" localSheetId="2">'备用2022'!$1:$1</definedName>
    <definedName name="_xlnm._FilterDatabase" localSheetId="3" hidden="1">'备用2024'!$A$1:$E$33</definedName>
    <definedName name="_xlnm.Print_Titles" localSheetId="3">'备用2024'!$1:$1</definedName>
    <definedName name="_xlnm._FilterDatabase" localSheetId="4" hidden="1">'预算对比'!$A$1:$H$13</definedName>
    <definedName name="_xlnm.Print_Titles" localSheetId="4">'预算对比'!$1:$1</definedName>
    <definedName name="_xlnm._FilterDatabase" localSheetId="5" hidden="1">'审计指标'!$A$1:$B$26</definedName>
    <definedName name="_xlnm.Print_Titles" localSheetId="5">'审计指标'!$1:$1</definedName>
    <definedName name="_xlnm._FilterDatabase" localSheetId="6" hidden="1">'问题清单'!$A$1:$D$6</definedName>
    <definedName name="_xlnm.Print_Titles" localSheetId="6">'问题清单'!$1:$1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2024四月原预算与实际（元）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'预算对比'!B1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'预算对比'!$A$2:$A$13</f>
            </numRef>
          </cat>
          <val>
            <numRef>
              <f>'预算对比'!$B$2:$B$13</f>
            </numRef>
          </val>
        </ser>
        <ser>
          <idx val="1"/>
          <order val="1"/>
          <tx>
            <strRef>
              <f>'预算对比'!C1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'预算对比'!$A$2:$A$13</f>
            </numRef>
          </cat>
          <val>
            <numRef>
              <f>'预算对比'!$C$2:$C$13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60" customWidth="1" min="5" max="5"/>
  </cols>
  <sheetData>
    <row r="1">
      <c r="A1" s="1" t="inlineStr">
        <is>
          <t>日期</t>
        </is>
      </c>
      <c r="B1" s="1" t="inlineStr">
        <is>
          <t>原项目</t>
        </is>
      </c>
      <c r="C1" s="1" t="inlineStr">
        <is>
          <t>金额元</t>
        </is>
      </c>
      <c r="D1" s="1" t="inlineStr">
        <is>
          <t>部门</t>
        </is>
      </c>
      <c r="E1" s="1" t="inlineStr">
        <is>
          <t>来源</t>
        </is>
      </c>
    </row>
    <row r="2" ht="42" customHeight="1">
      <c r="A2" s="2" t="n">
        <v>45383</v>
      </c>
      <c r="B2" s="3" t="inlineStr">
        <is>
          <t>办公费</t>
        </is>
      </c>
      <c r="C2" s="4" t="n">
        <v>1100</v>
      </c>
      <c r="D2" s="3" t="inlineStr">
        <is>
          <t>部门1</t>
        </is>
      </c>
      <c r="E2" s="3" t="inlineStr">
        <is>
          <t>1-行政预算及支出管理表.xlsx!行政预算及支出管理表!D20:I20</t>
        </is>
      </c>
    </row>
    <row r="3" ht="42" customHeight="1">
      <c r="A3" s="2" t="n">
        <v>45384</v>
      </c>
      <c r="B3" s="3" t="inlineStr">
        <is>
          <t>交通费</t>
        </is>
      </c>
      <c r="C3" s="4" t="n">
        <v>800</v>
      </c>
      <c r="D3" s="3" t="inlineStr">
        <is>
          <t>部门2</t>
        </is>
      </c>
      <c r="E3" s="3" t="inlineStr">
        <is>
          <t>1-行政预算及支出管理表.xlsx!行政预算及支出管理表!D21:I21</t>
        </is>
      </c>
    </row>
    <row r="4" ht="42" customHeight="1">
      <c r="A4" s="2" t="n">
        <v>45385</v>
      </c>
      <c r="B4" s="3" t="inlineStr">
        <is>
          <t>招待费</t>
        </is>
      </c>
      <c r="C4" s="4" t="n">
        <v>3600</v>
      </c>
      <c r="D4" s="3" t="inlineStr">
        <is>
          <t>部门3</t>
        </is>
      </c>
      <c r="E4" s="3" t="inlineStr">
        <is>
          <t>1-行政预算及支出管理表.xlsx!行政预算及支出管理表!D22:I22</t>
        </is>
      </c>
    </row>
    <row r="5" ht="42" customHeight="1">
      <c r="A5" s="2" t="n">
        <v>45386</v>
      </c>
      <c r="B5" s="3" t="inlineStr">
        <is>
          <t>广告费</t>
        </is>
      </c>
      <c r="C5" s="4" t="n">
        <v>700</v>
      </c>
      <c r="D5" s="3" t="inlineStr">
        <is>
          <t>部门4</t>
        </is>
      </c>
      <c r="E5" s="3" t="inlineStr">
        <is>
          <t>1-行政预算及支出管理表.xlsx!行政预算及支出管理表!D23:I23</t>
        </is>
      </c>
    </row>
    <row r="6" ht="42" customHeight="1">
      <c r="A6" s="2" t="n">
        <v>45387</v>
      </c>
      <c r="B6" s="3" t="inlineStr">
        <is>
          <t>福利费</t>
        </is>
      </c>
      <c r="C6" s="4" t="n">
        <v>1400</v>
      </c>
      <c r="D6" s="3" t="inlineStr">
        <is>
          <t>部门5</t>
        </is>
      </c>
      <c r="E6" s="3" t="inlineStr">
        <is>
          <t>1-行政预算及支出管理表.xlsx!行政预算及支出管理表!D24:I24</t>
        </is>
      </c>
    </row>
    <row r="7" ht="42" customHeight="1">
      <c r="A7" s="2" t="n">
        <v>45388</v>
      </c>
      <c r="B7" s="3" t="inlineStr">
        <is>
          <t>保险费</t>
        </is>
      </c>
      <c r="C7" s="4" t="n">
        <v>1200</v>
      </c>
      <c r="D7" s="3" t="inlineStr">
        <is>
          <t>部门6</t>
        </is>
      </c>
      <c r="E7" s="3" t="inlineStr">
        <is>
          <t>1-行政预算及支出管理表.xlsx!行政预算及支出管理表!D25:I25</t>
        </is>
      </c>
    </row>
    <row r="8" ht="42" customHeight="1">
      <c r="A8" s="2" t="n">
        <v>45389</v>
      </c>
      <c r="B8" s="3" t="inlineStr">
        <is>
          <t>维修费</t>
        </is>
      </c>
      <c r="C8" s="4" t="n">
        <v>1200</v>
      </c>
      <c r="D8" s="3" t="inlineStr">
        <is>
          <t>部门7</t>
        </is>
      </c>
      <c r="E8" s="3" t="inlineStr">
        <is>
          <t>1-行政预算及支出管理表.xlsx!行政预算及支出管理表!D26:I26</t>
        </is>
      </c>
    </row>
    <row r="9" ht="42" customHeight="1">
      <c r="A9" s="2" t="n">
        <v>45390</v>
      </c>
      <c r="B9" s="3" t="inlineStr">
        <is>
          <t>租赁费</t>
        </is>
      </c>
      <c r="C9" s="4" t="n">
        <v>4963</v>
      </c>
      <c r="D9" s="3" t="inlineStr">
        <is>
          <t>部门8</t>
        </is>
      </c>
      <c r="E9" s="3" t="inlineStr">
        <is>
          <t>1-行政预算及支出管理表.xlsx!行政预算及支出管理表!D27:I27</t>
        </is>
      </c>
    </row>
    <row r="10" ht="42" customHeight="1">
      <c r="A10" s="2" t="n">
        <v>45391</v>
      </c>
      <c r="B10" s="3" t="inlineStr">
        <is>
          <t>水电费</t>
        </is>
      </c>
      <c r="C10" s="4" t="n">
        <v>996</v>
      </c>
      <c r="D10" s="3" t="inlineStr">
        <is>
          <t>部门3</t>
        </is>
      </c>
      <c r="E10" s="3" t="inlineStr">
        <is>
          <t>1-行政预算及支出管理表.xlsx!行政预算及支出管理表!D28:I28</t>
        </is>
      </c>
    </row>
    <row r="11" ht="42" customHeight="1">
      <c r="A11" s="2" t="n">
        <v>45392</v>
      </c>
      <c r="B11" s="3" t="inlineStr">
        <is>
          <t>物业费</t>
        </is>
      </c>
      <c r="C11" s="4" t="n">
        <v>1010</v>
      </c>
      <c r="D11" s="3" t="inlineStr">
        <is>
          <t>部门4</t>
        </is>
      </c>
      <c r="E11" s="3" t="inlineStr">
        <is>
          <t>1-行政预算及支出管理表.xlsx!行政预算及支出管理表!D29:I29</t>
        </is>
      </c>
    </row>
    <row r="12" ht="42" customHeight="1">
      <c r="A12" s="2" t="n">
        <v>45393</v>
      </c>
      <c r="B12" s="3" t="inlineStr">
        <is>
          <t>差旅费</t>
        </is>
      </c>
      <c r="C12" s="4" t="n">
        <v>1300</v>
      </c>
      <c r="D12" s="3" t="inlineStr">
        <is>
          <t>部门5</t>
        </is>
      </c>
      <c r="E12" s="3" t="inlineStr">
        <is>
          <t>1-行政预算及支出管理表.xlsx!行政预算及支出管理表!D30:I30</t>
        </is>
      </c>
    </row>
    <row r="13" ht="42" customHeight="1">
      <c r="A13" s="2" t="n">
        <v>45394</v>
      </c>
      <c r="B13" s="3" t="inlineStr">
        <is>
          <t>会议费</t>
        </is>
      </c>
      <c r="C13" s="4" t="n">
        <v>2700</v>
      </c>
      <c r="D13" s="3" t="inlineStr">
        <is>
          <t>部门6</t>
        </is>
      </c>
      <c r="E13" s="3" t="inlineStr">
        <is>
          <t>1-行政预算及支出管理表.xlsx!行政预算及支出管理表!D31:I31</t>
        </is>
      </c>
    </row>
    <row r="14" ht="42" customHeight="1">
      <c r="A14" s="2" t="n">
        <v>45395</v>
      </c>
      <c r="B14" s="3" t="inlineStr">
        <is>
          <t>办公费</t>
        </is>
      </c>
      <c r="C14" s="4" t="n">
        <v>120</v>
      </c>
      <c r="D14" s="3" t="inlineStr">
        <is>
          <t>部门2</t>
        </is>
      </c>
      <c r="E14" s="3" t="inlineStr">
        <is>
          <t>1-行政预算及支出管理表.xlsx!行政预算及支出管理表!D32:I32</t>
        </is>
      </c>
    </row>
  </sheetData>
  <autoFilter ref="A1:E1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8" customWidth="1" min="17" max="17"/>
    <col width="48" customWidth="1" min="18" max="18"/>
  </cols>
  <sheetData>
    <row r="1">
      <c r="A1" s="1" t="inlineStr">
        <is>
          <t>大类</t>
        </is>
      </c>
      <c r="B1" s="1" t="inlineStr">
        <is>
          <t>子项</t>
        </is>
      </c>
      <c r="C1" s="1" t="inlineStr">
        <is>
          <t>原年度万元</t>
        </is>
      </c>
      <c r="D1" s="1" t="inlineStr">
        <is>
          <t>1月万元</t>
        </is>
      </c>
      <c r="E1" s="1" t="inlineStr">
        <is>
          <t>2月万元</t>
        </is>
      </c>
      <c r="F1" s="1" t="inlineStr">
        <is>
          <t>3月万元</t>
        </is>
      </c>
      <c r="G1" s="1" t="inlineStr">
        <is>
          <t>4月万元</t>
        </is>
      </c>
      <c r="H1" s="1" t="inlineStr">
        <is>
          <t>5月万元</t>
        </is>
      </c>
      <c r="I1" s="1" t="inlineStr">
        <is>
          <t>6月万元</t>
        </is>
      </c>
      <c r="J1" s="1" t="inlineStr">
        <is>
          <t>7月万元</t>
        </is>
      </c>
      <c r="K1" s="1" t="inlineStr">
        <is>
          <t>8月万元</t>
        </is>
      </c>
      <c r="L1" s="1" t="inlineStr">
        <is>
          <t>9月万元</t>
        </is>
      </c>
      <c r="M1" s="1" t="inlineStr">
        <is>
          <t>10月万元</t>
        </is>
      </c>
      <c r="N1" s="1" t="inlineStr">
        <is>
          <t>11月万元</t>
        </is>
      </c>
      <c r="O1" s="1" t="inlineStr">
        <is>
          <t>12月万元</t>
        </is>
      </c>
      <c r="P1" s="1" t="inlineStr">
        <is>
          <t>推导年度元</t>
        </is>
      </c>
      <c r="Q1" s="1" t="inlineStr">
        <is>
          <t>四月元</t>
        </is>
      </c>
      <c r="R1" s="1" t="inlineStr">
        <is>
          <t>来源</t>
        </is>
      </c>
    </row>
    <row r="2" ht="42" customHeight="1">
      <c r="A2" s="3" t="inlineStr">
        <is>
          <t>场地保障</t>
        </is>
      </c>
      <c r="B2" s="3" t="inlineStr">
        <is>
          <t>办公室租金</t>
        </is>
      </c>
      <c r="C2" s="4" t="n">
        <v>60</v>
      </c>
      <c r="D2" s="4" t="n">
        <v>5</v>
      </c>
      <c r="E2" s="4" t="n">
        <v>5</v>
      </c>
      <c r="F2" s="4" t="n">
        <v>5</v>
      </c>
      <c r="G2" s="4" t="n">
        <v>5</v>
      </c>
      <c r="H2" s="4" t="n">
        <v>5</v>
      </c>
      <c r="I2" s="4" t="n">
        <v>5</v>
      </c>
      <c r="J2" s="4" t="n">
        <v>5</v>
      </c>
      <c r="K2" s="4" t="n">
        <v>5</v>
      </c>
      <c r="L2" s="4" t="n">
        <v>5</v>
      </c>
      <c r="M2" s="4" t="n">
        <v>5</v>
      </c>
      <c r="N2" s="4" t="n">
        <v>5</v>
      </c>
      <c r="O2" s="4" t="n">
        <v>5</v>
      </c>
      <c r="P2" s="4">
        <f>SUM(D2:O2)*10000</f>
        <v/>
      </c>
      <c r="Q2" s="4">
        <f>G2*10000</f>
        <v/>
      </c>
      <c r="R2" s="3" t="inlineStr">
        <is>
          <t>2025年度行政费用预算表.xlsx!2025年度行政费用预算表!D5:P5</t>
        </is>
      </c>
    </row>
    <row r="3" ht="42" customHeight="1">
      <c r="A3" s="3" t="inlineStr">
        <is>
          <t>场地保障</t>
        </is>
      </c>
      <c r="B3" s="3" t="inlineStr">
        <is>
          <t>物业费</t>
        </is>
      </c>
      <c r="C3" s="3" t="n"/>
      <c r="D3" s="4" t="n">
        <v>0.6</v>
      </c>
      <c r="E3" s="4" t="n">
        <v>0.6</v>
      </c>
      <c r="F3" s="4" t="n">
        <v>0.6</v>
      </c>
      <c r="G3" s="4" t="n">
        <v>0.6</v>
      </c>
      <c r="H3" s="4" t="n">
        <v>0.6</v>
      </c>
      <c r="I3" s="4" t="n">
        <v>0.6</v>
      </c>
      <c r="J3" s="4" t="n">
        <v>0.6</v>
      </c>
      <c r="K3" s="4" t="n">
        <v>0.6</v>
      </c>
      <c r="L3" s="4" t="n">
        <v>0.6</v>
      </c>
      <c r="M3" s="4" t="n">
        <v>0.6</v>
      </c>
      <c r="N3" s="4" t="n">
        <v>0.6</v>
      </c>
      <c r="O3" s="4" t="n">
        <v>0.6</v>
      </c>
      <c r="P3" s="4">
        <f>SUM(D3:O3)*10000</f>
        <v/>
      </c>
      <c r="Q3" s="4">
        <f>G3*10000</f>
        <v/>
      </c>
      <c r="R3" s="3" t="inlineStr">
        <is>
          <t>2025年度行政费用预算表.xlsx!2025年度行政费用预算表!D6:P6</t>
        </is>
      </c>
    </row>
    <row r="4" ht="42" customHeight="1">
      <c r="A4" s="3" t="inlineStr">
        <is>
          <t>场地保障</t>
        </is>
      </c>
      <c r="B4" s="3" t="inlineStr">
        <is>
          <t>水电费</t>
        </is>
      </c>
      <c r="C4" s="4" t="n">
        <v>6</v>
      </c>
      <c r="D4" s="4" t="n">
        <v>0.5</v>
      </c>
      <c r="E4" s="4" t="n">
        <v>0.5</v>
      </c>
      <c r="F4" s="4" t="n">
        <v>0.5</v>
      </c>
      <c r="G4" s="4" t="n">
        <v>0.5</v>
      </c>
      <c r="H4" s="4" t="n">
        <v>0.5</v>
      </c>
      <c r="I4" s="4" t="n">
        <v>0.5</v>
      </c>
      <c r="J4" s="4" t="n">
        <v>0.5</v>
      </c>
      <c r="K4" s="4" t="n">
        <v>0.5</v>
      </c>
      <c r="L4" s="4" t="n">
        <v>0.5</v>
      </c>
      <c r="M4" s="4" t="n">
        <v>0.5</v>
      </c>
      <c r="N4" s="4" t="n">
        <v>0.5</v>
      </c>
      <c r="O4" s="4" t="n">
        <v>0.5</v>
      </c>
      <c r="P4" s="4">
        <f>SUM(D4:O4)*10000</f>
        <v/>
      </c>
      <c r="Q4" s="4">
        <f>G4*10000</f>
        <v/>
      </c>
      <c r="R4" s="3" t="inlineStr">
        <is>
          <t>2025年度行政费用预算表.xlsx!2025年度行政费用预算表!D7:P7</t>
        </is>
      </c>
    </row>
    <row r="5" ht="42" customHeight="1">
      <c r="A5" s="3" t="inlineStr">
        <is>
          <t>场地保障</t>
        </is>
      </c>
      <c r="B5" s="3" t="inlineStr">
        <is>
          <t>保洁费</t>
        </is>
      </c>
      <c r="C5" s="3" t="n"/>
      <c r="D5" s="4" t="n">
        <v>1.2</v>
      </c>
      <c r="E5" s="4" t="n">
        <v>1.2</v>
      </c>
      <c r="F5" s="4" t="n">
        <v>1.2</v>
      </c>
      <c r="G5" s="4" t="n">
        <v>1.2</v>
      </c>
      <c r="H5" s="4" t="n">
        <v>1.2</v>
      </c>
      <c r="I5" s="4" t="n">
        <v>1.2</v>
      </c>
      <c r="J5" s="4" t="n">
        <v>1.2</v>
      </c>
      <c r="K5" s="4" t="n">
        <v>1.2</v>
      </c>
      <c r="L5" s="4" t="n">
        <v>1.2</v>
      </c>
      <c r="M5" s="4" t="n">
        <v>1.2</v>
      </c>
      <c r="N5" s="4" t="n">
        <v>1.2</v>
      </c>
      <c r="O5" s="4" t="n">
        <v>1.2</v>
      </c>
      <c r="P5" s="4">
        <f>SUM(D5:O5)*10000</f>
        <v/>
      </c>
      <c r="Q5" s="4">
        <f>G5*10000</f>
        <v/>
      </c>
      <c r="R5" s="3" t="inlineStr">
        <is>
          <t>2025年度行政费用预算表.xlsx!2025年度行政费用预算表!D8:P8</t>
        </is>
      </c>
    </row>
    <row r="6" ht="42" customHeight="1">
      <c r="A6" s="3" t="inlineStr">
        <is>
          <t>场地保障</t>
        </is>
      </c>
      <c r="B6" s="3" t="inlineStr">
        <is>
          <t>安保费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>
        <f>SUM(D6:O6)*10000</f>
        <v/>
      </c>
      <c r="Q6" s="4">
        <f>G6*10000</f>
        <v/>
      </c>
      <c r="R6" s="3" t="inlineStr">
        <is>
          <t>2025年度行政费用预算表.xlsx!2025年度行政费用预算表!D9:P9</t>
        </is>
      </c>
    </row>
    <row r="7" ht="42" customHeight="1">
      <c r="A7" s="3" t="inlineStr">
        <is>
          <t>场地保障</t>
        </is>
      </c>
      <c r="B7" s="3" t="inlineStr">
        <is>
          <t>其他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>
        <f>SUM(D7:O7)*10000</f>
        <v/>
      </c>
      <c r="Q7" s="4">
        <f>G7*10000</f>
        <v/>
      </c>
      <c r="R7" s="3" t="inlineStr">
        <is>
          <t>2025年度行政费用预算表.xlsx!2025年度行政费用预算表!D10:P10</t>
        </is>
      </c>
    </row>
    <row r="8" ht="42" customHeight="1">
      <c r="A8" s="3" t="inlineStr">
        <is>
          <t>通讯物流</t>
        </is>
      </c>
      <c r="B8" s="3" t="inlineStr">
        <is>
          <t>固话费</t>
        </is>
      </c>
      <c r="C8" s="4" t="n">
        <v>1.2</v>
      </c>
      <c r="D8" s="4" t="n">
        <v>0.1</v>
      </c>
      <c r="E8" s="4" t="n">
        <v>0.1</v>
      </c>
      <c r="F8" s="4" t="n">
        <v>0.1</v>
      </c>
      <c r="G8" s="4" t="n">
        <v>0.1</v>
      </c>
      <c r="H8" s="4" t="n">
        <v>0.1</v>
      </c>
      <c r="I8" s="4" t="n">
        <v>0.1</v>
      </c>
      <c r="J8" s="4" t="n">
        <v>0.1</v>
      </c>
      <c r="K8" s="4" t="n">
        <v>0.1</v>
      </c>
      <c r="L8" s="4" t="n">
        <v>0.1</v>
      </c>
      <c r="M8" s="4" t="n">
        <v>0.1</v>
      </c>
      <c r="N8" s="4" t="n">
        <v>0.1</v>
      </c>
      <c r="O8" s="4" t="n">
        <v>0.1</v>
      </c>
      <c r="P8" s="4">
        <f>SUM(D8:O8)*10000</f>
        <v/>
      </c>
      <c r="Q8" s="4">
        <f>G8*10000</f>
        <v/>
      </c>
      <c r="R8" s="3" t="inlineStr">
        <is>
          <t>2025年度行政费用预算表.xlsx!2025年度行政费用预算表!D12:P12</t>
        </is>
      </c>
    </row>
    <row r="9" ht="42" customHeight="1">
      <c r="A9" s="3" t="inlineStr">
        <is>
          <t>通讯物流</t>
        </is>
      </c>
      <c r="B9" s="3" t="inlineStr">
        <is>
          <t>手机费</t>
        </is>
      </c>
      <c r="C9" s="4" t="n">
        <v>13.2</v>
      </c>
      <c r="D9" s="4" t="n">
        <v>1.1</v>
      </c>
      <c r="E9" s="4" t="n">
        <v>1.1</v>
      </c>
      <c r="F9" s="4" t="n">
        <v>1.1</v>
      </c>
      <c r="G9" s="4" t="n">
        <v>1.1</v>
      </c>
      <c r="H9" s="4" t="n">
        <v>1.1</v>
      </c>
      <c r="I9" s="4" t="n">
        <v>1.1</v>
      </c>
      <c r="J9" s="4" t="n">
        <v>1.1</v>
      </c>
      <c r="K9" s="4" t="n">
        <v>1.1</v>
      </c>
      <c r="L9" s="4" t="n">
        <v>1.1</v>
      </c>
      <c r="M9" s="4" t="n">
        <v>1.1</v>
      </c>
      <c r="N9" s="4" t="n">
        <v>1.1</v>
      </c>
      <c r="O9" s="4" t="n">
        <v>1.1</v>
      </c>
      <c r="P9" s="4">
        <f>SUM(D9:O9)*10000</f>
        <v/>
      </c>
      <c r="Q9" s="4">
        <f>G9*10000</f>
        <v/>
      </c>
      <c r="R9" s="3" t="inlineStr">
        <is>
          <t>2025年度行政费用预算表.xlsx!2025年度行政费用预算表!D13:P13</t>
        </is>
      </c>
    </row>
    <row r="10" ht="42" customHeight="1">
      <c r="A10" s="3" t="inlineStr">
        <is>
          <t>通讯物流</t>
        </is>
      </c>
      <c r="B10" s="3" t="inlineStr">
        <is>
          <t>快递费</t>
        </is>
      </c>
      <c r="C10" s="4" t="n">
        <v>6.36</v>
      </c>
      <c r="D10" s="4" t="n">
        <v>0.53</v>
      </c>
      <c r="E10" s="4" t="n">
        <v>0.53</v>
      </c>
      <c r="F10" s="4" t="n">
        <v>0.53</v>
      </c>
      <c r="G10" s="4" t="n">
        <v>0.53</v>
      </c>
      <c r="H10" s="4" t="n">
        <v>0.53</v>
      </c>
      <c r="I10" s="4" t="n">
        <v>0.53</v>
      </c>
      <c r="J10" s="4" t="n">
        <v>0.53</v>
      </c>
      <c r="K10" s="4" t="n">
        <v>0.53</v>
      </c>
      <c r="L10" s="4" t="n">
        <v>0.53</v>
      </c>
      <c r="M10" s="4" t="n">
        <v>0.53</v>
      </c>
      <c r="N10" s="4" t="n">
        <v>0.53</v>
      </c>
      <c r="O10" s="4" t="n">
        <v>0.53</v>
      </c>
      <c r="P10" s="4">
        <f>SUM(D10:O10)*10000</f>
        <v/>
      </c>
      <c r="Q10" s="4">
        <f>G10*10000</f>
        <v/>
      </c>
      <c r="R10" s="3" t="inlineStr">
        <is>
          <t>2025年度行政费用预算表.xlsx!2025年度行政费用预算表!D14:P14</t>
        </is>
      </c>
    </row>
    <row r="11" ht="42" customHeight="1">
      <c r="A11" s="3" t="inlineStr">
        <is>
          <t>通讯物流</t>
        </is>
      </c>
      <c r="B11" s="3" t="inlineStr">
        <is>
          <t>其他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>
        <f>SUM(D11:O11)*10000</f>
        <v/>
      </c>
      <c r="Q11" s="4">
        <f>G11*10000</f>
        <v/>
      </c>
      <c r="R11" s="3" t="inlineStr">
        <is>
          <t>2025年度行政费用预算表.xlsx!2025年度行政费用预算表!D15:P15</t>
        </is>
      </c>
    </row>
    <row r="12" ht="42" customHeight="1">
      <c r="A12" s="3" t="inlineStr">
        <is>
          <t>办公采购</t>
        </is>
      </c>
      <c r="B12" s="3" t="inlineStr">
        <is>
          <t>办公用品</t>
        </is>
      </c>
      <c r="C12" s="4" t="n">
        <v>18</v>
      </c>
      <c r="D12" s="4" t="n">
        <v>1.5</v>
      </c>
      <c r="E12" s="4" t="n">
        <v>1.5</v>
      </c>
      <c r="F12" s="4" t="n">
        <v>1.5</v>
      </c>
      <c r="G12" s="4" t="n">
        <v>1.5</v>
      </c>
      <c r="H12" s="4" t="n">
        <v>1.5</v>
      </c>
      <c r="I12" s="4" t="n">
        <v>1.5</v>
      </c>
      <c r="J12" s="4" t="n">
        <v>1.5</v>
      </c>
      <c r="K12" s="4" t="n">
        <v>1.5</v>
      </c>
      <c r="L12" s="4" t="n">
        <v>1.5</v>
      </c>
      <c r="M12" s="4" t="n">
        <v>1.5</v>
      </c>
      <c r="N12" s="4" t="n">
        <v>1.5</v>
      </c>
      <c r="O12" s="4" t="n">
        <v>1.5</v>
      </c>
      <c r="P12" s="4">
        <f>SUM(D12:O12)*10000</f>
        <v/>
      </c>
      <c r="Q12" s="4">
        <f>G12*10000</f>
        <v/>
      </c>
      <c r="R12" s="3" t="inlineStr">
        <is>
          <t>2025年度行政费用预算表.xlsx!2025年度行政费用预算表!D17:P17</t>
        </is>
      </c>
    </row>
    <row r="13" ht="42" customHeight="1">
      <c r="A13" s="3" t="inlineStr">
        <is>
          <t>办公采购</t>
        </is>
      </c>
      <c r="B13" s="3" t="inlineStr">
        <is>
          <t>固定资产</t>
        </is>
      </c>
      <c r="C13" s="4" t="n">
        <v>8.4</v>
      </c>
      <c r="D13" s="4" t="n">
        <v>0.7</v>
      </c>
      <c r="E13" s="4" t="n">
        <v>0.7</v>
      </c>
      <c r="F13" s="4" t="n">
        <v>0.7</v>
      </c>
      <c r="G13" s="4" t="n">
        <v>0.7</v>
      </c>
      <c r="H13" s="4" t="n">
        <v>0.7</v>
      </c>
      <c r="I13" s="4" t="n">
        <v>0.7</v>
      </c>
      <c r="J13" s="4" t="n">
        <v>0.7</v>
      </c>
      <c r="K13" s="4" t="n">
        <v>0.7</v>
      </c>
      <c r="L13" s="4" t="n">
        <v>0.7</v>
      </c>
      <c r="M13" s="4" t="n">
        <v>0.7</v>
      </c>
      <c r="N13" s="4" t="n">
        <v>0.7</v>
      </c>
      <c r="O13" s="4" t="n">
        <v>0.7</v>
      </c>
      <c r="P13" s="4">
        <f>SUM(D13:O13)*10000</f>
        <v/>
      </c>
      <c r="Q13" s="4">
        <f>G13*10000</f>
        <v/>
      </c>
      <c r="R13" s="3" t="inlineStr">
        <is>
          <t>2025年度行政费用预算表.xlsx!2025年度行政费用预算表!D18:P18</t>
        </is>
      </c>
    </row>
    <row r="14" ht="42" customHeight="1">
      <c r="A14" s="3" t="inlineStr">
        <is>
          <t>办公采购</t>
        </is>
      </c>
      <c r="B14" s="3" t="inlineStr">
        <is>
          <t>电脑耗材</t>
        </is>
      </c>
      <c r="C14" s="4" t="n">
        <v>2.4</v>
      </c>
      <c r="D14" s="4" t="n">
        <v>0.2</v>
      </c>
      <c r="E14" s="4" t="n">
        <v>0.2</v>
      </c>
      <c r="F14" s="4" t="n">
        <v>0.2</v>
      </c>
      <c r="G14" s="4" t="n">
        <v>0.2</v>
      </c>
      <c r="H14" s="4" t="n">
        <v>0.2</v>
      </c>
      <c r="I14" s="4" t="n">
        <v>0.2</v>
      </c>
      <c r="J14" s="4" t="n">
        <v>0.2</v>
      </c>
      <c r="K14" s="4" t="n">
        <v>0.2</v>
      </c>
      <c r="L14" s="4" t="n">
        <v>0.2</v>
      </c>
      <c r="M14" s="4" t="n">
        <v>0.2</v>
      </c>
      <c r="N14" s="4" t="n">
        <v>0.2</v>
      </c>
      <c r="O14" s="4" t="n">
        <v>0.2</v>
      </c>
      <c r="P14" s="4">
        <f>SUM(D14:O14)*10000</f>
        <v/>
      </c>
      <c r="Q14" s="4">
        <f>G14*10000</f>
        <v/>
      </c>
      <c r="R14" s="3" t="inlineStr">
        <is>
          <t>2025年度行政费用预算表.xlsx!2025年度行政费用预算表!D19:P19</t>
        </is>
      </c>
    </row>
    <row r="15" ht="42" customHeight="1">
      <c r="A15" s="3" t="inlineStr">
        <is>
          <t>办公采购</t>
        </is>
      </c>
      <c r="B15" s="3" t="inlineStr">
        <is>
          <t>书籍报刊</t>
        </is>
      </c>
      <c r="C15" s="4" t="n">
        <v>1.2</v>
      </c>
      <c r="D15" s="4" t="n">
        <v>0.1</v>
      </c>
      <c r="E15" s="4" t="n">
        <v>0.1</v>
      </c>
      <c r="F15" s="4" t="n">
        <v>0.1</v>
      </c>
      <c r="G15" s="4" t="n">
        <v>0.1</v>
      </c>
      <c r="H15" s="4" t="n">
        <v>0.1</v>
      </c>
      <c r="I15" s="4" t="n">
        <v>0.1</v>
      </c>
      <c r="J15" s="4" t="n">
        <v>0.1</v>
      </c>
      <c r="K15" s="4" t="n">
        <v>0.1</v>
      </c>
      <c r="L15" s="4" t="n">
        <v>0.1</v>
      </c>
      <c r="M15" s="4" t="n">
        <v>0.1</v>
      </c>
      <c r="N15" s="4" t="n">
        <v>0.1</v>
      </c>
      <c r="O15" s="4" t="n">
        <v>0.1</v>
      </c>
      <c r="P15" s="4">
        <f>SUM(D15:O15)*10000</f>
        <v/>
      </c>
      <c r="Q15" s="4">
        <f>G15*10000</f>
        <v/>
      </c>
      <c r="R15" s="3" t="inlineStr">
        <is>
          <t>2025年度行政费用预算表.xlsx!2025年度行政费用预算表!D20:P20</t>
        </is>
      </c>
    </row>
    <row r="16" ht="42" customHeight="1">
      <c r="A16" s="3" t="inlineStr">
        <is>
          <t>办公采购</t>
        </is>
      </c>
      <c r="B16" s="3" t="inlineStr">
        <is>
          <t>物料印刷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>
        <f>SUM(D16:O16)*10000</f>
        <v/>
      </c>
      <c r="Q16" s="4">
        <f>G16*10000</f>
        <v/>
      </c>
      <c r="R16" s="3" t="inlineStr">
        <is>
          <t>2025年度行政费用预算表.xlsx!2025年度行政费用预算表!D21:P21</t>
        </is>
      </c>
    </row>
    <row r="17" ht="42" customHeight="1">
      <c r="A17" s="3" t="inlineStr">
        <is>
          <t>办公采购</t>
        </is>
      </c>
      <c r="B17" s="3" t="inlineStr">
        <is>
          <t>其他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>
        <f>SUM(D17:O17)*10000</f>
        <v/>
      </c>
      <c r="Q17" s="4">
        <f>G17*10000</f>
        <v/>
      </c>
      <c r="R17" s="3" t="inlineStr">
        <is>
          <t>2025年度行政费用预算表.xlsx!2025年度行政费用预算表!D22:P22</t>
        </is>
      </c>
    </row>
    <row r="18" ht="42" customHeight="1">
      <c r="A18" s="3" t="inlineStr">
        <is>
          <t>业务应酬</t>
        </is>
      </c>
      <c r="B18" s="3" t="inlineStr">
        <is>
          <t>宴请费</t>
        </is>
      </c>
      <c r="C18" s="4" t="n">
        <v>33</v>
      </c>
      <c r="D18" s="4" t="n">
        <v>5</v>
      </c>
      <c r="E18" s="4" t="n">
        <v>5</v>
      </c>
      <c r="F18" s="4" t="n">
        <v>2</v>
      </c>
      <c r="G18" s="4" t="n">
        <v>2</v>
      </c>
      <c r="H18" s="4" t="n">
        <v>2</v>
      </c>
      <c r="I18" s="4" t="n">
        <v>2</v>
      </c>
      <c r="J18" s="4" t="n">
        <v>2</v>
      </c>
      <c r="K18" s="4" t="n">
        <v>2</v>
      </c>
      <c r="L18" s="4" t="n">
        <v>2</v>
      </c>
      <c r="M18" s="4" t="n">
        <v>2</v>
      </c>
      <c r="N18" s="4" t="n">
        <v>2</v>
      </c>
      <c r="O18" s="4" t="n">
        <v>5</v>
      </c>
      <c r="P18" s="4">
        <f>SUM(D18:O18)*10000</f>
        <v/>
      </c>
      <c r="Q18" s="4">
        <f>G18*10000</f>
        <v/>
      </c>
      <c r="R18" s="3" t="inlineStr">
        <is>
          <t>2025年度行政费用预算表.xlsx!2025年度行政费用预算表!D24:P24</t>
        </is>
      </c>
    </row>
    <row r="19" ht="42" customHeight="1">
      <c r="A19" s="3" t="inlineStr">
        <is>
          <t>业务应酬</t>
        </is>
      </c>
      <c r="B19" s="3" t="inlineStr">
        <is>
          <t>烟酒费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>
        <f>SUM(D19:O19)*10000</f>
        <v/>
      </c>
      <c r="Q19" s="4">
        <f>G19*10000</f>
        <v/>
      </c>
      <c r="R19" s="3" t="inlineStr">
        <is>
          <t>2025年度行政费用预算表.xlsx!2025年度行政费用预算表!D25:P25</t>
        </is>
      </c>
    </row>
    <row r="20" ht="42" customHeight="1">
      <c r="A20" s="3" t="inlineStr">
        <is>
          <t>业务应酬</t>
        </is>
      </c>
      <c r="B20" s="3" t="inlineStr">
        <is>
          <t>住宿费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>
        <f>SUM(D20:O20)*10000</f>
        <v/>
      </c>
      <c r="Q20" s="4">
        <f>G20*10000</f>
        <v/>
      </c>
      <c r="R20" s="3" t="inlineStr">
        <is>
          <t>2025年度行政费用预算表.xlsx!2025年度行政费用预算表!D26:P26</t>
        </is>
      </c>
    </row>
    <row r="21" ht="42" customHeight="1">
      <c r="A21" s="3" t="inlineStr">
        <is>
          <t>业务应酬</t>
        </is>
      </c>
      <c r="B21" s="3" t="inlineStr">
        <is>
          <t>购物卡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>
        <f>SUM(D21:O21)*10000</f>
        <v/>
      </c>
      <c r="Q21" s="4">
        <f>G21*10000</f>
        <v/>
      </c>
      <c r="R21" s="3" t="inlineStr">
        <is>
          <t>2025年度行政费用预算表.xlsx!2025年度行政费用预算表!D27:P27</t>
        </is>
      </c>
    </row>
    <row r="22" ht="42" customHeight="1">
      <c r="A22" s="3" t="inlineStr">
        <is>
          <t>业务应酬</t>
        </is>
      </c>
      <c r="B22" s="3" t="inlineStr">
        <is>
          <t>其他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>
        <f>SUM(D22:O22)*10000</f>
        <v/>
      </c>
      <c r="Q22" s="4">
        <f>G22*10000</f>
        <v/>
      </c>
      <c r="R22" s="3" t="inlineStr">
        <is>
          <t>2025年度行政费用预算表.xlsx!2025年度行政费用预算表!D28:P28</t>
        </is>
      </c>
    </row>
    <row r="23" ht="42" customHeight="1">
      <c r="A23" s="3" t="inlineStr">
        <is>
          <t>差旅出行</t>
        </is>
      </c>
      <c r="B23" s="3" t="inlineStr">
        <is>
          <t>差旅费</t>
        </is>
      </c>
      <c r="C23" s="4" t="n">
        <v>33</v>
      </c>
      <c r="D23" s="4" t="n">
        <v>5</v>
      </c>
      <c r="E23" s="4" t="n">
        <v>5</v>
      </c>
      <c r="F23" s="4" t="n">
        <v>2</v>
      </c>
      <c r="G23" s="4" t="n">
        <v>2</v>
      </c>
      <c r="H23" s="4" t="n">
        <v>2</v>
      </c>
      <c r="I23" s="4" t="n">
        <v>2</v>
      </c>
      <c r="J23" s="4" t="n">
        <v>2</v>
      </c>
      <c r="K23" s="4" t="n">
        <v>2</v>
      </c>
      <c r="L23" s="4" t="n">
        <v>2</v>
      </c>
      <c r="M23" s="4" t="n">
        <v>2</v>
      </c>
      <c r="N23" s="4" t="n">
        <v>2</v>
      </c>
      <c r="O23" s="4" t="n">
        <v>5</v>
      </c>
      <c r="P23" s="4">
        <f>SUM(D23:O23)*10000</f>
        <v/>
      </c>
      <c r="Q23" s="4">
        <f>G23*10000</f>
        <v/>
      </c>
      <c r="R23" s="3" t="inlineStr">
        <is>
          <t>2025年度行政费用预算表.xlsx!2025年度行政费用预算表!D30:P30</t>
        </is>
      </c>
    </row>
    <row r="24" ht="42" customHeight="1">
      <c r="A24" s="3" t="inlineStr">
        <is>
          <t>差旅出行</t>
        </is>
      </c>
      <c r="B24" s="3" t="inlineStr">
        <is>
          <t>车险、年检费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>
        <f>SUM(D24:O24)*10000</f>
        <v/>
      </c>
      <c r="Q24" s="4">
        <f>G24*10000</f>
        <v/>
      </c>
      <c r="R24" s="3" t="inlineStr">
        <is>
          <t>2025年度行政费用预算表.xlsx!2025年度行政费用预算表!D31:P31</t>
        </is>
      </c>
    </row>
    <row r="25" ht="42" customHeight="1">
      <c r="A25" s="3" t="inlineStr">
        <is>
          <t>差旅出行</t>
        </is>
      </c>
      <c r="B25" s="3" t="inlineStr">
        <is>
          <t>停车费</t>
        </is>
      </c>
      <c r="C25" s="4" t="n">
        <v>0.24</v>
      </c>
      <c r="D25" s="4" t="n">
        <v>0.02</v>
      </c>
      <c r="E25" s="4" t="n">
        <v>0.02</v>
      </c>
      <c r="F25" s="4" t="n">
        <v>0.02</v>
      </c>
      <c r="G25" s="4" t="n">
        <v>0.02</v>
      </c>
      <c r="H25" s="4" t="n">
        <v>0.02</v>
      </c>
      <c r="I25" s="4" t="n">
        <v>0.02</v>
      </c>
      <c r="J25" s="4" t="n">
        <v>0.02</v>
      </c>
      <c r="K25" s="4" t="n">
        <v>0.02</v>
      </c>
      <c r="L25" s="4" t="n">
        <v>0.02</v>
      </c>
      <c r="M25" s="4" t="n">
        <v>0.02</v>
      </c>
      <c r="N25" s="4" t="n">
        <v>0.02</v>
      </c>
      <c r="O25" s="4" t="n">
        <v>0.02</v>
      </c>
      <c r="P25" s="4">
        <f>SUM(D25:O25)*10000</f>
        <v/>
      </c>
      <c r="Q25" s="4">
        <f>G25*10000</f>
        <v/>
      </c>
      <c r="R25" s="3" t="inlineStr">
        <is>
          <t>2025年度行政费用预算表.xlsx!2025年度行政费用预算表!D32:P32</t>
        </is>
      </c>
    </row>
    <row r="26" ht="42" customHeight="1">
      <c r="A26" s="3" t="inlineStr">
        <is>
          <t>差旅出行</t>
        </is>
      </c>
      <c r="B26" s="3" t="inlineStr">
        <is>
          <t>其他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>
        <f>SUM(D26:O26)*10000</f>
        <v/>
      </c>
      <c r="Q26" s="4">
        <f>G26*10000</f>
        <v/>
      </c>
      <c r="R26" s="3" t="inlineStr">
        <is>
          <t>2025年度行政费用预算表.xlsx!2025年度行政费用预算表!D33:P33</t>
        </is>
      </c>
    </row>
    <row r="27" ht="42" customHeight="1">
      <c r="A27" s="3" t="inlineStr">
        <is>
          <t>设施运维</t>
        </is>
      </c>
      <c r="B27" s="3" t="inlineStr">
        <is>
          <t>设备修理费</t>
        </is>
      </c>
      <c r="C27" s="4" t="n">
        <v>0.36</v>
      </c>
      <c r="D27" s="4" t="n">
        <v>0.03</v>
      </c>
      <c r="E27" s="4" t="n">
        <v>0.03</v>
      </c>
      <c r="F27" s="4" t="n">
        <v>0.03</v>
      </c>
      <c r="G27" s="4" t="n">
        <v>0.03</v>
      </c>
      <c r="H27" s="4" t="n">
        <v>0.03</v>
      </c>
      <c r="I27" s="4" t="n">
        <v>0.03</v>
      </c>
      <c r="J27" s="4" t="n">
        <v>0.03</v>
      </c>
      <c r="K27" s="4" t="n">
        <v>0.03</v>
      </c>
      <c r="L27" s="4" t="n">
        <v>0.03</v>
      </c>
      <c r="M27" s="4" t="n">
        <v>0.03</v>
      </c>
      <c r="N27" s="4" t="n">
        <v>0.03</v>
      </c>
      <c r="O27" s="4" t="n">
        <v>0.03</v>
      </c>
      <c r="P27" s="4">
        <f>SUM(D27:O27)*10000</f>
        <v/>
      </c>
      <c r="Q27" s="4">
        <f>G27*10000</f>
        <v/>
      </c>
      <c r="R27" s="3" t="inlineStr">
        <is>
          <t>2025年度行政费用预算表.xlsx!2025年度行政费用预算表!D35:P35</t>
        </is>
      </c>
    </row>
    <row r="28" ht="42" customHeight="1">
      <c r="A28" s="3" t="inlineStr">
        <is>
          <t>设施运维</t>
        </is>
      </c>
      <c r="B28" s="3" t="inlineStr">
        <is>
          <t>办公家具维修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>
        <f>SUM(D28:O28)*10000</f>
        <v/>
      </c>
      <c r="Q28" s="4">
        <f>G28*10000</f>
        <v/>
      </c>
      <c r="R28" s="3" t="inlineStr">
        <is>
          <t>2025年度行政费用预算表.xlsx!2025年度行政费用预算表!D36:P36</t>
        </is>
      </c>
    </row>
    <row r="29" ht="42" customHeight="1">
      <c r="A29" s="3" t="inlineStr">
        <is>
          <t>设施运维</t>
        </is>
      </c>
      <c r="B29" s="3" t="inlineStr">
        <is>
          <t>汽油机油费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>
        <f>SUM(D29:O29)*10000</f>
        <v/>
      </c>
      <c r="Q29" s="4">
        <f>G29*10000</f>
        <v/>
      </c>
      <c r="R29" s="3" t="inlineStr">
        <is>
          <t>2025年度行政费用预算表.xlsx!2025年度行政费用预算表!D37:P37</t>
        </is>
      </c>
    </row>
    <row r="30" ht="42" customHeight="1">
      <c r="A30" s="3" t="inlineStr">
        <is>
          <t>设施运维</t>
        </is>
      </c>
      <c r="B30" s="3" t="inlineStr">
        <is>
          <t>其他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>
        <f>SUM(D30:O30)*10000</f>
        <v/>
      </c>
      <c r="Q30" s="4">
        <f>G30*10000</f>
        <v/>
      </c>
      <c r="R30" s="3" t="inlineStr">
        <is>
          <t>2025年度行政费用预算表.xlsx!2025年度行政费用预算表!D38:P38</t>
        </is>
      </c>
    </row>
    <row r="31" ht="42" customHeight="1">
      <c r="A31" s="3" t="inlineStr">
        <is>
          <t>其他杂项</t>
        </is>
      </c>
      <c r="B31" s="3" t="inlineStr">
        <is>
          <t>办公室装修费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>
        <f>SUM(D31:O31)*10000</f>
        <v/>
      </c>
      <c r="Q31" s="4">
        <f>G31*10000</f>
        <v/>
      </c>
      <c r="R31" s="3" t="inlineStr">
        <is>
          <t>2025年度行政费用预算表.xlsx!2025年度行政费用预算表!D40:P40</t>
        </is>
      </c>
    </row>
    <row r="32" ht="42" customHeight="1">
      <c r="A32" s="3" t="inlineStr">
        <is>
          <t>其他杂项</t>
        </is>
      </c>
      <c r="B32" s="3" t="inlineStr">
        <is>
          <t>软装费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>
        <f>SUM(D32:O32)*10000</f>
        <v/>
      </c>
      <c r="Q32" s="4">
        <f>G32*10000</f>
        <v/>
      </c>
      <c r="R32" s="3" t="inlineStr">
        <is>
          <t>2025年度行政费用预算表.xlsx!2025年度行政费用预算表!D41:P41</t>
        </is>
      </c>
    </row>
    <row r="33" ht="42" customHeight="1">
      <c r="A33" s="3" t="inlineStr">
        <is>
          <t>其他杂项</t>
        </is>
      </c>
      <c r="B33" s="3" t="inlineStr">
        <is>
          <t>宣传费</t>
        </is>
      </c>
      <c r="C33" s="4" t="n">
        <v>0.24</v>
      </c>
      <c r="D33" s="4" t="n">
        <v>0.02</v>
      </c>
      <c r="E33" s="4" t="n">
        <v>0.02</v>
      </c>
      <c r="F33" s="4" t="n">
        <v>0.02</v>
      </c>
      <c r="G33" s="4" t="n">
        <v>0.02</v>
      </c>
      <c r="H33" s="4" t="n">
        <v>0.02</v>
      </c>
      <c r="I33" s="4" t="n">
        <v>0.02</v>
      </c>
      <c r="J33" s="4" t="n">
        <v>0.02</v>
      </c>
      <c r="K33" s="4" t="n">
        <v>0.02</v>
      </c>
      <c r="L33" s="4" t="n">
        <v>0.02</v>
      </c>
      <c r="M33" s="4" t="n">
        <v>0.02</v>
      </c>
      <c r="N33" s="4" t="n">
        <v>0.02</v>
      </c>
      <c r="O33" s="4" t="n">
        <v>0.02</v>
      </c>
      <c r="P33" s="4">
        <f>SUM(D33:O33)*10000</f>
        <v/>
      </c>
      <c r="Q33" s="4">
        <f>G33*10000</f>
        <v/>
      </c>
      <c r="R33" s="3" t="inlineStr">
        <is>
          <t>2025年度行政费用预算表.xlsx!2025年度行政费用预算表!D42:P42</t>
        </is>
      </c>
    </row>
    <row r="34" ht="42" customHeight="1">
      <c r="A34" s="3" t="inlineStr">
        <is>
          <t>其他杂项</t>
        </is>
      </c>
      <c r="B34" s="3" t="inlineStr">
        <is>
          <t>网站费</t>
        </is>
      </c>
      <c r="C34" s="4" t="n">
        <v>4.2</v>
      </c>
      <c r="D34" s="4" t="n">
        <v>0.35</v>
      </c>
      <c r="E34" s="4" t="n">
        <v>0.35</v>
      </c>
      <c r="F34" s="4" t="n">
        <v>0.35</v>
      </c>
      <c r="G34" s="4" t="n">
        <v>0.35</v>
      </c>
      <c r="H34" s="4" t="n">
        <v>0.35</v>
      </c>
      <c r="I34" s="4" t="n">
        <v>0.35</v>
      </c>
      <c r="J34" s="4" t="n">
        <v>0.35</v>
      </c>
      <c r="K34" s="4" t="n">
        <v>0.35</v>
      </c>
      <c r="L34" s="4" t="n">
        <v>0.35</v>
      </c>
      <c r="M34" s="4" t="n">
        <v>0.35</v>
      </c>
      <c r="N34" s="4" t="n">
        <v>0.35</v>
      </c>
      <c r="O34" s="4" t="n">
        <v>0.35</v>
      </c>
      <c r="P34" s="4">
        <f>SUM(D34:O34)*10000</f>
        <v/>
      </c>
      <c r="Q34" s="4">
        <f>G34*10000</f>
        <v/>
      </c>
      <c r="R34" s="3" t="inlineStr">
        <is>
          <t>2025年度行政费用预算表.xlsx!2025年度行政费用预算表!D43:P43</t>
        </is>
      </c>
    </row>
    <row r="35" ht="42" customHeight="1">
      <c r="A35" s="3" t="inlineStr">
        <is>
          <t>其他杂项</t>
        </is>
      </c>
      <c r="B35" s="3" t="inlineStr">
        <is>
          <t>专业软件费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>
        <f>SUM(D35:O35)*10000</f>
        <v/>
      </c>
      <c r="Q35" s="4">
        <f>G35*10000</f>
        <v/>
      </c>
      <c r="R35" s="3" t="inlineStr">
        <is>
          <t>2025年度行政费用预算表.xlsx!2025年度行政费用预算表!D44:P44</t>
        </is>
      </c>
    </row>
    <row r="36" ht="42" customHeight="1">
      <c r="A36" s="3" t="inlineStr">
        <is>
          <t>其他杂项</t>
        </is>
      </c>
      <c r="B36" s="3" t="inlineStr">
        <is>
          <t>其他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>
        <f>SUM(D36:O36)*10000</f>
        <v/>
      </c>
      <c r="Q36" s="4">
        <f>G36*10000</f>
        <v/>
      </c>
      <c r="R36" s="3" t="inlineStr">
        <is>
          <t>2025年度行政费用预算表.xlsx!2025年度行政费用预算表!D45:P45</t>
        </is>
      </c>
    </row>
  </sheetData>
  <autoFilter ref="A1:R36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日期</t>
        </is>
      </c>
      <c r="B1" s="1" t="inlineStr">
        <is>
          <t>部门</t>
        </is>
      </c>
      <c r="C1" s="1" t="inlineStr">
        <is>
          <t>经手人</t>
        </is>
      </c>
      <c r="D1" s="1" t="inlineStr">
        <is>
          <t>事项</t>
        </is>
      </c>
      <c r="E1" s="1" t="inlineStr">
        <is>
          <t>收支</t>
        </is>
      </c>
      <c r="F1" s="1" t="inlineStr">
        <is>
          <t>金额元</t>
        </is>
      </c>
      <c r="G1" s="1" t="inlineStr">
        <is>
          <t>报销日期</t>
        </is>
      </c>
      <c r="H1" s="1" t="inlineStr">
        <is>
          <t>来源</t>
        </is>
      </c>
    </row>
    <row r="2" ht="42" customHeight="1">
      <c r="A2" s="2" t="n">
        <v>44566</v>
      </c>
      <c r="B2" s="3" t="inlineStr">
        <is>
          <t>财务部</t>
        </is>
      </c>
      <c r="C2" s="3" t="inlineStr">
        <is>
          <t>老陈</t>
        </is>
      </c>
      <c r="D2" s="3" t="inlineStr">
        <is>
          <t>阳江分公司审计出差</t>
        </is>
      </c>
      <c r="E2" s="3" t="inlineStr">
        <is>
          <t>支</t>
        </is>
      </c>
      <c r="F2" s="4" t="n">
        <v>-1400</v>
      </c>
      <c r="G2" s="2" t="n">
        <v>44569</v>
      </c>
      <c r="H2" s="3" t="inlineStr">
        <is>
          <t>备用金收支明细表.xlsx!sheet1!I5:Q5</t>
        </is>
      </c>
    </row>
    <row r="3" ht="42" customHeight="1">
      <c r="A3" s="2" t="n">
        <v>44569</v>
      </c>
      <c r="B3" s="3" t="inlineStr">
        <is>
          <t>财务部</t>
        </is>
      </c>
      <c r="C3" s="3" t="inlineStr">
        <is>
          <t>老陈</t>
        </is>
      </c>
      <c r="D3" s="3" t="inlineStr">
        <is>
          <t>部门团建费</t>
        </is>
      </c>
      <c r="E3" s="3" t="inlineStr">
        <is>
          <t>支</t>
        </is>
      </c>
      <c r="F3" s="4" t="n">
        <v>-4500</v>
      </c>
      <c r="G3" s="3" t="n"/>
      <c r="H3" s="3" t="inlineStr">
        <is>
          <t>备用金收支明细表.xlsx!sheet1!I6:Q6</t>
        </is>
      </c>
    </row>
    <row r="4" ht="42" customHeight="1">
      <c r="A4" s="2" t="n">
        <v>44569</v>
      </c>
      <c r="B4" s="3" t="inlineStr">
        <is>
          <t>财务部</t>
        </is>
      </c>
      <c r="C4" s="3" t="inlineStr">
        <is>
          <t>老陈</t>
        </is>
      </c>
      <c r="D4" s="3" t="inlineStr">
        <is>
          <t>归还多余借款</t>
        </is>
      </c>
      <c r="E4" s="3" t="inlineStr">
        <is>
          <t>收</t>
        </is>
      </c>
      <c r="F4" s="4" t="n">
        <v>689</v>
      </c>
      <c r="G4" s="3" t="n"/>
      <c r="H4" s="3" t="inlineStr">
        <is>
          <t>备用金收支明细表.xlsx!sheet1!I7:Q7</t>
        </is>
      </c>
    </row>
    <row r="5" ht="42" customHeight="1">
      <c r="A5" s="2" t="n">
        <v>44572</v>
      </c>
      <c r="B5" s="3" t="inlineStr">
        <is>
          <t>人事部</t>
        </is>
      </c>
      <c r="C5" s="3" t="inlineStr">
        <is>
          <t>张梦</t>
        </is>
      </c>
      <c r="D5" s="3" t="inlineStr">
        <is>
          <t>输入借款事项</t>
        </is>
      </c>
      <c r="E5" s="3" t="inlineStr">
        <is>
          <t>支</t>
        </is>
      </c>
      <c r="F5" s="4" t="n">
        <v>-6000</v>
      </c>
      <c r="G5" s="2" t="n">
        <v>44576</v>
      </c>
      <c r="H5" s="3" t="inlineStr">
        <is>
          <t>备用金收支明细表.xlsx!sheet1!I8:Q8</t>
        </is>
      </c>
    </row>
    <row r="6" ht="42" customHeight="1">
      <c r="A6" s="2" t="n">
        <v>44572</v>
      </c>
      <c r="B6" s="3" t="inlineStr">
        <is>
          <t>-</t>
        </is>
      </c>
      <c r="C6" s="3" t="inlineStr">
        <is>
          <t>-</t>
        </is>
      </c>
      <c r="D6" s="3" t="inlineStr">
        <is>
          <t>公司拨款</t>
        </is>
      </c>
      <c r="E6" s="3" t="inlineStr">
        <is>
          <t>收</t>
        </is>
      </c>
      <c r="F6" s="4" t="n">
        <v>20000</v>
      </c>
      <c r="G6" s="3" t="n"/>
      <c r="H6" s="3" t="inlineStr">
        <is>
          <t>备用金收支明细表.xlsx!sheet1!I9:Q9</t>
        </is>
      </c>
    </row>
  </sheetData>
  <autoFilter ref="A1:H6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60" customWidth="1" min="5" max="5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金额元</t>
        </is>
      </c>
      <c r="D1" s="1" t="inlineStr">
        <is>
          <t>事项</t>
        </is>
      </c>
      <c r="E1" s="1" t="inlineStr">
        <is>
          <t>来源</t>
        </is>
      </c>
    </row>
    <row r="2" ht="42" customHeight="1">
      <c r="A2" s="2" t="n">
        <v>45413</v>
      </c>
      <c r="B2" s="3" t="inlineStr">
        <is>
          <t>存入</t>
        </is>
      </c>
      <c r="C2" s="4" t="n">
        <v>10000</v>
      </c>
      <c r="D2" s="3" t="inlineStr">
        <is>
          <t>备用金领用</t>
        </is>
      </c>
      <c r="E2" s="3" t="inlineStr">
        <is>
          <t>备用金收支结余明细表.xlsx!Sheet2!B8:E8</t>
        </is>
      </c>
    </row>
    <row r="3" ht="42" customHeight="1">
      <c r="A3" s="2" t="n">
        <v>45414</v>
      </c>
      <c r="B3" s="3" t="inlineStr">
        <is>
          <t>存入</t>
        </is>
      </c>
      <c r="C3" s="4" t="n">
        <v>3605.8</v>
      </c>
      <c r="D3" s="3" t="inlineStr">
        <is>
          <t>对应颜色部分报销回款</t>
        </is>
      </c>
      <c r="E3" s="3" t="inlineStr">
        <is>
          <t>备用金收支结余明细表.xlsx!Sheet2!B9:E9</t>
        </is>
      </c>
    </row>
    <row r="4" ht="42" customHeight="1">
      <c r="A4" s="2" t="n">
        <v>45415</v>
      </c>
      <c r="B4" s="3" t="inlineStr">
        <is>
          <t>存入</t>
        </is>
      </c>
      <c r="C4" s="4" t="n">
        <v>1250</v>
      </c>
      <c r="D4" s="3" t="inlineStr">
        <is>
          <t>差价补费</t>
        </is>
      </c>
      <c r="E4" s="3" t="inlineStr">
        <is>
          <t>备用金收支结余明细表.xlsx!Sheet2!B10:E10</t>
        </is>
      </c>
    </row>
    <row r="5" ht="42" customHeight="1">
      <c r="A5" s="2" t="n">
        <v>45416</v>
      </c>
      <c r="B5" s="3" t="inlineStr">
        <is>
          <t>存入</t>
        </is>
      </c>
      <c r="C5" s="4" t="n">
        <v>1000</v>
      </c>
      <c r="D5" s="3" t="inlineStr">
        <is>
          <t>展会用手提样品押金</t>
        </is>
      </c>
      <c r="E5" s="3" t="inlineStr">
        <is>
          <t>备用金收支结余明细表.xlsx!Sheet2!B11:E11</t>
        </is>
      </c>
    </row>
    <row r="6" ht="42" customHeight="1">
      <c r="A6" s="2" t="n">
        <v>45417</v>
      </c>
      <c r="B6" s="3" t="inlineStr">
        <is>
          <t>存入</t>
        </is>
      </c>
      <c r="C6" s="4" t="n">
        <v>10000</v>
      </c>
      <c r="D6" s="3" t="inlineStr">
        <is>
          <t>备用金领用</t>
        </is>
      </c>
      <c r="E6" s="3" t="inlineStr">
        <is>
          <t>备用金收支结余明细表.xlsx!Sheet2!B12:E12</t>
        </is>
      </c>
    </row>
    <row r="7" ht="42" customHeight="1">
      <c r="A7" s="2" t="n">
        <v>45418</v>
      </c>
      <c r="B7" s="3" t="inlineStr">
        <is>
          <t>存入</t>
        </is>
      </c>
      <c r="C7" s="4" t="n">
        <v>3605.8</v>
      </c>
      <c r="D7" s="3" t="inlineStr">
        <is>
          <t>备用金领用</t>
        </is>
      </c>
      <c r="E7" s="3" t="inlineStr">
        <is>
          <t>备用金收支结余明细表.xlsx!Sheet2!B13:E13</t>
        </is>
      </c>
    </row>
    <row r="8" ht="42" customHeight="1">
      <c r="A8" s="2" t="n">
        <v>45419</v>
      </c>
      <c r="B8" s="3" t="inlineStr">
        <is>
          <t>存入</t>
        </is>
      </c>
      <c r="C8" s="4" t="n">
        <v>1250</v>
      </c>
      <c r="D8" s="3" t="inlineStr">
        <is>
          <t>对应颜色部分报销回款</t>
        </is>
      </c>
      <c r="E8" s="3" t="inlineStr">
        <is>
          <t>备用金收支结余明细表.xlsx!Sheet2!B14:E14</t>
        </is>
      </c>
    </row>
    <row r="9" ht="42" customHeight="1">
      <c r="A9" s="2" t="n">
        <v>45420</v>
      </c>
      <c r="B9" s="3" t="inlineStr">
        <is>
          <t>存入</t>
        </is>
      </c>
      <c r="C9" s="4" t="n">
        <v>1000</v>
      </c>
      <c r="D9" s="3" t="inlineStr">
        <is>
          <t>差价补费</t>
        </is>
      </c>
      <c r="E9" s="3" t="inlineStr">
        <is>
          <t>备用金收支结余明细表.xlsx!Sheet2!B15:E15</t>
        </is>
      </c>
    </row>
    <row r="10" ht="42" customHeight="1">
      <c r="A10" s="2" t="n">
        <v>45421</v>
      </c>
      <c r="B10" s="3" t="inlineStr">
        <is>
          <t>存入</t>
        </is>
      </c>
      <c r="C10" s="4" t="n">
        <v>10000</v>
      </c>
      <c r="D10" s="3" t="inlineStr">
        <is>
          <t>展会用手提样品押金</t>
        </is>
      </c>
      <c r="E10" s="3" t="inlineStr">
        <is>
          <t>备用金收支结余明细表.xlsx!Sheet2!B16:E16</t>
        </is>
      </c>
    </row>
    <row r="11" ht="42" customHeight="1">
      <c r="A11" s="2" t="n">
        <v>45422</v>
      </c>
      <c r="B11" s="3" t="inlineStr">
        <is>
          <t>存入</t>
        </is>
      </c>
      <c r="C11" s="4" t="n">
        <v>3605.8</v>
      </c>
      <c r="D11" s="3" t="inlineStr">
        <is>
          <t>备用金领用</t>
        </is>
      </c>
      <c r="E11" s="3" t="inlineStr">
        <is>
          <t>备用金收支结余明细表.xlsx!Sheet2!B17:E17</t>
        </is>
      </c>
    </row>
    <row r="12" ht="42" customHeight="1">
      <c r="A12" s="2" t="n">
        <v>45423</v>
      </c>
      <c r="B12" s="3" t="inlineStr">
        <is>
          <t>存入</t>
        </is>
      </c>
      <c r="C12" s="4" t="n">
        <v>1250</v>
      </c>
      <c r="D12" s="3" t="inlineStr">
        <is>
          <t>备用金领用</t>
        </is>
      </c>
      <c r="E12" s="3" t="inlineStr">
        <is>
          <t>备用金收支结余明细表.xlsx!Sheet2!B18:E18</t>
        </is>
      </c>
    </row>
    <row r="13" ht="42" customHeight="1">
      <c r="A13" s="2" t="n">
        <v>45424</v>
      </c>
      <c r="B13" s="3" t="inlineStr">
        <is>
          <t>存入</t>
        </is>
      </c>
      <c r="C13" s="4" t="n">
        <v>1000</v>
      </c>
      <c r="D13" s="3" t="inlineStr">
        <is>
          <t>对应颜色部分报销回款</t>
        </is>
      </c>
      <c r="E13" s="3" t="inlineStr">
        <is>
          <t>备用金收支结余明细表.xlsx!Sheet2!B19:E19</t>
        </is>
      </c>
    </row>
    <row r="14" ht="42" customHeight="1">
      <c r="A14" s="2" t="n">
        <v>45425</v>
      </c>
      <c r="B14" s="3" t="inlineStr">
        <is>
          <t>存入</t>
        </is>
      </c>
      <c r="C14" s="4" t="n">
        <v>10000</v>
      </c>
      <c r="D14" s="3" t="inlineStr">
        <is>
          <t>差价补费</t>
        </is>
      </c>
      <c r="E14" s="3" t="inlineStr">
        <is>
          <t>备用金收支结余明细表.xlsx!Sheet2!B20:E20</t>
        </is>
      </c>
    </row>
    <row r="15" ht="42" customHeight="1">
      <c r="A15" s="2" t="n">
        <v>45426</v>
      </c>
      <c r="B15" s="3" t="inlineStr">
        <is>
          <t>存入</t>
        </is>
      </c>
      <c r="C15" s="4" t="n">
        <v>3605.8</v>
      </c>
      <c r="D15" s="3" t="inlineStr">
        <is>
          <t>展会用手提样品押金</t>
        </is>
      </c>
      <c r="E15" s="3" t="inlineStr">
        <is>
          <t>备用金收支结余明细表.xlsx!Sheet2!B21:E21</t>
        </is>
      </c>
    </row>
    <row r="16" ht="42" customHeight="1">
      <c r="A16" s="2" t="n">
        <v>45427</v>
      </c>
      <c r="B16" s="3" t="inlineStr">
        <is>
          <t>存入</t>
        </is>
      </c>
      <c r="C16" s="4" t="n">
        <v>1250</v>
      </c>
      <c r="D16" s="3" t="inlineStr">
        <is>
          <t>备用金领用</t>
        </is>
      </c>
      <c r="E16" s="3" t="inlineStr">
        <is>
          <t>备用金收支结余明细表.xlsx!Sheet2!B22:E22</t>
        </is>
      </c>
    </row>
    <row r="17" ht="42" customHeight="1">
      <c r="A17" s="2" t="n">
        <v>45428</v>
      </c>
      <c r="B17" s="3" t="inlineStr">
        <is>
          <t>存入</t>
        </is>
      </c>
      <c r="C17" s="4" t="n">
        <v>1251</v>
      </c>
      <c r="D17" s="3" t="inlineStr">
        <is>
          <t>备用金领用</t>
        </is>
      </c>
      <c r="E17" s="3" t="inlineStr">
        <is>
          <t>备用金收支结余明细表.xlsx!Sheet2!B23:E23</t>
        </is>
      </c>
    </row>
    <row r="18" ht="42" customHeight="1">
      <c r="A18" s="2" t="n">
        <v>45414</v>
      </c>
      <c r="B18" s="3" t="inlineStr">
        <is>
          <t>支出</t>
        </is>
      </c>
      <c r="C18" s="4" t="n">
        <v>60</v>
      </c>
      <c r="D18" s="3" t="inlineStr">
        <is>
          <t>团建用酒4瓶</t>
        </is>
      </c>
      <c r="E18" s="3" t="inlineStr">
        <is>
          <t>备用金收支结余明细表.xlsx!Sheet2!F8:H8</t>
        </is>
      </c>
    </row>
    <row r="19" ht="42" customHeight="1">
      <c r="A19" s="2" t="n">
        <v>45415</v>
      </c>
      <c r="B19" s="3" t="inlineStr">
        <is>
          <t>支出</t>
        </is>
      </c>
      <c r="C19" s="4" t="n">
        <v>59.8</v>
      </c>
      <c r="D19" s="3" t="inlineStr">
        <is>
          <t>32G联想tu100U盘2个</t>
        </is>
      </c>
      <c r="E19" s="3" t="inlineStr">
        <is>
          <t>备用金收支结余明细表.xlsx!Sheet2!F9:H9</t>
        </is>
      </c>
    </row>
    <row r="20" ht="42" customHeight="1">
      <c r="A20" s="2" t="n">
        <v>45416</v>
      </c>
      <c r="B20" s="3" t="inlineStr">
        <is>
          <t>支出</t>
        </is>
      </c>
      <c r="C20" s="4" t="n">
        <v>93</v>
      </c>
      <c r="D20" s="3" t="inlineStr">
        <is>
          <t>补优质经销商授权牌1个</t>
        </is>
      </c>
      <c r="E20" s="3" t="inlineStr">
        <is>
          <t>备用金收支结余明细表.xlsx!Sheet2!F10:H10</t>
        </is>
      </c>
    </row>
    <row r="21" ht="42" customHeight="1">
      <c r="A21" s="2" t="n">
        <v>45417</v>
      </c>
      <c r="B21" s="3" t="inlineStr">
        <is>
          <t>支出</t>
        </is>
      </c>
      <c r="C21" s="4" t="n">
        <v>810</v>
      </c>
      <c r="D21" s="3" t="inlineStr">
        <is>
          <t>临时办公桌3个</t>
        </is>
      </c>
      <c r="E21" s="3" t="inlineStr">
        <is>
          <t>备用金收支结余明细表.xlsx!Sheet2!F11:H11</t>
        </is>
      </c>
    </row>
    <row r="22" ht="42" customHeight="1">
      <c r="A22" s="2" t="n">
        <v>45418</v>
      </c>
      <c r="B22" s="3" t="inlineStr">
        <is>
          <t>支出</t>
        </is>
      </c>
      <c r="C22" s="4" t="n">
        <v>1320</v>
      </c>
      <c r="D22" s="3" t="inlineStr">
        <is>
          <t>3800W蒸汽清洁机1台</t>
        </is>
      </c>
      <c r="E22" s="3" t="inlineStr">
        <is>
          <t>备用金收支结余明细表.xlsx!Sheet2!F12:H12</t>
        </is>
      </c>
    </row>
    <row r="23" ht="42" customHeight="1">
      <c r="A23" s="2" t="n">
        <v>45419</v>
      </c>
      <c r="B23" s="3" t="inlineStr">
        <is>
          <t>支出</t>
        </is>
      </c>
      <c r="C23" s="4" t="n">
        <v>1330</v>
      </c>
      <c r="D23" s="3" t="inlineStr">
        <is>
          <t>上海展会用人型穿戴偶</t>
        </is>
      </c>
      <c r="E23" s="3" t="inlineStr">
        <is>
          <t>备用金收支结余明细表.xlsx!Sheet2!F13:H13</t>
        </is>
      </c>
    </row>
    <row r="24" ht="42" customHeight="1">
      <c r="A24" s="2" t="n">
        <v>45420</v>
      </c>
      <c r="B24" s="3" t="inlineStr">
        <is>
          <t>支出</t>
        </is>
      </c>
      <c r="C24" s="4" t="n">
        <v>17.9</v>
      </c>
      <c r="D24" s="3" t="inlineStr">
        <is>
          <t>新零售授权牌1套</t>
        </is>
      </c>
      <c r="E24" s="3" t="inlineStr">
        <is>
          <t>备用金收支结余明细表.xlsx!Sheet2!F14:H14</t>
        </is>
      </c>
    </row>
    <row r="25" ht="42" customHeight="1">
      <c r="A25" s="2" t="n">
        <v>45421</v>
      </c>
      <c r="B25" s="3" t="inlineStr">
        <is>
          <t>支出</t>
        </is>
      </c>
      <c r="C25" s="4" t="n">
        <v>1.8</v>
      </c>
      <c r="D25" s="3" t="inlineStr">
        <is>
          <t>上海展会用束口袋样品20个</t>
        </is>
      </c>
      <c r="E25" s="3" t="inlineStr">
        <is>
          <t>备用金收支结余明细表.xlsx!Sheet2!F15:H15</t>
        </is>
      </c>
    </row>
    <row r="26" ht="42" customHeight="1">
      <c r="A26" s="2" t="n">
        <v>45422</v>
      </c>
      <c r="B26" s="3" t="inlineStr">
        <is>
          <t>支出</t>
        </is>
      </c>
      <c r="C26" s="4" t="n">
        <v>14.5</v>
      </c>
      <c r="D26" s="3" t="inlineStr">
        <is>
          <t>上海展会用束口袋样品100个</t>
        </is>
      </c>
      <c r="E26" s="3" t="inlineStr">
        <is>
          <t>备用金收支结余明细表.xlsx!Sheet2!F16:H16</t>
        </is>
      </c>
    </row>
    <row r="27" ht="42" customHeight="1">
      <c r="A27" s="2" t="n">
        <v>45423</v>
      </c>
      <c r="B27" s="3" t="inlineStr">
        <is>
          <t>支出</t>
        </is>
      </c>
      <c r="C27" s="4" t="n">
        <v>49.5</v>
      </c>
      <c r="D27" s="3" t="inlineStr">
        <is>
          <t>93枚装科目章</t>
        </is>
      </c>
      <c r="E27" s="3" t="inlineStr">
        <is>
          <t>备用金收支结余明细表.xlsx!Sheet2!F17:H17</t>
        </is>
      </c>
    </row>
    <row r="28" ht="42" customHeight="1">
      <c r="A28" s="2" t="n">
        <v>45424</v>
      </c>
      <c r="B28" s="3" t="inlineStr">
        <is>
          <t>支出</t>
        </is>
      </c>
      <c r="C28" s="4" t="n">
        <v>4300</v>
      </c>
      <c r="D28" s="3" t="inlineStr">
        <is>
          <t>上海展会用大精油瓶</t>
        </is>
      </c>
      <c r="E28" s="3" t="inlineStr">
        <is>
          <t>备用金收支结余明细表.xlsx!Sheet2!F18:H18</t>
        </is>
      </c>
    </row>
    <row r="29" ht="42" customHeight="1">
      <c r="A29" s="2" t="n">
        <v>45425</v>
      </c>
      <c r="B29" s="3" t="inlineStr">
        <is>
          <t>支出</t>
        </is>
      </c>
      <c r="C29" s="4" t="n">
        <v>23.9</v>
      </c>
      <c r="D29" s="3" t="inlineStr">
        <is>
          <t>工厂30*30抹布</t>
        </is>
      </c>
      <c r="E29" s="3" t="inlineStr">
        <is>
          <t>备用金收支结余明细表.xlsx!Sheet2!F19:H19</t>
        </is>
      </c>
    </row>
    <row r="30" ht="42" customHeight="1">
      <c r="A30" s="2" t="n">
        <v>45426</v>
      </c>
      <c r="B30" s="3" t="inlineStr">
        <is>
          <t>支出</t>
        </is>
      </c>
      <c r="C30" s="4" t="n">
        <v>154.5</v>
      </c>
      <c r="D30" s="3" t="inlineStr">
        <is>
          <t>垃圾袋32*52 50捆</t>
        </is>
      </c>
      <c r="E30" s="3" t="inlineStr">
        <is>
          <t>备用金收支结余明细表.xlsx!Sheet2!F20:H20</t>
        </is>
      </c>
    </row>
    <row r="31" ht="42" customHeight="1">
      <c r="A31" s="2" t="n">
        <v>45427</v>
      </c>
      <c r="B31" s="3" t="inlineStr">
        <is>
          <t>支出</t>
        </is>
      </c>
      <c r="C31" s="4" t="n">
        <v>58.5</v>
      </c>
      <c r="D31" s="3" t="inlineStr">
        <is>
          <t>得力美工刀10把+刀片5盒</t>
        </is>
      </c>
      <c r="E31" s="3" t="inlineStr">
        <is>
          <t>备用金收支结余明细表.xlsx!Sheet2!F21:H21</t>
        </is>
      </c>
    </row>
    <row r="32" ht="42" customHeight="1">
      <c r="A32" s="2" t="n">
        <v>45428</v>
      </c>
      <c r="B32" s="3" t="inlineStr">
        <is>
          <t>支出</t>
        </is>
      </c>
      <c r="C32" s="4" t="n">
        <v>1150</v>
      </c>
      <c r="D32" s="3" t="inlineStr">
        <is>
          <t>物流部2000个编织袋0.575/个</t>
        </is>
      </c>
      <c r="E32" s="3" t="inlineStr">
        <is>
          <t>备用金收支结余明细表.xlsx!Sheet2!F22:H22</t>
        </is>
      </c>
    </row>
    <row r="33" ht="42" customHeight="1">
      <c r="A33" s="2" t="n">
        <v>45429</v>
      </c>
      <c r="B33" s="3" t="inlineStr">
        <is>
          <t>支出</t>
        </is>
      </c>
      <c r="C33" s="4" t="n">
        <v>62</v>
      </c>
      <c r="D33" s="3" t="inlineStr">
        <is>
          <t>展架1套</t>
        </is>
      </c>
      <c r="E33" s="3" t="inlineStr">
        <is>
          <t>备用金收支结余明细表.xlsx!Sheet2!F23:H23</t>
        </is>
      </c>
    </row>
  </sheetData>
  <autoFilter ref="A1:E33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原项目</t>
        </is>
      </c>
      <c r="B1" s="1" t="inlineStr">
        <is>
          <t>原预算元</t>
        </is>
      </c>
      <c r="C1" s="1" t="inlineStr">
        <is>
          <t>四月实际元</t>
        </is>
      </c>
      <c r="D1" s="1" t="inlineStr">
        <is>
          <t>实际减原预算</t>
        </is>
      </c>
      <c r="E1" s="1" t="inlineStr">
        <is>
          <t>超支</t>
        </is>
      </c>
      <c r="F1" s="1" t="inlineStr">
        <is>
          <t>情景映射</t>
        </is>
      </c>
      <c r="G1" s="1" t="inlineStr">
        <is>
          <t>2025四月预算元</t>
        </is>
      </c>
      <c r="H1" s="1" t="inlineStr">
        <is>
          <t>实际减情景预算</t>
        </is>
      </c>
    </row>
    <row r="2">
      <c r="A2" s="3" t="inlineStr">
        <is>
          <t>办公费</t>
        </is>
      </c>
      <c r="B2" s="4" t="n">
        <v>2000</v>
      </c>
      <c r="C2" s="4">
        <f>SUMIF('实际2024'!B$2:B$14,A2,'实际2024'!C$2:C$14)</f>
        <v/>
      </c>
      <c r="D2" s="4">
        <f>C2-B2</f>
        <v/>
      </c>
      <c r="E2" s="4">
        <f>IF(D2&gt;0,"是","否")</f>
        <v/>
      </c>
      <c r="F2" s="3" t="inlineStr">
        <is>
          <t>办公用品</t>
        </is>
      </c>
      <c r="G2" s="4">
        <f>SUMIF('预算2025'!B$2:B$36,F2,'预算2025'!Q$2:Q$36)</f>
        <v/>
      </c>
      <c r="H2" s="4">
        <f>C2-G2</f>
        <v/>
      </c>
    </row>
    <row r="3">
      <c r="A3" s="3" t="inlineStr">
        <is>
          <t>交通费</t>
        </is>
      </c>
      <c r="B3" s="4" t="n">
        <v>1000</v>
      </c>
      <c r="C3" s="4">
        <f>SUMIF('实际2024'!B$2:B$14,A3,'实际2024'!C$2:C$14)</f>
        <v/>
      </c>
      <c r="D3" s="4">
        <f>C3-B3</f>
        <v/>
      </c>
      <c r="E3" s="4">
        <f>IF(D3&gt;0,"是","否")</f>
        <v/>
      </c>
      <c r="F3" s="3" t="inlineStr">
        <is>
          <t>差旅费</t>
        </is>
      </c>
      <c r="G3" s="4">
        <f>SUMIF('预算2025'!B$2:B$36,F3,'预算2025'!Q$2:Q$36)</f>
        <v/>
      </c>
      <c r="H3" s="4">
        <f>C3-G3</f>
        <v/>
      </c>
    </row>
    <row r="4">
      <c r="A4" s="3" t="inlineStr">
        <is>
          <t>招待费</t>
        </is>
      </c>
      <c r="B4" s="4" t="n">
        <v>3000</v>
      </c>
      <c r="C4" s="4">
        <f>SUMIF('实际2024'!B$2:B$14,A4,'实际2024'!C$2:C$14)</f>
        <v/>
      </c>
      <c r="D4" s="4">
        <f>C4-B4</f>
        <v/>
      </c>
      <c r="E4" s="4">
        <f>IF(D4&gt;0,"是","否")</f>
        <v/>
      </c>
      <c r="F4" s="3" t="inlineStr">
        <is>
          <t>宴请费</t>
        </is>
      </c>
      <c r="G4" s="4">
        <f>SUMIF('预算2025'!B$2:B$36,F4,'预算2025'!Q$2:Q$36)</f>
        <v/>
      </c>
      <c r="H4" s="4">
        <f>C4-G4</f>
        <v/>
      </c>
    </row>
    <row r="5">
      <c r="A5" s="3" t="inlineStr">
        <is>
          <t>广告费</t>
        </is>
      </c>
      <c r="B5" s="4" t="n">
        <v>2000</v>
      </c>
      <c r="C5" s="4">
        <f>SUMIF('实际2024'!B$2:B$14,A5,'实际2024'!C$2:C$14)</f>
        <v/>
      </c>
      <c r="D5" s="4">
        <f>C5-B5</f>
        <v/>
      </c>
      <c r="E5" s="4">
        <f>IF(D5&gt;0,"是","否")</f>
        <v/>
      </c>
      <c r="F5" s="3" t="inlineStr">
        <is>
          <t>宣传费</t>
        </is>
      </c>
      <c r="G5" s="4">
        <f>SUMIF('预算2025'!B$2:B$36,F5,'预算2025'!Q$2:Q$36)</f>
        <v/>
      </c>
      <c r="H5" s="4">
        <f>C5-G5</f>
        <v/>
      </c>
    </row>
    <row r="6">
      <c r="A6" s="3" t="inlineStr">
        <is>
          <t>福利费</t>
        </is>
      </c>
      <c r="B6" s="4" t="n">
        <v>3000</v>
      </c>
      <c r="C6" s="4">
        <f>SUMIF('实际2024'!B$2:B$14,A6,'实际2024'!C$2:C$14)</f>
        <v/>
      </c>
      <c r="D6" s="4">
        <f>C6-B6</f>
        <v/>
      </c>
      <c r="E6" s="4">
        <f>IF(D6&gt;0,"是","否")</f>
        <v/>
      </c>
      <c r="F6" s="3" t="inlineStr">
        <is>
          <t>未映射</t>
        </is>
      </c>
      <c r="G6" s="3" t="n"/>
      <c r="H6" s="3" t="n"/>
    </row>
    <row r="7">
      <c r="A7" s="3" t="inlineStr">
        <is>
          <t>保险费</t>
        </is>
      </c>
      <c r="B7" s="4" t="n">
        <v>2000</v>
      </c>
      <c r="C7" s="4">
        <f>SUMIF('实际2024'!B$2:B$14,A7,'实际2024'!C$2:C$14)</f>
        <v/>
      </c>
      <c r="D7" s="4">
        <f>C7-B7</f>
        <v/>
      </c>
      <c r="E7" s="4">
        <f>IF(D7&gt;0,"是","否")</f>
        <v/>
      </c>
      <c r="F7" s="3" t="inlineStr">
        <is>
          <t>未映射</t>
        </is>
      </c>
      <c r="G7" s="3" t="n"/>
      <c r="H7" s="3" t="n"/>
    </row>
    <row r="8">
      <c r="A8" s="3" t="inlineStr">
        <is>
          <t>维修费</t>
        </is>
      </c>
      <c r="B8" s="4" t="n">
        <v>1000</v>
      </c>
      <c r="C8" s="4">
        <f>SUMIF('实际2024'!B$2:B$14,A8,'实际2024'!C$2:C$14)</f>
        <v/>
      </c>
      <c r="D8" s="4">
        <f>C8-B8</f>
        <v/>
      </c>
      <c r="E8" s="4">
        <f>IF(D8&gt;0,"是","否")</f>
        <v/>
      </c>
      <c r="F8" s="3" t="inlineStr">
        <is>
          <t>设备修理费</t>
        </is>
      </c>
      <c r="G8" s="4">
        <f>SUMIF('预算2025'!B$2:B$36,F8,'预算2025'!Q$2:Q$36)</f>
        <v/>
      </c>
      <c r="H8" s="4">
        <f>C8-G8</f>
        <v/>
      </c>
    </row>
    <row r="9">
      <c r="A9" s="3" t="inlineStr">
        <is>
          <t>租赁费</t>
        </is>
      </c>
      <c r="B9" s="4" t="n">
        <v>5000</v>
      </c>
      <c r="C9" s="4">
        <f>SUMIF('实际2024'!B$2:B$14,A9,'实际2024'!C$2:C$14)</f>
        <v/>
      </c>
      <c r="D9" s="4">
        <f>C9-B9</f>
        <v/>
      </c>
      <c r="E9" s="4">
        <f>IF(D9&gt;0,"是","否")</f>
        <v/>
      </c>
      <c r="F9" s="3" t="inlineStr">
        <is>
          <t>办公室租金</t>
        </is>
      </c>
      <c r="G9" s="4">
        <f>SUMIF('预算2025'!B$2:B$36,F9,'预算2025'!Q$2:Q$36)</f>
        <v/>
      </c>
      <c r="H9" s="4">
        <f>C9-G9</f>
        <v/>
      </c>
    </row>
    <row r="10">
      <c r="A10" s="3" t="inlineStr">
        <is>
          <t>水电费</t>
        </is>
      </c>
      <c r="B10" s="4" t="n">
        <v>1000</v>
      </c>
      <c r="C10" s="4">
        <f>SUMIF('实际2024'!B$2:B$14,A10,'实际2024'!C$2:C$14)</f>
        <v/>
      </c>
      <c r="D10" s="4">
        <f>C10-B10</f>
        <v/>
      </c>
      <c r="E10" s="4">
        <f>IF(D10&gt;0,"是","否")</f>
        <v/>
      </c>
      <c r="F10" s="3" t="inlineStr">
        <is>
          <t>水电费</t>
        </is>
      </c>
      <c r="G10" s="4">
        <f>SUMIF('预算2025'!B$2:B$36,F10,'预算2025'!Q$2:Q$36)</f>
        <v/>
      </c>
      <c r="H10" s="4">
        <f>C10-G10</f>
        <v/>
      </c>
    </row>
    <row r="11">
      <c r="A11" s="3" t="inlineStr">
        <is>
          <t>物业费</t>
        </is>
      </c>
      <c r="B11" s="4" t="n">
        <v>1050</v>
      </c>
      <c r="C11" s="4">
        <f>SUMIF('实际2024'!B$2:B$14,A11,'实际2024'!C$2:C$14)</f>
        <v/>
      </c>
      <c r="D11" s="4">
        <f>C11-B11</f>
        <v/>
      </c>
      <c r="E11" s="4">
        <f>IF(D11&gt;0,"是","否")</f>
        <v/>
      </c>
      <c r="F11" s="3" t="inlineStr">
        <is>
          <t>物业费</t>
        </is>
      </c>
      <c r="G11" s="4">
        <f>SUMIF('预算2025'!B$2:B$36,F11,'预算2025'!Q$2:Q$36)</f>
        <v/>
      </c>
      <c r="H11" s="4">
        <f>C11-G11</f>
        <v/>
      </c>
    </row>
    <row r="12">
      <c r="A12" s="3" t="inlineStr">
        <is>
          <t>差旅费</t>
        </is>
      </c>
      <c r="B12" s="4" t="n">
        <v>1000</v>
      </c>
      <c r="C12" s="4">
        <f>SUMIF('实际2024'!B$2:B$14,A12,'实际2024'!C$2:C$14)</f>
        <v/>
      </c>
      <c r="D12" s="4">
        <f>C12-B12</f>
        <v/>
      </c>
      <c r="E12" s="4">
        <f>IF(D12&gt;0,"是","否")</f>
        <v/>
      </c>
      <c r="F12" s="3" t="inlineStr">
        <is>
          <t>差旅费</t>
        </is>
      </c>
      <c r="G12" s="4">
        <f>SUMIF('预算2025'!B$2:B$36,F12,'预算2025'!Q$2:Q$36)</f>
        <v/>
      </c>
      <c r="H12" s="4">
        <f>C12-G12</f>
        <v/>
      </c>
    </row>
    <row r="13">
      <c r="A13" s="3" t="inlineStr">
        <is>
          <t>会议费</t>
        </is>
      </c>
      <c r="B13" s="4" t="n">
        <v>3000</v>
      </c>
      <c r="C13" s="4">
        <f>SUMIF('实际2024'!B$2:B$14,A13,'实际2024'!C$2:C$14)</f>
        <v/>
      </c>
      <c r="D13" s="4">
        <f>C13-B13</f>
        <v/>
      </c>
      <c r="E13" s="4">
        <f>IF(D13&gt;0,"是","否")</f>
        <v/>
      </c>
      <c r="F13" s="3" t="inlineStr">
        <is>
          <t>未映射</t>
        </is>
      </c>
      <c r="G13" s="3" t="n"/>
      <c r="H13" s="3" t="n"/>
    </row>
  </sheetData>
  <autoFilter ref="A1:H13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指标</t>
        </is>
      </c>
      <c r="B1" s="1" t="inlineStr">
        <is>
          <t>结果元/项目数</t>
        </is>
      </c>
    </row>
    <row r="2">
      <c r="A2" s="3" t="inlineStr">
        <is>
          <t>2024四月实际合计</t>
        </is>
      </c>
      <c r="B2" s="4">
        <f>SUM('实际2024'!C2:C14)</f>
        <v/>
      </c>
    </row>
    <row r="3">
      <c r="A3" s="3" t="inlineStr">
        <is>
          <t>原预算合计</t>
        </is>
      </c>
      <c r="B3" s="4">
        <f>SUM('预算对比'!B2:B13)</f>
        <v/>
      </c>
    </row>
    <row r="4">
      <c r="A4" s="3" t="inlineStr">
        <is>
          <t>原预算减实际</t>
        </is>
      </c>
      <c r="B4" s="4">
        <f>B3-B2</f>
        <v/>
      </c>
    </row>
    <row r="5">
      <c r="A5" s="3" t="inlineStr">
        <is>
          <t>超支项目数</t>
        </is>
      </c>
      <c r="B5" s="4">
        <f>COUNTIF('预算对比'!E2:E13,"是")</f>
        <v/>
      </c>
    </row>
    <row r="6">
      <c r="A6" s="3" t="inlineStr">
        <is>
          <t>2025年度预算元</t>
        </is>
      </c>
      <c r="B6" s="4">
        <f>SUM('预算2025'!P2:P36)</f>
        <v/>
      </c>
    </row>
    <row r="7">
      <c r="A7" s="3" t="inlineStr">
        <is>
          <t>2025四月预算元</t>
        </is>
      </c>
      <c r="B7" s="4">
        <f>SUM('预算2025'!Q2:Q36)</f>
        <v/>
      </c>
    </row>
    <row r="8">
      <c r="A8" s="3" t="inlineStr">
        <is>
          <t>2022期初备用金</t>
        </is>
      </c>
      <c r="B8" s="4">
        <f>50000</f>
        <v/>
      </c>
    </row>
    <row r="9">
      <c r="A9" s="3" t="inlineStr">
        <is>
          <t>2022支出绝对额</t>
        </is>
      </c>
      <c r="B9" s="4">
        <f>-SUMIF('备用2022'!E2:E6,"支",'备用2022'!F2:F6)</f>
        <v/>
      </c>
    </row>
    <row r="10">
      <c r="A10" s="3" t="inlineStr">
        <is>
          <t>2022存入</t>
        </is>
      </c>
      <c r="B10" s="4">
        <f>SUMIF('备用2022'!E2:E6,"收",'备用2022'!F2:F6)</f>
        <v/>
      </c>
    </row>
    <row r="11">
      <c r="A11" s="3" t="inlineStr">
        <is>
          <t>2022期末</t>
        </is>
      </c>
      <c r="B11" s="4">
        <f>B8-B9+B10</f>
        <v/>
      </c>
    </row>
    <row r="12">
      <c r="A12" s="3" t="inlineStr">
        <is>
          <t>2022尚未报销支出</t>
        </is>
      </c>
      <c r="B12" s="4">
        <f>-SUMIFS('备用2022'!F2:F6,'备用2022'!E2:E6,"支",'备用2022'!G2:G6,"")</f>
        <v/>
      </c>
    </row>
    <row r="13">
      <c r="A13" s="3" t="inlineStr">
        <is>
          <t>2024窗口存入</t>
        </is>
      </c>
      <c r="B13" s="4">
        <f>SUMIFS('备用2024'!C$2:C$33,'备用2024'!B$2:B$33,"存入",'备用2024'!A$2:A$33,"&gt;="&amp;DATE(2024,5,1),'备用2024'!A$2:A$33,"&lt;="&amp;DATE(2024,5,15))</f>
        <v/>
      </c>
    </row>
    <row r="14">
      <c r="A14" s="3" t="inlineStr">
        <is>
          <t>2024窗口支出</t>
        </is>
      </c>
      <c r="B14" s="4">
        <f>SUMIFS('备用2024'!C$2:C$33,'备用2024'!B$2:B$33,"支出",'备用2024'!A$2:A$33,"&gt;="&amp;DATE(2024,5,1),'备用2024'!A$2:A$33,"&lt;="&amp;DATE(2024,5,15))</f>
        <v/>
      </c>
    </row>
    <row r="15">
      <c r="A15" s="3" t="inlineStr">
        <is>
          <t>2024窗口净额</t>
        </is>
      </c>
      <c r="B15" s="4">
        <f>B13-B14</f>
        <v/>
      </c>
    </row>
    <row r="16">
      <c r="A16" s="3" t="inlineStr">
        <is>
          <t>源表展示余额</t>
        </is>
      </c>
      <c r="B16" s="4">
        <f>54168.8</f>
        <v/>
      </c>
    </row>
    <row r="17">
      <c r="A17" s="3" t="inlineStr">
        <is>
          <t>展示余额减窗口净额</t>
        </is>
      </c>
      <c r="B17" s="4">
        <f>B16-B15</f>
        <v/>
      </c>
    </row>
    <row r="18">
      <c r="A18" s="3" t="inlineStr">
        <is>
          <t>窗口外存入</t>
        </is>
      </c>
      <c r="B18" s="4">
        <f>SUMIF('备用2024'!B$2:B$33,"存入",'备用2024'!C$2:C$33)-SUMIFS('备用2024'!C$2:C$33,'备用2024'!B$2:B$33,"存入",'备用2024'!A$2:A$33,"&gt;="&amp;DATE(2024,5,1),'备用2024'!A$2:A$33,"&lt;="&amp;DATE(2024,5,15))</f>
        <v/>
      </c>
    </row>
    <row r="19">
      <c r="A19" s="3" t="inlineStr">
        <is>
          <t>窗口外支出</t>
        </is>
      </c>
      <c r="B19" s="4">
        <f>SUMIF('备用2024'!B$2:B$33,"支出",'备用2024'!C$2:C$33)-SUMIFS('备用2024'!C$2:C$33,'备用2024'!B$2:B$33,"支出",'备用2024'!A$2:A$33,"&gt;="&amp;DATE(2024,5,1),'备用2024'!A$2:A$33,"&lt;="&amp;DATE(2024,5,15))</f>
        <v/>
      </c>
    </row>
    <row r="20">
      <c r="A20" s="3" t="inlineStr">
        <is>
          <t>窗口外净额</t>
        </is>
      </c>
      <c r="B20" s="4">
        <f>B18-B19</f>
        <v/>
      </c>
    </row>
    <row r="21">
      <c r="A21" s="3" t="inlineStr">
        <is>
          <t>已映射实际</t>
        </is>
      </c>
      <c r="B21" s="4">
        <f>SUMIF('预算对比'!F2:F13,"&lt;&gt;未映射",'预算对比'!C2:C13)</f>
        <v/>
      </c>
    </row>
    <row r="22">
      <c r="A22" s="3" t="inlineStr">
        <is>
          <t>去重后情景预算</t>
        </is>
      </c>
      <c r="B22" s="4">
        <f>SUM('预算对比'!G2:G13)-SUMIF('预算对比'!A2:A13,"交通费",'预算对比'!G2:G13)</f>
        <v/>
      </c>
    </row>
    <row r="23">
      <c r="A23" s="3" t="inlineStr">
        <is>
          <t>未映射实际</t>
        </is>
      </c>
      <c r="B23" s="4">
        <f>SUMIF('预算对比'!F2:F13,"未映射",'预算对比'!C2:C13)</f>
        <v/>
      </c>
    </row>
    <row r="24">
      <c r="A24" s="3" t="inlineStr">
        <is>
          <t>已映射实际减去重预算</t>
        </is>
      </c>
      <c r="B24" s="4">
        <f>B21-B22</f>
        <v/>
      </c>
    </row>
    <row r="25">
      <c r="A25" s="3" t="inlineStr">
        <is>
          <t>共同差旅实际</t>
        </is>
      </c>
      <c r="B25" s="4">
        <f>SUMIF('预算对比'!F2:F13,"差旅费",'预算对比'!C2:C13)</f>
        <v/>
      </c>
    </row>
    <row r="26">
      <c r="A26" s="3" t="inlineStr">
        <is>
          <t>共同差旅预算</t>
        </is>
      </c>
      <c r="B26" s="4">
        <f>SUMIF('预算2025'!B2:B36,"差旅费",'预算2025'!Q2:Q36)</f>
        <v/>
      </c>
    </row>
  </sheetData>
  <autoFilter ref="A1:B26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主题</t>
        </is>
      </c>
      <c r="B1" s="1" t="inlineStr">
        <is>
          <t>原证据</t>
        </is>
      </c>
      <c r="C1" s="1" t="inlineStr">
        <is>
          <t>数值影响</t>
        </is>
      </c>
      <c r="D1" s="1" t="inlineStr">
        <is>
          <t>处理与待核实</t>
        </is>
      </c>
    </row>
    <row r="2" ht="60" customHeight="1">
      <c r="A2" s="3" t="inlineStr">
        <is>
          <t>跨期</t>
        </is>
      </c>
      <c r="B2" s="3" t="inlineStr">
        <is>
          <t>行政支出2024-04；备用金2022-01、2024-05；预算2025</t>
        </is>
      </c>
      <c r="C2" s="3" t="inlineStr">
        <is>
          <t>四套期间不重叠</t>
        </is>
      </c>
      <c r="D2" s="3" t="inlineStr">
        <is>
          <t>预算对比仅为情景，不宣称2025全年剩余预算，需另取同年实际</t>
        </is>
      </c>
    </row>
    <row r="3" ht="60" customHeight="1">
      <c r="A3" s="3" t="inlineStr">
        <is>
          <t>单位与空年度</t>
        </is>
      </c>
      <c r="B3" s="3" t="inlineStr">
        <is>
          <t>2025源表单位万元，物业费/保洁费年度原格空白</t>
        </is>
      </c>
      <c r="C3" s="3" t="inlineStr">
        <is>
          <t>按十二个月补算；保留原空白不冒充源值</t>
        </is>
      </c>
      <c r="D3" s="3" t="inlineStr">
        <is>
          <t>叶子行求和；排除大类小计，不以年度/12替代季节性四月</t>
        </is>
      </c>
    </row>
    <row r="4" ht="60" customHeight="1">
      <c r="A4" s="3" t="inlineStr">
        <is>
          <t>窗口余额</t>
        </is>
      </c>
      <c r="B4" s="3" t="inlineStr">
        <is>
          <t>备用表I3全范围；E5/I5为5月1日至15日</t>
        </is>
      </c>
      <c r="C4" s="3" t="inlineStr">
        <is>
          <t>54168.8-54129.8=39；区间外净额39</t>
        </is>
      </c>
      <c r="D4" s="3" t="inlineStr">
        <is>
          <t>分别按存入/支出日期重算，净额不包含未知期初</t>
        </is>
      </c>
    </row>
    <row r="5" ht="60" customHeight="1">
      <c r="A5" s="3" t="inlineStr">
        <is>
          <t>共享预算</t>
        </is>
      </c>
      <c r="B5" s="3" t="inlineStr">
        <is>
          <t>交通费与差旅费按题设均映射差旅费</t>
        </is>
      </c>
      <c r="C5" s="3" t="inlineStr">
        <is>
          <t>合并实际；情景预算只取一次</t>
        </is>
      </c>
      <c r="D5" s="3" t="inlineStr">
        <is>
          <t>映射为分析假设，不能把两行预算相加当可用额度</t>
        </is>
      </c>
    </row>
    <row r="6" ht="60" customHeight="1">
      <c r="A6" s="3" t="inlineStr">
        <is>
          <t>不可映射项目</t>
        </is>
      </c>
      <c r="B6" s="3" t="inlineStr">
        <is>
          <t>福利费、保险费、会议费没有题设可靠对应</t>
        </is>
      </c>
      <c r="C6" s="3" t="inlineStr">
        <is>
          <t>未映射实际单列5300元</t>
        </is>
      </c>
      <c r="D6" s="3" t="inlineStr">
        <is>
          <t>保留待映射，不编造审批，不将保险随意映射车险</t>
        </is>
      </c>
    </row>
  </sheetData>
  <autoFilter ref="A1:D6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2026-09-08T16:37:38Z</dcterms:created>
  <dcterms:modified xmlns:dcterms="http://purl.org/dc/terms/" xmlns:xsi="http://www.w3.org/2001/XMLSchema-instance" xsi:type="dcterms:W3CDTF">2026-09-08T16:37:40Z</dcterms:modified>
</cp:coreProperties>
</file>