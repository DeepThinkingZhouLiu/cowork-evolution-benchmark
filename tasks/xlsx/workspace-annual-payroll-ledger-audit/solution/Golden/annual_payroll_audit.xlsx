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度底稿" sheetId="1" state="visible" r:id="rId1"/>
    <sheet xmlns:r="http://schemas.openxmlformats.org/officeDocument/2006/relationships" name="年度底稿" sheetId="2" state="visible" r:id="rId2"/>
    <sheet xmlns:r="http://schemas.openxmlformats.org/officeDocument/2006/relationships" name="月度勾稽" sheetId="3" state="visible" r:id="rId3"/>
    <sheet xmlns:r="http://schemas.openxmlformats.org/officeDocument/2006/relationships" name="员工年度" sheetId="4" state="visible" r:id="rId4"/>
    <sheet xmlns:r="http://schemas.openxmlformats.org/officeDocument/2006/relationships" name="部门年度" sheetId="5" state="visible" r:id="rId5"/>
    <sheet xmlns:r="http://schemas.openxmlformats.org/officeDocument/2006/relationships" name="审查指标" sheetId="6" state="visible" r:id="rId6"/>
    <sheet xmlns:r="http://schemas.openxmlformats.org/officeDocument/2006/relationships" name="审计结论" sheetId="7" state="visible" r:id="rId7"/>
  </sheets>
  <definedNames>
    <definedName name="_xlnm._FilterDatabase" localSheetId="0" hidden="1">'月度底稿'!$A$1:$Z$97</definedName>
    <definedName name="_xlnm.Print_Titles" localSheetId="0">'月度底稿'!$1:$1</definedName>
    <definedName name="_xlnm._FilterDatabase" localSheetId="1" hidden="1">'年度底稿'!$A$1:$S$9</definedName>
    <definedName name="_xlnm.Print_Titles" localSheetId="1">'年度底稿'!$1:$1</definedName>
    <definedName name="_xlnm._FilterDatabase" localSheetId="2" hidden="1">'月度勾稽'!$A$1:$L$97</definedName>
    <definedName name="_xlnm.Print_Titles" localSheetId="2">'月度勾稽'!$1:$1</definedName>
    <definedName name="_xlnm._FilterDatabase" localSheetId="3" hidden="1">'员工年度'!$A$1:$O$9</definedName>
    <definedName name="_xlnm.Print_Titles" localSheetId="3">'员工年度'!$1:$1</definedName>
    <definedName name="_xlnm._FilterDatabase" localSheetId="4" hidden="1">'部门年度'!$A$1:$H$6</definedName>
    <definedName name="_xlnm.Print_Titles" localSheetId="4">'部门年度'!$1:$1</definedName>
    <definedName name="_xlnm._FilterDatabase" localSheetId="5" hidden="1">'审查指标'!$A$1:$B$10</definedName>
    <definedName name="_xlnm.Print_Titles" localSheetId="5">'审查指标'!$1:$1</definedName>
    <definedName name="_xlnm._FilterDatabase" localSheetId="6" hidden="1">'审计结论'!$A$1:$D$5</definedName>
    <definedName name="_xlnm.Print_Titles" localSheetId="6">'审计结论'!$1:$1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7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4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部门原实发与单次扣款情景（元）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'部门年度'!C1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'部门年度'!$A$2:$A$6</f>
            </numRef>
          </cat>
          <val>
            <numRef>
              <f>'部门年度'!$C$2:$C$6</f>
            </numRef>
          </val>
        </ser>
        <ser>
          <idx val="1"/>
          <order val="1"/>
          <tx>
            <strRef>
              <f>'部门年度'!F1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'部门年度'!$A$2:$A$6</f>
            </numRef>
          </cat>
          <val>
            <numRef>
              <f>'部门年度'!$F$2:$F$6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48" customWidth="1" min="26" max="26"/>
  </cols>
  <sheetData>
    <row r="1">
      <c r="A1" s="1" t="inlineStr">
        <is>
          <t>月份</t>
        </is>
      </c>
      <c r="B1" s="1" t="inlineStr">
        <is>
          <t>序号</t>
        </is>
      </c>
      <c r="C1" s="1" t="inlineStr">
        <is>
          <t>姓名</t>
        </is>
      </c>
      <c r="D1" s="1" t="inlineStr">
        <is>
          <t>部门</t>
        </is>
      </c>
      <c r="E1" s="1" t="inlineStr">
        <is>
          <t>职位</t>
        </is>
      </c>
      <c r="F1" s="1" t="inlineStr">
        <is>
          <t>出勤天数</t>
        </is>
      </c>
      <c r="G1" s="1" t="inlineStr">
        <is>
          <t>加班天数</t>
        </is>
      </c>
      <c r="H1" s="1" t="inlineStr">
        <is>
          <t>加班工资</t>
        </is>
      </c>
      <c r="I1" s="1" t="inlineStr">
        <is>
          <t>基本工资</t>
        </is>
      </c>
      <c r="J1" s="1" t="inlineStr">
        <is>
          <t>绩效工资</t>
        </is>
      </c>
      <c r="K1" s="1" t="inlineStr">
        <is>
          <t>岗位补贴</t>
        </is>
      </c>
      <c r="L1" s="1" t="inlineStr">
        <is>
          <t>交通补贴</t>
        </is>
      </c>
      <c r="M1" s="1" t="inlineStr">
        <is>
          <t>通讯补贴</t>
        </is>
      </c>
      <c r="N1" s="1" t="inlineStr">
        <is>
          <t>工龄补贴</t>
        </is>
      </c>
      <c r="O1" s="1" t="inlineStr">
        <is>
          <t>应发工资小计</t>
        </is>
      </c>
      <c r="P1" s="1" t="inlineStr">
        <is>
          <t>请假扣款</t>
        </is>
      </c>
      <c r="Q1" s="1" t="inlineStr">
        <is>
          <t>迟到扣款</t>
        </is>
      </c>
      <c r="R1" s="1" t="inlineStr">
        <is>
          <t>社保个人</t>
        </is>
      </c>
      <c r="S1" s="1" t="inlineStr">
        <is>
          <t>公积金个人</t>
        </is>
      </c>
      <c r="T1" s="1" t="inlineStr">
        <is>
          <t>个人所得税</t>
        </is>
      </c>
      <c r="U1" s="1" t="inlineStr">
        <is>
          <t>扣款小计</t>
        </is>
      </c>
      <c r="V1" s="1" t="inlineStr">
        <is>
          <t>税前工资</t>
        </is>
      </c>
      <c r="W1" s="1" t="inlineStr">
        <is>
          <t>税后实发工资</t>
        </is>
      </c>
      <c r="X1" s="1" t="inlineStr">
        <is>
          <t>发放状态</t>
        </is>
      </c>
      <c r="Y1" s="1" t="inlineStr">
        <is>
          <t>备注</t>
        </is>
      </c>
      <c r="Z1" s="1" t="inlineStr">
        <is>
          <t>来源</t>
        </is>
      </c>
    </row>
    <row r="2" ht="30" customHeight="1">
      <c r="A2" s="2" t="n">
        <v>1</v>
      </c>
      <c r="B2" s="2" t="n">
        <v>1</v>
      </c>
      <c r="C2" s="3" t="inlineStr">
        <is>
          <t>张三</t>
        </is>
      </c>
      <c r="D2" s="3" t="inlineStr">
        <is>
          <t>技术部</t>
        </is>
      </c>
      <c r="E2" s="3" t="inlineStr">
        <is>
          <t>软件工程师</t>
        </is>
      </c>
      <c r="F2" s="2" t="n">
        <v>18</v>
      </c>
      <c r="G2" s="2" t="n">
        <v>2</v>
      </c>
      <c r="H2" s="2" t="n">
        <v>1090</v>
      </c>
      <c r="I2" s="2" t="n">
        <v>8000</v>
      </c>
      <c r="J2" s="2" t="n">
        <v>7911</v>
      </c>
      <c r="K2" s="2" t="n">
        <v>800</v>
      </c>
      <c r="L2" s="2" t="n">
        <v>500</v>
      </c>
      <c r="M2" s="2" t="n">
        <v>300</v>
      </c>
      <c r="N2" s="2" t="n">
        <v>600</v>
      </c>
      <c r="O2" s="2" t="n">
        <v>19201</v>
      </c>
      <c r="P2" s="2" t="n">
        <v>0</v>
      </c>
      <c r="Q2" s="2" t="n">
        <v>50</v>
      </c>
      <c r="R2" s="2" t="n">
        <v>640</v>
      </c>
      <c r="S2" s="2" t="n">
        <v>960</v>
      </c>
      <c r="T2" s="2" t="n">
        <v>1110</v>
      </c>
      <c r="U2" s="2" t="n">
        <v>2760</v>
      </c>
      <c r="V2" s="2" t="n">
        <v>16441</v>
      </c>
      <c r="W2" s="2" t="n">
        <v>15331</v>
      </c>
      <c r="X2" s="3" t="inlineStr">
        <is>
          <t>已发放</t>
        </is>
      </c>
      <c r="Y2" s="3" t="n"/>
      <c r="Z2" s="3" t="inlineStr">
        <is>
          <t>完整年度工资管理系统_2019.xlsx!一月!A2:X2</t>
        </is>
      </c>
    </row>
    <row r="3" ht="30" customHeight="1">
      <c r="A3" s="2" t="n">
        <v>1</v>
      </c>
      <c r="B3" s="2" t="n">
        <v>2</v>
      </c>
      <c r="C3" s="3" t="inlineStr">
        <is>
          <t>李四</t>
        </is>
      </c>
      <c r="D3" s="3" t="inlineStr">
        <is>
          <t>财务部</t>
        </is>
      </c>
      <c r="E3" s="3" t="inlineStr">
        <is>
          <t>会计</t>
        </is>
      </c>
      <c r="F3" s="2" t="n">
        <v>18</v>
      </c>
      <c r="G3" s="2" t="n">
        <v>2</v>
      </c>
      <c r="H3" s="2" t="n">
        <v>886</v>
      </c>
      <c r="I3" s="2" t="n">
        <v>6500</v>
      </c>
      <c r="J3" s="2" t="n">
        <v>7703</v>
      </c>
      <c r="K3" s="2" t="n">
        <v>650</v>
      </c>
      <c r="L3" s="2" t="n">
        <v>500</v>
      </c>
      <c r="M3" s="2" t="n">
        <v>300</v>
      </c>
      <c r="N3" s="2" t="n">
        <v>400</v>
      </c>
      <c r="O3" s="2" t="n">
        <v>16939</v>
      </c>
      <c r="P3" s="2" t="n">
        <v>590</v>
      </c>
      <c r="Q3" s="2" t="n">
        <v>50</v>
      </c>
      <c r="R3" s="2" t="n">
        <v>520</v>
      </c>
      <c r="S3" s="2" t="n">
        <v>780</v>
      </c>
      <c r="T3" s="2" t="n">
        <v>853</v>
      </c>
      <c r="U3" s="2" t="n">
        <v>2793</v>
      </c>
      <c r="V3" s="2" t="n">
        <v>14146</v>
      </c>
      <c r="W3" s="2" t="n">
        <v>13293</v>
      </c>
      <c r="X3" s="3" t="inlineStr">
        <is>
          <t>已发放</t>
        </is>
      </c>
      <c r="Y3" s="3" t="n"/>
      <c r="Z3" s="3" t="inlineStr">
        <is>
          <t>完整年度工资管理系统_2019.xlsx!一月!A3:X3</t>
        </is>
      </c>
    </row>
    <row r="4" ht="30" customHeight="1">
      <c r="A4" s="2" t="n">
        <v>1</v>
      </c>
      <c r="B4" s="2" t="n">
        <v>3</v>
      </c>
      <c r="C4" s="3" t="inlineStr">
        <is>
          <t>王五</t>
        </is>
      </c>
      <c r="D4" s="3" t="inlineStr">
        <is>
          <t>销售部</t>
        </is>
      </c>
      <c r="E4" s="3" t="inlineStr">
        <is>
          <t>销售主管</t>
        </is>
      </c>
      <c r="F4" s="2" t="n">
        <v>18</v>
      </c>
      <c r="G4" s="2" t="n">
        <v>2</v>
      </c>
      <c r="H4" s="2" t="n">
        <v>1227</v>
      </c>
      <c r="I4" s="2" t="n">
        <v>9000</v>
      </c>
      <c r="J4" s="2" t="n">
        <v>8848</v>
      </c>
      <c r="K4" s="2" t="n">
        <v>900</v>
      </c>
      <c r="L4" s="2" t="n">
        <v>500</v>
      </c>
      <c r="M4" s="2" t="n">
        <v>300</v>
      </c>
      <c r="N4" s="2" t="n">
        <v>200</v>
      </c>
      <c r="O4" s="2" t="n">
        <v>20975</v>
      </c>
      <c r="P4" s="2" t="n">
        <v>818</v>
      </c>
      <c r="Q4" s="2" t="n">
        <v>0</v>
      </c>
      <c r="R4" s="2" t="n">
        <v>720</v>
      </c>
      <c r="S4" s="2" t="n">
        <v>1080</v>
      </c>
      <c r="T4" s="2" t="n">
        <v>1425</v>
      </c>
      <c r="U4" s="2" t="n">
        <v>4043</v>
      </c>
      <c r="V4" s="2" t="n">
        <v>16932</v>
      </c>
      <c r="W4" s="2" t="n">
        <v>15507</v>
      </c>
      <c r="X4" s="3" t="inlineStr">
        <is>
          <t>已发放</t>
        </is>
      </c>
      <c r="Y4" s="3" t="n"/>
      <c r="Z4" s="3" t="inlineStr">
        <is>
          <t>完整年度工资管理系统_2019.xlsx!一月!A4:X4</t>
        </is>
      </c>
    </row>
    <row r="5" ht="30" customHeight="1">
      <c r="A5" s="2" t="n">
        <v>1</v>
      </c>
      <c r="B5" s="2" t="n">
        <v>4</v>
      </c>
      <c r="C5" s="3" t="inlineStr">
        <is>
          <t>赵六</t>
        </is>
      </c>
      <c r="D5" s="3" t="inlineStr">
        <is>
          <t>人事部</t>
        </is>
      </c>
      <c r="E5" s="3" t="inlineStr">
        <is>
          <t>招聘专员</t>
        </is>
      </c>
      <c r="F5" s="2" t="n">
        <v>18</v>
      </c>
      <c r="G5" s="2" t="n">
        <v>1</v>
      </c>
      <c r="H5" s="2" t="n">
        <v>409</v>
      </c>
      <c r="I5" s="2" t="n">
        <v>6000</v>
      </c>
      <c r="J5" s="2" t="n">
        <v>5922</v>
      </c>
      <c r="K5" s="2" t="n">
        <v>600</v>
      </c>
      <c r="L5" s="2" t="n">
        <v>500</v>
      </c>
      <c r="M5" s="2" t="n">
        <v>300</v>
      </c>
      <c r="N5" s="2" t="n">
        <v>200</v>
      </c>
      <c r="O5" s="2" t="n">
        <v>13931</v>
      </c>
      <c r="P5" s="2" t="n">
        <v>0</v>
      </c>
      <c r="Q5" s="2" t="n">
        <v>50</v>
      </c>
      <c r="R5" s="2" t="n">
        <v>480</v>
      </c>
      <c r="S5" s="2" t="n">
        <v>720</v>
      </c>
      <c r="T5" s="2" t="n">
        <v>563</v>
      </c>
      <c r="U5" s="2" t="n">
        <v>1813</v>
      </c>
      <c r="V5" s="2" t="n">
        <v>12118</v>
      </c>
      <c r="W5" s="2" t="n">
        <v>11555</v>
      </c>
      <c r="X5" s="3" t="inlineStr">
        <is>
          <t>已发放</t>
        </is>
      </c>
      <c r="Y5" s="3" t="n"/>
      <c r="Z5" s="3" t="inlineStr">
        <is>
          <t>完整年度工资管理系统_2019.xlsx!一月!A5:X5</t>
        </is>
      </c>
    </row>
    <row r="6" ht="30" customHeight="1">
      <c r="A6" s="2" t="n">
        <v>1</v>
      </c>
      <c r="B6" s="2" t="n">
        <v>5</v>
      </c>
      <c r="C6" s="3" t="inlineStr">
        <is>
          <t>孙七</t>
        </is>
      </c>
      <c r="D6" s="3" t="inlineStr">
        <is>
          <t>行政部</t>
        </is>
      </c>
      <c r="E6" s="3" t="inlineStr">
        <is>
          <t>行政专员</t>
        </is>
      </c>
      <c r="F6" s="2" t="n">
        <v>18</v>
      </c>
      <c r="G6" s="2" t="n">
        <v>3</v>
      </c>
      <c r="H6" s="2" t="n">
        <v>1022</v>
      </c>
      <c r="I6" s="2" t="n">
        <v>5000</v>
      </c>
      <c r="J6" s="2" t="n">
        <v>4617</v>
      </c>
      <c r="K6" s="2" t="n">
        <v>500</v>
      </c>
      <c r="L6" s="2" t="n">
        <v>500</v>
      </c>
      <c r="M6" s="2" t="n">
        <v>300</v>
      </c>
      <c r="N6" s="2" t="n">
        <v>200</v>
      </c>
      <c r="O6" s="2" t="n">
        <v>12139</v>
      </c>
      <c r="P6" s="2" t="n">
        <v>0</v>
      </c>
      <c r="Q6" s="2" t="n">
        <v>100</v>
      </c>
      <c r="R6" s="2" t="n">
        <v>400</v>
      </c>
      <c r="S6" s="2" t="n">
        <v>600</v>
      </c>
      <c r="T6" s="2" t="n">
        <v>403</v>
      </c>
      <c r="U6" s="2" t="n">
        <v>1503</v>
      </c>
      <c r="V6" s="2" t="n">
        <v>10636</v>
      </c>
      <c r="W6" s="2" t="n">
        <v>10233</v>
      </c>
      <c r="X6" s="3" t="inlineStr">
        <is>
          <t>已发放</t>
        </is>
      </c>
      <c r="Y6" s="3" t="n"/>
      <c r="Z6" s="3" t="inlineStr">
        <is>
          <t>完整年度工资管理系统_2019.xlsx!一月!A6:X6</t>
        </is>
      </c>
    </row>
    <row r="7" ht="30" customHeight="1">
      <c r="A7" s="2" t="n">
        <v>1</v>
      </c>
      <c r="B7" s="2" t="n">
        <v>6</v>
      </c>
      <c r="C7" s="3" t="inlineStr">
        <is>
          <t>周八</t>
        </is>
      </c>
      <c r="D7" s="3" t="inlineStr">
        <is>
          <t>技术部</t>
        </is>
      </c>
      <c r="E7" s="3" t="inlineStr">
        <is>
          <t>测试工程师</t>
        </is>
      </c>
      <c r="F7" s="2" t="n">
        <v>18</v>
      </c>
      <c r="G7" s="2" t="n">
        <v>2</v>
      </c>
      <c r="H7" s="2" t="n">
        <v>954</v>
      </c>
      <c r="I7" s="2" t="n">
        <v>7000</v>
      </c>
      <c r="J7" s="2" t="n">
        <v>6588</v>
      </c>
      <c r="K7" s="2" t="n">
        <v>700</v>
      </c>
      <c r="L7" s="2" t="n">
        <v>500</v>
      </c>
      <c r="M7" s="2" t="n">
        <v>300</v>
      </c>
      <c r="N7" s="2" t="n">
        <v>200</v>
      </c>
      <c r="O7" s="2" t="n">
        <v>16242</v>
      </c>
      <c r="P7" s="2" t="n">
        <v>636</v>
      </c>
      <c r="Q7" s="2" t="n">
        <v>100</v>
      </c>
      <c r="R7" s="2" t="n">
        <v>560</v>
      </c>
      <c r="S7" s="2" t="n">
        <v>840</v>
      </c>
      <c r="T7" s="2" t="n">
        <v>774</v>
      </c>
      <c r="U7" s="2" t="n">
        <v>2910</v>
      </c>
      <c r="V7" s="2" t="n">
        <v>13332</v>
      </c>
      <c r="W7" s="2" t="n">
        <v>12558</v>
      </c>
      <c r="X7" s="3" t="inlineStr">
        <is>
          <t>已发放</t>
        </is>
      </c>
      <c r="Y7" s="3" t="n"/>
      <c r="Z7" s="3" t="inlineStr">
        <is>
          <t>完整年度工资管理系统_2019.xlsx!一月!A7:X7</t>
        </is>
      </c>
    </row>
    <row r="8" ht="30" customHeight="1">
      <c r="A8" s="2" t="n">
        <v>1</v>
      </c>
      <c r="B8" s="2" t="n">
        <v>7</v>
      </c>
      <c r="C8" s="3" t="inlineStr">
        <is>
          <t>吴九</t>
        </is>
      </c>
      <c r="D8" s="3" t="inlineStr">
        <is>
          <t>财务部</t>
        </is>
      </c>
      <c r="E8" s="3" t="inlineStr">
        <is>
          <t>出纳</t>
        </is>
      </c>
      <c r="F8" s="2" t="n">
        <v>18</v>
      </c>
      <c r="G8" s="2" t="n">
        <v>3</v>
      </c>
      <c r="H8" s="2" t="n">
        <v>1125</v>
      </c>
      <c r="I8" s="2" t="n">
        <v>5500</v>
      </c>
      <c r="J8" s="2" t="n">
        <v>4972</v>
      </c>
      <c r="K8" s="2" t="n">
        <v>550</v>
      </c>
      <c r="L8" s="2" t="n">
        <v>500</v>
      </c>
      <c r="M8" s="2" t="n">
        <v>300</v>
      </c>
      <c r="N8" s="2" t="n">
        <v>200</v>
      </c>
      <c r="O8" s="2" t="n">
        <v>13147</v>
      </c>
      <c r="P8" s="2" t="n">
        <v>0</v>
      </c>
      <c r="Q8" s="2" t="n">
        <v>50</v>
      </c>
      <c r="R8" s="2" t="n">
        <v>440</v>
      </c>
      <c r="S8" s="2" t="n">
        <v>660</v>
      </c>
      <c r="T8" s="2" t="n">
        <v>494</v>
      </c>
      <c r="U8" s="2" t="n">
        <v>1644</v>
      </c>
      <c r="V8" s="2" t="n">
        <v>11503</v>
      </c>
      <c r="W8" s="2" t="n">
        <v>11009</v>
      </c>
      <c r="X8" s="3" t="inlineStr">
        <is>
          <t>已发放</t>
        </is>
      </c>
      <c r="Y8" s="3" t="n"/>
      <c r="Z8" s="3" t="inlineStr">
        <is>
          <t>完整年度工资管理系统_2019.xlsx!一月!A8:X8</t>
        </is>
      </c>
    </row>
    <row r="9" ht="30" customHeight="1">
      <c r="A9" s="2" t="n">
        <v>1</v>
      </c>
      <c r="B9" s="2" t="n">
        <v>8</v>
      </c>
      <c r="C9" s="3" t="inlineStr">
        <is>
          <t>郑十</t>
        </is>
      </c>
      <c r="D9" s="3" t="inlineStr">
        <is>
          <t>销售部</t>
        </is>
      </c>
      <c r="E9" s="3" t="inlineStr">
        <is>
          <t>销售代表</t>
        </is>
      </c>
      <c r="F9" s="2" t="n">
        <v>18</v>
      </c>
      <c r="G9" s="2" t="n">
        <v>2</v>
      </c>
      <c r="H9" s="2" t="n">
        <v>1022</v>
      </c>
      <c r="I9" s="2" t="n">
        <v>7500</v>
      </c>
      <c r="J9" s="2" t="n">
        <v>7776</v>
      </c>
      <c r="K9" s="2" t="n">
        <v>750</v>
      </c>
      <c r="L9" s="2" t="n">
        <v>500</v>
      </c>
      <c r="M9" s="2" t="n">
        <v>300</v>
      </c>
      <c r="N9" s="2" t="n">
        <v>200</v>
      </c>
      <c r="O9" s="2" t="n">
        <v>18048</v>
      </c>
      <c r="P9" s="2" t="n">
        <v>681</v>
      </c>
      <c r="Q9" s="2" t="n">
        <v>100</v>
      </c>
      <c r="R9" s="2" t="n">
        <v>600</v>
      </c>
      <c r="S9" s="2" t="n">
        <v>900</v>
      </c>
      <c r="T9" s="2" t="n">
        <v>944</v>
      </c>
      <c r="U9" s="2" t="n">
        <v>3225</v>
      </c>
      <c r="V9" s="2" t="n">
        <v>14823</v>
      </c>
      <c r="W9" s="2" t="n">
        <v>13879</v>
      </c>
      <c r="X9" s="3" t="inlineStr">
        <is>
          <t>已发放</t>
        </is>
      </c>
      <c r="Y9" s="3" t="n"/>
      <c r="Z9" s="3" t="inlineStr">
        <is>
          <t>完整年度工资管理系统_2019.xlsx!一月!A9:X9</t>
        </is>
      </c>
    </row>
    <row r="10" ht="30" customHeight="1">
      <c r="A10" s="2" t="n">
        <v>2</v>
      </c>
      <c r="B10" s="2" t="n">
        <v>1</v>
      </c>
      <c r="C10" s="3" t="inlineStr">
        <is>
          <t>张三</t>
        </is>
      </c>
      <c r="D10" s="3" t="inlineStr">
        <is>
          <t>技术部</t>
        </is>
      </c>
      <c r="E10" s="3" t="inlineStr">
        <is>
          <t>软件工程师</t>
        </is>
      </c>
      <c r="F10" s="2" t="n">
        <v>18</v>
      </c>
      <c r="G10" s="2" t="n">
        <v>2</v>
      </c>
      <c r="H10" s="2" t="n">
        <v>1090</v>
      </c>
      <c r="I10" s="2" t="n">
        <v>8000</v>
      </c>
      <c r="J10" s="2" t="n">
        <v>8440</v>
      </c>
      <c r="K10" s="2" t="n">
        <v>800</v>
      </c>
      <c r="L10" s="2" t="n">
        <v>500</v>
      </c>
      <c r="M10" s="2" t="n">
        <v>300</v>
      </c>
      <c r="N10" s="2" t="n">
        <v>600</v>
      </c>
      <c r="O10" s="2" t="n">
        <v>19730</v>
      </c>
      <c r="P10" s="2" t="n">
        <v>0</v>
      </c>
      <c r="Q10" s="2" t="n">
        <v>0</v>
      </c>
      <c r="R10" s="2" t="n">
        <v>640</v>
      </c>
      <c r="S10" s="2" t="n">
        <v>960</v>
      </c>
      <c r="T10" s="2" t="n">
        <v>1216</v>
      </c>
      <c r="U10" s="2" t="n">
        <v>2816</v>
      </c>
      <c r="V10" s="2" t="n">
        <v>16914</v>
      </c>
      <c r="W10" s="2" t="n">
        <v>15698</v>
      </c>
      <c r="X10" s="3" t="inlineStr">
        <is>
          <t>已发放</t>
        </is>
      </c>
      <c r="Y10" s="3" t="n"/>
      <c r="Z10" s="3" t="inlineStr">
        <is>
          <t>完整年度工资管理系统_2019.xlsx!二月!A2:X2</t>
        </is>
      </c>
    </row>
    <row r="11" ht="30" customHeight="1">
      <c r="A11" s="2" t="n">
        <v>2</v>
      </c>
      <c r="B11" s="2" t="n">
        <v>2</v>
      </c>
      <c r="C11" s="3" t="inlineStr">
        <is>
          <t>李四</t>
        </is>
      </c>
      <c r="D11" s="3" t="inlineStr">
        <is>
          <t>财务部</t>
        </is>
      </c>
      <c r="E11" s="3" t="inlineStr">
        <is>
          <t>会计</t>
        </is>
      </c>
      <c r="F11" s="2" t="n">
        <v>18</v>
      </c>
      <c r="G11" s="2" t="n">
        <v>3</v>
      </c>
      <c r="H11" s="2" t="n">
        <v>1329</v>
      </c>
      <c r="I11" s="2" t="n">
        <v>6500</v>
      </c>
      <c r="J11" s="2" t="n">
        <v>6384</v>
      </c>
      <c r="K11" s="2" t="n">
        <v>650</v>
      </c>
      <c r="L11" s="2" t="n">
        <v>500</v>
      </c>
      <c r="M11" s="2" t="n">
        <v>300</v>
      </c>
      <c r="N11" s="2" t="n">
        <v>400</v>
      </c>
      <c r="O11" s="2" t="n">
        <v>16063</v>
      </c>
      <c r="P11" s="2" t="n">
        <v>0</v>
      </c>
      <c r="Q11" s="2" t="n">
        <v>50</v>
      </c>
      <c r="R11" s="2" t="n">
        <v>520</v>
      </c>
      <c r="S11" s="2" t="n">
        <v>780</v>
      </c>
      <c r="T11" s="2" t="n">
        <v>766</v>
      </c>
      <c r="U11" s="2" t="n">
        <v>2116</v>
      </c>
      <c r="V11" s="2" t="n">
        <v>13947</v>
      </c>
      <c r="W11" s="2" t="n">
        <v>13181</v>
      </c>
      <c r="X11" s="3" t="inlineStr">
        <is>
          <t>已发放</t>
        </is>
      </c>
      <c r="Y11" s="3" t="n"/>
      <c r="Z11" s="3" t="inlineStr">
        <is>
          <t>完整年度工资管理系统_2019.xlsx!二月!A3:X3</t>
        </is>
      </c>
    </row>
    <row r="12" ht="30" customHeight="1">
      <c r="A12" s="2" t="n">
        <v>2</v>
      </c>
      <c r="B12" s="2" t="n">
        <v>3</v>
      </c>
      <c r="C12" s="3" t="inlineStr">
        <is>
          <t>王五</t>
        </is>
      </c>
      <c r="D12" s="3" t="inlineStr">
        <is>
          <t>销售部</t>
        </is>
      </c>
      <c r="E12" s="3" t="inlineStr">
        <is>
          <t>销售主管</t>
        </is>
      </c>
      <c r="F12" s="2" t="n">
        <v>18</v>
      </c>
      <c r="G12" s="2" t="n">
        <v>1</v>
      </c>
      <c r="H12" s="2" t="n">
        <v>613</v>
      </c>
      <c r="I12" s="2" t="n">
        <v>9000</v>
      </c>
      <c r="J12" s="2" t="n">
        <v>8661</v>
      </c>
      <c r="K12" s="2" t="n">
        <v>900</v>
      </c>
      <c r="L12" s="2" t="n">
        <v>500</v>
      </c>
      <c r="M12" s="2" t="n">
        <v>300</v>
      </c>
      <c r="N12" s="2" t="n">
        <v>200</v>
      </c>
      <c r="O12" s="2" t="n">
        <v>20174</v>
      </c>
      <c r="P12" s="2" t="n">
        <v>0</v>
      </c>
      <c r="Q12" s="2" t="n">
        <v>0</v>
      </c>
      <c r="R12" s="2" t="n">
        <v>720</v>
      </c>
      <c r="S12" s="2" t="n">
        <v>1080</v>
      </c>
      <c r="T12" s="2" t="n">
        <v>1264</v>
      </c>
      <c r="U12" s="2" t="n">
        <v>3064</v>
      </c>
      <c r="V12" s="2" t="n">
        <v>17110</v>
      </c>
      <c r="W12" s="2" t="n">
        <v>15846</v>
      </c>
      <c r="X12" s="3" t="inlineStr">
        <is>
          <t>已发放</t>
        </is>
      </c>
      <c r="Y12" s="3" t="n"/>
      <c r="Z12" s="3" t="inlineStr">
        <is>
          <t>完整年度工资管理系统_2019.xlsx!二月!A4:X4</t>
        </is>
      </c>
    </row>
    <row r="13" ht="30" customHeight="1">
      <c r="A13" s="2" t="n">
        <v>2</v>
      </c>
      <c r="B13" s="2" t="n">
        <v>4</v>
      </c>
      <c r="C13" s="3" t="inlineStr">
        <is>
          <t>赵六</t>
        </is>
      </c>
      <c r="D13" s="3" t="inlineStr">
        <is>
          <t>人事部</t>
        </is>
      </c>
      <c r="E13" s="3" t="inlineStr">
        <is>
          <t>招聘专员</t>
        </is>
      </c>
      <c r="F13" s="2" t="n">
        <v>18</v>
      </c>
      <c r="G13" s="2" t="n">
        <v>1</v>
      </c>
      <c r="H13" s="2" t="n">
        <v>409</v>
      </c>
      <c r="I13" s="2" t="n">
        <v>6000</v>
      </c>
      <c r="J13" s="2" t="n">
        <v>5849</v>
      </c>
      <c r="K13" s="2" t="n">
        <v>600</v>
      </c>
      <c r="L13" s="2" t="n">
        <v>500</v>
      </c>
      <c r="M13" s="2" t="n">
        <v>300</v>
      </c>
      <c r="N13" s="2" t="n">
        <v>200</v>
      </c>
      <c r="O13" s="2" t="n">
        <v>13858</v>
      </c>
      <c r="P13" s="2" t="n">
        <v>0</v>
      </c>
      <c r="Q13" s="2" t="n">
        <v>50</v>
      </c>
      <c r="R13" s="2" t="n">
        <v>480</v>
      </c>
      <c r="S13" s="2" t="n">
        <v>720</v>
      </c>
      <c r="T13" s="2" t="n">
        <v>555</v>
      </c>
      <c r="U13" s="2" t="n">
        <v>1805</v>
      </c>
      <c r="V13" s="2" t="n">
        <v>12053</v>
      </c>
      <c r="W13" s="2" t="n">
        <v>11498</v>
      </c>
      <c r="X13" s="3" t="inlineStr">
        <is>
          <t>已发放</t>
        </is>
      </c>
      <c r="Y13" s="3" t="n"/>
      <c r="Z13" s="3" t="inlineStr">
        <is>
          <t>完整年度工资管理系统_2019.xlsx!二月!A5:X5</t>
        </is>
      </c>
    </row>
    <row r="14" ht="30" customHeight="1">
      <c r="A14" s="2" t="n">
        <v>2</v>
      </c>
      <c r="B14" s="2" t="n">
        <v>5</v>
      </c>
      <c r="C14" s="3" t="inlineStr">
        <is>
          <t>孙七</t>
        </is>
      </c>
      <c r="D14" s="3" t="inlineStr">
        <is>
          <t>行政部</t>
        </is>
      </c>
      <c r="E14" s="3" t="inlineStr">
        <is>
          <t>行政专员</t>
        </is>
      </c>
      <c r="F14" s="2" t="n">
        <v>18</v>
      </c>
      <c r="G14" s="2" t="n">
        <v>3</v>
      </c>
      <c r="H14" s="2" t="n">
        <v>1022</v>
      </c>
      <c r="I14" s="2" t="n">
        <v>5000</v>
      </c>
      <c r="J14" s="2" t="n">
        <v>4010</v>
      </c>
      <c r="K14" s="2" t="n">
        <v>500</v>
      </c>
      <c r="L14" s="2" t="n">
        <v>500</v>
      </c>
      <c r="M14" s="2" t="n">
        <v>300</v>
      </c>
      <c r="N14" s="2" t="n">
        <v>200</v>
      </c>
      <c r="O14" s="2" t="n">
        <v>11532</v>
      </c>
      <c r="P14" s="2" t="n">
        <v>454</v>
      </c>
      <c r="Q14" s="2" t="n">
        <v>50</v>
      </c>
      <c r="R14" s="2" t="n">
        <v>400</v>
      </c>
      <c r="S14" s="2" t="n">
        <v>600</v>
      </c>
      <c r="T14" s="2" t="n">
        <v>343</v>
      </c>
      <c r="U14" s="2" t="n">
        <v>1847</v>
      </c>
      <c r="V14" s="2" t="n">
        <v>9685</v>
      </c>
      <c r="W14" s="2" t="n">
        <v>9342</v>
      </c>
      <c r="X14" s="3" t="inlineStr">
        <is>
          <t>已发放</t>
        </is>
      </c>
      <c r="Y14" s="3" t="n"/>
      <c r="Z14" s="3" t="inlineStr">
        <is>
          <t>完整年度工资管理系统_2019.xlsx!二月!A6:X6</t>
        </is>
      </c>
    </row>
    <row r="15" ht="30" customHeight="1">
      <c r="A15" s="2" t="n">
        <v>2</v>
      </c>
      <c r="B15" s="2" t="n">
        <v>6</v>
      </c>
      <c r="C15" s="3" t="inlineStr">
        <is>
          <t>周八</t>
        </is>
      </c>
      <c r="D15" s="3" t="inlineStr">
        <is>
          <t>技术部</t>
        </is>
      </c>
      <c r="E15" s="3" t="inlineStr">
        <is>
          <t>测试工程师</t>
        </is>
      </c>
      <c r="F15" s="2" t="n">
        <v>18</v>
      </c>
      <c r="G15" s="2" t="n">
        <v>1</v>
      </c>
      <c r="H15" s="2" t="n">
        <v>477</v>
      </c>
      <c r="I15" s="2" t="n">
        <v>7000</v>
      </c>
      <c r="J15" s="2" t="n">
        <v>8044</v>
      </c>
      <c r="K15" s="2" t="n">
        <v>700</v>
      </c>
      <c r="L15" s="2" t="n">
        <v>500</v>
      </c>
      <c r="M15" s="2" t="n">
        <v>300</v>
      </c>
      <c r="N15" s="2" t="n">
        <v>200</v>
      </c>
      <c r="O15" s="2" t="n">
        <v>17221</v>
      </c>
      <c r="P15" s="2" t="n">
        <v>0</v>
      </c>
      <c r="Q15" s="2" t="n">
        <v>100</v>
      </c>
      <c r="R15" s="2" t="n">
        <v>560</v>
      </c>
      <c r="S15" s="2" t="n">
        <v>840</v>
      </c>
      <c r="T15" s="2" t="n">
        <v>872</v>
      </c>
      <c r="U15" s="2" t="n">
        <v>2372</v>
      </c>
      <c r="V15" s="2" t="n">
        <v>14849</v>
      </c>
      <c r="W15" s="2" t="n">
        <v>13977</v>
      </c>
      <c r="X15" s="3" t="inlineStr">
        <is>
          <t>已发放</t>
        </is>
      </c>
      <c r="Y15" s="3" t="n"/>
      <c r="Z15" s="3" t="inlineStr">
        <is>
          <t>完整年度工资管理系统_2019.xlsx!二月!A7:X7</t>
        </is>
      </c>
    </row>
    <row r="16" ht="30" customHeight="1">
      <c r="A16" s="2" t="n">
        <v>2</v>
      </c>
      <c r="B16" s="2" t="n">
        <v>7</v>
      </c>
      <c r="C16" s="3" t="inlineStr">
        <is>
          <t>吴九</t>
        </is>
      </c>
      <c r="D16" s="3" t="inlineStr">
        <is>
          <t>财务部</t>
        </is>
      </c>
      <c r="E16" s="3" t="inlineStr">
        <is>
          <t>出纳</t>
        </is>
      </c>
      <c r="F16" s="2" t="n">
        <v>18</v>
      </c>
      <c r="G16" s="2" t="n">
        <v>3</v>
      </c>
      <c r="H16" s="2" t="n">
        <v>1125</v>
      </c>
      <c r="I16" s="2" t="n">
        <v>5500</v>
      </c>
      <c r="J16" s="2" t="n">
        <v>6183</v>
      </c>
      <c r="K16" s="2" t="n">
        <v>550</v>
      </c>
      <c r="L16" s="2" t="n">
        <v>500</v>
      </c>
      <c r="M16" s="2" t="n">
        <v>300</v>
      </c>
      <c r="N16" s="2" t="n">
        <v>200</v>
      </c>
      <c r="O16" s="2" t="n">
        <v>14358</v>
      </c>
      <c r="P16" s="2" t="n">
        <v>0</v>
      </c>
      <c r="Q16" s="2" t="n">
        <v>100</v>
      </c>
      <c r="R16" s="2" t="n">
        <v>440</v>
      </c>
      <c r="S16" s="2" t="n">
        <v>660</v>
      </c>
      <c r="T16" s="2" t="n">
        <v>615</v>
      </c>
      <c r="U16" s="2" t="n">
        <v>1815</v>
      </c>
      <c r="V16" s="2" t="n">
        <v>12543</v>
      </c>
      <c r="W16" s="2" t="n">
        <v>11928</v>
      </c>
      <c r="X16" s="3" t="inlineStr">
        <is>
          <t>已发放</t>
        </is>
      </c>
      <c r="Y16" s="3" t="n"/>
      <c r="Z16" s="3" t="inlineStr">
        <is>
          <t>完整年度工资管理系统_2019.xlsx!二月!A8:X8</t>
        </is>
      </c>
    </row>
    <row r="17" ht="30" customHeight="1">
      <c r="A17" s="2" t="n">
        <v>2</v>
      </c>
      <c r="B17" s="2" t="n">
        <v>8</v>
      </c>
      <c r="C17" s="3" t="inlineStr">
        <is>
          <t>郑十</t>
        </is>
      </c>
      <c r="D17" s="3" t="inlineStr">
        <is>
          <t>销售部</t>
        </is>
      </c>
      <c r="E17" s="3" t="inlineStr">
        <is>
          <t>销售代表</t>
        </is>
      </c>
      <c r="F17" s="2" t="n">
        <v>18</v>
      </c>
      <c r="G17" s="2" t="n">
        <v>1</v>
      </c>
      <c r="H17" s="2" t="n">
        <v>511</v>
      </c>
      <c r="I17" s="2" t="n">
        <v>7500</v>
      </c>
      <c r="J17" s="2" t="n">
        <v>6022</v>
      </c>
      <c r="K17" s="2" t="n">
        <v>750</v>
      </c>
      <c r="L17" s="2" t="n">
        <v>500</v>
      </c>
      <c r="M17" s="2" t="n">
        <v>300</v>
      </c>
      <c r="N17" s="2" t="n">
        <v>200</v>
      </c>
      <c r="O17" s="2" t="n">
        <v>15783</v>
      </c>
      <c r="P17" s="2" t="n">
        <v>681</v>
      </c>
      <c r="Q17" s="2" t="n">
        <v>100</v>
      </c>
      <c r="R17" s="2" t="n">
        <v>600</v>
      </c>
      <c r="S17" s="2" t="n">
        <v>900</v>
      </c>
      <c r="T17" s="2" t="n">
        <v>718</v>
      </c>
      <c r="U17" s="2" t="n">
        <v>2999</v>
      </c>
      <c r="V17" s="2" t="n">
        <v>12784</v>
      </c>
      <c r="W17" s="2" t="n">
        <v>12066</v>
      </c>
      <c r="X17" s="3" t="inlineStr">
        <is>
          <t>已发放</t>
        </is>
      </c>
      <c r="Y17" s="3" t="n"/>
      <c r="Z17" s="3" t="inlineStr">
        <is>
          <t>完整年度工资管理系统_2019.xlsx!二月!A9:X9</t>
        </is>
      </c>
    </row>
    <row r="18" ht="30" customHeight="1">
      <c r="A18" s="2" t="n">
        <v>3</v>
      </c>
      <c r="B18" s="2" t="n">
        <v>1</v>
      </c>
      <c r="C18" s="3" t="inlineStr">
        <is>
          <t>张三</t>
        </is>
      </c>
      <c r="D18" s="3" t="inlineStr">
        <is>
          <t>技术部</t>
        </is>
      </c>
      <c r="E18" s="3" t="inlineStr">
        <is>
          <t>软件工程师</t>
        </is>
      </c>
      <c r="F18" s="2" t="n">
        <v>22</v>
      </c>
      <c r="G18" s="2" t="n">
        <v>1</v>
      </c>
      <c r="H18" s="2" t="n">
        <v>545</v>
      </c>
      <c r="I18" s="2" t="n">
        <v>8000</v>
      </c>
      <c r="J18" s="2" t="n">
        <v>9071</v>
      </c>
      <c r="K18" s="2" t="n">
        <v>800</v>
      </c>
      <c r="L18" s="2" t="n">
        <v>500</v>
      </c>
      <c r="M18" s="2" t="n">
        <v>300</v>
      </c>
      <c r="N18" s="2" t="n">
        <v>600</v>
      </c>
      <c r="O18" s="2" t="n">
        <v>19816</v>
      </c>
      <c r="P18" s="2" t="n">
        <v>727</v>
      </c>
      <c r="Q18" s="2" t="n">
        <v>100</v>
      </c>
      <c r="R18" s="2" t="n">
        <v>640</v>
      </c>
      <c r="S18" s="2" t="n">
        <v>960</v>
      </c>
      <c r="T18" s="2" t="n">
        <v>1233</v>
      </c>
      <c r="U18" s="2" t="n">
        <v>3660</v>
      </c>
      <c r="V18" s="2" t="n">
        <v>16156</v>
      </c>
      <c r="W18" s="2" t="n">
        <v>14923</v>
      </c>
      <c r="X18" s="3" t="inlineStr">
        <is>
          <t>已发放</t>
        </is>
      </c>
      <c r="Y18" s="3" t="n"/>
      <c r="Z18" s="3" t="inlineStr">
        <is>
          <t>完整年度工资管理系统_2019.xlsx!三月!A2:X2</t>
        </is>
      </c>
    </row>
    <row r="19" ht="30" customHeight="1">
      <c r="A19" s="2" t="n">
        <v>3</v>
      </c>
      <c r="B19" s="2" t="n">
        <v>2</v>
      </c>
      <c r="C19" s="3" t="inlineStr">
        <is>
          <t>李四</t>
        </is>
      </c>
      <c r="D19" s="3" t="inlineStr">
        <is>
          <t>财务部</t>
        </is>
      </c>
      <c r="E19" s="3" t="inlineStr">
        <is>
          <t>会计</t>
        </is>
      </c>
      <c r="F19" s="2" t="n">
        <v>22</v>
      </c>
      <c r="G19" s="2" t="n">
        <v>3</v>
      </c>
      <c r="H19" s="2" t="n">
        <v>1329</v>
      </c>
      <c r="I19" s="2" t="n">
        <v>6500</v>
      </c>
      <c r="J19" s="2" t="n">
        <v>7434</v>
      </c>
      <c r="K19" s="2" t="n">
        <v>650</v>
      </c>
      <c r="L19" s="2" t="n">
        <v>500</v>
      </c>
      <c r="M19" s="2" t="n">
        <v>300</v>
      </c>
      <c r="N19" s="2" t="n">
        <v>400</v>
      </c>
      <c r="O19" s="2" t="n">
        <v>17113</v>
      </c>
      <c r="P19" s="2" t="n">
        <v>0</v>
      </c>
      <c r="Q19" s="2" t="n">
        <v>50</v>
      </c>
      <c r="R19" s="2" t="n">
        <v>520</v>
      </c>
      <c r="S19" s="2" t="n">
        <v>780</v>
      </c>
      <c r="T19" s="2" t="n">
        <v>871</v>
      </c>
      <c r="U19" s="2" t="n">
        <v>2221</v>
      </c>
      <c r="V19" s="2" t="n">
        <v>14892</v>
      </c>
      <c r="W19" s="2" t="n">
        <v>14021</v>
      </c>
      <c r="X19" s="3" t="inlineStr">
        <is>
          <t>已发放</t>
        </is>
      </c>
      <c r="Y19" s="3" t="n"/>
      <c r="Z19" s="3" t="inlineStr">
        <is>
          <t>完整年度工资管理系统_2019.xlsx!三月!A3:X3</t>
        </is>
      </c>
    </row>
    <row r="20" ht="30" customHeight="1">
      <c r="A20" s="2" t="n">
        <v>3</v>
      </c>
      <c r="B20" s="2" t="n">
        <v>3</v>
      </c>
      <c r="C20" s="3" t="inlineStr">
        <is>
          <t>王五</t>
        </is>
      </c>
      <c r="D20" s="3" t="inlineStr">
        <is>
          <t>销售部</t>
        </is>
      </c>
      <c r="E20" s="3" t="inlineStr">
        <is>
          <t>销售主管</t>
        </is>
      </c>
      <c r="F20" s="2" t="n">
        <v>22</v>
      </c>
      <c r="G20" s="2" t="n">
        <v>3</v>
      </c>
      <c r="H20" s="2" t="n">
        <v>1840</v>
      </c>
      <c r="I20" s="2" t="n">
        <v>9000</v>
      </c>
      <c r="J20" s="2" t="n">
        <v>7434</v>
      </c>
      <c r="K20" s="2" t="n">
        <v>900</v>
      </c>
      <c r="L20" s="2" t="n">
        <v>500</v>
      </c>
      <c r="M20" s="2" t="n">
        <v>300</v>
      </c>
      <c r="N20" s="2" t="n">
        <v>200</v>
      </c>
      <c r="O20" s="2" t="n">
        <v>20174</v>
      </c>
      <c r="P20" s="2" t="n">
        <v>0</v>
      </c>
      <c r="Q20" s="2" t="n">
        <v>0</v>
      </c>
      <c r="R20" s="2" t="n">
        <v>720</v>
      </c>
      <c r="S20" s="2" t="n">
        <v>1080</v>
      </c>
      <c r="T20" s="2" t="n">
        <v>1264</v>
      </c>
      <c r="U20" s="2" t="n">
        <v>3064</v>
      </c>
      <c r="V20" s="2" t="n">
        <v>17110</v>
      </c>
      <c r="W20" s="2" t="n">
        <v>15846</v>
      </c>
      <c r="X20" s="3" t="inlineStr">
        <is>
          <t>已发放</t>
        </is>
      </c>
      <c r="Y20" s="3" t="n"/>
      <c r="Z20" s="3" t="inlineStr">
        <is>
          <t>完整年度工资管理系统_2019.xlsx!三月!A4:X4</t>
        </is>
      </c>
    </row>
    <row r="21" ht="30" customHeight="1">
      <c r="A21" s="2" t="n">
        <v>3</v>
      </c>
      <c r="B21" s="2" t="n">
        <v>4</v>
      </c>
      <c r="C21" s="3" t="inlineStr">
        <is>
          <t>赵六</t>
        </is>
      </c>
      <c r="D21" s="3" t="inlineStr">
        <is>
          <t>人事部</t>
        </is>
      </c>
      <c r="E21" s="3" t="inlineStr">
        <is>
          <t>招聘专员</t>
        </is>
      </c>
      <c r="F21" s="2" t="n">
        <v>22</v>
      </c>
      <c r="G21" s="2" t="n">
        <v>0</v>
      </c>
      <c r="H21" s="2" t="n">
        <v>0</v>
      </c>
      <c r="I21" s="2" t="n">
        <v>6000</v>
      </c>
      <c r="J21" s="2" t="n">
        <v>6559</v>
      </c>
      <c r="K21" s="2" t="n">
        <v>600</v>
      </c>
      <c r="L21" s="2" t="n">
        <v>500</v>
      </c>
      <c r="M21" s="2" t="n">
        <v>300</v>
      </c>
      <c r="N21" s="2" t="n">
        <v>200</v>
      </c>
      <c r="O21" s="2" t="n">
        <v>14159</v>
      </c>
      <c r="P21" s="2" t="n">
        <v>545</v>
      </c>
      <c r="Q21" s="2" t="n">
        <v>100</v>
      </c>
      <c r="R21" s="2" t="n">
        <v>480</v>
      </c>
      <c r="S21" s="2" t="n">
        <v>720</v>
      </c>
      <c r="T21" s="2" t="n">
        <v>585</v>
      </c>
      <c r="U21" s="2" t="n">
        <v>2430</v>
      </c>
      <c r="V21" s="2" t="n">
        <v>11729</v>
      </c>
      <c r="W21" s="2" t="n">
        <v>11144</v>
      </c>
      <c r="X21" s="3" t="inlineStr">
        <is>
          <t>已发放</t>
        </is>
      </c>
      <c r="Y21" s="3" t="n"/>
      <c r="Z21" s="3" t="inlineStr">
        <is>
          <t>完整年度工资管理系统_2019.xlsx!三月!A5:X5</t>
        </is>
      </c>
    </row>
    <row r="22" ht="30" customHeight="1">
      <c r="A22" s="2" t="n">
        <v>3</v>
      </c>
      <c r="B22" s="2" t="n">
        <v>5</v>
      </c>
      <c r="C22" s="3" t="inlineStr">
        <is>
          <t>孙七</t>
        </is>
      </c>
      <c r="D22" s="3" t="inlineStr">
        <is>
          <t>行政部</t>
        </is>
      </c>
      <c r="E22" s="3" t="inlineStr">
        <is>
          <t>行政专员</t>
        </is>
      </c>
      <c r="F22" s="2" t="n">
        <v>22</v>
      </c>
      <c r="G22" s="2" t="n">
        <v>0</v>
      </c>
      <c r="H22" s="2" t="n">
        <v>0</v>
      </c>
      <c r="I22" s="2" t="n">
        <v>5000</v>
      </c>
      <c r="J22" s="2" t="n">
        <v>4183</v>
      </c>
      <c r="K22" s="2" t="n">
        <v>500</v>
      </c>
      <c r="L22" s="2" t="n">
        <v>500</v>
      </c>
      <c r="M22" s="2" t="n">
        <v>300</v>
      </c>
      <c r="N22" s="2" t="n">
        <v>200</v>
      </c>
      <c r="O22" s="2" t="n">
        <v>10683</v>
      </c>
      <c r="P22" s="2" t="n">
        <v>454</v>
      </c>
      <c r="Q22" s="2" t="n">
        <v>100</v>
      </c>
      <c r="R22" s="2" t="n">
        <v>400</v>
      </c>
      <c r="S22" s="2" t="n">
        <v>600</v>
      </c>
      <c r="T22" s="2" t="n">
        <v>258</v>
      </c>
      <c r="U22" s="2" t="n">
        <v>1812</v>
      </c>
      <c r="V22" s="2" t="n">
        <v>8871</v>
      </c>
      <c r="W22" s="2" t="n">
        <v>8613</v>
      </c>
      <c r="X22" s="3" t="inlineStr">
        <is>
          <t>已发放</t>
        </is>
      </c>
      <c r="Y22" s="3" t="n"/>
      <c r="Z22" s="3" t="inlineStr">
        <is>
          <t>完整年度工资管理系统_2019.xlsx!三月!A6:X6</t>
        </is>
      </c>
    </row>
    <row r="23" ht="30" customHeight="1">
      <c r="A23" s="2" t="n">
        <v>3</v>
      </c>
      <c r="B23" s="2" t="n">
        <v>6</v>
      </c>
      <c r="C23" s="3" t="inlineStr">
        <is>
          <t>周八</t>
        </is>
      </c>
      <c r="D23" s="3" t="inlineStr">
        <is>
          <t>技术部</t>
        </is>
      </c>
      <c r="E23" s="3" t="inlineStr">
        <is>
          <t>测试工程师</t>
        </is>
      </c>
      <c r="F23" s="2" t="n">
        <v>22</v>
      </c>
      <c r="G23" s="2" t="n">
        <v>1</v>
      </c>
      <c r="H23" s="2" t="n">
        <v>477</v>
      </c>
      <c r="I23" s="2" t="n">
        <v>7000</v>
      </c>
      <c r="J23" s="2" t="n">
        <v>5829</v>
      </c>
      <c r="K23" s="2" t="n">
        <v>700</v>
      </c>
      <c r="L23" s="2" t="n">
        <v>500</v>
      </c>
      <c r="M23" s="2" t="n">
        <v>300</v>
      </c>
      <c r="N23" s="2" t="n">
        <v>200</v>
      </c>
      <c r="O23" s="2" t="n">
        <v>15006</v>
      </c>
      <c r="P23" s="2" t="n">
        <v>636</v>
      </c>
      <c r="Q23" s="2" t="n">
        <v>0</v>
      </c>
      <c r="R23" s="2" t="n">
        <v>560</v>
      </c>
      <c r="S23" s="2" t="n">
        <v>840</v>
      </c>
      <c r="T23" s="2" t="n">
        <v>650</v>
      </c>
      <c r="U23" s="2" t="n">
        <v>2686</v>
      </c>
      <c r="V23" s="2" t="n">
        <v>12320</v>
      </c>
      <c r="W23" s="2" t="n">
        <v>11670</v>
      </c>
      <c r="X23" s="3" t="inlineStr">
        <is>
          <t>已发放</t>
        </is>
      </c>
      <c r="Y23" s="3" t="n"/>
      <c r="Z23" s="3" t="inlineStr">
        <is>
          <t>完整年度工资管理系统_2019.xlsx!三月!A7:X7</t>
        </is>
      </c>
    </row>
    <row r="24" ht="30" customHeight="1">
      <c r="A24" s="2" t="n">
        <v>3</v>
      </c>
      <c r="B24" s="2" t="n">
        <v>7</v>
      </c>
      <c r="C24" s="3" t="inlineStr">
        <is>
          <t>吴九</t>
        </is>
      </c>
      <c r="D24" s="3" t="inlineStr">
        <is>
          <t>财务部</t>
        </is>
      </c>
      <c r="E24" s="3" t="inlineStr">
        <is>
          <t>出纳</t>
        </is>
      </c>
      <c r="F24" s="2" t="n">
        <v>22</v>
      </c>
      <c r="G24" s="2" t="n">
        <v>3</v>
      </c>
      <c r="H24" s="2" t="n">
        <v>1125</v>
      </c>
      <c r="I24" s="2" t="n">
        <v>5500</v>
      </c>
      <c r="J24" s="2" t="n">
        <v>5941</v>
      </c>
      <c r="K24" s="2" t="n">
        <v>550</v>
      </c>
      <c r="L24" s="2" t="n">
        <v>500</v>
      </c>
      <c r="M24" s="2" t="n">
        <v>300</v>
      </c>
      <c r="N24" s="2" t="n">
        <v>200</v>
      </c>
      <c r="O24" s="2" t="n">
        <v>14116</v>
      </c>
      <c r="P24" s="2" t="n">
        <v>500</v>
      </c>
      <c r="Q24" s="2" t="n">
        <v>100</v>
      </c>
      <c r="R24" s="2" t="n">
        <v>440</v>
      </c>
      <c r="S24" s="2" t="n">
        <v>660</v>
      </c>
      <c r="T24" s="2" t="n">
        <v>591</v>
      </c>
      <c r="U24" s="2" t="n">
        <v>2291</v>
      </c>
      <c r="V24" s="2" t="n">
        <v>11825</v>
      </c>
      <c r="W24" s="2" t="n">
        <v>11234</v>
      </c>
      <c r="X24" s="3" t="inlineStr">
        <is>
          <t>已发放</t>
        </is>
      </c>
      <c r="Y24" s="3" t="n"/>
      <c r="Z24" s="3" t="inlineStr">
        <is>
          <t>完整年度工资管理系统_2019.xlsx!三月!A8:X8</t>
        </is>
      </c>
    </row>
    <row r="25" ht="30" customHeight="1">
      <c r="A25" s="2" t="n">
        <v>3</v>
      </c>
      <c r="B25" s="2" t="n">
        <v>8</v>
      </c>
      <c r="C25" s="3" t="inlineStr">
        <is>
          <t>郑十</t>
        </is>
      </c>
      <c r="D25" s="3" t="inlineStr">
        <is>
          <t>销售部</t>
        </is>
      </c>
      <c r="E25" s="3" t="inlineStr">
        <is>
          <t>销售代表</t>
        </is>
      </c>
      <c r="F25" s="2" t="n">
        <v>22</v>
      </c>
      <c r="G25" s="2" t="n">
        <v>3</v>
      </c>
      <c r="H25" s="2" t="n">
        <v>1534</v>
      </c>
      <c r="I25" s="2" t="n">
        <v>7500</v>
      </c>
      <c r="J25" s="2" t="n">
        <v>7146</v>
      </c>
      <c r="K25" s="2" t="n">
        <v>750</v>
      </c>
      <c r="L25" s="2" t="n">
        <v>500</v>
      </c>
      <c r="M25" s="2" t="n">
        <v>300</v>
      </c>
      <c r="N25" s="2" t="n">
        <v>200</v>
      </c>
      <c r="O25" s="2" t="n">
        <v>17930</v>
      </c>
      <c r="P25" s="2" t="n">
        <v>0</v>
      </c>
      <c r="Q25" s="2" t="n">
        <v>50</v>
      </c>
      <c r="R25" s="2" t="n">
        <v>600</v>
      </c>
      <c r="S25" s="2" t="n">
        <v>900</v>
      </c>
      <c r="T25" s="2" t="n">
        <v>933</v>
      </c>
      <c r="U25" s="2" t="n">
        <v>2483</v>
      </c>
      <c r="V25" s="2" t="n">
        <v>15447</v>
      </c>
      <c r="W25" s="2" t="n">
        <v>14514</v>
      </c>
      <c r="X25" s="3" t="inlineStr">
        <is>
          <t>已发放</t>
        </is>
      </c>
      <c r="Y25" s="3" t="n"/>
      <c r="Z25" s="3" t="inlineStr">
        <is>
          <t>完整年度工资管理系统_2019.xlsx!三月!A9:X9</t>
        </is>
      </c>
    </row>
    <row r="26" ht="30" customHeight="1">
      <c r="A26" s="2" t="n">
        <v>4</v>
      </c>
      <c r="B26" s="2" t="n">
        <v>1</v>
      </c>
      <c r="C26" s="3" t="inlineStr">
        <is>
          <t>张三</t>
        </is>
      </c>
      <c r="D26" s="3" t="inlineStr">
        <is>
          <t>技术部</t>
        </is>
      </c>
      <c r="E26" s="3" t="inlineStr">
        <is>
          <t>软件工程师</t>
        </is>
      </c>
      <c r="F26" s="2" t="n">
        <v>22</v>
      </c>
      <c r="G26" s="2" t="n">
        <v>0</v>
      </c>
      <c r="H26" s="2" t="n">
        <v>0</v>
      </c>
      <c r="I26" s="2" t="n">
        <v>8000</v>
      </c>
      <c r="J26" s="2" t="n">
        <v>7848</v>
      </c>
      <c r="K26" s="2" t="n">
        <v>800</v>
      </c>
      <c r="L26" s="2" t="n">
        <v>500</v>
      </c>
      <c r="M26" s="2" t="n">
        <v>300</v>
      </c>
      <c r="N26" s="2" t="n">
        <v>600</v>
      </c>
      <c r="O26" s="2" t="n">
        <v>18048</v>
      </c>
      <c r="P26" s="2" t="n">
        <v>727</v>
      </c>
      <c r="Q26" s="2" t="n">
        <v>50</v>
      </c>
      <c r="R26" s="2" t="n">
        <v>640</v>
      </c>
      <c r="S26" s="2" t="n">
        <v>960</v>
      </c>
      <c r="T26" s="2" t="n">
        <v>934</v>
      </c>
      <c r="U26" s="2" t="n">
        <v>3311</v>
      </c>
      <c r="V26" s="2" t="n">
        <v>14737</v>
      </c>
      <c r="W26" s="2" t="n">
        <v>13803</v>
      </c>
      <c r="X26" s="3" t="inlineStr">
        <is>
          <t>已发放</t>
        </is>
      </c>
      <c r="Y26" s="3" t="n"/>
      <c r="Z26" s="3" t="inlineStr">
        <is>
          <t>完整年度工资管理系统_2019.xlsx!四月!A2:X2</t>
        </is>
      </c>
    </row>
    <row r="27" ht="30" customHeight="1">
      <c r="A27" s="2" t="n">
        <v>4</v>
      </c>
      <c r="B27" s="2" t="n">
        <v>2</v>
      </c>
      <c r="C27" s="3" t="inlineStr">
        <is>
          <t>李四</t>
        </is>
      </c>
      <c r="D27" s="3" t="inlineStr">
        <is>
          <t>财务部</t>
        </is>
      </c>
      <c r="E27" s="3" t="inlineStr">
        <is>
          <t>会计</t>
        </is>
      </c>
      <c r="F27" s="2" t="n">
        <v>22</v>
      </c>
      <c r="G27" s="2" t="n">
        <v>0</v>
      </c>
      <c r="H27" s="2" t="n">
        <v>0</v>
      </c>
      <c r="I27" s="2" t="n">
        <v>6500</v>
      </c>
      <c r="J27" s="2" t="n">
        <v>5852</v>
      </c>
      <c r="K27" s="2" t="n">
        <v>650</v>
      </c>
      <c r="L27" s="2" t="n">
        <v>500</v>
      </c>
      <c r="M27" s="2" t="n">
        <v>300</v>
      </c>
      <c r="N27" s="2" t="n">
        <v>400</v>
      </c>
      <c r="O27" s="2" t="n">
        <v>14202</v>
      </c>
      <c r="P27" s="2" t="n">
        <v>0</v>
      </c>
      <c r="Q27" s="2" t="n">
        <v>50</v>
      </c>
      <c r="R27" s="2" t="n">
        <v>520</v>
      </c>
      <c r="S27" s="2" t="n">
        <v>780</v>
      </c>
      <c r="T27" s="2" t="n">
        <v>580</v>
      </c>
      <c r="U27" s="2" t="n">
        <v>1930</v>
      </c>
      <c r="V27" s="2" t="n">
        <v>12272</v>
      </c>
      <c r="W27" s="2" t="n">
        <v>11692</v>
      </c>
      <c r="X27" s="3" t="inlineStr">
        <is>
          <t>已发放</t>
        </is>
      </c>
      <c r="Y27" s="3" t="n"/>
      <c r="Z27" s="3" t="inlineStr">
        <is>
          <t>完整年度工资管理系统_2019.xlsx!四月!A3:X3</t>
        </is>
      </c>
    </row>
    <row r="28" ht="30" customHeight="1">
      <c r="A28" s="2" t="n">
        <v>4</v>
      </c>
      <c r="B28" s="2" t="n">
        <v>3</v>
      </c>
      <c r="C28" s="3" t="inlineStr">
        <is>
          <t>王五</t>
        </is>
      </c>
      <c r="D28" s="3" t="inlineStr">
        <is>
          <t>销售部</t>
        </is>
      </c>
      <c r="E28" s="3" t="inlineStr">
        <is>
          <t>销售主管</t>
        </is>
      </c>
      <c r="F28" s="2" t="n">
        <v>22</v>
      </c>
      <c r="G28" s="2" t="n">
        <v>2</v>
      </c>
      <c r="H28" s="2" t="n">
        <v>1227</v>
      </c>
      <c r="I28" s="2" t="n">
        <v>9000</v>
      </c>
      <c r="J28" s="2" t="n">
        <v>10400</v>
      </c>
      <c r="K28" s="2" t="n">
        <v>900</v>
      </c>
      <c r="L28" s="2" t="n">
        <v>500</v>
      </c>
      <c r="M28" s="2" t="n">
        <v>300</v>
      </c>
      <c r="N28" s="2" t="n">
        <v>200</v>
      </c>
      <c r="O28" s="2" t="n">
        <v>22527</v>
      </c>
      <c r="P28" s="2" t="n">
        <v>0</v>
      </c>
      <c r="Q28" s="2" t="n">
        <v>0</v>
      </c>
      <c r="R28" s="2" t="n">
        <v>720</v>
      </c>
      <c r="S28" s="2" t="n">
        <v>1080</v>
      </c>
      <c r="T28" s="2" t="n">
        <v>1735</v>
      </c>
      <c r="U28" s="2" t="n">
        <v>3535</v>
      </c>
      <c r="V28" s="2" t="n">
        <v>18992</v>
      </c>
      <c r="W28" s="2" t="n">
        <v>17257</v>
      </c>
      <c r="X28" s="3" t="inlineStr">
        <is>
          <t>已发放</t>
        </is>
      </c>
      <c r="Y28" s="3" t="n"/>
      <c r="Z28" s="3" t="inlineStr">
        <is>
          <t>完整年度工资管理系统_2019.xlsx!四月!A4:X4</t>
        </is>
      </c>
    </row>
    <row r="29" ht="30" customHeight="1">
      <c r="A29" s="2" t="n">
        <v>4</v>
      </c>
      <c r="B29" s="2" t="n">
        <v>4</v>
      </c>
      <c r="C29" s="3" t="inlineStr">
        <is>
          <t>赵六</t>
        </is>
      </c>
      <c r="D29" s="3" t="inlineStr">
        <is>
          <t>人事部</t>
        </is>
      </c>
      <c r="E29" s="3" t="inlineStr">
        <is>
          <t>招聘专员</t>
        </is>
      </c>
      <c r="F29" s="2" t="n">
        <v>22</v>
      </c>
      <c r="G29" s="2" t="n">
        <v>2</v>
      </c>
      <c r="H29" s="2" t="n">
        <v>818</v>
      </c>
      <c r="I29" s="2" t="n">
        <v>6000</v>
      </c>
      <c r="J29" s="2" t="n">
        <v>6674</v>
      </c>
      <c r="K29" s="2" t="n">
        <v>600</v>
      </c>
      <c r="L29" s="2" t="n">
        <v>500</v>
      </c>
      <c r="M29" s="2" t="n">
        <v>300</v>
      </c>
      <c r="N29" s="2" t="n">
        <v>200</v>
      </c>
      <c r="O29" s="2" t="n">
        <v>15092</v>
      </c>
      <c r="P29" s="2" t="n">
        <v>0</v>
      </c>
      <c r="Q29" s="2" t="n">
        <v>100</v>
      </c>
      <c r="R29" s="2" t="n">
        <v>480</v>
      </c>
      <c r="S29" s="2" t="n">
        <v>720</v>
      </c>
      <c r="T29" s="2" t="n">
        <v>679</v>
      </c>
      <c r="U29" s="2" t="n">
        <v>1979</v>
      </c>
      <c r="V29" s="2" t="n">
        <v>13113</v>
      </c>
      <c r="W29" s="2" t="n">
        <v>12434</v>
      </c>
      <c r="X29" s="3" t="inlineStr">
        <is>
          <t>已发放</t>
        </is>
      </c>
      <c r="Y29" s="3" t="n"/>
      <c r="Z29" s="3" t="inlineStr">
        <is>
          <t>完整年度工资管理系统_2019.xlsx!四月!A5:X5</t>
        </is>
      </c>
    </row>
    <row r="30" ht="30" customHeight="1">
      <c r="A30" s="2" t="n">
        <v>4</v>
      </c>
      <c r="B30" s="2" t="n">
        <v>5</v>
      </c>
      <c r="C30" s="3" t="inlineStr">
        <is>
          <t>孙七</t>
        </is>
      </c>
      <c r="D30" s="3" t="inlineStr">
        <is>
          <t>行政部</t>
        </is>
      </c>
      <c r="E30" s="3" t="inlineStr">
        <is>
          <t>行政专员</t>
        </is>
      </c>
      <c r="F30" s="2" t="n">
        <v>22</v>
      </c>
      <c r="G30" s="2" t="n">
        <v>0</v>
      </c>
      <c r="H30" s="2" t="n">
        <v>0</v>
      </c>
      <c r="I30" s="2" t="n">
        <v>5000</v>
      </c>
      <c r="J30" s="2" t="n">
        <v>5593</v>
      </c>
      <c r="K30" s="2" t="n">
        <v>500</v>
      </c>
      <c r="L30" s="2" t="n">
        <v>500</v>
      </c>
      <c r="M30" s="2" t="n">
        <v>300</v>
      </c>
      <c r="N30" s="2" t="n">
        <v>200</v>
      </c>
      <c r="O30" s="2" t="n">
        <v>12093</v>
      </c>
      <c r="P30" s="2" t="n">
        <v>454</v>
      </c>
      <c r="Q30" s="2" t="n">
        <v>100</v>
      </c>
      <c r="R30" s="2" t="n">
        <v>400</v>
      </c>
      <c r="S30" s="2" t="n">
        <v>600</v>
      </c>
      <c r="T30" s="2" t="n">
        <v>399</v>
      </c>
      <c r="U30" s="2" t="n">
        <v>1953</v>
      </c>
      <c r="V30" s="2" t="n">
        <v>10140</v>
      </c>
      <c r="W30" s="2" t="n">
        <v>9741</v>
      </c>
      <c r="X30" s="3" t="inlineStr">
        <is>
          <t>已发放</t>
        </is>
      </c>
      <c r="Y30" s="3" t="n"/>
      <c r="Z30" s="3" t="inlineStr">
        <is>
          <t>完整年度工资管理系统_2019.xlsx!四月!A6:X6</t>
        </is>
      </c>
    </row>
    <row r="31" ht="30" customHeight="1">
      <c r="A31" s="2" t="n">
        <v>4</v>
      </c>
      <c r="B31" s="2" t="n">
        <v>6</v>
      </c>
      <c r="C31" s="3" t="inlineStr">
        <is>
          <t>周八</t>
        </is>
      </c>
      <c r="D31" s="3" t="inlineStr">
        <is>
          <t>技术部</t>
        </is>
      </c>
      <c r="E31" s="3" t="inlineStr">
        <is>
          <t>测试工程师</t>
        </is>
      </c>
      <c r="F31" s="2" t="n">
        <v>22</v>
      </c>
      <c r="G31" s="2" t="n">
        <v>3</v>
      </c>
      <c r="H31" s="2" t="n">
        <v>1431</v>
      </c>
      <c r="I31" s="2" t="n">
        <v>7000</v>
      </c>
      <c r="J31" s="2" t="n">
        <v>6796</v>
      </c>
      <c r="K31" s="2" t="n">
        <v>700</v>
      </c>
      <c r="L31" s="2" t="n">
        <v>500</v>
      </c>
      <c r="M31" s="2" t="n">
        <v>300</v>
      </c>
      <c r="N31" s="2" t="n">
        <v>200</v>
      </c>
      <c r="O31" s="2" t="n">
        <v>16927</v>
      </c>
      <c r="P31" s="2" t="n">
        <v>636</v>
      </c>
      <c r="Q31" s="2" t="n">
        <v>100</v>
      </c>
      <c r="R31" s="2" t="n">
        <v>560</v>
      </c>
      <c r="S31" s="2" t="n">
        <v>840</v>
      </c>
      <c r="T31" s="2" t="n">
        <v>842</v>
      </c>
      <c r="U31" s="2" t="n">
        <v>2978</v>
      </c>
      <c r="V31" s="2" t="n">
        <v>13949</v>
      </c>
      <c r="W31" s="2" t="n">
        <v>13107</v>
      </c>
      <c r="X31" s="3" t="inlineStr">
        <is>
          <t>已发放</t>
        </is>
      </c>
      <c r="Y31" s="3" t="n"/>
      <c r="Z31" s="3" t="inlineStr">
        <is>
          <t>完整年度工资管理系统_2019.xlsx!四月!A7:X7</t>
        </is>
      </c>
    </row>
    <row r="32" ht="30" customHeight="1">
      <c r="A32" s="2" t="n">
        <v>4</v>
      </c>
      <c r="B32" s="2" t="n">
        <v>7</v>
      </c>
      <c r="C32" s="3" t="inlineStr">
        <is>
          <t>吴九</t>
        </is>
      </c>
      <c r="D32" s="3" t="inlineStr">
        <is>
          <t>财务部</t>
        </is>
      </c>
      <c r="E32" s="3" t="inlineStr">
        <is>
          <t>出纳</t>
        </is>
      </c>
      <c r="F32" s="2" t="n">
        <v>22</v>
      </c>
      <c r="G32" s="2" t="n">
        <v>2</v>
      </c>
      <c r="H32" s="2" t="n">
        <v>750</v>
      </c>
      <c r="I32" s="2" t="n">
        <v>5500</v>
      </c>
      <c r="J32" s="2" t="n">
        <v>4493</v>
      </c>
      <c r="K32" s="2" t="n">
        <v>550</v>
      </c>
      <c r="L32" s="2" t="n">
        <v>500</v>
      </c>
      <c r="M32" s="2" t="n">
        <v>300</v>
      </c>
      <c r="N32" s="2" t="n">
        <v>200</v>
      </c>
      <c r="O32" s="2" t="n">
        <v>12293</v>
      </c>
      <c r="P32" s="2" t="n">
        <v>0</v>
      </c>
      <c r="Q32" s="2" t="n">
        <v>0</v>
      </c>
      <c r="R32" s="2" t="n">
        <v>440</v>
      </c>
      <c r="S32" s="2" t="n">
        <v>660</v>
      </c>
      <c r="T32" s="2" t="n">
        <v>409</v>
      </c>
      <c r="U32" s="2" t="n">
        <v>1509</v>
      </c>
      <c r="V32" s="2" t="n">
        <v>10784</v>
      </c>
      <c r="W32" s="2" t="n">
        <v>10375</v>
      </c>
      <c r="X32" s="3" t="inlineStr">
        <is>
          <t>已发放</t>
        </is>
      </c>
      <c r="Y32" s="3" t="n"/>
      <c r="Z32" s="3" t="inlineStr">
        <is>
          <t>完整年度工资管理系统_2019.xlsx!四月!A8:X8</t>
        </is>
      </c>
    </row>
    <row r="33" ht="30" customHeight="1">
      <c r="A33" s="2" t="n">
        <v>4</v>
      </c>
      <c r="B33" s="2" t="n">
        <v>8</v>
      </c>
      <c r="C33" s="3" t="inlineStr">
        <is>
          <t>郑十</t>
        </is>
      </c>
      <c r="D33" s="3" t="inlineStr">
        <is>
          <t>销售部</t>
        </is>
      </c>
      <c r="E33" s="3" t="inlineStr">
        <is>
          <t>销售代表</t>
        </is>
      </c>
      <c r="F33" s="2" t="n">
        <v>22</v>
      </c>
      <c r="G33" s="2" t="n">
        <v>3</v>
      </c>
      <c r="H33" s="2" t="n">
        <v>1534</v>
      </c>
      <c r="I33" s="2" t="n">
        <v>7500</v>
      </c>
      <c r="J33" s="2" t="n">
        <v>6481</v>
      </c>
      <c r="K33" s="2" t="n">
        <v>750</v>
      </c>
      <c r="L33" s="2" t="n">
        <v>500</v>
      </c>
      <c r="M33" s="2" t="n">
        <v>300</v>
      </c>
      <c r="N33" s="2" t="n">
        <v>200</v>
      </c>
      <c r="O33" s="2" t="n">
        <v>17265</v>
      </c>
      <c r="P33" s="2" t="n">
        <v>681</v>
      </c>
      <c r="Q33" s="2" t="n">
        <v>0</v>
      </c>
      <c r="R33" s="2" t="n">
        <v>600</v>
      </c>
      <c r="S33" s="2" t="n">
        <v>900</v>
      </c>
      <c r="T33" s="2" t="n">
        <v>866</v>
      </c>
      <c r="U33" s="2" t="n">
        <v>3047</v>
      </c>
      <c r="V33" s="2" t="n">
        <v>14218</v>
      </c>
      <c r="W33" s="2" t="n">
        <v>13352</v>
      </c>
      <c r="X33" s="3" t="inlineStr">
        <is>
          <t>已发放</t>
        </is>
      </c>
      <c r="Y33" s="3" t="n"/>
      <c r="Z33" s="3" t="inlineStr">
        <is>
          <t>完整年度工资管理系统_2019.xlsx!四月!A9:X9</t>
        </is>
      </c>
    </row>
    <row r="34" ht="30" customHeight="1">
      <c r="A34" s="2" t="n">
        <v>5</v>
      </c>
      <c r="B34" s="2" t="n">
        <v>1</v>
      </c>
      <c r="C34" s="3" t="inlineStr">
        <is>
          <t>张三</t>
        </is>
      </c>
      <c r="D34" s="3" t="inlineStr">
        <is>
          <t>技术部</t>
        </is>
      </c>
      <c r="E34" s="3" t="inlineStr">
        <is>
          <t>软件工程师</t>
        </is>
      </c>
      <c r="F34" s="2" t="n">
        <v>22</v>
      </c>
      <c r="G34" s="2" t="n">
        <v>0</v>
      </c>
      <c r="H34" s="2" t="n">
        <v>0</v>
      </c>
      <c r="I34" s="2" t="n">
        <v>8000</v>
      </c>
      <c r="J34" s="2" t="n">
        <v>7300</v>
      </c>
      <c r="K34" s="2" t="n">
        <v>800</v>
      </c>
      <c r="L34" s="2" t="n">
        <v>500</v>
      </c>
      <c r="M34" s="2" t="n">
        <v>300</v>
      </c>
      <c r="N34" s="2" t="n">
        <v>600</v>
      </c>
      <c r="O34" s="2" t="n">
        <v>17500</v>
      </c>
      <c r="P34" s="2" t="n">
        <v>0</v>
      </c>
      <c r="Q34" s="2" t="n">
        <v>0</v>
      </c>
      <c r="R34" s="2" t="n">
        <v>640</v>
      </c>
      <c r="S34" s="2" t="n">
        <v>960</v>
      </c>
      <c r="T34" s="2" t="n">
        <v>880</v>
      </c>
      <c r="U34" s="2" t="n">
        <v>2480</v>
      </c>
      <c r="V34" s="2" t="n">
        <v>15020</v>
      </c>
      <c r="W34" s="2" t="n">
        <v>14140</v>
      </c>
      <c r="X34" s="3" t="inlineStr">
        <is>
          <t>已发放</t>
        </is>
      </c>
      <c r="Y34" s="3" t="n"/>
      <c r="Z34" s="3" t="inlineStr">
        <is>
          <t>完整年度工资管理系统_2019.xlsx!五月!A2:X2</t>
        </is>
      </c>
    </row>
    <row r="35" ht="30" customHeight="1">
      <c r="A35" s="2" t="n">
        <v>5</v>
      </c>
      <c r="B35" s="2" t="n">
        <v>2</v>
      </c>
      <c r="C35" s="3" t="inlineStr">
        <is>
          <t>李四</t>
        </is>
      </c>
      <c r="D35" s="3" t="inlineStr">
        <is>
          <t>财务部</t>
        </is>
      </c>
      <c r="E35" s="3" t="inlineStr">
        <is>
          <t>会计</t>
        </is>
      </c>
      <c r="F35" s="2" t="n">
        <v>22</v>
      </c>
      <c r="G35" s="2" t="n">
        <v>0</v>
      </c>
      <c r="H35" s="2" t="n">
        <v>0</v>
      </c>
      <c r="I35" s="2" t="n">
        <v>6500</v>
      </c>
      <c r="J35" s="2" t="n">
        <v>6416</v>
      </c>
      <c r="K35" s="2" t="n">
        <v>650</v>
      </c>
      <c r="L35" s="2" t="n">
        <v>500</v>
      </c>
      <c r="M35" s="2" t="n">
        <v>300</v>
      </c>
      <c r="N35" s="2" t="n">
        <v>400</v>
      </c>
      <c r="O35" s="2" t="n">
        <v>14766</v>
      </c>
      <c r="P35" s="2" t="n">
        <v>590</v>
      </c>
      <c r="Q35" s="2" t="n">
        <v>50</v>
      </c>
      <c r="R35" s="2" t="n">
        <v>520</v>
      </c>
      <c r="S35" s="2" t="n">
        <v>780</v>
      </c>
      <c r="T35" s="2" t="n">
        <v>636</v>
      </c>
      <c r="U35" s="2" t="n">
        <v>2576</v>
      </c>
      <c r="V35" s="2" t="n">
        <v>12190</v>
      </c>
      <c r="W35" s="2" t="n">
        <v>11554</v>
      </c>
      <c r="X35" s="3" t="inlineStr">
        <is>
          <t>已发放</t>
        </is>
      </c>
      <c r="Y35" s="3" t="n"/>
      <c r="Z35" s="3" t="inlineStr">
        <is>
          <t>完整年度工资管理系统_2019.xlsx!五月!A3:X3</t>
        </is>
      </c>
    </row>
    <row r="36" ht="30" customHeight="1">
      <c r="A36" s="2" t="n">
        <v>5</v>
      </c>
      <c r="B36" s="2" t="n">
        <v>3</v>
      </c>
      <c r="C36" s="3" t="inlineStr">
        <is>
          <t>王五</t>
        </is>
      </c>
      <c r="D36" s="3" t="inlineStr">
        <is>
          <t>销售部</t>
        </is>
      </c>
      <c r="E36" s="3" t="inlineStr">
        <is>
          <t>销售主管</t>
        </is>
      </c>
      <c r="F36" s="2" t="n">
        <v>22</v>
      </c>
      <c r="G36" s="2" t="n">
        <v>3</v>
      </c>
      <c r="H36" s="2" t="n">
        <v>1840</v>
      </c>
      <c r="I36" s="2" t="n">
        <v>9000</v>
      </c>
      <c r="J36" s="2" t="n">
        <v>10749</v>
      </c>
      <c r="K36" s="2" t="n">
        <v>900</v>
      </c>
      <c r="L36" s="2" t="n">
        <v>500</v>
      </c>
      <c r="M36" s="2" t="n">
        <v>300</v>
      </c>
      <c r="N36" s="2" t="n">
        <v>200</v>
      </c>
      <c r="O36" s="2" t="n">
        <v>23489</v>
      </c>
      <c r="P36" s="2" t="n">
        <v>0</v>
      </c>
      <c r="Q36" s="2" t="n">
        <v>50</v>
      </c>
      <c r="R36" s="2" t="n">
        <v>720</v>
      </c>
      <c r="S36" s="2" t="n">
        <v>1080</v>
      </c>
      <c r="T36" s="2" t="n">
        <v>1927</v>
      </c>
      <c r="U36" s="2" t="n">
        <v>3777</v>
      </c>
      <c r="V36" s="2" t="n">
        <v>19712</v>
      </c>
      <c r="W36" s="2" t="n">
        <v>17785</v>
      </c>
      <c r="X36" s="3" t="inlineStr">
        <is>
          <t>已发放</t>
        </is>
      </c>
      <c r="Y36" s="3" t="n"/>
      <c r="Z36" s="3" t="inlineStr">
        <is>
          <t>完整年度工资管理系统_2019.xlsx!五月!A4:X4</t>
        </is>
      </c>
    </row>
    <row r="37" ht="30" customHeight="1">
      <c r="A37" s="2" t="n">
        <v>5</v>
      </c>
      <c r="B37" s="2" t="n">
        <v>4</v>
      </c>
      <c r="C37" s="3" t="inlineStr">
        <is>
          <t>赵六</t>
        </is>
      </c>
      <c r="D37" s="3" t="inlineStr">
        <is>
          <t>人事部</t>
        </is>
      </c>
      <c r="E37" s="3" t="inlineStr">
        <is>
          <t>招聘专员</t>
        </is>
      </c>
      <c r="F37" s="2" t="n">
        <v>22</v>
      </c>
      <c r="G37" s="2" t="n">
        <v>2</v>
      </c>
      <c r="H37" s="2" t="n">
        <v>818</v>
      </c>
      <c r="I37" s="2" t="n">
        <v>6000</v>
      </c>
      <c r="J37" s="2" t="n">
        <v>6890</v>
      </c>
      <c r="K37" s="2" t="n">
        <v>600</v>
      </c>
      <c r="L37" s="2" t="n">
        <v>500</v>
      </c>
      <c r="M37" s="2" t="n">
        <v>300</v>
      </c>
      <c r="N37" s="2" t="n">
        <v>200</v>
      </c>
      <c r="O37" s="2" t="n">
        <v>15308</v>
      </c>
      <c r="P37" s="2" t="n">
        <v>0</v>
      </c>
      <c r="Q37" s="2" t="n">
        <v>100</v>
      </c>
      <c r="R37" s="2" t="n">
        <v>480</v>
      </c>
      <c r="S37" s="2" t="n">
        <v>720</v>
      </c>
      <c r="T37" s="2" t="n">
        <v>700</v>
      </c>
      <c r="U37" s="2" t="n">
        <v>2000</v>
      </c>
      <c r="V37" s="2" t="n">
        <v>13308</v>
      </c>
      <c r="W37" s="2" t="n">
        <v>12608</v>
      </c>
      <c r="X37" s="3" t="inlineStr">
        <is>
          <t>已发放</t>
        </is>
      </c>
      <c r="Y37" s="3" t="n"/>
      <c r="Z37" s="3" t="inlineStr">
        <is>
          <t>完整年度工资管理系统_2019.xlsx!五月!A5:X5</t>
        </is>
      </c>
    </row>
    <row r="38" ht="30" customHeight="1">
      <c r="A38" s="2" t="n">
        <v>5</v>
      </c>
      <c r="B38" s="2" t="n">
        <v>5</v>
      </c>
      <c r="C38" s="3" t="inlineStr">
        <is>
          <t>孙七</t>
        </is>
      </c>
      <c r="D38" s="3" t="inlineStr">
        <is>
          <t>行政部</t>
        </is>
      </c>
      <c r="E38" s="3" t="inlineStr">
        <is>
          <t>行政专员</t>
        </is>
      </c>
      <c r="F38" s="2" t="n">
        <v>22</v>
      </c>
      <c r="G38" s="2" t="n">
        <v>2</v>
      </c>
      <c r="H38" s="2" t="n">
        <v>681</v>
      </c>
      <c r="I38" s="2" t="n">
        <v>5000</v>
      </c>
      <c r="J38" s="2" t="n">
        <v>4206</v>
      </c>
      <c r="K38" s="2" t="n">
        <v>500</v>
      </c>
      <c r="L38" s="2" t="n">
        <v>500</v>
      </c>
      <c r="M38" s="2" t="n">
        <v>300</v>
      </c>
      <c r="N38" s="2" t="n">
        <v>200</v>
      </c>
      <c r="O38" s="2" t="n">
        <v>11387</v>
      </c>
      <c r="P38" s="2" t="n">
        <v>0</v>
      </c>
      <c r="Q38" s="2" t="n">
        <v>100</v>
      </c>
      <c r="R38" s="2" t="n">
        <v>400</v>
      </c>
      <c r="S38" s="2" t="n">
        <v>600</v>
      </c>
      <c r="T38" s="2" t="n">
        <v>328</v>
      </c>
      <c r="U38" s="2" t="n">
        <v>1428</v>
      </c>
      <c r="V38" s="2" t="n">
        <v>9959</v>
      </c>
      <c r="W38" s="2" t="n">
        <v>9631</v>
      </c>
      <c r="X38" s="3" t="inlineStr">
        <is>
          <t>已发放</t>
        </is>
      </c>
      <c r="Y38" s="3" t="n"/>
      <c r="Z38" s="3" t="inlineStr">
        <is>
          <t>完整年度工资管理系统_2019.xlsx!五月!A6:X6</t>
        </is>
      </c>
    </row>
    <row r="39" ht="30" customHeight="1">
      <c r="A39" s="2" t="n">
        <v>5</v>
      </c>
      <c r="B39" s="2" t="n">
        <v>6</v>
      </c>
      <c r="C39" s="3" t="inlineStr">
        <is>
          <t>周八</t>
        </is>
      </c>
      <c r="D39" s="3" t="inlineStr">
        <is>
          <t>技术部</t>
        </is>
      </c>
      <c r="E39" s="3" t="inlineStr">
        <is>
          <t>测试工程师</t>
        </is>
      </c>
      <c r="F39" s="2" t="n">
        <v>22</v>
      </c>
      <c r="G39" s="2" t="n">
        <v>2</v>
      </c>
      <c r="H39" s="2" t="n">
        <v>954</v>
      </c>
      <c r="I39" s="2" t="n">
        <v>7000</v>
      </c>
      <c r="J39" s="2" t="n">
        <v>6605</v>
      </c>
      <c r="K39" s="2" t="n">
        <v>700</v>
      </c>
      <c r="L39" s="2" t="n">
        <v>500</v>
      </c>
      <c r="M39" s="2" t="n">
        <v>300</v>
      </c>
      <c r="N39" s="2" t="n">
        <v>200</v>
      </c>
      <c r="O39" s="2" t="n">
        <v>16259</v>
      </c>
      <c r="P39" s="2" t="n">
        <v>636</v>
      </c>
      <c r="Q39" s="2" t="n">
        <v>50</v>
      </c>
      <c r="R39" s="2" t="n">
        <v>560</v>
      </c>
      <c r="S39" s="2" t="n">
        <v>840</v>
      </c>
      <c r="T39" s="2" t="n">
        <v>775</v>
      </c>
      <c r="U39" s="2" t="n">
        <v>2861</v>
      </c>
      <c r="V39" s="2" t="n">
        <v>13398</v>
      </c>
      <c r="W39" s="2" t="n">
        <v>12623</v>
      </c>
      <c r="X39" s="3" t="inlineStr">
        <is>
          <t>已发放</t>
        </is>
      </c>
      <c r="Y39" s="3" t="n"/>
      <c r="Z39" s="3" t="inlineStr">
        <is>
          <t>完整年度工资管理系统_2019.xlsx!五月!A7:X7</t>
        </is>
      </c>
    </row>
    <row r="40" ht="30" customHeight="1">
      <c r="A40" s="2" t="n">
        <v>5</v>
      </c>
      <c r="B40" s="2" t="n">
        <v>7</v>
      </c>
      <c r="C40" s="3" t="inlineStr">
        <is>
          <t>吴九</t>
        </is>
      </c>
      <c r="D40" s="3" t="inlineStr">
        <is>
          <t>财务部</t>
        </is>
      </c>
      <c r="E40" s="3" t="inlineStr">
        <is>
          <t>出纳</t>
        </is>
      </c>
      <c r="F40" s="2" t="n">
        <v>22</v>
      </c>
      <c r="G40" s="2" t="n">
        <v>3</v>
      </c>
      <c r="H40" s="2" t="n">
        <v>1125</v>
      </c>
      <c r="I40" s="2" t="n">
        <v>5500</v>
      </c>
      <c r="J40" s="2" t="n">
        <v>4682</v>
      </c>
      <c r="K40" s="2" t="n">
        <v>550</v>
      </c>
      <c r="L40" s="2" t="n">
        <v>500</v>
      </c>
      <c r="M40" s="2" t="n">
        <v>300</v>
      </c>
      <c r="N40" s="2" t="n">
        <v>200</v>
      </c>
      <c r="O40" s="2" t="n">
        <v>12857</v>
      </c>
      <c r="P40" s="2" t="n">
        <v>0</v>
      </c>
      <c r="Q40" s="2" t="n">
        <v>100</v>
      </c>
      <c r="R40" s="2" t="n">
        <v>440</v>
      </c>
      <c r="S40" s="2" t="n">
        <v>660</v>
      </c>
      <c r="T40" s="2" t="n">
        <v>465</v>
      </c>
      <c r="U40" s="2" t="n">
        <v>1665</v>
      </c>
      <c r="V40" s="2" t="n">
        <v>11192</v>
      </c>
      <c r="W40" s="2" t="n">
        <v>10727</v>
      </c>
      <c r="X40" s="3" t="inlineStr">
        <is>
          <t>已发放</t>
        </is>
      </c>
      <c r="Y40" s="3" t="n"/>
      <c r="Z40" s="3" t="inlineStr">
        <is>
          <t>完整年度工资管理系统_2019.xlsx!五月!A8:X8</t>
        </is>
      </c>
    </row>
    <row r="41" ht="30" customHeight="1">
      <c r="A41" s="2" t="n">
        <v>5</v>
      </c>
      <c r="B41" s="2" t="n">
        <v>8</v>
      </c>
      <c r="C41" s="3" t="inlineStr">
        <is>
          <t>郑十</t>
        </is>
      </c>
      <c r="D41" s="3" t="inlineStr">
        <is>
          <t>销售部</t>
        </is>
      </c>
      <c r="E41" s="3" t="inlineStr">
        <is>
          <t>销售代表</t>
        </is>
      </c>
      <c r="F41" s="2" t="n">
        <v>22</v>
      </c>
      <c r="G41" s="2" t="n">
        <v>3</v>
      </c>
      <c r="H41" s="2" t="n">
        <v>1534</v>
      </c>
      <c r="I41" s="2" t="n">
        <v>7500</v>
      </c>
      <c r="J41" s="2" t="n">
        <v>8914</v>
      </c>
      <c r="K41" s="2" t="n">
        <v>750</v>
      </c>
      <c r="L41" s="2" t="n">
        <v>500</v>
      </c>
      <c r="M41" s="2" t="n">
        <v>300</v>
      </c>
      <c r="N41" s="2" t="n">
        <v>200</v>
      </c>
      <c r="O41" s="2" t="n">
        <v>19698</v>
      </c>
      <c r="P41" s="2" t="n">
        <v>0</v>
      </c>
      <c r="Q41" s="2" t="n">
        <v>0</v>
      </c>
      <c r="R41" s="2" t="n">
        <v>600</v>
      </c>
      <c r="S41" s="2" t="n">
        <v>900</v>
      </c>
      <c r="T41" s="2" t="n">
        <v>1229</v>
      </c>
      <c r="U41" s="2" t="n">
        <v>2729</v>
      </c>
      <c r="V41" s="2" t="n">
        <v>16969</v>
      </c>
      <c r="W41" s="2" t="n">
        <v>15740</v>
      </c>
      <c r="X41" s="3" t="inlineStr">
        <is>
          <t>已发放</t>
        </is>
      </c>
      <c r="Y41" s="3" t="n"/>
      <c r="Z41" s="3" t="inlineStr">
        <is>
          <t>完整年度工资管理系统_2019.xlsx!五月!A9:X9</t>
        </is>
      </c>
    </row>
    <row r="42" ht="30" customHeight="1">
      <c r="A42" s="2" t="n">
        <v>6</v>
      </c>
      <c r="B42" s="2" t="n">
        <v>1</v>
      </c>
      <c r="C42" s="3" t="inlineStr">
        <is>
          <t>张三</t>
        </is>
      </c>
      <c r="D42" s="3" t="inlineStr">
        <is>
          <t>技术部</t>
        </is>
      </c>
      <c r="E42" s="3" t="inlineStr">
        <is>
          <t>软件工程师</t>
        </is>
      </c>
      <c r="F42" s="2" t="n">
        <v>22</v>
      </c>
      <c r="G42" s="2" t="n">
        <v>1</v>
      </c>
      <c r="H42" s="2" t="n">
        <v>545</v>
      </c>
      <c r="I42" s="2" t="n">
        <v>8000</v>
      </c>
      <c r="J42" s="2" t="n">
        <v>8903</v>
      </c>
      <c r="K42" s="2" t="n">
        <v>800</v>
      </c>
      <c r="L42" s="2" t="n">
        <v>500</v>
      </c>
      <c r="M42" s="2" t="n">
        <v>300</v>
      </c>
      <c r="N42" s="2" t="n">
        <v>600</v>
      </c>
      <c r="O42" s="2" t="n">
        <v>19648</v>
      </c>
      <c r="P42" s="2" t="n">
        <v>727</v>
      </c>
      <c r="Q42" s="2" t="n">
        <v>100</v>
      </c>
      <c r="R42" s="2" t="n">
        <v>640</v>
      </c>
      <c r="S42" s="2" t="n">
        <v>960</v>
      </c>
      <c r="T42" s="2" t="n">
        <v>1199</v>
      </c>
      <c r="U42" s="2" t="n">
        <v>3626</v>
      </c>
      <c r="V42" s="2" t="n">
        <v>16022</v>
      </c>
      <c r="W42" s="2" t="n">
        <v>14823</v>
      </c>
      <c r="X42" s="3" t="inlineStr">
        <is>
          <t>已发放</t>
        </is>
      </c>
      <c r="Y42" s="3" t="n"/>
      <c r="Z42" s="3" t="inlineStr">
        <is>
          <t>完整年度工资管理系统_2019.xlsx!六月!A2:X2</t>
        </is>
      </c>
    </row>
    <row r="43" ht="30" customHeight="1">
      <c r="A43" s="2" t="n">
        <v>6</v>
      </c>
      <c r="B43" s="2" t="n">
        <v>2</v>
      </c>
      <c r="C43" s="3" t="inlineStr">
        <is>
          <t>李四</t>
        </is>
      </c>
      <c r="D43" s="3" t="inlineStr">
        <is>
          <t>财务部</t>
        </is>
      </c>
      <c r="E43" s="3" t="inlineStr">
        <is>
          <t>会计</t>
        </is>
      </c>
      <c r="F43" s="2" t="n">
        <v>22</v>
      </c>
      <c r="G43" s="2" t="n">
        <v>1</v>
      </c>
      <c r="H43" s="2" t="n">
        <v>443</v>
      </c>
      <c r="I43" s="2" t="n">
        <v>6500</v>
      </c>
      <c r="J43" s="2" t="n">
        <v>6457</v>
      </c>
      <c r="K43" s="2" t="n">
        <v>650</v>
      </c>
      <c r="L43" s="2" t="n">
        <v>500</v>
      </c>
      <c r="M43" s="2" t="n">
        <v>300</v>
      </c>
      <c r="N43" s="2" t="n">
        <v>400</v>
      </c>
      <c r="O43" s="2" t="n">
        <v>15250</v>
      </c>
      <c r="P43" s="2" t="n">
        <v>590</v>
      </c>
      <c r="Q43" s="2" t="n">
        <v>50</v>
      </c>
      <c r="R43" s="2" t="n">
        <v>520</v>
      </c>
      <c r="S43" s="2" t="n">
        <v>780</v>
      </c>
      <c r="T43" s="2" t="n">
        <v>685</v>
      </c>
      <c r="U43" s="2" t="n">
        <v>2625</v>
      </c>
      <c r="V43" s="2" t="n">
        <v>12625</v>
      </c>
      <c r="W43" s="2" t="n">
        <v>11940</v>
      </c>
      <c r="X43" s="3" t="inlineStr">
        <is>
          <t>已发放</t>
        </is>
      </c>
      <c r="Y43" s="3" t="n"/>
      <c r="Z43" s="3" t="inlineStr">
        <is>
          <t>完整年度工资管理系统_2019.xlsx!六月!A3:X3</t>
        </is>
      </c>
    </row>
    <row r="44" ht="30" customHeight="1">
      <c r="A44" s="2" t="n">
        <v>6</v>
      </c>
      <c r="B44" s="2" t="n">
        <v>3</v>
      </c>
      <c r="C44" s="3" t="inlineStr">
        <is>
          <t>王五</t>
        </is>
      </c>
      <c r="D44" s="3" t="inlineStr">
        <is>
          <t>销售部</t>
        </is>
      </c>
      <c r="E44" s="3" t="inlineStr">
        <is>
          <t>销售主管</t>
        </is>
      </c>
      <c r="F44" s="2" t="n">
        <v>22</v>
      </c>
      <c r="G44" s="2" t="n">
        <v>0</v>
      </c>
      <c r="H44" s="2" t="n">
        <v>0</v>
      </c>
      <c r="I44" s="2" t="n">
        <v>9000</v>
      </c>
      <c r="J44" s="2" t="n">
        <v>10318</v>
      </c>
      <c r="K44" s="2" t="n">
        <v>900</v>
      </c>
      <c r="L44" s="2" t="n">
        <v>500</v>
      </c>
      <c r="M44" s="2" t="n">
        <v>300</v>
      </c>
      <c r="N44" s="2" t="n">
        <v>200</v>
      </c>
      <c r="O44" s="2" t="n">
        <v>21218</v>
      </c>
      <c r="P44" s="2" t="n">
        <v>0</v>
      </c>
      <c r="Q44" s="2" t="n">
        <v>0</v>
      </c>
      <c r="R44" s="2" t="n">
        <v>720</v>
      </c>
      <c r="S44" s="2" t="n">
        <v>1080</v>
      </c>
      <c r="T44" s="2" t="n">
        <v>1473</v>
      </c>
      <c r="U44" s="2" t="n">
        <v>3273</v>
      </c>
      <c r="V44" s="2" t="n">
        <v>17945</v>
      </c>
      <c r="W44" s="2" t="n">
        <v>16472</v>
      </c>
      <c r="X44" s="3" t="inlineStr">
        <is>
          <t>已发放</t>
        </is>
      </c>
      <c r="Y44" s="3" t="n"/>
      <c r="Z44" s="3" t="inlineStr">
        <is>
          <t>完整年度工资管理系统_2019.xlsx!六月!A4:X4</t>
        </is>
      </c>
    </row>
    <row r="45" ht="30" customHeight="1">
      <c r="A45" s="2" t="n">
        <v>6</v>
      </c>
      <c r="B45" s="2" t="n">
        <v>4</v>
      </c>
      <c r="C45" s="3" t="inlineStr">
        <is>
          <t>赵六</t>
        </is>
      </c>
      <c r="D45" s="3" t="inlineStr">
        <is>
          <t>人事部</t>
        </is>
      </c>
      <c r="E45" s="3" t="inlineStr">
        <is>
          <t>招聘专员</t>
        </is>
      </c>
      <c r="F45" s="2" t="n">
        <v>22</v>
      </c>
      <c r="G45" s="2" t="n">
        <v>3</v>
      </c>
      <c r="H45" s="2" t="n">
        <v>1227</v>
      </c>
      <c r="I45" s="2" t="n">
        <v>6000</v>
      </c>
      <c r="J45" s="2" t="n">
        <v>5100</v>
      </c>
      <c r="K45" s="2" t="n">
        <v>600</v>
      </c>
      <c r="L45" s="2" t="n">
        <v>500</v>
      </c>
      <c r="M45" s="2" t="n">
        <v>300</v>
      </c>
      <c r="N45" s="2" t="n">
        <v>200</v>
      </c>
      <c r="O45" s="2" t="n">
        <v>13927</v>
      </c>
      <c r="P45" s="2" t="n">
        <v>0</v>
      </c>
      <c r="Q45" s="2" t="n">
        <v>50</v>
      </c>
      <c r="R45" s="2" t="n">
        <v>480</v>
      </c>
      <c r="S45" s="2" t="n">
        <v>720</v>
      </c>
      <c r="T45" s="2" t="n">
        <v>562</v>
      </c>
      <c r="U45" s="2" t="n">
        <v>1812</v>
      </c>
      <c r="V45" s="2" t="n">
        <v>12115</v>
      </c>
      <c r="W45" s="2" t="n">
        <v>11553</v>
      </c>
      <c r="X45" s="3" t="inlineStr">
        <is>
          <t>已发放</t>
        </is>
      </c>
      <c r="Y45" s="3" t="n"/>
      <c r="Z45" s="3" t="inlineStr">
        <is>
          <t>完整年度工资管理系统_2019.xlsx!六月!A5:X5</t>
        </is>
      </c>
    </row>
    <row r="46" ht="30" customHeight="1">
      <c r="A46" s="2" t="n">
        <v>6</v>
      </c>
      <c r="B46" s="2" t="n">
        <v>5</v>
      </c>
      <c r="C46" s="3" t="inlineStr">
        <is>
          <t>孙七</t>
        </is>
      </c>
      <c r="D46" s="3" t="inlineStr">
        <is>
          <t>行政部</t>
        </is>
      </c>
      <c r="E46" s="3" t="inlineStr">
        <is>
          <t>行政专员</t>
        </is>
      </c>
      <c r="F46" s="2" t="n">
        <v>22</v>
      </c>
      <c r="G46" s="2" t="n">
        <v>2</v>
      </c>
      <c r="H46" s="2" t="n">
        <v>681</v>
      </c>
      <c r="I46" s="2" t="n">
        <v>5000</v>
      </c>
      <c r="J46" s="2" t="n">
        <v>5477</v>
      </c>
      <c r="K46" s="2" t="n">
        <v>500</v>
      </c>
      <c r="L46" s="2" t="n">
        <v>500</v>
      </c>
      <c r="M46" s="2" t="n">
        <v>300</v>
      </c>
      <c r="N46" s="2" t="n">
        <v>200</v>
      </c>
      <c r="O46" s="2" t="n">
        <v>12658</v>
      </c>
      <c r="P46" s="2" t="n">
        <v>454</v>
      </c>
      <c r="Q46" s="2" t="n">
        <v>100</v>
      </c>
      <c r="R46" s="2" t="n">
        <v>400</v>
      </c>
      <c r="S46" s="2" t="n">
        <v>600</v>
      </c>
      <c r="T46" s="2" t="n">
        <v>455</v>
      </c>
      <c r="U46" s="2" t="n">
        <v>2009</v>
      </c>
      <c r="V46" s="2" t="n">
        <v>10649</v>
      </c>
      <c r="W46" s="2" t="n">
        <v>10194</v>
      </c>
      <c r="X46" s="3" t="inlineStr">
        <is>
          <t>已发放</t>
        </is>
      </c>
      <c r="Y46" s="3" t="n"/>
      <c r="Z46" s="3" t="inlineStr">
        <is>
          <t>完整年度工资管理系统_2019.xlsx!六月!A6:X6</t>
        </is>
      </c>
    </row>
    <row r="47" ht="30" customHeight="1">
      <c r="A47" s="2" t="n">
        <v>6</v>
      </c>
      <c r="B47" s="2" t="n">
        <v>6</v>
      </c>
      <c r="C47" s="3" t="inlineStr">
        <is>
          <t>周八</t>
        </is>
      </c>
      <c r="D47" s="3" t="inlineStr">
        <is>
          <t>技术部</t>
        </is>
      </c>
      <c r="E47" s="3" t="inlineStr">
        <is>
          <t>测试工程师</t>
        </is>
      </c>
      <c r="F47" s="2" t="n">
        <v>22</v>
      </c>
      <c r="G47" s="2" t="n">
        <v>2</v>
      </c>
      <c r="H47" s="2" t="n">
        <v>954</v>
      </c>
      <c r="I47" s="2" t="n">
        <v>7000</v>
      </c>
      <c r="J47" s="2" t="n">
        <v>6096</v>
      </c>
      <c r="K47" s="2" t="n">
        <v>700</v>
      </c>
      <c r="L47" s="2" t="n">
        <v>500</v>
      </c>
      <c r="M47" s="2" t="n">
        <v>300</v>
      </c>
      <c r="N47" s="2" t="n">
        <v>200</v>
      </c>
      <c r="O47" s="2" t="n">
        <v>15750</v>
      </c>
      <c r="P47" s="2" t="n">
        <v>0</v>
      </c>
      <c r="Q47" s="2" t="n">
        <v>0</v>
      </c>
      <c r="R47" s="2" t="n">
        <v>560</v>
      </c>
      <c r="S47" s="2" t="n">
        <v>840</v>
      </c>
      <c r="T47" s="2" t="n">
        <v>725</v>
      </c>
      <c r="U47" s="2" t="n">
        <v>2125</v>
      </c>
      <c r="V47" s="2" t="n">
        <v>13625</v>
      </c>
      <c r="W47" s="2" t="n">
        <v>12900</v>
      </c>
      <c r="X47" s="3" t="inlineStr">
        <is>
          <t>已发放</t>
        </is>
      </c>
      <c r="Y47" s="3" t="n"/>
      <c r="Z47" s="3" t="inlineStr">
        <is>
          <t>完整年度工资管理系统_2019.xlsx!六月!A7:X7</t>
        </is>
      </c>
    </row>
    <row r="48" ht="30" customHeight="1">
      <c r="A48" s="2" t="n">
        <v>6</v>
      </c>
      <c r="B48" s="2" t="n">
        <v>7</v>
      </c>
      <c r="C48" s="3" t="inlineStr">
        <is>
          <t>吴九</t>
        </is>
      </c>
      <c r="D48" s="3" t="inlineStr">
        <is>
          <t>财务部</t>
        </is>
      </c>
      <c r="E48" s="3" t="inlineStr">
        <is>
          <t>出纳</t>
        </is>
      </c>
      <c r="F48" s="2" t="n">
        <v>22</v>
      </c>
      <c r="G48" s="2" t="n">
        <v>3</v>
      </c>
      <c r="H48" s="2" t="n">
        <v>1125</v>
      </c>
      <c r="I48" s="2" t="n">
        <v>5500</v>
      </c>
      <c r="J48" s="2" t="n">
        <v>6415</v>
      </c>
      <c r="K48" s="2" t="n">
        <v>550</v>
      </c>
      <c r="L48" s="2" t="n">
        <v>500</v>
      </c>
      <c r="M48" s="2" t="n">
        <v>300</v>
      </c>
      <c r="N48" s="2" t="n">
        <v>200</v>
      </c>
      <c r="O48" s="2" t="n">
        <v>14590</v>
      </c>
      <c r="P48" s="2" t="n">
        <v>500</v>
      </c>
      <c r="Q48" s="2" t="n">
        <v>50</v>
      </c>
      <c r="R48" s="2" t="n">
        <v>440</v>
      </c>
      <c r="S48" s="2" t="n">
        <v>660</v>
      </c>
      <c r="T48" s="2" t="n">
        <v>639</v>
      </c>
      <c r="U48" s="2" t="n">
        <v>2289</v>
      </c>
      <c r="V48" s="2" t="n">
        <v>12301</v>
      </c>
      <c r="W48" s="2" t="n">
        <v>11662</v>
      </c>
      <c r="X48" s="3" t="inlineStr">
        <is>
          <t>已发放</t>
        </is>
      </c>
      <c r="Y48" s="3" t="n"/>
      <c r="Z48" s="3" t="inlineStr">
        <is>
          <t>完整年度工资管理系统_2019.xlsx!六月!A8:X8</t>
        </is>
      </c>
    </row>
    <row r="49" ht="30" customHeight="1">
      <c r="A49" s="2" t="n">
        <v>6</v>
      </c>
      <c r="B49" s="2" t="n">
        <v>8</v>
      </c>
      <c r="C49" s="3" t="inlineStr">
        <is>
          <t>郑十</t>
        </is>
      </c>
      <c r="D49" s="3" t="inlineStr">
        <is>
          <t>销售部</t>
        </is>
      </c>
      <c r="E49" s="3" t="inlineStr">
        <is>
          <t>销售代表</t>
        </is>
      </c>
      <c r="F49" s="2" t="n">
        <v>22</v>
      </c>
      <c r="G49" s="2" t="n">
        <v>3</v>
      </c>
      <c r="H49" s="2" t="n">
        <v>1534</v>
      </c>
      <c r="I49" s="2" t="n">
        <v>7500</v>
      </c>
      <c r="J49" s="2" t="n">
        <v>7591</v>
      </c>
      <c r="K49" s="2" t="n">
        <v>750</v>
      </c>
      <c r="L49" s="2" t="n">
        <v>500</v>
      </c>
      <c r="M49" s="2" t="n">
        <v>300</v>
      </c>
      <c r="N49" s="2" t="n">
        <v>200</v>
      </c>
      <c r="O49" s="2" t="n">
        <v>18375</v>
      </c>
      <c r="P49" s="2" t="n">
        <v>681</v>
      </c>
      <c r="Q49" s="2" t="n">
        <v>50</v>
      </c>
      <c r="R49" s="2" t="n">
        <v>600</v>
      </c>
      <c r="S49" s="2" t="n">
        <v>900</v>
      </c>
      <c r="T49" s="2" t="n">
        <v>977</v>
      </c>
      <c r="U49" s="2" t="n">
        <v>3208</v>
      </c>
      <c r="V49" s="2" t="n">
        <v>15167</v>
      </c>
      <c r="W49" s="2" t="n">
        <v>14190</v>
      </c>
      <c r="X49" s="3" t="inlineStr">
        <is>
          <t>已发放</t>
        </is>
      </c>
      <c r="Y49" s="3" t="n"/>
      <c r="Z49" s="3" t="inlineStr">
        <is>
          <t>完整年度工资管理系统_2019.xlsx!六月!A9:X9</t>
        </is>
      </c>
    </row>
    <row r="50" ht="30" customHeight="1">
      <c r="A50" s="2" t="n">
        <v>7</v>
      </c>
      <c r="B50" s="2" t="n">
        <v>1</v>
      </c>
      <c r="C50" s="3" t="inlineStr">
        <is>
          <t>张三</t>
        </is>
      </c>
      <c r="D50" s="3" t="inlineStr">
        <is>
          <t>技术部</t>
        </is>
      </c>
      <c r="E50" s="3" t="inlineStr">
        <is>
          <t>软件工程师</t>
        </is>
      </c>
      <c r="F50" s="2" t="n">
        <v>22</v>
      </c>
      <c r="G50" s="2" t="n">
        <v>0</v>
      </c>
      <c r="H50" s="2" t="n">
        <v>0</v>
      </c>
      <c r="I50" s="2" t="n">
        <v>8000</v>
      </c>
      <c r="J50" s="2" t="n">
        <v>9275</v>
      </c>
      <c r="K50" s="2" t="n">
        <v>800</v>
      </c>
      <c r="L50" s="2" t="n">
        <v>500</v>
      </c>
      <c r="M50" s="2" t="n">
        <v>300</v>
      </c>
      <c r="N50" s="2" t="n">
        <v>600</v>
      </c>
      <c r="O50" s="2" t="n">
        <v>19475</v>
      </c>
      <c r="P50" s="2" t="n">
        <v>727</v>
      </c>
      <c r="Q50" s="2" t="n">
        <v>100</v>
      </c>
      <c r="R50" s="2" t="n">
        <v>640</v>
      </c>
      <c r="S50" s="2" t="n">
        <v>960</v>
      </c>
      <c r="T50" s="2" t="n">
        <v>1165</v>
      </c>
      <c r="U50" s="2" t="n">
        <v>3592</v>
      </c>
      <c r="V50" s="2" t="n">
        <v>15883</v>
      </c>
      <c r="W50" s="2" t="n">
        <v>14718</v>
      </c>
      <c r="X50" s="3" t="inlineStr">
        <is>
          <t>已发放</t>
        </is>
      </c>
      <c r="Y50" s="3" t="n"/>
      <c r="Z50" s="3" t="inlineStr">
        <is>
          <t>完整年度工资管理系统_2019.xlsx!七月!A2:X2</t>
        </is>
      </c>
    </row>
    <row r="51" ht="30" customHeight="1">
      <c r="A51" s="2" t="n">
        <v>7</v>
      </c>
      <c r="B51" s="2" t="n">
        <v>2</v>
      </c>
      <c r="C51" s="3" t="inlineStr">
        <is>
          <t>李四</t>
        </is>
      </c>
      <c r="D51" s="3" t="inlineStr">
        <is>
          <t>财务部</t>
        </is>
      </c>
      <c r="E51" s="3" t="inlineStr">
        <is>
          <t>会计</t>
        </is>
      </c>
      <c r="F51" s="2" t="n">
        <v>22</v>
      </c>
      <c r="G51" s="2" t="n">
        <v>3</v>
      </c>
      <c r="H51" s="2" t="n">
        <v>1329</v>
      </c>
      <c r="I51" s="2" t="n">
        <v>6500</v>
      </c>
      <c r="J51" s="2" t="n">
        <v>7508</v>
      </c>
      <c r="K51" s="2" t="n">
        <v>650</v>
      </c>
      <c r="L51" s="2" t="n">
        <v>500</v>
      </c>
      <c r="M51" s="2" t="n">
        <v>300</v>
      </c>
      <c r="N51" s="2" t="n">
        <v>400</v>
      </c>
      <c r="O51" s="2" t="n">
        <v>17187</v>
      </c>
      <c r="P51" s="2" t="n">
        <v>590</v>
      </c>
      <c r="Q51" s="2" t="n">
        <v>50</v>
      </c>
      <c r="R51" s="2" t="n">
        <v>520</v>
      </c>
      <c r="S51" s="2" t="n">
        <v>780</v>
      </c>
      <c r="T51" s="2" t="n">
        <v>878</v>
      </c>
      <c r="U51" s="2" t="n">
        <v>2818</v>
      </c>
      <c r="V51" s="2" t="n">
        <v>14369</v>
      </c>
      <c r="W51" s="2" t="n">
        <v>13491</v>
      </c>
      <c r="X51" s="3" t="inlineStr">
        <is>
          <t>已发放</t>
        </is>
      </c>
      <c r="Y51" s="3" t="n"/>
      <c r="Z51" s="3" t="inlineStr">
        <is>
          <t>完整年度工资管理系统_2019.xlsx!七月!A3:X3</t>
        </is>
      </c>
    </row>
    <row r="52" ht="30" customHeight="1">
      <c r="A52" s="2" t="n">
        <v>7</v>
      </c>
      <c r="B52" s="2" t="n">
        <v>3</v>
      </c>
      <c r="C52" s="3" t="inlineStr">
        <is>
          <t>王五</t>
        </is>
      </c>
      <c r="D52" s="3" t="inlineStr">
        <is>
          <t>销售部</t>
        </is>
      </c>
      <c r="E52" s="3" t="inlineStr">
        <is>
          <t>销售主管</t>
        </is>
      </c>
      <c r="F52" s="2" t="n">
        <v>22</v>
      </c>
      <c r="G52" s="2" t="n">
        <v>1</v>
      </c>
      <c r="H52" s="2" t="n">
        <v>613</v>
      </c>
      <c r="I52" s="2" t="n">
        <v>9000</v>
      </c>
      <c r="J52" s="2" t="n">
        <v>7427</v>
      </c>
      <c r="K52" s="2" t="n">
        <v>900</v>
      </c>
      <c r="L52" s="2" t="n">
        <v>500</v>
      </c>
      <c r="M52" s="2" t="n">
        <v>300</v>
      </c>
      <c r="N52" s="2" t="n">
        <v>200</v>
      </c>
      <c r="O52" s="2" t="n">
        <v>18940</v>
      </c>
      <c r="P52" s="2" t="n">
        <v>0</v>
      </c>
      <c r="Q52" s="2" t="n">
        <v>0</v>
      </c>
      <c r="R52" s="2" t="n">
        <v>720</v>
      </c>
      <c r="S52" s="2" t="n">
        <v>1080</v>
      </c>
      <c r="T52" s="2" t="n">
        <v>1018</v>
      </c>
      <c r="U52" s="2" t="n">
        <v>2818</v>
      </c>
      <c r="V52" s="2" t="n">
        <v>16122</v>
      </c>
      <c r="W52" s="2" t="n">
        <v>15104</v>
      </c>
      <c r="X52" s="3" t="inlineStr">
        <is>
          <t>已发放</t>
        </is>
      </c>
      <c r="Y52" s="3" t="n"/>
      <c r="Z52" s="3" t="inlineStr">
        <is>
          <t>完整年度工资管理系统_2019.xlsx!七月!A4:X4</t>
        </is>
      </c>
    </row>
    <row r="53" ht="30" customHeight="1">
      <c r="A53" s="2" t="n">
        <v>7</v>
      </c>
      <c r="B53" s="2" t="n">
        <v>4</v>
      </c>
      <c r="C53" s="3" t="inlineStr">
        <is>
          <t>赵六</t>
        </is>
      </c>
      <c r="D53" s="3" t="inlineStr">
        <is>
          <t>人事部</t>
        </is>
      </c>
      <c r="E53" s="3" t="inlineStr">
        <is>
          <t>招聘专员</t>
        </is>
      </c>
      <c r="F53" s="2" t="n">
        <v>22</v>
      </c>
      <c r="G53" s="2" t="n">
        <v>3</v>
      </c>
      <c r="H53" s="2" t="n">
        <v>1227</v>
      </c>
      <c r="I53" s="2" t="n">
        <v>6000</v>
      </c>
      <c r="J53" s="2" t="n">
        <v>6787</v>
      </c>
      <c r="K53" s="2" t="n">
        <v>600</v>
      </c>
      <c r="L53" s="2" t="n">
        <v>500</v>
      </c>
      <c r="M53" s="2" t="n">
        <v>300</v>
      </c>
      <c r="N53" s="2" t="n">
        <v>200</v>
      </c>
      <c r="O53" s="2" t="n">
        <v>15614</v>
      </c>
      <c r="P53" s="2" t="n">
        <v>545</v>
      </c>
      <c r="Q53" s="2" t="n">
        <v>50</v>
      </c>
      <c r="R53" s="2" t="n">
        <v>480</v>
      </c>
      <c r="S53" s="2" t="n">
        <v>720</v>
      </c>
      <c r="T53" s="2" t="n">
        <v>731</v>
      </c>
      <c r="U53" s="2" t="n">
        <v>2526</v>
      </c>
      <c r="V53" s="2" t="n">
        <v>13088</v>
      </c>
      <c r="W53" s="2" t="n">
        <v>12357</v>
      </c>
      <c r="X53" s="3" t="inlineStr">
        <is>
          <t>已发放</t>
        </is>
      </c>
      <c r="Y53" s="3" t="n"/>
      <c r="Z53" s="3" t="inlineStr">
        <is>
          <t>完整年度工资管理系统_2019.xlsx!七月!A5:X5</t>
        </is>
      </c>
    </row>
    <row r="54" ht="30" customHeight="1">
      <c r="A54" s="2" t="n">
        <v>7</v>
      </c>
      <c r="B54" s="2" t="n">
        <v>5</v>
      </c>
      <c r="C54" s="3" t="inlineStr">
        <is>
          <t>孙七</t>
        </is>
      </c>
      <c r="D54" s="3" t="inlineStr">
        <is>
          <t>行政部</t>
        </is>
      </c>
      <c r="E54" s="3" t="inlineStr">
        <is>
          <t>行政专员</t>
        </is>
      </c>
      <c r="F54" s="2" t="n">
        <v>22</v>
      </c>
      <c r="G54" s="2" t="n">
        <v>3</v>
      </c>
      <c r="H54" s="2" t="n">
        <v>1022</v>
      </c>
      <c r="I54" s="2" t="n">
        <v>5000</v>
      </c>
      <c r="J54" s="2" t="n">
        <v>5072</v>
      </c>
      <c r="K54" s="2" t="n">
        <v>500</v>
      </c>
      <c r="L54" s="2" t="n">
        <v>500</v>
      </c>
      <c r="M54" s="2" t="n">
        <v>300</v>
      </c>
      <c r="N54" s="2" t="n">
        <v>200</v>
      </c>
      <c r="O54" s="2" t="n">
        <v>12594</v>
      </c>
      <c r="P54" s="2" t="n">
        <v>454</v>
      </c>
      <c r="Q54" s="2" t="n">
        <v>100</v>
      </c>
      <c r="R54" s="2" t="n">
        <v>400</v>
      </c>
      <c r="S54" s="2" t="n">
        <v>600</v>
      </c>
      <c r="T54" s="2" t="n">
        <v>449</v>
      </c>
      <c r="U54" s="2" t="n">
        <v>2003</v>
      </c>
      <c r="V54" s="2" t="n">
        <v>10591</v>
      </c>
      <c r="W54" s="2" t="n">
        <v>10142</v>
      </c>
      <c r="X54" s="3" t="inlineStr">
        <is>
          <t>已发放</t>
        </is>
      </c>
      <c r="Y54" s="3" t="n"/>
      <c r="Z54" s="3" t="inlineStr">
        <is>
          <t>完整年度工资管理系统_2019.xlsx!七月!A6:X6</t>
        </is>
      </c>
    </row>
    <row r="55" ht="30" customHeight="1">
      <c r="A55" s="2" t="n">
        <v>7</v>
      </c>
      <c r="B55" s="2" t="n">
        <v>6</v>
      </c>
      <c r="C55" s="3" t="inlineStr">
        <is>
          <t>周八</t>
        </is>
      </c>
      <c r="D55" s="3" t="inlineStr">
        <is>
          <t>技术部</t>
        </is>
      </c>
      <c r="E55" s="3" t="inlineStr">
        <is>
          <t>测试工程师</t>
        </is>
      </c>
      <c r="F55" s="2" t="n">
        <v>22</v>
      </c>
      <c r="G55" s="2" t="n">
        <v>1</v>
      </c>
      <c r="H55" s="2" t="n">
        <v>477</v>
      </c>
      <c r="I55" s="2" t="n">
        <v>7000</v>
      </c>
      <c r="J55" s="2" t="n">
        <v>6550</v>
      </c>
      <c r="K55" s="2" t="n">
        <v>700</v>
      </c>
      <c r="L55" s="2" t="n">
        <v>500</v>
      </c>
      <c r="M55" s="2" t="n">
        <v>300</v>
      </c>
      <c r="N55" s="2" t="n">
        <v>200</v>
      </c>
      <c r="O55" s="2" t="n">
        <v>15727</v>
      </c>
      <c r="P55" s="2" t="n">
        <v>636</v>
      </c>
      <c r="Q55" s="2" t="n">
        <v>50</v>
      </c>
      <c r="R55" s="2" t="n">
        <v>560</v>
      </c>
      <c r="S55" s="2" t="n">
        <v>840</v>
      </c>
      <c r="T55" s="2" t="n">
        <v>722</v>
      </c>
      <c r="U55" s="2" t="n">
        <v>2808</v>
      </c>
      <c r="V55" s="2" t="n">
        <v>12919</v>
      </c>
      <c r="W55" s="2" t="n">
        <v>12197</v>
      </c>
      <c r="X55" s="3" t="inlineStr">
        <is>
          <t>已发放</t>
        </is>
      </c>
      <c r="Y55" s="3" t="n"/>
      <c r="Z55" s="3" t="inlineStr">
        <is>
          <t>完整年度工资管理系统_2019.xlsx!七月!A7:X7</t>
        </is>
      </c>
    </row>
    <row r="56" ht="30" customHeight="1">
      <c r="A56" s="2" t="n">
        <v>7</v>
      </c>
      <c r="B56" s="2" t="n">
        <v>7</v>
      </c>
      <c r="C56" s="3" t="inlineStr">
        <is>
          <t>吴九</t>
        </is>
      </c>
      <c r="D56" s="3" t="inlineStr">
        <is>
          <t>财务部</t>
        </is>
      </c>
      <c r="E56" s="3" t="inlineStr">
        <is>
          <t>出纳</t>
        </is>
      </c>
      <c r="F56" s="2" t="n">
        <v>22</v>
      </c>
      <c r="G56" s="2" t="n">
        <v>2</v>
      </c>
      <c r="H56" s="2" t="n">
        <v>750</v>
      </c>
      <c r="I56" s="2" t="n">
        <v>5500</v>
      </c>
      <c r="J56" s="2" t="n">
        <v>5750</v>
      </c>
      <c r="K56" s="2" t="n">
        <v>550</v>
      </c>
      <c r="L56" s="2" t="n">
        <v>500</v>
      </c>
      <c r="M56" s="2" t="n">
        <v>300</v>
      </c>
      <c r="N56" s="2" t="n">
        <v>200</v>
      </c>
      <c r="O56" s="2" t="n">
        <v>13550</v>
      </c>
      <c r="P56" s="2" t="n">
        <v>500</v>
      </c>
      <c r="Q56" s="2" t="n">
        <v>100</v>
      </c>
      <c r="R56" s="2" t="n">
        <v>440</v>
      </c>
      <c r="S56" s="2" t="n">
        <v>660</v>
      </c>
      <c r="T56" s="2" t="n">
        <v>535</v>
      </c>
      <c r="U56" s="2" t="n">
        <v>2235</v>
      </c>
      <c r="V56" s="2" t="n">
        <v>11315</v>
      </c>
      <c r="W56" s="2" t="n">
        <v>10780</v>
      </c>
      <c r="X56" s="3" t="inlineStr">
        <is>
          <t>已发放</t>
        </is>
      </c>
      <c r="Y56" s="3" t="n"/>
      <c r="Z56" s="3" t="inlineStr">
        <is>
          <t>完整年度工资管理系统_2019.xlsx!七月!A8:X8</t>
        </is>
      </c>
    </row>
    <row r="57" ht="30" customHeight="1">
      <c r="A57" s="2" t="n">
        <v>7</v>
      </c>
      <c r="B57" s="2" t="n">
        <v>8</v>
      </c>
      <c r="C57" s="3" t="inlineStr">
        <is>
          <t>郑十</t>
        </is>
      </c>
      <c r="D57" s="3" t="inlineStr">
        <is>
          <t>销售部</t>
        </is>
      </c>
      <c r="E57" s="3" t="inlineStr">
        <is>
          <t>销售代表</t>
        </is>
      </c>
      <c r="F57" s="2" t="n">
        <v>22</v>
      </c>
      <c r="G57" s="2" t="n">
        <v>2</v>
      </c>
      <c r="H57" s="2" t="n">
        <v>1022</v>
      </c>
      <c r="I57" s="2" t="n">
        <v>7500</v>
      </c>
      <c r="J57" s="2" t="n">
        <v>7240</v>
      </c>
      <c r="K57" s="2" t="n">
        <v>750</v>
      </c>
      <c r="L57" s="2" t="n">
        <v>500</v>
      </c>
      <c r="M57" s="2" t="n">
        <v>300</v>
      </c>
      <c r="N57" s="2" t="n">
        <v>200</v>
      </c>
      <c r="O57" s="2" t="n">
        <v>17512</v>
      </c>
      <c r="P57" s="2" t="n">
        <v>0</v>
      </c>
      <c r="Q57" s="2" t="n">
        <v>0</v>
      </c>
      <c r="R57" s="2" t="n">
        <v>600</v>
      </c>
      <c r="S57" s="2" t="n">
        <v>900</v>
      </c>
      <c r="T57" s="2" t="n">
        <v>891</v>
      </c>
      <c r="U57" s="2" t="n">
        <v>2391</v>
      </c>
      <c r="V57" s="2" t="n">
        <v>15121</v>
      </c>
      <c r="W57" s="2" t="n">
        <v>14230</v>
      </c>
      <c r="X57" s="3" t="inlineStr">
        <is>
          <t>已发放</t>
        </is>
      </c>
      <c r="Y57" s="3" t="n"/>
      <c r="Z57" s="3" t="inlineStr">
        <is>
          <t>完整年度工资管理系统_2019.xlsx!七月!A9:X9</t>
        </is>
      </c>
    </row>
    <row r="58" ht="30" customHeight="1">
      <c r="A58" s="2" t="n">
        <v>8</v>
      </c>
      <c r="B58" s="2" t="n">
        <v>1</v>
      </c>
      <c r="C58" s="3" t="inlineStr">
        <is>
          <t>张三</t>
        </is>
      </c>
      <c r="D58" s="3" t="inlineStr">
        <is>
          <t>技术部</t>
        </is>
      </c>
      <c r="E58" s="3" t="inlineStr">
        <is>
          <t>软件工程师</t>
        </is>
      </c>
      <c r="F58" s="2" t="n">
        <v>22</v>
      </c>
      <c r="G58" s="2" t="n">
        <v>0</v>
      </c>
      <c r="H58" s="2" t="n">
        <v>0</v>
      </c>
      <c r="I58" s="2" t="n">
        <v>8000</v>
      </c>
      <c r="J58" s="2" t="n">
        <v>7973</v>
      </c>
      <c r="K58" s="2" t="n">
        <v>800</v>
      </c>
      <c r="L58" s="2" t="n">
        <v>500</v>
      </c>
      <c r="M58" s="2" t="n">
        <v>300</v>
      </c>
      <c r="N58" s="2" t="n">
        <v>600</v>
      </c>
      <c r="O58" s="2" t="n">
        <v>18173</v>
      </c>
      <c r="P58" s="2" t="n">
        <v>727</v>
      </c>
      <c r="Q58" s="2" t="n">
        <v>0</v>
      </c>
      <c r="R58" s="2" t="n">
        <v>640</v>
      </c>
      <c r="S58" s="2" t="n">
        <v>960</v>
      </c>
      <c r="T58" s="2" t="n">
        <v>947</v>
      </c>
      <c r="U58" s="2" t="n">
        <v>3274</v>
      </c>
      <c r="V58" s="2" t="n">
        <v>14899</v>
      </c>
      <c r="W58" s="2" t="n">
        <v>13952</v>
      </c>
      <c r="X58" s="3" t="inlineStr">
        <is>
          <t>已发放</t>
        </is>
      </c>
      <c r="Y58" s="3" t="n"/>
      <c r="Z58" s="3" t="inlineStr">
        <is>
          <t>完整年度工资管理系统_2019.xlsx!八月!A2:X2</t>
        </is>
      </c>
    </row>
    <row r="59" ht="30" customHeight="1">
      <c r="A59" s="2" t="n">
        <v>8</v>
      </c>
      <c r="B59" s="2" t="n">
        <v>2</v>
      </c>
      <c r="C59" s="3" t="inlineStr">
        <is>
          <t>李四</t>
        </is>
      </c>
      <c r="D59" s="3" t="inlineStr">
        <is>
          <t>财务部</t>
        </is>
      </c>
      <c r="E59" s="3" t="inlineStr">
        <is>
          <t>会计</t>
        </is>
      </c>
      <c r="F59" s="2" t="n">
        <v>22</v>
      </c>
      <c r="G59" s="2" t="n">
        <v>2</v>
      </c>
      <c r="H59" s="2" t="n">
        <v>886</v>
      </c>
      <c r="I59" s="2" t="n">
        <v>6500</v>
      </c>
      <c r="J59" s="2" t="n">
        <v>7525</v>
      </c>
      <c r="K59" s="2" t="n">
        <v>650</v>
      </c>
      <c r="L59" s="2" t="n">
        <v>500</v>
      </c>
      <c r="M59" s="2" t="n">
        <v>300</v>
      </c>
      <c r="N59" s="2" t="n">
        <v>400</v>
      </c>
      <c r="O59" s="2" t="n">
        <v>16761</v>
      </c>
      <c r="P59" s="2" t="n">
        <v>590</v>
      </c>
      <c r="Q59" s="2" t="n">
        <v>0</v>
      </c>
      <c r="R59" s="2" t="n">
        <v>520</v>
      </c>
      <c r="S59" s="2" t="n">
        <v>780</v>
      </c>
      <c r="T59" s="2" t="n">
        <v>836</v>
      </c>
      <c r="U59" s="2" t="n">
        <v>2726</v>
      </c>
      <c r="V59" s="2" t="n">
        <v>14035</v>
      </c>
      <c r="W59" s="2" t="n">
        <v>13199</v>
      </c>
      <c r="X59" s="3" t="inlineStr">
        <is>
          <t>已发放</t>
        </is>
      </c>
      <c r="Y59" s="3" t="n"/>
      <c r="Z59" s="3" t="inlineStr">
        <is>
          <t>完整年度工资管理系统_2019.xlsx!八月!A3:X3</t>
        </is>
      </c>
    </row>
    <row r="60" ht="30" customHeight="1">
      <c r="A60" s="2" t="n">
        <v>8</v>
      </c>
      <c r="B60" s="2" t="n">
        <v>3</v>
      </c>
      <c r="C60" s="3" t="inlineStr">
        <is>
          <t>王五</t>
        </is>
      </c>
      <c r="D60" s="3" t="inlineStr">
        <is>
          <t>销售部</t>
        </is>
      </c>
      <c r="E60" s="3" t="inlineStr">
        <is>
          <t>销售主管</t>
        </is>
      </c>
      <c r="F60" s="2" t="n">
        <v>22</v>
      </c>
      <c r="G60" s="2" t="n">
        <v>0</v>
      </c>
      <c r="H60" s="2" t="n">
        <v>0</v>
      </c>
      <c r="I60" s="2" t="n">
        <v>9000</v>
      </c>
      <c r="J60" s="2" t="n">
        <v>8787</v>
      </c>
      <c r="K60" s="2" t="n">
        <v>900</v>
      </c>
      <c r="L60" s="2" t="n">
        <v>500</v>
      </c>
      <c r="M60" s="2" t="n">
        <v>300</v>
      </c>
      <c r="N60" s="2" t="n">
        <v>200</v>
      </c>
      <c r="O60" s="2" t="n">
        <v>19687</v>
      </c>
      <c r="P60" s="2" t="n">
        <v>818</v>
      </c>
      <c r="Q60" s="2" t="n">
        <v>0</v>
      </c>
      <c r="R60" s="2" t="n">
        <v>720</v>
      </c>
      <c r="S60" s="2" t="n">
        <v>1080</v>
      </c>
      <c r="T60" s="2" t="n">
        <v>1167</v>
      </c>
      <c r="U60" s="2" t="n">
        <v>3785</v>
      </c>
      <c r="V60" s="2" t="n">
        <v>15902</v>
      </c>
      <c r="W60" s="2" t="n">
        <v>14735</v>
      </c>
      <c r="X60" s="3" t="inlineStr">
        <is>
          <t>已发放</t>
        </is>
      </c>
      <c r="Y60" s="3" t="n"/>
      <c r="Z60" s="3" t="inlineStr">
        <is>
          <t>完整年度工资管理系统_2019.xlsx!八月!A4:X4</t>
        </is>
      </c>
    </row>
    <row r="61" ht="30" customHeight="1">
      <c r="A61" s="2" t="n">
        <v>8</v>
      </c>
      <c r="B61" s="2" t="n">
        <v>4</v>
      </c>
      <c r="C61" s="3" t="inlineStr">
        <is>
          <t>赵六</t>
        </is>
      </c>
      <c r="D61" s="3" t="inlineStr">
        <is>
          <t>人事部</t>
        </is>
      </c>
      <c r="E61" s="3" t="inlineStr">
        <is>
          <t>招聘专员</t>
        </is>
      </c>
      <c r="F61" s="2" t="n">
        <v>22</v>
      </c>
      <c r="G61" s="2" t="n">
        <v>3</v>
      </c>
      <c r="H61" s="2" t="n">
        <v>1227</v>
      </c>
      <c r="I61" s="2" t="n">
        <v>6000</v>
      </c>
      <c r="J61" s="2" t="n">
        <v>6845</v>
      </c>
      <c r="K61" s="2" t="n">
        <v>600</v>
      </c>
      <c r="L61" s="2" t="n">
        <v>500</v>
      </c>
      <c r="M61" s="2" t="n">
        <v>300</v>
      </c>
      <c r="N61" s="2" t="n">
        <v>200</v>
      </c>
      <c r="O61" s="2" t="n">
        <v>15672</v>
      </c>
      <c r="P61" s="2" t="n">
        <v>0</v>
      </c>
      <c r="Q61" s="2" t="n">
        <v>50</v>
      </c>
      <c r="R61" s="2" t="n">
        <v>480</v>
      </c>
      <c r="S61" s="2" t="n">
        <v>720</v>
      </c>
      <c r="T61" s="2" t="n">
        <v>737</v>
      </c>
      <c r="U61" s="2" t="n">
        <v>1987</v>
      </c>
      <c r="V61" s="2" t="n">
        <v>13685</v>
      </c>
      <c r="W61" s="2" t="n">
        <v>12948</v>
      </c>
      <c r="X61" s="3" t="inlineStr">
        <is>
          <t>已发放</t>
        </is>
      </c>
      <c r="Y61" s="3" t="n"/>
      <c r="Z61" s="3" t="inlineStr">
        <is>
          <t>完整年度工资管理系统_2019.xlsx!八月!A5:X5</t>
        </is>
      </c>
    </row>
    <row r="62" ht="30" customHeight="1">
      <c r="A62" s="2" t="n">
        <v>8</v>
      </c>
      <c r="B62" s="2" t="n">
        <v>5</v>
      </c>
      <c r="C62" s="3" t="inlineStr">
        <is>
          <t>孙七</t>
        </is>
      </c>
      <c r="D62" s="3" t="inlineStr">
        <is>
          <t>行政部</t>
        </is>
      </c>
      <c r="E62" s="3" t="inlineStr">
        <is>
          <t>行政专员</t>
        </is>
      </c>
      <c r="F62" s="2" t="n">
        <v>22</v>
      </c>
      <c r="G62" s="2" t="n">
        <v>3</v>
      </c>
      <c r="H62" s="2" t="n">
        <v>1022</v>
      </c>
      <c r="I62" s="2" t="n">
        <v>5000</v>
      </c>
      <c r="J62" s="2" t="n">
        <v>5681</v>
      </c>
      <c r="K62" s="2" t="n">
        <v>500</v>
      </c>
      <c r="L62" s="2" t="n">
        <v>500</v>
      </c>
      <c r="M62" s="2" t="n">
        <v>300</v>
      </c>
      <c r="N62" s="2" t="n">
        <v>200</v>
      </c>
      <c r="O62" s="2" t="n">
        <v>13203</v>
      </c>
      <c r="P62" s="2" t="n">
        <v>0</v>
      </c>
      <c r="Q62" s="2" t="n">
        <v>50</v>
      </c>
      <c r="R62" s="2" t="n">
        <v>400</v>
      </c>
      <c r="S62" s="2" t="n">
        <v>600</v>
      </c>
      <c r="T62" s="2" t="n">
        <v>510</v>
      </c>
      <c r="U62" s="2" t="n">
        <v>1560</v>
      </c>
      <c r="V62" s="2" t="n">
        <v>11643</v>
      </c>
      <c r="W62" s="2" t="n">
        <v>11133</v>
      </c>
      <c r="X62" s="3" t="inlineStr">
        <is>
          <t>已发放</t>
        </is>
      </c>
      <c r="Y62" s="3" t="n"/>
      <c r="Z62" s="3" t="inlineStr">
        <is>
          <t>完整年度工资管理系统_2019.xlsx!八月!A6:X6</t>
        </is>
      </c>
    </row>
    <row r="63" ht="30" customHeight="1">
      <c r="A63" s="2" t="n">
        <v>8</v>
      </c>
      <c r="B63" s="2" t="n">
        <v>6</v>
      </c>
      <c r="C63" s="3" t="inlineStr">
        <is>
          <t>周八</t>
        </is>
      </c>
      <c r="D63" s="3" t="inlineStr">
        <is>
          <t>技术部</t>
        </is>
      </c>
      <c r="E63" s="3" t="inlineStr">
        <is>
          <t>测试工程师</t>
        </is>
      </c>
      <c r="F63" s="2" t="n">
        <v>22</v>
      </c>
      <c r="G63" s="2" t="n">
        <v>0</v>
      </c>
      <c r="H63" s="2" t="n">
        <v>0</v>
      </c>
      <c r="I63" s="2" t="n">
        <v>7000</v>
      </c>
      <c r="J63" s="2" t="n">
        <v>7488</v>
      </c>
      <c r="K63" s="2" t="n">
        <v>700</v>
      </c>
      <c r="L63" s="2" t="n">
        <v>500</v>
      </c>
      <c r="M63" s="2" t="n">
        <v>300</v>
      </c>
      <c r="N63" s="2" t="n">
        <v>200</v>
      </c>
      <c r="O63" s="2" t="n">
        <v>16188</v>
      </c>
      <c r="P63" s="2" t="n">
        <v>636</v>
      </c>
      <c r="Q63" s="2" t="n">
        <v>50</v>
      </c>
      <c r="R63" s="2" t="n">
        <v>560</v>
      </c>
      <c r="S63" s="2" t="n">
        <v>840</v>
      </c>
      <c r="T63" s="2" t="n">
        <v>768</v>
      </c>
      <c r="U63" s="2" t="n">
        <v>2854</v>
      </c>
      <c r="V63" s="2" t="n">
        <v>13334</v>
      </c>
      <c r="W63" s="2" t="n">
        <v>12566</v>
      </c>
      <c r="X63" s="3" t="inlineStr">
        <is>
          <t>已发放</t>
        </is>
      </c>
      <c r="Y63" s="3" t="n"/>
      <c r="Z63" s="3" t="inlineStr">
        <is>
          <t>完整年度工资管理系统_2019.xlsx!八月!A7:X7</t>
        </is>
      </c>
    </row>
    <row r="64" ht="30" customHeight="1">
      <c r="A64" s="2" t="n">
        <v>8</v>
      </c>
      <c r="B64" s="2" t="n">
        <v>7</v>
      </c>
      <c r="C64" s="3" t="inlineStr">
        <is>
          <t>吴九</t>
        </is>
      </c>
      <c r="D64" s="3" t="inlineStr">
        <is>
          <t>财务部</t>
        </is>
      </c>
      <c r="E64" s="3" t="inlineStr">
        <is>
          <t>出纳</t>
        </is>
      </c>
      <c r="F64" s="2" t="n">
        <v>22</v>
      </c>
      <c r="G64" s="2" t="n">
        <v>2</v>
      </c>
      <c r="H64" s="2" t="n">
        <v>750</v>
      </c>
      <c r="I64" s="2" t="n">
        <v>5500</v>
      </c>
      <c r="J64" s="2" t="n">
        <v>5488</v>
      </c>
      <c r="K64" s="2" t="n">
        <v>550</v>
      </c>
      <c r="L64" s="2" t="n">
        <v>500</v>
      </c>
      <c r="M64" s="2" t="n">
        <v>300</v>
      </c>
      <c r="N64" s="2" t="n">
        <v>200</v>
      </c>
      <c r="O64" s="2" t="n">
        <v>13288</v>
      </c>
      <c r="P64" s="2" t="n">
        <v>0</v>
      </c>
      <c r="Q64" s="2" t="n">
        <v>0</v>
      </c>
      <c r="R64" s="2" t="n">
        <v>440</v>
      </c>
      <c r="S64" s="2" t="n">
        <v>660</v>
      </c>
      <c r="T64" s="2" t="n">
        <v>508</v>
      </c>
      <c r="U64" s="2" t="n">
        <v>1608</v>
      </c>
      <c r="V64" s="2" t="n">
        <v>11680</v>
      </c>
      <c r="W64" s="2" t="n">
        <v>11172</v>
      </c>
      <c r="X64" s="3" t="inlineStr">
        <is>
          <t>已发放</t>
        </is>
      </c>
      <c r="Y64" s="3" t="n"/>
      <c r="Z64" s="3" t="inlineStr">
        <is>
          <t>完整年度工资管理系统_2019.xlsx!八月!A8:X8</t>
        </is>
      </c>
    </row>
    <row r="65" ht="30" customHeight="1">
      <c r="A65" s="2" t="n">
        <v>8</v>
      </c>
      <c r="B65" s="2" t="n">
        <v>8</v>
      </c>
      <c r="C65" s="3" t="inlineStr">
        <is>
          <t>郑十</t>
        </is>
      </c>
      <c r="D65" s="3" t="inlineStr">
        <is>
          <t>销售部</t>
        </is>
      </c>
      <c r="E65" s="3" t="inlineStr">
        <is>
          <t>销售代表</t>
        </is>
      </c>
      <c r="F65" s="2" t="n">
        <v>22</v>
      </c>
      <c r="G65" s="2" t="n">
        <v>3</v>
      </c>
      <c r="H65" s="2" t="n">
        <v>1534</v>
      </c>
      <c r="I65" s="2" t="n">
        <v>7500</v>
      </c>
      <c r="J65" s="2" t="n">
        <v>8032</v>
      </c>
      <c r="K65" s="2" t="n">
        <v>750</v>
      </c>
      <c r="L65" s="2" t="n">
        <v>500</v>
      </c>
      <c r="M65" s="2" t="n">
        <v>300</v>
      </c>
      <c r="N65" s="2" t="n">
        <v>200</v>
      </c>
      <c r="O65" s="2" t="n">
        <v>18816</v>
      </c>
      <c r="P65" s="2" t="n">
        <v>681</v>
      </c>
      <c r="Q65" s="2" t="n">
        <v>0</v>
      </c>
      <c r="R65" s="2" t="n">
        <v>600</v>
      </c>
      <c r="S65" s="2" t="n">
        <v>900</v>
      </c>
      <c r="T65" s="2" t="n">
        <v>1053</v>
      </c>
      <c r="U65" s="2" t="n">
        <v>3234</v>
      </c>
      <c r="V65" s="2" t="n">
        <v>15582</v>
      </c>
      <c r="W65" s="2" t="n">
        <v>14529</v>
      </c>
      <c r="X65" s="3" t="inlineStr">
        <is>
          <t>已发放</t>
        </is>
      </c>
      <c r="Y65" s="3" t="n"/>
      <c r="Z65" s="3" t="inlineStr">
        <is>
          <t>完整年度工资管理系统_2019.xlsx!八月!A9:X9</t>
        </is>
      </c>
    </row>
    <row r="66" ht="30" customHeight="1">
      <c r="A66" s="2" t="n">
        <v>9</v>
      </c>
      <c r="B66" s="2" t="n">
        <v>1</v>
      </c>
      <c r="C66" s="3" t="inlineStr">
        <is>
          <t>张三</t>
        </is>
      </c>
      <c r="D66" s="3" t="inlineStr">
        <is>
          <t>技术部</t>
        </is>
      </c>
      <c r="E66" s="3" t="inlineStr">
        <is>
          <t>软件工程师</t>
        </is>
      </c>
      <c r="F66" s="2" t="n">
        <v>22</v>
      </c>
      <c r="G66" s="2" t="n">
        <v>3</v>
      </c>
      <c r="H66" s="2" t="n">
        <v>1636</v>
      </c>
      <c r="I66" s="2" t="n">
        <v>8000</v>
      </c>
      <c r="J66" s="2" t="n">
        <v>8894</v>
      </c>
      <c r="K66" s="2" t="n">
        <v>800</v>
      </c>
      <c r="L66" s="2" t="n">
        <v>500</v>
      </c>
      <c r="M66" s="2" t="n">
        <v>300</v>
      </c>
      <c r="N66" s="2" t="n">
        <v>600</v>
      </c>
      <c r="O66" s="2" t="n">
        <v>20730</v>
      </c>
      <c r="P66" s="2" t="n">
        <v>727</v>
      </c>
      <c r="Q66" s="2" t="n">
        <v>50</v>
      </c>
      <c r="R66" s="2" t="n">
        <v>640</v>
      </c>
      <c r="S66" s="2" t="n">
        <v>960</v>
      </c>
      <c r="T66" s="2" t="n">
        <v>1416</v>
      </c>
      <c r="U66" s="2" t="n">
        <v>3793</v>
      </c>
      <c r="V66" s="2" t="n">
        <v>16937</v>
      </c>
      <c r="W66" s="2" t="n">
        <v>15521</v>
      </c>
      <c r="X66" s="3" t="inlineStr">
        <is>
          <t>已发放</t>
        </is>
      </c>
      <c r="Y66" s="3" t="n"/>
      <c r="Z66" s="3" t="inlineStr">
        <is>
          <t>完整年度工资管理系统_2019.xlsx!九月!A2:X2</t>
        </is>
      </c>
    </row>
    <row r="67" ht="30" customHeight="1">
      <c r="A67" s="2" t="n">
        <v>9</v>
      </c>
      <c r="B67" s="2" t="n">
        <v>2</v>
      </c>
      <c r="C67" s="3" t="inlineStr">
        <is>
          <t>李四</t>
        </is>
      </c>
      <c r="D67" s="3" t="inlineStr">
        <is>
          <t>财务部</t>
        </is>
      </c>
      <c r="E67" s="3" t="inlineStr">
        <is>
          <t>会计</t>
        </is>
      </c>
      <c r="F67" s="2" t="n">
        <v>22</v>
      </c>
      <c r="G67" s="2" t="n">
        <v>1</v>
      </c>
      <c r="H67" s="2" t="n">
        <v>443</v>
      </c>
      <c r="I67" s="2" t="n">
        <v>6500</v>
      </c>
      <c r="J67" s="2" t="n">
        <v>6349</v>
      </c>
      <c r="K67" s="2" t="n">
        <v>650</v>
      </c>
      <c r="L67" s="2" t="n">
        <v>500</v>
      </c>
      <c r="M67" s="2" t="n">
        <v>300</v>
      </c>
      <c r="N67" s="2" t="n">
        <v>400</v>
      </c>
      <c r="O67" s="2" t="n">
        <v>15142</v>
      </c>
      <c r="P67" s="2" t="n">
        <v>590</v>
      </c>
      <c r="Q67" s="2" t="n">
        <v>0</v>
      </c>
      <c r="R67" s="2" t="n">
        <v>520</v>
      </c>
      <c r="S67" s="2" t="n">
        <v>780</v>
      </c>
      <c r="T67" s="2" t="n">
        <v>674</v>
      </c>
      <c r="U67" s="2" t="n">
        <v>2564</v>
      </c>
      <c r="V67" s="2" t="n">
        <v>12578</v>
      </c>
      <c r="W67" s="2" t="n">
        <v>11904</v>
      </c>
      <c r="X67" s="3" t="inlineStr">
        <is>
          <t>已发放</t>
        </is>
      </c>
      <c r="Y67" s="3" t="n"/>
      <c r="Z67" s="3" t="inlineStr">
        <is>
          <t>完整年度工资管理系统_2019.xlsx!九月!A3:X3</t>
        </is>
      </c>
    </row>
    <row r="68" ht="30" customHeight="1">
      <c r="A68" s="2" t="n">
        <v>9</v>
      </c>
      <c r="B68" s="2" t="n">
        <v>3</v>
      </c>
      <c r="C68" s="3" t="inlineStr">
        <is>
          <t>王五</t>
        </is>
      </c>
      <c r="D68" s="3" t="inlineStr">
        <is>
          <t>销售部</t>
        </is>
      </c>
      <c r="E68" s="3" t="inlineStr">
        <is>
          <t>销售主管</t>
        </is>
      </c>
      <c r="F68" s="2" t="n">
        <v>22</v>
      </c>
      <c r="G68" s="2" t="n">
        <v>2</v>
      </c>
      <c r="H68" s="2" t="n">
        <v>1227</v>
      </c>
      <c r="I68" s="2" t="n">
        <v>9000</v>
      </c>
      <c r="J68" s="2" t="n">
        <v>9477</v>
      </c>
      <c r="K68" s="2" t="n">
        <v>900</v>
      </c>
      <c r="L68" s="2" t="n">
        <v>500</v>
      </c>
      <c r="M68" s="2" t="n">
        <v>300</v>
      </c>
      <c r="N68" s="2" t="n">
        <v>200</v>
      </c>
      <c r="O68" s="2" t="n">
        <v>21604</v>
      </c>
      <c r="P68" s="2" t="n">
        <v>818</v>
      </c>
      <c r="Q68" s="2" t="n">
        <v>100</v>
      </c>
      <c r="R68" s="2" t="n">
        <v>720</v>
      </c>
      <c r="S68" s="2" t="n">
        <v>1080</v>
      </c>
      <c r="T68" s="2" t="n">
        <v>1550</v>
      </c>
      <c r="U68" s="2" t="n">
        <v>4268</v>
      </c>
      <c r="V68" s="2" t="n">
        <v>17336</v>
      </c>
      <c r="W68" s="2" t="n">
        <v>15786</v>
      </c>
      <c r="X68" s="3" t="inlineStr">
        <is>
          <t>已发放</t>
        </is>
      </c>
      <c r="Y68" s="3" t="n"/>
      <c r="Z68" s="3" t="inlineStr">
        <is>
          <t>完整年度工资管理系统_2019.xlsx!九月!A4:X4</t>
        </is>
      </c>
    </row>
    <row r="69" ht="30" customHeight="1">
      <c r="A69" s="2" t="n">
        <v>9</v>
      </c>
      <c r="B69" s="2" t="n">
        <v>4</v>
      </c>
      <c r="C69" s="3" t="inlineStr">
        <is>
          <t>赵六</t>
        </is>
      </c>
      <c r="D69" s="3" t="inlineStr">
        <is>
          <t>人事部</t>
        </is>
      </c>
      <c r="E69" s="3" t="inlineStr">
        <is>
          <t>招聘专员</t>
        </is>
      </c>
      <c r="F69" s="2" t="n">
        <v>22</v>
      </c>
      <c r="G69" s="2" t="n">
        <v>1</v>
      </c>
      <c r="H69" s="2" t="n">
        <v>409</v>
      </c>
      <c r="I69" s="2" t="n">
        <v>6000</v>
      </c>
      <c r="J69" s="2" t="n">
        <v>4870</v>
      </c>
      <c r="K69" s="2" t="n">
        <v>600</v>
      </c>
      <c r="L69" s="2" t="n">
        <v>500</v>
      </c>
      <c r="M69" s="2" t="n">
        <v>300</v>
      </c>
      <c r="N69" s="2" t="n">
        <v>200</v>
      </c>
      <c r="O69" s="2" t="n">
        <v>12879</v>
      </c>
      <c r="P69" s="2" t="n">
        <v>0</v>
      </c>
      <c r="Q69" s="2" t="n">
        <v>100</v>
      </c>
      <c r="R69" s="2" t="n">
        <v>480</v>
      </c>
      <c r="S69" s="2" t="n">
        <v>720</v>
      </c>
      <c r="T69" s="2" t="n">
        <v>457</v>
      </c>
      <c r="U69" s="2" t="n">
        <v>1757</v>
      </c>
      <c r="V69" s="2" t="n">
        <v>11122</v>
      </c>
      <c r="W69" s="2" t="n">
        <v>10665</v>
      </c>
      <c r="X69" s="3" t="inlineStr">
        <is>
          <t>已发放</t>
        </is>
      </c>
      <c r="Y69" s="3" t="n"/>
      <c r="Z69" s="3" t="inlineStr">
        <is>
          <t>完整年度工资管理系统_2019.xlsx!九月!A5:X5</t>
        </is>
      </c>
    </row>
    <row r="70" ht="30" customHeight="1">
      <c r="A70" s="2" t="n">
        <v>9</v>
      </c>
      <c r="B70" s="2" t="n">
        <v>5</v>
      </c>
      <c r="C70" s="3" t="inlineStr">
        <is>
          <t>孙七</t>
        </is>
      </c>
      <c r="D70" s="3" t="inlineStr">
        <is>
          <t>行政部</t>
        </is>
      </c>
      <c r="E70" s="3" t="inlineStr">
        <is>
          <t>行政专员</t>
        </is>
      </c>
      <c r="F70" s="2" t="n">
        <v>22</v>
      </c>
      <c r="G70" s="2" t="n">
        <v>0</v>
      </c>
      <c r="H70" s="2" t="n">
        <v>0</v>
      </c>
      <c r="I70" s="2" t="n">
        <v>5000</v>
      </c>
      <c r="J70" s="2" t="n">
        <v>5106</v>
      </c>
      <c r="K70" s="2" t="n">
        <v>500</v>
      </c>
      <c r="L70" s="2" t="n">
        <v>500</v>
      </c>
      <c r="M70" s="2" t="n">
        <v>300</v>
      </c>
      <c r="N70" s="2" t="n">
        <v>200</v>
      </c>
      <c r="O70" s="2" t="n">
        <v>11606</v>
      </c>
      <c r="P70" s="2" t="n">
        <v>454</v>
      </c>
      <c r="Q70" s="2" t="n">
        <v>50</v>
      </c>
      <c r="R70" s="2" t="n">
        <v>400</v>
      </c>
      <c r="S70" s="2" t="n">
        <v>600</v>
      </c>
      <c r="T70" s="2" t="n">
        <v>350</v>
      </c>
      <c r="U70" s="2" t="n">
        <v>1854</v>
      </c>
      <c r="V70" s="2" t="n">
        <v>9752</v>
      </c>
      <c r="W70" s="2" t="n">
        <v>9402</v>
      </c>
      <c r="X70" s="3" t="inlineStr">
        <is>
          <t>已发放</t>
        </is>
      </c>
      <c r="Y70" s="3" t="n"/>
      <c r="Z70" s="3" t="inlineStr">
        <is>
          <t>完整年度工资管理系统_2019.xlsx!九月!A6:X6</t>
        </is>
      </c>
    </row>
    <row r="71" ht="30" customHeight="1">
      <c r="A71" s="2" t="n">
        <v>9</v>
      </c>
      <c r="B71" s="2" t="n">
        <v>6</v>
      </c>
      <c r="C71" s="3" t="inlineStr">
        <is>
          <t>周八</t>
        </is>
      </c>
      <c r="D71" s="3" t="inlineStr">
        <is>
          <t>技术部</t>
        </is>
      </c>
      <c r="E71" s="3" t="inlineStr">
        <is>
          <t>测试工程师</t>
        </is>
      </c>
      <c r="F71" s="2" t="n">
        <v>22</v>
      </c>
      <c r="G71" s="2" t="n">
        <v>1</v>
      </c>
      <c r="H71" s="2" t="n">
        <v>477</v>
      </c>
      <c r="I71" s="2" t="n">
        <v>7000</v>
      </c>
      <c r="J71" s="2" t="n">
        <v>7146</v>
      </c>
      <c r="K71" s="2" t="n">
        <v>700</v>
      </c>
      <c r="L71" s="2" t="n">
        <v>500</v>
      </c>
      <c r="M71" s="2" t="n">
        <v>300</v>
      </c>
      <c r="N71" s="2" t="n">
        <v>200</v>
      </c>
      <c r="O71" s="2" t="n">
        <v>16323</v>
      </c>
      <c r="P71" s="2" t="n">
        <v>0</v>
      </c>
      <c r="Q71" s="2" t="n">
        <v>50</v>
      </c>
      <c r="R71" s="2" t="n">
        <v>560</v>
      </c>
      <c r="S71" s="2" t="n">
        <v>840</v>
      </c>
      <c r="T71" s="2" t="n">
        <v>782</v>
      </c>
      <c r="U71" s="2" t="n">
        <v>2232</v>
      </c>
      <c r="V71" s="2" t="n">
        <v>14091</v>
      </c>
      <c r="W71" s="2" t="n">
        <v>13309</v>
      </c>
      <c r="X71" s="3" t="inlineStr">
        <is>
          <t>已发放</t>
        </is>
      </c>
      <c r="Y71" s="3" t="n"/>
      <c r="Z71" s="3" t="inlineStr">
        <is>
          <t>完整年度工资管理系统_2019.xlsx!九月!A7:X7</t>
        </is>
      </c>
    </row>
    <row r="72" ht="30" customHeight="1">
      <c r="A72" s="2" t="n">
        <v>9</v>
      </c>
      <c r="B72" s="2" t="n">
        <v>7</v>
      </c>
      <c r="C72" s="3" t="inlineStr">
        <is>
          <t>吴九</t>
        </is>
      </c>
      <c r="D72" s="3" t="inlineStr">
        <is>
          <t>财务部</t>
        </is>
      </c>
      <c r="E72" s="3" t="inlineStr">
        <is>
          <t>出纳</t>
        </is>
      </c>
      <c r="F72" s="2" t="n">
        <v>22</v>
      </c>
      <c r="G72" s="2" t="n">
        <v>1</v>
      </c>
      <c r="H72" s="2" t="n">
        <v>375</v>
      </c>
      <c r="I72" s="2" t="n">
        <v>5500</v>
      </c>
      <c r="J72" s="2" t="n">
        <v>6224</v>
      </c>
      <c r="K72" s="2" t="n">
        <v>550</v>
      </c>
      <c r="L72" s="2" t="n">
        <v>500</v>
      </c>
      <c r="M72" s="2" t="n">
        <v>300</v>
      </c>
      <c r="N72" s="2" t="n">
        <v>200</v>
      </c>
      <c r="O72" s="2" t="n">
        <v>13649</v>
      </c>
      <c r="P72" s="2" t="n">
        <v>500</v>
      </c>
      <c r="Q72" s="2" t="n">
        <v>100</v>
      </c>
      <c r="R72" s="2" t="n">
        <v>440</v>
      </c>
      <c r="S72" s="2" t="n">
        <v>660</v>
      </c>
      <c r="T72" s="2" t="n">
        <v>544</v>
      </c>
      <c r="U72" s="2" t="n">
        <v>2244</v>
      </c>
      <c r="V72" s="2" t="n">
        <v>11405</v>
      </c>
      <c r="W72" s="2" t="n">
        <v>10861</v>
      </c>
      <c r="X72" s="3" t="inlineStr">
        <is>
          <t>已发放</t>
        </is>
      </c>
      <c r="Y72" s="3" t="n"/>
      <c r="Z72" s="3" t="inlineStr">
        <is>
          <t>完整年度工资管理系统_2019.xlsx!九月!A8:X8</t>
        </is>
      </c>
    </row>
    <row r="73" ht="30" customHeight="1">
      <c r="A73" s="2" t="n">
        <v>9</v>
      </c>
      <c r="B73" s="2" t="n">
        <v>8</v>
      </c>
      <c r="C73" s="3" t="inlineStr">
        <is>
          <t>郑十</t>
        </is>
      </c>
      <c r="D73" s="3" t="inlineStr">
        <is>
          <t>销售部</t>
        </is>
      </c>
      <c r="E73" s="3" t="inlineStr">
        <is>
          <t>销售代表</t>
        </is>
      </c>
      <c r="F73" s="2" t="n">
        <v>22</v>
      </c>
      <c r="G73" s="2" t="n">
        <v>1</v>
      </c>
      <c r="H73" s="2" t="n">
        <v>511</v>
      </c>
      <c r="I73" s="2" t="n">
        <v>7500</v>
      </c>
      <c r="J73" s="2" t="n">
        <v>7617</v>
      </c>
      <c r="K73" s="2" t="n">
        <v>750</v>
      </c>
      <c r="L73" s="2" t="n">
        <v>500</v>
      </c>
      <c r="M73" s="2" t="n">
        <v>300</v>
      </c>
      <c r="N73" s="2" t="n">
        <v>200</v>
      </c>
      <c r="O73" s="2" t="n">
        <v>17378</v>
      </c>
      <c r="P73" s="2" t="n">
        <v>681</v>
      </c>
      <c r="Q73" s="2" t="n">
        <v>50</v>
      </c>
      <c r="R73" s="2" t="n">
        <v>600</v>
      </c>
      <c r="S73" s="2" t="n">
        <v>900</v>
      </c>
      <c r="T73" s="2" t="n">
        <v>877</v>
      </c>
      <c r="U73" s="2" t="n">
        <v>3108</v>
      </c>
      <c r="V73" s="2" t="n">
        <v>14270</v>
      </c>
      <c r="W73" s="2" t="n">
        <v>13393</v>
      </c>
      <c r="X73" s="3" t="inlineStr">
        <is>
          <t>已发放</t>
        </is>
      </c>
      <c r="Y73" s="3" t="n"/>
      <c r="Z73" s="3" t="inlineStr">
        <is>
          <t>完整年度工资管理系统_2019.xlsx!九月!A9:X9</t>
        </is>
      </c>
    </row>
    <row r="74" ht="30" customHeight="1">
      <c r="A74" s="2" t="n">
        <v>10</v>
      </c>
      <c r="B74" s="2" t="n">
        <v>1</v>
      </c>
      <c r="C74" s="3" t="inlineStr">
        <is>
          <t>张三</t>
        </is>
      </c>
      <c r="D74" s="3" t="inlineStr">
        <is>
          <t>技术部</t>
        </is>
      </c>
      <c r="E74" s="3" t="inlineStr">
        <is>
          <t>软件工程师</t>
        </is>
      </c>
      <c r="F74" s="2" t="n">
        <v>18</v>
      </c>
      <c r="G74" s="2" t="n">
        <v>2</v>
      </c>
      <c r="H74" s="2" t="n">
        <v>1090</v>
      </c>
      <c r="I74" s="2" t="n">
        <v>8000</v>
      </c>
      <c r="J74" s="2" t="n">
        <v>9143</v>
      </c>
      <c r="K74" s="2" t="n">
        <v>800</v>
      </c>
      <c r="L74" s="2" t="n">
        <v>500</v>
      </c>
      <c r="M74" s="2" t="n">
        <v>300</v>
      </c>
      <c r="N74" s="2" t="n">
        <v>600</v>
      </c>
      <c r="O74" s="2" t="n">
        <v>20433</v>
      </c>
      <c r="P74" s="2" t="n">
        <v>727</v>
      </c>
      <c r="Q74" s="2" t="n">
        <v>100</v>
      </c>
      <c r="R74" s="2" t="n">
        <v>640</v>
      </c>
      <c r="S74" s="2" t="n">
        <v>960</v>
      </c>
      <c r="T74" s="2" t="n">
        <v>1356</v>
      </c>
      <c r="U74" s="2" t="n">
        <v>3783</v>
      </c>
      <c r="V74" s="2" t="n">
        <v>16650</v>
      </c>
      <c r="W74" s="2" t="n">
        <v>15294</v>
      </c>
      <c r="X74" s="3" t="inlineStr">
        <is>
          <t>已发放</t>
        </is>
      </c>
      <c r="Y74" s="3" t="n"/>
      <c r="Z74" s="3" t="inlineStr">
        <is>
          <t>完整年度工资管理系统_2019.xlsx!十月!A2:X2</t>
        </is>
      </c>
    </row>
    <row r="75" ht="30" customHeight="1">
      <c r="A75" s="2" t="n">
        <v>10</v>
      </c>
      <c r="B75" s="2" t="n">
        <v>2</v>
      </c>
      <c r="C75" s="3" t="inlineStr">
        <is>
          <t>李四</t>
        </is>
      </c>
      <c r="D75" s="3" t="inlineStr">
        <is>
          <t>财务部</t>
        </is>
      </c>
      <c r="E75" s="3" t="inlineStr">
        <is>
          <t>会计</t>
        </is>
      </c>
      <c r="F75" s="2" t="n">
        <v>18</v>
      </c>
      <c r="G75" s="2" t="n">
        <v>1</v>
      </c>
      <c r="H75" s="2" t="n">
        <v>443</v>
      </c>
      <c r="I75" s="2" t="n">
        <v>6500</v>
      </c>
      <c r="J75" s="2" t="n">
        <v>7394</v>
      </c>
      <c r="K75" s="2" t="n">
        <v>650</v>
      </c>
      <c r="L75" s="2" t="n">
        <v>500</v>
      </c>
      <c r="M75" s="2" t="n">
        <v>300</v>
      </c>
      <c r="N75" s="2" t="n">
        <v>400</v>
      </c>
      <c r="O75" s="2" t="n">
        <v>16187</v>
      </c>
      <c r="P75" s="2" t="n">
        <v>0</v>
      </c>
      <c r="Q75" s="2" t="n">
        <v>100</v>
      </c>
      <c r="R75" s="2" t="n">
        <v>520</v>
      </c>
      <c r="S75" s="2" t="n">
        <v>780</v>
      </c>
      <c r="T75" s="2" t="n">
        <v>778</v>
      </c>
      <c r="U75" s="2" t="n">
        <v>2178</v>
      </c>
      <c r="V75" s="2" t="n">
        <v>14009</v>
      </c>
      <c r="W75" s="2" t="n">
        <v>13231</v>
      </c>
      <c r="X75" s="3" t="inlineStr">
        <is>
          <t>已发放</t>
        </is>
      </c>
      <c r="Y75" s="3" t="n"/>
      <c r="Z75" s="3" t="inlineStr">
        <is>
          <t>完整年度工资管理系统_2019.xlsx!十月!A3:X3</t>
        </is>
      </c>
    </row>
    <row r="76" ht="30" customHeight="1">
      <c r="A76" s="2" t="n">
        <v>10</v>
      </c>
      <c r="B76" s="2" t="n">
        <v>3</v>
      </c>
      <c r="C76" s="3" t="inlineStr">
        <is>
          <t>王五</t>
        </is>
      </c>
      <c r="D76" s="3" t="inlineStr">
        <is>
          <t>销售部</t>
        </is>
      </c>
      <c r="E76" s="3" t="inlineStr">
        <is>
          <t>销售主管</t>
        </is>
      </c>
      <c r="F76" s="2" t="n">
        <v>18</v>
      </c>
      <c r="G76" s="2" t="n">
        <v>0</v>
      </c>
      <c r="H76" s="2" t="n">
        <v>0</v>
      </c>
      <c r="I76" s="2" t="n">
        <v>9000</v>
      </c>
      <c r="J76" s="2" t="n">
        <v>8178</v>
      </c>
      <c r="K76" s="2" t="n">
        <v>900</v>
      </c>
      <c r="L76" s="2" t="n">
        <v>500</v>
      </c>
      <c r="M76" s="2" t="n">
        <v>300</v>
      </c>
      <c r="N76" s="2" t="n">
        <v>200</v>
      </c>
      <c r="O76" s="2" t="n">
        <v>19078</v>
      </c>
      <c r="P76" s="2" t="n">
        <v>0</v>
      </c>
      <c r="Q76" s="2" t="n">
        <v>0</v>
      </c>
      <c r="R76" s="2" t="n">
        <v>720</v>
      </c>
      <c r="S76" s="2" t="n">
        <v>1080</v>
      </c>
      <c r="T76" s="2" t="n">
        <v>1045</v>
      </c>
      <c r="U76" s="2" t="n">
        <v>2845</v>
      </c>
      <c r="V76" s="2" t="n">
        <v>16233</v>
      </c>
      <c r="W76" s="2" t="n">
        <v>15188</v>
      </c>
      <c r="X76" s="3" t="inlineStr">
        <is>
          <t>已发放</t>
        </is>
      </c>
      <c r="Y76" s="3" t="n"/>
      <c r="Z76" s="3" t="inlineStr">
        <is>
          <t>完整年度工资管理系统_2019.xlsx!十月!A4:X4</t>
        </is>
      </c>
    </row>
    <row r="77" ht="30" customHeight="1">
      <c r="A77" s="2" t="n">
        <v>10</v>
      </c>
      <c r="B77" s="2" t="n">
        <v>4</v>
      </c>
      <c r="C77" s="3" t="inlineStr">
        <is>
          <t>赵六</t>
        </is>
      </c>
      <c r="D77" s="3" t="inlineStr">
        <is>
          <t>人事部</t>
        </is>
      </c>
      <c r="E77" s="3" t="inlineStr">
        <is>
          <t>招聘专员</t>
        </is>
      </c>
      <c r="F77" s="2" t="n">
        <v>18</v>
      </c>
      <c r="G77" s="2" t="n">
        <v>2</v>
      </c>
      <c r="H77" s="2" t="n">
        <v>818</v>
      </c>
      <c r="I77" s="2" t="n">
        <v>6000</v>
      </c>
      <c r="J77" s="2" t="n">
        <v>5108</v>
      </c>
      <c r="K77" s="2" t="n">
        <v>600</v>
      </c>
      <c r="L77" s="2" t="n">
        <v>500</v>
      </c>
      <c r="M77" s="2" t="n">
        <v>300</v>
      </c>
      <c r="N77" s="2" t="n">
        <v>200</v>
      </c>
      <c r="O77" s="2" t="n">
        <v>13526</v>
      </c>
      <c r="P77" s="2" t="n">
        <v>0</v>
      </c>
      <c r="Q77" s="2" t="n">
        <v>0</v>
      </c>
      <c r="R77" s="2" t="n">
        <v>480</v>
      </c>
      <c r="S77" s="2" t="n">
        <v>720</v>
      </c>
      <c r="T77" s="2" t="n">
        <v>522</v>
      </c>
      <c r="U77" s="2" t="n">
        <v>1722</v>
      </c>
      <c r="V77" s="2" t="n">
        <v>11804</v>
      </c>
      <c r="W77" s="2" t="n">
        <v>11282</v>
      </c>
      <c r="X77" s="3" t="inlineStr">
        <is>
          <t>已发放</t>
        </is>
      </c>
      <c r="Y77" s="3" t="n"/>
      <c r="Z77" s="3" t="inlineStr">
        <is>
          <t>完整年度工资管理系统_2019.xlsx!十月!A5:X5</t>
        </is>
      </c>
    </row>
    <row r="78" ht="30" customHeight="1">
      <c r="A78" s="2" t="n">
        <v>10</v>
      </c>
      <c r="B78" s="2" t="n">
        <v>5</v>
      </c>
      <c r="C78" s="3" t="inlineStr">
        <is>
          <t>孙七</t>
        </is>
      </c>
      <c r="D78" s="3" t="inlineStr">
        <is>
          <t>行政部</t>
        </is>
      </c>
      <c r="E78" s="3" t="inlineStr">
        <is>
          <t>行政专员</t>
        </is>
      </c>
      <c r="F78" s="2" t="n">
        <v>18</v>
      </c>
      <c r="G78" s="2" t="n">
        <v>2</v>
      </c>
      <c r="H78" s="2" t="n">
        <v>681</v>
      </c>
      <c r="I78" s="2" t="n">
        <v>5000</v>
      </c>
      <c r="J78" s="2" t="n">
        <v>5036</v>
      </c>
      <c r="K78" s="2" t="n">
        <v>500</v>
      </c>
      <c r="L78" s="2" t="n">
        <v>500</v>
      </c>
      <c r="M78" s="2" t="n">
        <v>300</v>
      </c>
      <c r="N78" s="2" t="n">
        <v>200</v>
      </c>
      <c r="O78" s="2" t="n">
        <v>12217</v>
      </c>
      <c r="P78" s="2" t="n">
        <v>454</v>
      </c>
      <c r="Q78" s="2" t="n">
        <v>0</v>
      </c>
      <c r="R78" s="2" t="n">
        <v>400</v>
      </c>
      <c r="S78" s="2" t="n">
        <v>600</v>
      </c>
      <c r="T78" s="2" t="n">
        <v>411</v>
      </c>
      <c r="U78" s="2" t="n">
        <v>1865</v>
      </c>
      <c r="V78" s="2" t="n">
        <v>10352</v>
      </c>
      <c r="W78" s="2" t="n">
        <v>9941</v>
      </c>
      <c r="X78" s="3" t="inlineStr">
        <is>
          <t>已发放</t>
        </is>
      </c>
      <c r="Y78" s="3" t="n"/>
      <c r="Z78" s="3" t="inlineStr">
        <is>
          <t>完整年度工资管理系统_2019.xlsx!十月!A6:X6</t>
        </is>
      </c>
    </row>
    <row r="79" ht="30" customHeight="1">
      <c r="A79" s="2" t="n">
        <v>10</v>
      </c>
      <c r="B79" s="2" t="n">
        <v>6</v>
      </c>
      <c r="C79" s="3" t="inlineStr">
        <is>
          <t>周八</t>
        </is>
      </c>
      <c r="D79" s="3" t="inlineStr">
        <is>
          <t>技术部</t>
        </is>
      </c>
      <c r="E79" s="3" t="inlineStr">
        <is>
          <t>测试工程师</t>
        </is>
      </c>
      <c r="F79" s="2" t="n">
        <v>18</v>
      </c>
      <c r="G79" s="2" t="n">
        <v>1</v>
      </c>
      <c r="H79" s="2" t="n">
        <v>477</v>
      </c>
      <c r="I79" s="2" t="n">
        <v>7000</v>
      </c>
      <c r="J79" s="2" t="n">
        <v>6057</v>
      </c>
      <c r="K79" s="2" t="n">
        <v>700</v>
      </c>
      <c r="L79" s="2" t="n">
        <v>500</v>
      </c>
      <c r="M79" s="2" t="n">
        <v>300</v>
      </c>
      <c r="N79" s="2" t="n">
        <v>200</v>
      </c>
      <c r="O79" s="2" t="n">
        <v>15234</v>
      </c>
      <c r="P79" s="2" t="n">
        <v>636</v>
      </c>
      <c r="Q79" s="2" t="n">
        <v>50</v>
      </c>
      <c r="R79" s="2" t="n">
        <v>560</v>
      </c>
      <c r="S79" s="2" t="n">
        <v>840</v>
      </c>
      <c r="T79" s="2" t="n">
        <v>673</v>
      </c>
      <c r="U79" s="2" t="n">
        <v>2759</v>
      </c>
      <c r="V79" s="2" t="n">
        <v>12475</v>
      </c>
      <c r="W79" s="2" t="n">
        <v>11802</v>
      </c>
      <c r="X79" s="3" t="inlineStr">
        <is>
          <t>已发放</t>
        </is>
      </c>
      <c r="Y79" s="3" t="n"/>
      <c r="Z79" s="3" t="inlineStr">
        <is>
          <t>完整年度工资管理系统_2019.xlsx!十月!A7:X7</t>
        </is>
      </c>
    </row>
    <row r="80" ht="30" customHeight="1">
      <c r="A80" s="2" t="n">
        <v>10</v>
      </c>
      <c r="B80" s="2" t="n">
        <v>7</v>
      </c>
      <c r="C80" s="3" t="inlineStr">
        <is>
          <t>吴九</t>
        </is>
      </c>
      <c r="D80" s="3" t="inlineStr">
        <is>
          <t>财务部</t>
        </is>
      </c>
      <c r="E80" s="3" t="inlineStr">
        <is>
          <t>出纳</t>
        </is>
      </c>
      <c r="F80" s="2" t="n">
        <v>18</v>
      </c>
      <c r="G80" s="2" t="n">
        <v>1</v>
      </c>
      <c r="H80" s="2" t="n">
        <v>375</v>
      </c>
      <c r="I80" s="2" t="n">
        <v>5500</v>
      </c>
      <c r="J80" s="2" t="n">
        <v>6232</v>
      </c>
      <c r="K80" s="2" t="n">
        <v>550</v>
      </c>
      <c r="L80" s="2" t="n">
        <v>500</v>
      </c>
      <c r="M80" s="2" t="n">
        <v>300</v>
      </c>
      <c r="N80" s="2" t="n">
        <v>200</v>
      </c>
      <c r="O80" s="2" t="n">
        <v>13657</v>
      </c>
      <c r="P80" s="2" t="n">
        <v>0</v>
      </c>
      <c r="Q80" s="2" t="n">
        <v>0</v>
      </c>
      <c r="R80" s="2" t="n">
        <v>440</v>
      </c>
      <c r="S80" s="2" t="n">
        <v>660</v>
      </c>
      <c r="T80" s="2" t="n">
        <v>545</v>
      </c>
      <c r="U80" s="2" t="n">
        <v>1645</v>
      </c>
      <c r="V80" s="2" t="n">
        <v>12012</v>
      </c>
      <c r="W80" s="2" t="n">
        <v>11467</v>
      </c>
      <c r="X80" s="3" t="inlineStr">
        <is>
          <t>已发放</t>
        </is>
      </c>
      <c r="Y80" s="3" t="n"/>
      <c r="Z80" s="3" t="inlineStr">
        <is>
          <t>完整年度工资管理系统_2019.xlsx!十月!A8:X8</t>
        </is>
      </c>
    </row>
    <row r="81" ht="30" customHeight="1">
      <c r="A81" s="2" t="n">
        <v>10</v>
      </c>
      <c r="B81" s="2" t="n">
        <v>8</v>
      </c>
      <c r="C81" s="3" t="inlineStr">
        <is>
          <t>郑十</t>
        </is>
      </c>
      <c r="D81" s="3" t="inlineStr">
        <is>
          <t>销售部</t>
        </is>
      </c>
      <c r="E81" s="3" t="inlineStr">
        <is>
          <t>销售代表</t>
        </is>
      </c>
      <c r="F81" s="2" t="n">
        <v>18</v>
      </c>
      <c r="G81" s="2" t="n">
        <v>2</v>
      </c>
      <c r="H81" s="2" t="n">
        <v>1022</v>
      </c>
      <c r="I81" s="2" t="n">
        <v>7500</v>
      </c>
      <c r="J81" s="2" t="n">
        <v>8506</v>
      </c>
      <c r="K81" s="2" t="n">
        <v>750</v>
      </c>
      <c r="L81" s="2" t="n">
        <v>500</v>
      </c>
      <c r="M81" s="2" t="n">
        <v>300</v>
      </c>
      <c r="N81" s="2" t="n">
        <v>200</v>
      </c>
      <c r="O81" s="2" t="n">
        <v>18778</v>
      </c>
      <c r="P81" s="2" t="n">
        <v>681</v>
      </c>
      <c r="Q81" s="2" t="n">
        <v>100</v>
      </c>
      <c r="R81" s="2" t="n">
        <v>600</v>
      </c>
      <c r="S81" s="2" t="n">
        <v>900</v>
      </c>
      <c r="T81" s="2" t="n">
        <v>1045</v>
      </c>
      <c r="U81" s="2" t="n">
        <v>3326</v>
      </c>
      <c r="V81" s="2" t="n">
        <v>15452</v>
      </c>
      <c r="W81" s="2" t="n">
        <v>14407</v>
      </c>
      <c r="X81" s="3" t="inlineStr">
        <is>
          <t>已发放</t>
        </is>
      </c>
      <c r="Y81" s="3" t="n"/>
      <c r="Z81" s="3" t="inlineStr">
        <is>
          <t>完整年度工资管理系统_2019.xlsx!十月!A9:X9</t>
        </is>
      </c>
    </row>
    <row r="82" ht="30" customHeight="1">
      <c r="A82" s="2" t="n">
        <v>11</v>
      </c>
      <c r="B82" s="2" t="n">
        <v>1</v>
      </c>
      <c r="C82" s="3" t="inlineStr">
        <is>
          <t>张三</t>
        </is>
      </c>
      <c r="D82" s="3" t="inlineStr">
        <is>
          <t>技术部</t>
        </is>
      </c>
      <c r="E82" s="3" t="inlineStr">
        <is>
          <t>软件工程师</t>
        </is>
      </c>
      <c r="F82" s="2" t="n">
        <v>22</v>
      </c>
      <c r="G82" s="2" t="n">
        <v>3</v>
      </c>
      <c r="H82" s="2" t="n">
        <v>1636</v>
      </c>
      <c r="I82" s="2" t="n">
        <v>8000</v>
      </c>
      <c r="J82" s="2" t="n">
        <v>8600</v>
      </c>
      <c r="K82" s="2" t="n">
        <v>800</v>
      </c>
      <c r="L82" s="2" t="n">
        <v>500</v>
      </c>
      <c r="M82" s="2" t="n">
        <v>300</v>
      </c>
      <c r="N82" s="2" t="n">
        <v>600</v>
      </c>
      <c r="O82" s="2" t="n">
        <v>20436</v>
      </c>
      <c r="P82" s="2" t="n">
        <v>0</v>
      </c>
      <c r="Q82" s="2" t="n">
        <v>100</v>
      </c>
      <c r="R82" s="2" t="n">
        <v>640</v>
      </c>
      <c r="S82" s="2" t="n">
        <v>960</v>
      </c>
      <c r="T82" s="2" t="n">
        <v>1357</v>
      </c>
      <c r="U82" s="2" t="n">
        <v>3057</v>
      </c>
      <c r="V82" s="2" t="n">
        <v>17379</v>
      </c>
      <c r="W82" s="2" t="n">
        <v>16022</v>
      </c>
      <c r="X82" s="3" t="inlineStr">
        <is>
          <t>已发放</t>
        </is>
      </c>
      <c r="Y82" s="3" t="n"/>
      <c r="Z82" s="3" t="inlineStr">
        <is>
          <t>完整年度工资管理系统_2019.xlsx!十一月!A2:X2</t>
        </is>
      </c>
    </row>
    <row r="83" ht="30" customHeight="1">
      <c r="A83" s="2" t="n">
        <v>11</v>
      </c>
      <c r="B83" s="2" t="n">
        <v>2</v>
      </c>
      <c r="C83" s="3" t="inlineStr">
        <is>
          <t>李四</t>
        </is>
      </c>
      <c r="D83" s="3" t="inlineStr">
        <is>
          <t>财务部</t>
        </is>
      </c>
      <c r="E83" s="3" t="inlineStr">
        <is>
          <t>会计</t>
        </is>
      </c>
      <c r="F83" s="2" t="n">
        <v>22</v>
      </c>
      <c r="G83" s="2" t="n">
        <v>0</v>
      </c>
      <c r="H83" s="2" t="n">
        <v>0</v>
      </c>
      <c r="I83" s="2" t="n">
        <v>6500</v>
      </c>
      <c r="J83" s="2" t="n">
        <v>5931</v>
      </c>
      <c r="K83" s="2" t="n">
        <v>650</v>
      </c>
      <c r="L83" s="2" t="n">
        <v>500</v>
      </c>
      <c r="M83" s="2" t="n">
        <v>300</v>
      </c>
      <c r="N83" s="2" t="n">
        <v>400</v>
      </c>
      <c r="O83" s="2" t="n">
        <v>14281</v>
      </c>
      <c r="P83" s="2" t="n">
        <v>0</v>
      </c>
      <c r="Q83" s="2" t="n">
        <v>0</v>
      </c>
      <c r="R83" s="2" t="n">
        <v>520</v>
      </c>
      <c r="S83" s="2" t="n">
        <v>780</v>
      </c>
      <c r="T83" s="2" t="n">
        <v>588</v>
      </c>
      <c r="U83" s="2" t="n">
        <v>1888</v>
      </c>
      <c r="V83" s="2" t="n">
        <v>12393</v>
      </c>
      <c r="W83" s="2" t="n">
        <v>11805</v>
      </c>
      <c r="X83" s="3" t="inlineStr">
        <is>
          <t>已发放</t>
        </is>
      </c>
      <c r="Y83" s="3" t="n"/>
      <c r="Z83" s="3" t="inlineStr">
        <is>
          <t>完整年度工资管理系统_2019.xlsx!十一月!A3:X3</t>
        </is>
      </c>
    </row>
    <row r="84" ht="30" customHeight="1">
      <c r="A84" s="2" t="n">
        <v>11</v>
      </c>
      <c r="B84" s="2" t="n">
        <v>3</v>
      </c>
      <c r="C84" s="3" t="inlineStr">
        <is>
          <t>王五</t>
        </is>
      </c>
      <c r="D84" s="3" t="inlineStr">
        <is>
          <t>销售部</t>
        </is>
      </c>
      <c r="E84" s="3" t="inlineStr">
        <is>
          <t>销售主管</t>
        </is>
      </c>
      <c r="F84" s="2" t="n">
        <v>22</v>
      </c>
      <c r="G84" s="2" t="n">
        <v>3</v>
      </c>
      <c r="H84" s="2" t="n">
        <v>1840</v>
      </c>
      <c r="I84" s="2" t="n">
        <v>9000</v>
      </c>
      <c r="J84" s="2" t="n">
        <v>9280</v>
      </c>
      <c r="K84" s="2" t="n">
        <v>900</v>
      </c>
      <c r="L84" s="2" t="n">
        <v>500</v>
      </c>
      <c r="M84" s="2" t="n">
        <v>300</v>
      </c>
      <c r="N84" s="2" t="n">
        <v>200</v>
      </c>
      <c r="O84" s="2" t="n">
        <v>22020</v>
      </c>
      <c r="P84" s="2" t="n">
        <v>818</v>
      </c>
      <c r="Q84" s="2" t="n">
        <v>50</v>
      </c>
      <c r="R84" s="2" t="n">
        <v>720</v>
      </c>
      <c r="S84" s="2" t="n">
        <v>1080</v>
      </c>
      <c r="T84" s="2" t="n">
        <v>1634</v>
      </c>
      <c r="U84" s="2" t="n">
        <v>4302</v>
      </c>
      <c r="V84" s="2" t="n">
        <v>17718</v>
      </c>
      <c r="W84" s="2" t="n">
        <v>16084</v>
      </c>
      <c r="X84" s="3" t="inlineStr">
        <is>
          <t>已发放</t>
        </is>
      </c>
      <c r="Y84" s="3" t="n"/>
      <c r="Z84" s="3" t="inlineStr">
        <is>
          <t>完整年度工资管理系统_2019.xlsx!十一月!A4:X4</t>
        </is>
      </c>
    </row>
    <row r="85" ht="30" customHeight="1">
      <c r="A85" s="2" t="n">
        <v>11</v>
      </c>
      <c r="B85" s="2" t="n">
        <v>4</v>
      </c>
      <c r="C85" s="3" t="inlineStr">
        <is>
          <t>赵六</t>
        </is>
      </c>
      <c r="D85" s="3" t="inlineStr">
        <is>
          <t>人事部</t>
        </is>
      </c>
      <c r="E85" s="3" t="inlineStr">
        <is>
          <t>招聘专员</t>
        </is>
      </c>
      <c r="F85" s="2" t="n">
        <v>22</v>
      </c>
      <c r="G85" s="2" t="n">
        <v>3</v>
      </c>
      <c r="H85" s="2" t="n">
        <v>1227</v>
      </c>
      <c r="I85" s="2" t="n">
        <v>6000</v>
      </c>
      <c r="J85" s="2" t="n">
        <v>5144</v>
      </c>
      <c r="K85" s="2" t="n">
        <v>600</v>
      </c>
      <c r="L85" s="2" t="n">
        <v>500</v>
      </c>
      <c r="M85" s="2" t="n">
        <v>300</v>
      </c>
      <c r="N85" s="2" t="n">
        <v>200</v>
      </c>
      <c r="O85" s="2" t="n">
        <v>13971</v>
      </c>
      <c r="P85" s="2" t="n">
        <v>545</v>
      </c>
      <c r="Q85" s="2" t="n">
        <v>50</v>
      </c>
      <c r="R85" s="2" t="n">
        <v>480</v>
      </c>
      <c r="S85" s="2" t="n">
        <v>720</v>
      </c>
      <c r="T85" s="2" t="n">
        <v>567</v>
      </c>
      <c r="U85" s="2" t="n">
        <v>2362</v>
      </c>
      <c r="V85" s="2" t="n">
        <v>11609</v>
      </c>
      <c r="W85" s="2" t="n">
        <v>11042</v>
      </c>
      <c r="X85" s="3" t="inlineStr">
        <is>
          <t>已发放</t>
        </is>
      </c>
      <c r="Y85" s="3" t="n"/>
      <c r="Z85" s="3" t="inlineStr">
        <is>
          <t>完整年度工资管理系统_2019.xlsx!十一月!A5:X5</t>
        </is>
      </c>
    </row>
    <row r="86" ht="30" customHeight="1">
      <c r="A86" s="2" t="n">
        <v>11</v>
      </c>
      <c r="B86" s="2" t="n">
        <v>5</v>
      </c>
      <c r="C86" s="3" t="inlineStr">
        <is>
          <t>孙七</t>
        </is>
      </c>
      <c r="D86" s="3" t="inlineStr">
        <is>
          <t>行政部</t>
        </is>
      </c>
      <c r="E86" s="3" t="inlineStr">
        <is>
          <t>行政专员</t>
        </is>
      </c>
      <c r="F86" s="2" t="n">
        <v>22</v>
      </c>
      <c r="G86" s="2" t="n">
        <v>0</v>
      </c>
      <c r="H86" s="2" t="n">
        <v>0</v>
      </c>
      <c r="I86" s="2" t="n">
        <v>5000</v>
      </c>
      <c r="J86" s="2" t="n">
        <v>5806</v>
      </c>
      <c r="K86" s="2" t="n">
        <v>500</v>
      </c>
      <c r="L86" s="2" t="n">
        <v>500</v>
      </c>
      <c r="M86" s="2" t="n">
        <v>300</v>
      </c>
      <c r="N86" s="2" t="n">
        <v>200</v>
      </c>
      <c r="O86" s="2" t="n">
        <v>12306</v>
      </c>
      <c r="P86" s="2" t="n">
        <v>454</v>
      </c>
      <c r="Q86" s="2" t="n">
        <v>0</v>
      </c>
      <c r="R86" s="2" t="n">
        <v>400</v>
      </c>
      <c r="S86" s="2" t="n">
        <v>600</v>
      </c>
      <c r="T86" s="2" t="n">
        <v>420</v>
      </c>
      <c r="U86" s="2" t="n">
        <v>1874</v>
      </c>
      <c r="V86" s="2" t="n">
        <v>10432</v>
      </c>
      <c r="W86" s="2" t="n">
        <v>10012</v>
      </c>
      <c r="X86" s="3" t="inlineStr">
        <is>
          <t>已发放</t>
        </is>
      </c>
      <c r="Y86" s="3" t="n"/>
      <c r="Z86" s="3" t="inlineStr">
        <is>
          <t>完整年度工资管理系统_2019.xlsx!十一月!A6:X6</t>
        </is>
      </c>
    </row>
    <row r="87" ht="30" customHeight="1">
      <c r="A87" s="2" t="n">
        <v>11</v>
      </c>
      <c r="B87" s="2" t="n">
        <v>6</v>
      </c>
      <c r="C87" s="3" t="inlineStr">
        <is>
          <t>周八</t>
        </is>
      </c>
      <c r="D87" s="3" t="inlineStr">
        <is>
          <t>技术部</t>
        </is>
      </c>
      <c r="E87" s="3" t="inlineStr">
        <is>
          <t>测试工程师</t>
        </is>
      </c>
      <c r="F87" s="2" t="n">
        <v>22</v>
      </c>
      <c r="G87" s="2" t="n">
        <v>1</v>
      </c>
      <c r="H87" s="2" t="n">
        <v>477</v>
      </c>
      <c r="I87" s="2" t="n">
        <v>7000</v>
      </c>
      <c r="J87" s="2" t="n">
        <v>7003</v>
      </c>
      <c r="K87" s="2" t="n">
        <v>700</v>
      </c>
      <c r="L87" s="2" t="n">
        <v>500</v>
      </c>
      <c r="M87" s="2" t="n">
        <v>300</v>
      </c>
      <c r="N87" s="2" t="n">
        <v>200</v>
      </c>
      <c r="O87" s="2" t="n">
        <v>16180</v>
      </c>
      <c r="P87" s="2" t="n">
        <v>0</v>
      </c>
      <c r="Q87" s="2" t="n">
        <v>0</v>
      </c>
      <c r="R87" s="2" t="n">
        <v>560</v>
      </c>
      <c r="S87" s="2" t="n">
        <v>840</v>
      </c>
      <c r="T87" s="2" t="n">
        <v>768</v>
      </c>
      <c r="U87" s="2" t="n">
        <v>2168</v>
      </c>
      <c r="V87" s="2" t="n">
        <v>14012</v>
      </c>
      <c r="W87" s="2" t="n">
        <v>13244</v>
      </c>
      <c r="X87" s="3" t="inlineStr">
        <is>
          <t>已发放</t>
        </is>
      </c>
      <c r="Y87" s="3" t="n"/>
      <c r="Z87" s="3" t="inlineStr">
        <is>
          <t>完整年度工资管理系统_2019.xlsx!十一月!A7:X7</t>
        </is>
      </c>
    </row>
    <row r="88" ht="30" customHeight="1">
      <c r="A88" s="2" t="n">
        <v>11</v>
      </c>
      <c r="B88" s="2" t="n">
        <v>7</v>
      </c>
      <c r="C88" s="3" t="inlineStr">
        <is>
          <t>吴九</t>
        </is>
      </c>
      <c r="D88" s="3" t="inlineStr">
        <is>
          <t>财务部</t>
        </is>
      </c>
      <c r="E88" s="3" t="inlineStr">
        <is>
          <t>出纳</t>
        </is>
      </c>
      <c r="F88" s="2" t="n">
        <v>22</v>
      </c>
      <c r="G88" s="2" t="n">
        <v>1</v>
      </c>
      <c r="H88" s="2" t="n">
        <v>375</v>
      </c>
      <c r="I88" s="2" t="n">
        <v>5500</v>
      </c>
      <c r="J88" s="2" t="n">
        <v>4400</v>
      </c>
      <c r="K88" s="2" t="n">
        <v>550</v>
      </c>
      <c r="L88" s="2" t="n">
        <v>500</v>
      </c>
      <c r="M88" s="2" t="n">
        <v>300</v>
      </c>
      <c r="N88" s="2" t="n">
        <v>200</v>
      </c>
      <c r="O88" s="2" t="n">
        <v>11825</v>
      </c>
      <c r="P88" s="2" t="n">
        <v>500</v>
      </c>
      <c r="Q88" s="2" t="n">
        <v>50</v>
      </c>
      <c r="R88" s="2" t="n">
        <v>440</v>
      </c>
      <c r="S88" s="2" t="n">
        <v>660</v>
      </c>
      <c r="T88" s="2" t="n">
        <v>362</v>
      </c>
      <c r="U88" s="2" t="n">
        <v>2012</v>
      </c>
      <c r="V88" s="2" t="n">
        <v>9813</v>
      </c>
      <c r="W88" s="2" t="n">
        <v>9451</v>
      </c>
      <c r="X88" s="3" t="inlineStr">
        <is>
          <t>已发放</t>
        </is>
      </c>
      <c r="Y88" s="3" t="n"/>
      <c r="Z88" s="3" t="inlineStr">
        <is>
          <t>完整年度工资管理系统_2019.xlsx!十一月!A8:X8</t>
        </is>
      </c>
    </row>
    <row r="89" ht="30" customHeight="1">
      <c r="A89" s="2" t="n">
        <v>11</v>
      </c>
      <c r="B89" s="2" t="n">
        <v>8</v>
      </c>
      <c r="C89" s="3" t="inlineStr">
        <is>
          <t>郑十</t>
        </is>
      </c>
      <c r="D89" s="3" t="inlineStr">
        <is>
          <t>销售部</t>
        </is>
      </c>
      <c r="E89" s="3" t="inlineStr">
        <is>
          <t>销售代表</t>
        </is>
      </c>
      <c r="F89" s="2" t="n">
        <v>22</v>
      </c>
      <c r="G89" s="2" t="n">
        <v>1</v>
      </c>
      <c r="H89" s="2" t="n">
        <v>511</v>
      </c>
      <c r="I89" s="2" t="n">
        <v>7500</v>
      </c>
      <c r="J89" s="2" t="n">
        <v>6763</v>
      </c>
      <c r="K89" s="2" t="n">
        <v>750</v>
      </c>
      <c r="L89" s="2" t="n">
        <v>500</v>
      </c>
      <c r="M89" s="2" t="n">
        <v>300</v>
      </c>
      <c r="N89" s="2" t="n">
        <v>200</v>
      </c>
      <c r="O89" s="2" t="n">
        <v>16524</v>
      </c>
      <c r="P89" s="2" t="n">
        <v>681</v>
      </c>
      <c r="Q89" s="2" t="n">
        <v>100</v>
      </c>
      <c r="R89" s="2" t="n">
        <v>600</v>
      </c>
      <c r="S89" s="2" t="n">
        <v>900</v>
      </c>
      <c r="T89" s="2" t="n">
        <v>792</v>
      </c>
      <c r="U89" s="2" t="n">
        <v>3073</v>
      </c>
      <c r="V89" s="2" t="n">
        <v>13451</v>
      </c>
      <c r="W89" s="2" t="n">
        <v>12659</v>
      </c>
      <c r="X89" s="3" t="inlineStr">
        <is>
          <t>已发放</t>
        </is>
      </c>
      <c r="Y89" s="3" t="n"/>
      <c r="Z89" s="3" t="inlineStr">
        <is>
          <t>完整年度工资管理系统_2019.xlsx!十一月!A9:X9</t>
        </is>
      </c>
    </row>
    <row r="90" ht="30" customHeight="1">
      <c r="A90" s="2" t="n">
        <v>12</v>
      </c>
      <c r="B90" s="2" t="n">
        <v>1</v>
      </c>
      <c r="C90" s="3" t="inlineStr">
        <is>
          <t>张三</t>
        </is>
      </c>
      <c r="D90" s="3" t="inlineStr">
        <is>
          <t>技术部</t>
        </is>
      </c>
      <c r="E90" s="3" t="inlineStr">
        <is>
          <t>软件工程师</t>
        </is>
      </c>
      <c r="F90" s="2" t="n">
        <v>22</v>
      </c>
      <c r="G90" s="2" t="n">
        <v>3</v>
      </c>
      <c r="H90" s="2" t="n">
        <v>1636</v>
      </c>
      <c r="I90" s="2" t="n">
        <v>8000</v>
      </c>
      <c r="J90" s="2" t="n">
        <v>7862</v>
      </c>
      <c r="K90" s="2" t="n">
        <v>800</v>
      </c>
      <c r="L90" s="2" t="n">
        <v>500</v>
      </c>
      <c r="M90" s="2" t="n">
        <v>300</v>
      </c>
      <c r="N90" s="2" t="n">
        <v>600</v>
      </c>
      <c r="O90" s="2" t="n">
        <v>19698</v>
      </c>
      <c r="P90" s="2" t="n">
        <v>727</v>
      </c>
      <c r="Q90" s="2" t="n">
        <v>100</v>
      </c>
      <c r="R90" s="2" t="n">
        <v>640</v>
      </c>
      <c r="S90" s="2" t="n">
        <v>960</v>
      </c>
      <c r="T90" s="2" t="n">
        <v>1209</v>
      </c>
      <c r="U90" s="2" t="n">
        <v>3636</v>
      </c>
      <c r="V90" s="2" t="n">
        <v>16062</v>
      </c>
      <c r="W90" s="2" t="n">
        <v>14853</v>
      </c>
      <c r="X90" s="3" t="inlineStr">
        <is>
          <t>已发放</t>
        </is>
      </c>
      <c r="Y90" s="3" t="n"/>
      <c r="Z90" s="3" t="inlineStr">
        <is>
          <t>完整年度工资管理系统_2019.xlsx!十二月!A2:X2</t>
        </is>
      </c>
    </row>
    <row r="91" ht="30" customHeight="1">
      <c r="A91" s="2" t="n">
        <v>12</v>
      </c>
      <c r="B91" s="2" t="n">
        <v>2</v>
      </c>
      <c r="C91" s="3" t="inlineStr">
        <is>
          <t>李四</t>
        </is>
      </c>
      <c r="D91" s="3" t="inlineStr">
        <is>
          <t>财务部</t>
        </is>
      </c>
      <c r="E91" s="3" t="inlineStr">
        <is>
          <t>会计</t>
        </is>
      </c>
      <c r="F91" s="2" t="n">
        <v>22</v>
      </c>
      <c r="G91" s="2" t="n">
        <v>1</v>
      </c>
      <c r="H91" s="2" t="n">
        <v>443</v>
      </c>
      <c r="I91" s="2" t="n">
        <v>6500</v>
      </c>
      <c r="J91" s="2" t="n">
        <v>5723</v>
      </c>
      <c r="K91" s="2" t="n">
        <v>650</v>
      </c>
      <c r="L91" s="2" t="n">
        <v>500</v>
      </c>
      <c r="M91" s="2" t="n">
        <v>300</v>
      </c>
      <c r="N91" s="2" t="n">
        <v>400</v>
      </c>
      <c r="O91" s="2" t="n">
        <v>14516</v>
      </c>
      <c r="P91" s="2" t="n">
        <v>0</v>
      </c>
      <c r="Q91" s="2" t="n">
        <v>100</v>
      </c>
      <c r="R91" s="2" t="n">
        <v>520</v>
      </c>
      <c r="S91" s="2" t="n">
        <v>780</v>
      </c>
      <c r="T91" s="2" t="n">
        <v>611</v>
      </c>
      <c r="U91" s="2" t="n">
        <v>2011</v>
      </c>
      <c r="V91" s="2" t="n">
        <v>12505</v>
      </c>
      <c r="W91" s="2" t="n">
        <v>11894</v>
      </c>
      <c r="X91" s="3" t="inlineStr">
        <is>
          <t>已发放</t>
        </is>
      </c>
      <c r="Y91" s="3" t="n"/>
      <c r="Z91" s="3" t="inlineStr">
        <is>
          <t>完整年度工资管理系统_2019.xlsx!十二月!A3:X3</t>
        </is>
      </c>
    </row>
    <row r="92" ht="30" customHeight="1">
      <c r="A92" s="2" t="n">
        <v>12</v>
      </c>
      <c r="B92" s="2" t="n">
        <v>3</v>
      </c>
      <c r="C92" s="3" t="inlineStr">
        <is>
          <t>王五</t>
        </is>
      </c>
      <c r="D92" s="3" t="inlineStr">
        <is>
          <t>销售部</t>
        </is>
      </c>
      <c r="E92" s="3" t="inlineStr">
        <is>
          <t>销售主管</t>
        </is>
      </c>
      <c r="F92" s="2" t="n">
        <v>22</v>
      </c>
      <c r="G92" s="2" t="n">
        <v>3</v>
      </c>
      <c r="H92" s="2" t="n">
        <v>1840</v>
      </c>
      <c r="I92" s="2" t="n">
        <v>9000</v>
      </c>
      <c r="J92" s="2" t="n">
        <v>7858</v>
      </c>
      <c r="K92" s="2" t="n">
        <v>900</v>
      </c>
      <c r="L92" s="2" t="n">
        <v>500</v>
      </c>
      <c r="M92" s="2" t="n">
        <v>300</v>
      </c>
      <c r="N92" s="2" t="n">
        <v>200</v>
      </c>
      <c r="O92" s="2" t="n">
        <v>20598</v>
      </c>
      <c r="P92" s="2" t="n">
        <v>818</v>
      </c>
      <c r="Q92" s="2" t="n">
        <v>100</v>
      </c>
      <c r="R92" s="2" t="n">
        <v>720</v>
      </c>
      <c r="S92" s="2" t="n">
        <v>1080</v>
      </c>
      <c r="T92" s="2" t="n">
        <v>1349</v>
      </c>
      <c r="U92" s="2" t="n">
        <v>4067</v>
      </c>
      <c r="V92" s="2" t="n">
        <v>16531</v>
      </c>
      <c r="W92" s="2" t="n">
        <v>15182</v>
      </c>
      <c r="X92" s="3" t="inlineStr">
        <is>
          <t>已发放</t>
        </is>
      </c>
      <c r="Y92" s="3" t="n"/>
      <c r="Z92" s="3" t="inlineStr">
        <is>
          <t>完整年度工资管理系统_2019.xlsx!十二月!A4:X4</t>
        </is>
      </c>
    </row>
    <row r="93" ht="30" customHeight="1">
      <c r="A93" s="2" t="n">
        <v>12</v>
      </c>
      <c r="B93" s="2" t="n">
        <v>4</v>
      </c>
      <c r="C93" s="3" t="inlineStr">
        <is>
          <t>赵六</t>
        </is>
      </c>
      <c r="D93" s="3" t="inlineStr">
        <is>
          <t>人事部</t>
        </is>
      </c>
      <c r="E93" s="3" t="inlineStr">
        <is>
          <t>招聘专员</t>
        </is>
      </c>
      <c r="F93" s="2" t="n">
        <v>22</v>
      </c>
      <c r="G93" s="2" t="n">
        <v>0</v>
      </c>
      <c r="H93" s="2" t="n">
        <v>0</v>
      </c>
      <c r="I93" s="2" t="n">
        <v>6000</v>
      </c>
      <c r="J93" s="2" t="n">
        <v>6922</v>
      </c>
      <c r="K93" s="2" t="n">
        <v>600</v>
      </c>
      <c r="L93" s="2" t="n">
        <v>500</v>
      </c>
      <c r="M93" s="2" t="n">
        <v>300</v>
      </c>
      <c r="N93" s="2" t="n">
        <v>200</v>
      </c>
      <c r="O93" s="2" t="n">
        <v>14522</v>
      </c>
      <c r="P93" s="2" t="n">
        <v>545</v>
      </c>
      <c r="Q93" s="2" t="n">
        <v>100</v>
      </c>
      <c r="R93" s="2" t="n">
        <v>480</v>
      </c>
      <c r="S93" s="2" t="n">
        <v>720</v>
      </c>
      <c r="T93" s="2" t="n">
        <v>622</v>
      </c>
      <c r="U93" s="2" t="n">
        <v>2467</v>
      </c>
      <c r="V93" s="2" t="n">
        <v>12055</v>
      </c>
      <c r="W93" s="2" t="n">
        <v>11433</v>
      </c>
      <c r="X93" s="3" t="inlineStr">
        <is>
          <t>已发放</t>
        </is>
      </c>
      <c r="Y93" s="3" t="n"/>
      <c r="Z93" s="3" t="inlineStr">
        <is>
          <t>完整年度工资管理系统_2019.xlsx!十二月!A5:X5</t>
        </is>
      </c>
    </row>
    <row r="94" ht="30" customHeight="1">
      <c r="A94" s="2" t="n">
        <v>12</v>
      </c>
      <c r="B94" s="2" t="n">
        <v>5</v>
      </c>
      <c r="C94" s="3" t="inlineStr">
        <is>
          <t>孙七</t>
        </is>
      </c>
      <c r="D94" s="3" t="inlineStr">
        <is>
          <t>行政部</t>
        </is>
      </c>
      <c r="E94" s="3" t="inlineStr">
        <is>
          <t>行政专员</t>
        </is>
      </c>
      <c r="F94" s="2" t="n">
        <v>22</v>
      </c>
      <c r="G94" s="2" t="n">
        <v>3</v>
      </c>
      <c r="H94" s="2" t="n">
        <v>1022</v>
      </c>
      <c r="I94" s="2" t="n">
        <v>5000</v>
      </c>
      <c r="J94" s="2" t="n">
        <v>4195</v>
      </c>
      <c r="K94" s="2" t="n">
        <v>500</v>
      </c>
      <c r="L94" s="2" t="n">
        <v>500</v>
      </c>
      <c r="M94" s="2" t="n">
        <v>300</v>
      </c>
      <c r="N94" s="2" t="n">
        <v>200</v>
      </c>
      <c r="O94" s="2" t="n">
        <v>11717</v>
      </c>
      <c r="P94" s="2" t="n">
        <v>454</v>
      </c>
      <c r="Q94" s="2" t="n">
        <v>50</v>
      </c>
      <c r="R94" s="2" t="n">
        <v>400</v>
      </c>
      <c r="S94" s="2" t="n">
        <v>600</v>
      </c>
      <c r="T94" s="2" t="n">
        <v>361</v>
      </c>
      <c r="U94" s="2" t="n">
        <v>1865</v>
      </c>
      <c r="V94" s="2" t="n">
        <v>9852</v>
      </c>
      <c r="W94" s="2" t="n">
        <v>9491</v>
      </c>
      <c r="X94" s="3" t="inlineStr">
        <is>
          <t>已发放</t>
        </is>
      </c>
      <c r="Y94" s="3" t="n"/>
      <c r="Z94" s="3" t="inlineStr">
        <is>
          <t>完整年度工资管理系统_2019.xlsx!十二月!A6:X6</t>
        </is>
      </c>
    </row>
    <row r="95" ht="30" customHeight="1">
      <c r="A95" s="2" t="n">
        <v>12</v>
      </c>
      <c r="B95" s="2" t="n">
        <v>6</v>
      </c>
      <c r="C95" s="3" t="inlineStr">
        <is>
          <t>周八</t>
        </is>
      </c>
      <c r="D95" s="3" t="inlineStr">
        <is>
          <t>技术部</t>
        </is>
      </c>
      <c r="E95" s="3" t="inlineStr">
        <is>
          <t>测试工程师</t>
        </is>
      </c>
      <c r="F95" s="2" t="n">
        <v>22</v>
      </c>
      <c r="G95" s="2" t="n">
        <v>2</v>
      </c>
      <c r="H95" s="2" t="n">
        <v>954</v>
      </c>
      <c r="I95" s="2" t="n">
        <v>7000</v>
      </c>
      <c r="J95" s="2" t="n">
        <v>7223</v>
      </c>
      <c r="K95" s="2" t="n">
        <v>700</v>
      </c>
      <c r="L95" s="2" t="n">
        <v>500</v>
      </c>
      <c r="M95" s="2" t="n">
        <v>300</v>
      </c>
      <c r="N95" s="2" t="n">
        <v>200</v>
      </c>
      <c r="O95" s="2" t="n">
        <v>16877</v>
      </c>
      <c r="P95" s="2" t="n">
        <v>0</v>
      </c>
      <c r="Q95" s="2" t="n">
        <v>100</v>
      </c>
      <c r="R95" s="2" t="n">
        <v>560</v>
      </c>
      <c r="S95" s="2" t="n">
        <v>840</v>
      </c>
      <c r="T95" s="2" t="n">
        <v>837</v>
      </c>
      <c r="U95" s="2" t="n">
        <v>2337</v>
      </c>
      <c r="V95" s="2" t="n">
        <v>14540</v>
      </c>
      <c r="W95" s="2" t="n">
        <v>13703</v>
      </c>
      <c r="X95" s="3" t="inlineStr">
        <is>
          <t>已发放</t>
        </is>
      </c>
      <c r="Y95" s="3" t="n"/>
      <c r="Z95" s="3" t="inlineStr">
        <is>
          <t>完整年度工资管理系统_2019.xlsx!十二月!A7:X7</t>
        </is>
      </c>
    </row>
    <row r="96" ht="30" customHeight="1">
      <c r="A96" s="2" t="n">
        <v>12</v>
      </c>
      <c r="B96" s="2" t="n">
        <v>7</v>
      </c>
      <c r="C96" s="3" t="inlineStr">
        <is>
          <t>吴九</t>
        </is>
      </c>
      <c r="D96" s="3" t="inlineStr">
        <is>
          <t>财务部</t>
        </is>
      </c>
      <c r="E96" s="3" t="inlineStr">
        <is>
          <t>出纳</t>
        </is>
      </c>
      <c r="F96" s="2" t="n">
        <v>22</v>
      </c>
      <c r="G96" s="2" t="n">
        <v>2</v>
      </c>
      <c r="H96" s="2" t="n">
        <v>750</v>
      </c>
      <c r="I96" s="2" t="n">
        <v>5500</v>
      </c>
      <c r="J96" s="2" t="n">
        <v>4751</v>
      </c>
      <c r="K96" s="2" t="n">
        <v>550</v>
      </c>
      <c r="L96" s="2" t="n">
        <v>500</v>
      </c>
      <c r="M96" s="2" t="n">
        <v>300</v>
      </c>
      <c r="N96" s="2" t="n">
        <v>200</v>
      </c>
      <c r="O96" s="2" t="n">
        <v>12551</v>
      </c>
      <c r="P96" s="2" t="n">
        <v>0</v>
      </c>
      <c r="Q96" s="2" t="n">
        <v>0</v>
      </c>
      <c r="R96" s="2" t="n">
        <v>440</v>
      </c>
      <c r="S96" s="2" t="n">
        <v>660</v>
      </c>
      <c r="T96" s="2" t="n">
        <v>435</v>
      </c>
      <c r="U96" s="2" t="n">
        <v>1535</v>
      </c>
      <c r="V96" s="2" t="n">
        <v>11016</v>
      </c>
      <c r="W96" s="2" t="n">
        <v>10581</v>
      </c>
      <c r="X96" s="3" t="inlineStr">
        <is>
          <t>已发放</t>
        </is>
      </c>
      <c r="Y96" s="3" t="n"/>
      <c r="Z96" s="3" t="inlineStr">
        <is>
          <t>完整年度工资管理系统_2019.xlsx!十二月!A8:X8</t>
        </is>
      </c>
    </row>
    <row r="97" ht="30" customHeight="1">
      <c r="A97" s="2" t="n">
        <v>12</v>
      </c>
      <c r="B97" s="2" t="n">
        <v>8</v>
      </c>
      <c r="C97" s="3" t="inlineStr">
        <is>
          <t>郑十</t>
        </is>
      </c>
      <c r="D97" s="3" t="inlineStr">
        <is>
          <t>销售部</t>
        </is>
      </c>
      <c r="E97" s="3" t="inlineStr">
        <is>
          <t>销售代表</t>
        </is>
      </c>
      <c r="F97" s="2" t="n">
        <v>22</v>
      </c>
      <c r="G97" s="2" t="n">
        <v>2</v>
      </c>
      <c r="H97" s="2" t="n">
        <v>1022</v>
      </c>
      <c r="I97" s="2" t="n">
        <v>7500</v>
      </c>
      <c r="J97" s="2" t="n">
        <v>7797</v>
      </c>
      <c r="K97" s="2" t="n">
        <v>750</v>
      </c>
      <c r="L97" s="2" t="n">
        <v>500</v>
      </c>
      <c r="M97" s="2" t="n">
        <v>300</v>
      </c>
      <c r="N97" s="2" t="n">
        <v>200</v>
      </c>
      <c r="O97" s="2" t="n">
        <v>18069</v>
      </c>
      <c r="P97" s="2" t="n">
        <v>681</v>
      </c>
      <c r="Q97" s="2" t="n">
        <v>100</v>
      </c>
      <c r="R97" s="2" t="n">
        <v>600</v>
      </c>
      <c r="S97" s="2" t="n">
        <v>900</v>
      </c>
      <c r="T97" s="2" t="n">
        <v>946</v>
      </c>
      <c r="U97" s="2" t="n">
        <v>3227</v>
      </c>
      <c r="V97" s="2" t="n">
        <v>14842</v>
      </c>
      <c r="W97" s="2" t="n">
        <v>13896</v>
      </c>
      <c r="X97" s="3" t="inlineStr">
        <is>
          <t>已发放</t>
        </is>
      </c>
      <c r="Y97" s="3" t="n"/>
      <c r="Z97" s="3" t="inlineStr">
        <is>
          <t>完整年度工资管理系统_2019.xlsx!十二月!A9:X9</t>
        </is>
      </c>
    </row>
  </sheetData>
  <autoFilter ref="A1:Z97"/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S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48" customWidth="1" min="19" max="19"/>
  </cols>
  <sheetData>
    <row r="1">
      <c r="A1" s="1" t="inlineStr">
        <is>
          <t>序号</t>
        </is>
      </c>
      <c r="B1" s="1" t="inlineStr">
        <is>
          <t>姓名</t>
        </is>
      </c>
      <c r="C1" s="1" t="inlineStr">
        <is>
          <t>部门</t>
        </is>
      </c>
      <c r="D1" s="1" t="inlineStr">
        <is>
          <t>职位</t>
        </is>
      </c>
      <c r="E1" s="1" t="inlineStr">
        <is>
          <t>一月</t>
        </is>
      </c>
      <c r="F1" s="1" t="inlineStr">
        <is>
          <t>二月</t>
        </is>
      </c>
      <c r="G1" s="1" t="inlineStr">
        <is>
          <t>三月</t>
        </is>
      </c>
      <c r="H1" s="1" t="inlineStr">
        <is>
          <t>四月</t>
        </is>
      </c>
      <c r="I1" s="1" t="inlineStr">
        <is>
          <t>五月</t>
        </is>
      </c>
      <c r="J1" s="1" t="inlineStr">
        <is>
          <t>六月</t>
        </is>
      </c>
      <c r="K1" s="1" t="inlineStr">
        <is>
          <t>七月</t>
        </is>
      </c>
      <c r="L1" s="1" t="inlineStr">
        <is>
          <t>八月</t>
        </is>
      </c>
      <c r="M1" s="1" t="inlineStr">
        <is>
          <t>九月</t>
        </is>
      </c>
      <c r="N1" s="1" t="inlineStr">
        <is>
          <t>十月</t>
        </is>
      </c>
      <c r="O1" s="1" t="inlineStr">
        <is>
          <t>十一月</t>
        </is>
      </c>
      <c r="P1" s="1" t="inlineStr">
        <is>
          <t>十二月</t>
        </is>
      </c>
      <c r="Q1" s="1" t="inlineStr">
        <is>
          <t>年度合计</t>
        </is>
      </c>
      <c r="R1" s="1" t="inlineStr">
        <is>
          <t>月均工资</t>
        </is>
      </c>
      <c r="S1" s="1" t="inlineStr">
        <is>
          <t>来源</t>
        </is>
      </c>
    </row>
    <row r="2">
      <c r="A2" s="2" t="n">
        <v>1</v>
      </c>
      <c r="B2" s="3" t="inlineStr">
        <is>
          <t>张三</t>
        </is>
      </c>
      <c r="C2" s="3" t="inlineStr">
        <is>
          <t>技术部</t>
        </is>
      </c>
      <c r="D2" s="3" t="inlineStr">
        <is>
          <t>软件工程师</t>
        </is>
      </c>
      <c r="E2" s="2" t="n">
        <v>15331</v>
      </c>
      <c r="F2" s="2" t="n">
        <v>15698</v>
      </c>
      <c r="G2" s="2" t="n">
        <v>14923</v>
      </c>
      <c r="H2" s="2" t="n">
        <v>13803</v>
      </c>
      <c r="I2" s="2" t="n">
        <v>14140</v>
      </c>
      <c r="J2" s="2" t="n">
        <v>14823</v>
      </c>
      <c r="K2" s="2" t="n">
        <v>14718</v>
      </c>
      <c r="L2" s="2" t="n">
        <v>13952</v>
      </c>
      <c r="M2" s="2" t="n">
        <v>15521</v>
      </c>
      <c r="N2" s="2" t="n">
        <v>15294</v>
      </c>
      <c r="O2" s="2" t="n">
        <v>16022</v>
      </c>
      <c r="P2" s="2" t="n">
        <v>14853</v>
      </c>
      <c r="Q2" s="2" t="n">
        <v>179078</v>
      </c>
      <c r="R2" s="2" t="n">
        <v>14923</v>
      </c>
      <c r="S2" s="3" t="inlineStr">
        <is>
          <t>完整年度工资管理系统_2019.xlsx!年度应发工资汇总!A2:R2</t>
        </is>
      </c>
    </row>
    <row r="3">
      <c r="A3" s="2" t="n">
        <v>2</v>
      </c>
      <c r="B3" s="3" t="inlineStr">
        <is>
          <t>李四</t>
        </is>
      </c>
      <c r="C3" s="3" t="inlineStr">
        <is>
          <t>财务部</t>
        </is>
      </c>
      <c r="D3" s="3" t="inlineStr">
        <is>
          <t>会计</t>
        </is>
      </c>
      <c r="E3" s="2" t="n">
        <v>13293</v>
      </c>
      <c r="F3" s="2" t="n">
        <v>13181</v>
      </c>
      <c r="G3" s="2" t="n">
        <v>14021</v>
      </c>
      <c r="H3" s="2" t="n">
        <v>11692</v>
      </c>
      <c r="I3" s="2" t="n">
        <v>11554</v>
      </c>
      <c r="J3" s="2" t="n">
        <v>11940</v>
      </c>
      <c r="K3" s="2" t="n">
        <v>13491</v>
      </c>
      <c r="L3" s="2" t="n">
        <v>13199</v>
      </c>
      <c r="M3" s="2" t="n">
        <v>11904</v>
      </c>
      <c r="N3" s="2" t="n">
        <v>13231</v>
      </c>
      <c r="O3" s="2" t="n">
        <v>11805</v>
      </c>
      <c r="P3" s="2" t="n">
        <v>11894</v>
      </c>
      <c r="Q3" s="2" t="n">
        <v>151205</v>
      </c>
      <c r="R3" s="2" t="n">
        <v>12600</v>
      </c>
      <c r="S3" s="3" t="inlineStr">
        <is>
          <t>完整年度工资管理系统_2019.xlsx!年度应发工资汇总!A3:R3</t>
        </is>
      </c>
    </row>
    <row r="4">
      <c r="A4" s="2" t="n">
        <v>3</v>
      </c>
      <c r="B4" s="3" t="inlineStr">
        <is>
          <t>王五</t>
        </is>
      </c>
      <c r="C4" s="3" t="inlineStr">
        <is>
          <t>销售部</t>
        </is>
      </c>
      <c r="D4" s="3" t="inlineStr">
        <is>
          <t>销售主管</t>
        </is>
      </c>
      <c r="E4" s="2" t="n">
        <v>15507</v>
      </c>
      <c r="F4" s="2" t="n">
        <v>15846</v>
      </c>
      <c r="G4" s="2" t="n">
        <v>15846</v>
      </c>
      <c r="H4" s="2" t="n">
        <v>17257</v>
      </c>
      <c r="I4" s="2" t="n">
        <v>17785</v>
      </c>
      <c r="J4" s="2" t="n">
        <v>16472</v>
      </c>
      <c r="K4" s="2" t="n">
        <v>15104</v>
      </c>
      <c r="L4" s="2" t="n">
        <v>14735</v>
      </c>
      <c r="M4" s="2" t="n">
        <v>15786</v>
      </c>
      <c r="N4" s="2" t="n">
        <v>15188</v>
      </c>
      <c r="O4" s="2" t="n">
        <v>16084</v>
      </c>
      <c r="P4" s="2" t="n">
        <v>15182</v>
      </c>
      <c r="Q4" s="2" t="n">
        <v>190792</v>
      </c>
      <c r="R4" s="2" t="n">
        <v>15899</v>
      </c>
      <c r="S4" s="3" t="inlineStr">
        <is>
          <t>完整年度工资管理系统_2019.xlsx!年度应发工资汇总!A4:R4</t>
        </is>
      </c>
    </row>
    <row r="5">
      <c r="A5" s="2" t="n">
        <v>4</v>
      </c>
      <c r="B5" s="3" t="inlineStr">
        <is>
          <t>赵六</t>
        </is>
      </c>
      <c r="C5" s="3" t="inlineStr">
        <is>
          <t>人事部</t>
        </is>
      </c>
      <c r="D5" s="3" t="inlineStr">
        <is>
          <t>招聘专员</t>
        </is>
      </c>
      <c r="E5" s="2" t="n">
        <v>11555</v>
      </c>
      <c r="F5" s="2" t="n">
        <v>11498</v>
      </c>
      <c r="G5" s="2" t="n">
        <v>11144</v>
      </c>
      <c r="H5" s="2" t="n">
        <v>12434</v>
      </c>
      <c r="I5" s="2" t="n">
        <v>12608</v>
      </c>
      <c r="J5" s="2" t="n">
        <v>11553</v>
      </c>
      <c r="K5" s="2" t="n">
        <v>12357</v>
      </c>
      <c r="L5" s="2" t="n">
        <v>12948</v>
      </c>
      <c r="M5" s="2" t="n">
        <v>10665</v>
      </c>
      <c r="N5" s="2" t="n">
        <v>11282</v>
      </c>
      <c r="O5" s="2" t="n">
        <v>11042</v>
      </c>
      <c r="P5" s="2" t="n">
        <v>11433</v>
      </c>
      <c r="Q5" s="2" t="n">
        <v>140519</v>
      </c>
      <c r="R5" s="2" t="n">
        <v>11709</v>
      </c>
      <c r="S5" s="3" t="inlineStr">
        <is>
          <t>完整年度工资管理系统_2019.xlsx!年度应发工资汇总!A5:R5</t>
        </is>
      </c>
    </row>
    <row r="6">
      <c r="A6" s="2" t="n">
        <v>5</v>
      </c>
      <c r="B6" s="3" t="inlineStr">
        <is>
          <t>孙七</t>
        </is>
      </c>
      <c r="C6" s="3" t="inlineStr">
        <is>
          <t>行政部</t>
        </is>
      </c>
      <c r="D6" s="3" t="inlineStr">
        <is>
          <t>行政专员</t>
        </is>
      </c>
      <c r="E6" s="2" t="n">
        <v>10233</v>
      </c>
      <c r="F6" s="2" t="n">
        <v>9342</v>
      </c>
      <c r="G6" s="2" t="n">
        <v>8613</v>
      </c>
      <c r="H6" s="2" t="n">
        <v>9741</v>
      </c>
      <c r="I6" s="2" t="n">
        <v>9631</v>
      </c>
      <c r="J6" s="2" t="n">
        <v>10194</v>
      </c>
      <c r="K6" s="2" t="n">
        <v>10142</v>
      </c>
      <c r="L6" s="2" t="n">
        <v>11133</v>
      </c>
      <c r="M6" s="2" t="n">
        <v>9402</v>
      </c>
      <c r="N6" s="2" t="n">
        <v>9941</v>
      </c>
      <c r="O6" s="2" t="n">
        <v>10012</v>
      </c>
      <c r="P6" s="2" t="n">
        <v>9491</v>
      </c>
      <c r="Q6" s="2" t="n">
        <v>117875</v>
      </c>
      <c r="R6" s="2" t="n">
        <v>9822</v>
      </c>
      <c r="S6" s="3" t="inlineStr">
        <is>
          <t>完整年度工资管理系统_2019.xlsx!年度应发工资汇总!A6:R6</t>
        </is>
      </c>
    </row>
    <row r="7">
      <c r="A7" s="2" t="n">
        <v>6</v>
      </c>
      <c r="B7" s="3" t="inlineStr">
        <is>
          <t>周八</t>
        </is>
      </c>
      <c r="C7" s="3" t="inlineStr">
        <is>
          <t>技术部</t>
        </is>
      </c>
      <c r="D7" s="3" t="inlineStr">
        <is>
          <t>测试工程师</t>
        </is>
      </c>
      <c r="E7" s="2" t="n">
        <v>12558</v>
      </c>
      <c r="F7" s="2" t="n">
        <v>13977</v>
      </c>
      <c r="G7" s="2" t="n">
        <v>11670</v>
      </c>
      <c r="H7" s="2" t="n">
        <v>13107</v>
      </c>
      <c r="I7" s="2" t="n">
        <v>12623</v>
      </c>
      <c r="J7" s="2" t="n">
        <v>12900</v>
      </c>
      <c r="K7" s="2" t="n">
        <v>12197</v>
      </c>
      <c r="L7" s="2" t="n">
        <v>12566</v>
      </c>
      <c r="M7" s="2" t="n">
        <v>13309</v>
      </c>
      <c r="N7" s="2" t="n">
        <v>11802</v>
      </c>
      <c r="O7" s="2" t="n">
        <v>13244</v>
      </c>
      <c r="P7" s="2" t="n">
        <v>13703</v>
      </c>
      <c r="Q7" s="2" t="n">
        <v>153656</v>
      </c>
      <c r="R7" s="2" t="n">
        <v>12804</v>
      </c>
      <c r="S7" s="3" t="inlineStr">
        <is>
          <t>完整年度工资管理系统_2019.xlsx!年度应发工资汇总!A7:R7</t>
        </is>
      </c>
    </row>
    <row r="8">
      <c r="A8" s="2" t="n">
        <v>7</v>
      </c>
      <c r="B8" s="3" t="inlineStr">
        <is>
          <t>吴九</t>
        </is>
      </c>
      <c r="C8" s="3" t="inlineStr">
        <is>
          <t>财务部</t>
        </is>
      </c>
      <c r="D8" s="3" t="inlineStr">
        <is>
          <t>出纳</t>
        </is>
      </c>
      <c r="E8" s="2" t="n">
        <v>11009</v>
      </c>
      <c r="F8" s="2" t="n">
        <v>11928</v>
      </c>
      <c r="G8" s="2" t="n">
        <v>11234</v>
      </c>
      <c r="H8" s="2" t="n">
        <v>10375</v>
      </c>
      <c r="I8" s="2" t="n">
        <v>10727</v>
      </c>
      <c r="J8" s="2" t="n">
        <v>11662</v>
      </c>
      <c r="K8" s="2" t="n">
        <v>10780</v>
      </c>
      <c r="L8" s="2" t="n">
        <v>11172</v>
      </c>
      <c r="M8" s="2" t="n">
        <v>10861</v>
      </c>
      <c r="N8" s="2" t="n">
        <v>11467</v>
      </c>
      <c r="O8" s="2" t="n">
        <v>9451</v>
      </c>
      <c r="P8" s="2" t="n">
        <v>10581</v>
      </c>
      <c r="Q8" s="2" t="n">
        <v>131247</v>
      </c>
      <c r="R8" s="2" t="n">
        <v>10937</v>
      </c>
      <c r="S8" s="3" t="inlineStr">
        <is>
          <t>完整年度工资管理系统_2019.xlsx!年度应发工资汇总!A8:R8</t>
        </is>
      </c>
    </row>
    <row r="9">
      <c r="A9" s="2" t="n">
        <v>8</v>
      </c>
      <c r="B9" s="3" t="inlineStr">
        <is>
          <t>郑十</t>
        </is>
      </c>
      <c r="C9" s="3" t="inlineStr">
        <is>
          <t>销售部</t>
        </is>
      </c>
      <c r="D9" s="3" t="inlineStr">
        <is>
          <t>销售代表</t>
        </is>
      </c>
      <c r="E9" s="2" t="n">
        <v>13879</v>
      </c>
      <c r="F9" s="2" t="n">
        <v>12066</v>
      </c>
      <c r="G9" s="2" t="n">
        <v>14514</v>
      </c>
      <c r="H9" s="2" t="n">
        <v>13352</v>
      </c>
      <c r="I9" s="2" t="n">
        <v>15740</v>
      </c>
      <c r="J9" s="2" t="n">
        <v>14190</v>
      </c>
      <c r="K9" s="2" t="n">
        <v>14230</v>
      </c>
      <c r="L9" s="2" t="n">
        <v>14529</v>
      </c>
      <c r="M9" s="2" t="n">
        <v>13393</v>
      </c>
      <c r="N9" s="2" t="n">
        <v>14407</v>
      </c>
      <c r="O9" s="2" t="n">
        <v>12659</v>
      </c>
      <c r="P9" s="2" t="n">
        <v>13896</v>
      </c>
      <c r="Q9" s="2" t="n">
        <v>166855</v>
      </c>
      <c r="R9" s="2" t="n">
        <v>13904</v>
      </c>
      <c r="S9" s="3" t="inlineStr">
        <is>
          <t>完整年度工资管理系统_2019.xlsx!年度应发工资汇总!A9:R9</t>
        </is>
      </c>
    </row>
  </sheetData>
  <autoFilter ref="A1:S9"/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月份</t>
        </is>
      </c>
      <c r="B1" s="1" t="inlineStr">
        <is>
          <t>序号</t>
        </is>
      </c>
      <c r="C1" s="1" t="inlineStr">
        <is>
          <t>姓名</t>
        </is>
      </c>
      <c r="D1" s="1" t="inlineStr">
        <is>
          <t>重算应发</t>
        </is>
      </c>
      <c r="E1" s="1" t="inlineStr">
        <is>
          <t>重算扣款</t>
        </is>
      </c>
      <c r="F1" s="1" t="inlineStr">
        <is>
          <t>单次扣款净额</t>
        </is>
      </c>
      <c r="G1" s="1" t="inlineStr">
        <is>
          <t>原实发</t>
        </is>
      </c>
      <c r="H1" s="1" t="inlineStr">
        <is>
          <t>情景差额</t>
        </is>
      </c>
      <c r="I1" s="1" t="inlineStr">
        <is>
          <t>应发残差</t>
        </is>
      </c>
      <c r="J1" s="1" t="inlineStr">
        <is>
          <t>扣款残差</t>
        </is>
      </c>
      <c r="K1" s="1" t="inlineStr">
        <is>
          <t>税前残差</t>
        </is>
      </c>
      <c r="L1" s="1" t="inlineStr">
        <is>
          <t>实发链残差</t>
        </is>
      </c>
    </row>
    <row r="2">
      <c r="A2" s="2" t="n">
        <v>1</v>
      </c>
      <c r="B2" s="2" t="n">
        <v>1</v>
      </c>
      <c r="C2" s="3" t="inlineStr">
        <is>
          <t>张三</t>
        </is>
      </c>
      <c r="D2" s="2">
        <f>SUMIFS('月度底稿'!H$2:H$97,'月度底稿'!A$2:A$97,A2,'月度底稿'!B$2:B$97,B2)+SUMIFS('月度底稿'!I$2:I$97,'月度底稿'!A$2:A$97,A2,'月度底稿'!B$2:B$97,B2)+SUMIFS('月度底稿'!J$2:J$97,'月度底稿'!A$2:A$97,A2,'月度底稿'!B$2:B$97,B2)+SUMIFS('月度底稿'!K$2:K$97,'月度底稿'!A$2:A$97,A2,'月度底稿'!B$2:B$97,B2)+SUMIFS('月度底稿'!L$2:L$97,'月度底稿'!A$2:A$97,A2,'月度底稿'!B$2:B$97,B2)+SUMIFS('月度底稿'!M$2:M$97,'月度底稿'!A$2:A$97,A2,'月度底稿'!B$2:B$97,B2)+SUMIFS('月度底稿'!N$2:N$97,'月度底稿'!A$2:A$97,A2,'月度底稿'!B$2:B$97,B2)</f>
        <v/>
      </c>
      <c r="E2" s="2">
        <f>SUMIFS('月度底稿'!P$2:P$97,'月度底稿'!A$2:A$97,A2,'月度底稿'!B$2:B$97,B2)+SUMIFS('月度底稿'!Q$2:Q$97,'月度底稿'!A$2:A$97,A2,'月度底稿'!B$2:B$97,B2)+SUMIFS('月度底稿'!R$2:R$97,'月度底稿'!A$2:A$97,A2,'月度底稿'!B$2:B$97,B2)+SUMIFS('月度底稿'!S$2:S$97,'月度底稿'!A$2:A$97,A2,'月度底稿'!B$2:B$97,B2)+SUMIFS('月度底稿'!T$2:T$97,'月度底稿'!A$2:A$97,A2,'月度底稿'!B$2:B$97,B2)</f>
        <v/>
      </c>
      <c r="F2" s="2">
        <f>D2-E2</f>
        <v/>
      </c>
      <c r="G2" s="2">
        <f>SUMIFS('月度底稿'!W$2:W$97,'月度底稿'!A$2:A$97,A2,'月度底稿'!B$2:B$97,B2)</f>
        <v/>
      </c>
      <c r="H2" s="2">
        <f>F2-G2</f>
        <v/>
      </c>
      <c r="I2" s="2">
        <f>SUMIFS('月度底稿'!O$2:O$97,'月度底稿'!A$2:A$97,A2,'月度底稿'!B$2:B$97,B2)-D2</f>
        <v/>
      </c>
      <c r="J2" s="2">
        <f>SUMIFS('月度底稿'!U$2:U$97,'月度底稿'!A$2:A$97,A2,'月度底稿'!B$2:B$97,B2)-E2</f>
        <v/>
      </c>
      <c r="K2" s="2">
        <f>SUMIFS('月度底稿'!V$2:V$97,'月度底稿'!A$2:A$97,A2,'月度底稿'!B$2:B$97,B2)-(D2-E2)</f>
        <v/>
      </c>
      <c r="L2" s="2">
        <f>SUMIFS('月度底稿'!W$2:W$97,'月度底稿'!A$2:A$97,A2,'月度底稿'!B$2:B$97,B2)-(SUMIFS('月度底稿'!V$2:V$97,'月度底稿'!A$2:A$97,A2,'月度底稿'!B$2:B$97,B2)-SUMIFS('月度底稿'!T$2:T$97,'月度底稿'!A$2:A$97,A2,'月度底稿'!B$2:B$97,B2))</f>
        <v/>
      </c>
    </row>
    <row r="3">
      <c r="A3" s="2" t="n">
        <v>1</v>
      </c>
      <c r="B3" s="2" t="n">
        <v>2</v>
      </c>
      <c r="C3" s="3" t="inlineStr">
        <is>
          <t>李四</t>
        </is>
      </c>
      <c r="D3" s="2">
        <f>SUMIFS('月度底稿'!H$2:H$97,'月度底稿'!A$2:A$97,A3,'月度底稿'!B$2:B$97,B3)+SUMIFS('月度底稿'!I$2:I$97,'月度底稿'!A$2:A$97,A3,'月度底稿'!B$2:B$97,B3)+SUMIFS('月度底稿'!J$2:J$97,'月度底稿'!A$2:A$97,A3,'月度底稿'!B$2:B$97,B3)+SUMIFS('月度底稿'!K$2:K$97,'月度底稿'!A$2:A$97,A3,'月度底稿'!B$2:B$97,B3)+SUMIFS('月度底稿'!L$2:L$97,'月度底稿'!A$2:A$97,A3,'月度底稿'!B$2:B$97,B3)+SUMIFS('月度底稿'!M$2:M$97,'月度底稿'!A$2:A$97,A3,'月度底稿'!B$2:B$97,B3)+SUMIFS('月度底稿'!N$2:N$97,'月度底稿'!A$2:A$97,A3,'月度底稿'!B$2:B$97,B3)</f>
        <v/>
      </c>
      <c r="E3" s="2">
        <f>SUMIFS('月度底稿'!P$2:P$97,'月度底稿'!A$2:A$97,A3,'月度底稿'!B$2:B$97,B3)+SUMIFS('月度底稿'!Q$2:Q$97,'月度底稿'!A$2:A$97,A3,'月度底稿'!B$2:B$97,B3)+SUMIFS('月度底稿'!R$2:R$97,'月度底稿'!A$2:A$97,A3,'月度底稿'!B$2:B$97,B3)+SUMIFS('月度底稿'!S$2:S$97,'月度底稿'!A$2:A$97,A3,'月度底稿'!B$2:B$97,B3)+SUMIFS('月度底稿'!T$2:T$97,'月度底稿'!A$2:A$97,A3,'月度底稿'!B$2:B$97,B3)</f>
        <v/>
      </c>
      <c r="F3" s="2">
        <f>D3-E3</f>
        <v/>
      </c>
      <c r="G3" s="2">
        <f>SUMIFS('月度底稿'!W$2:W$97,'月度底稿'!A$2:A$97,A3,'月度底稿'!B$2:B$97,B3)</f>
        <v/>
      </c>
      <c r="H3" s="2">
        <f>F3-G3</f>
        <v/>
      </c>
      <c r="I3" s="2">
        <f>SUMIFS('月度底稿'!O$2:O$97,'月度底稿'!A$2:A$97,A3,'月度底稿'!B$2:B$97,B3)-D3</f>
        <v/>
      </c>
      <c r="J3" s="2">
        <f>SUMIFS('月度底稿'!U$2:U$97,'月度底稿'!A$2:A$97,A3,'月度底稿'!B$2:B$97,B3)-E3</f>
        <v/>
      </c>
      <c r="K3" s="2">
        <f>SUMIFS('月度底稿'!V$2:V$97,'月度底稿'!A$2:A$97,A3,'月度底稿'!B$2:B$97,B3)-(D3-E3)</f>
        <v/>
      </c>
      <c r="L3" s="2">
        <f>SUMIFS('月度底稿'!W$2:W$97,'月度底稿'!A$2:A$97,A3,'月度底稿'!B$2:B$97,B3)-(SUMIFS('月度底稿'!V$2:V$97,'月度底稿'!A$2:A$97,A3,'月度底稿'!B$2:B$97,B3)-SUMIFS('月度底稿'!T$2:T$97,'月度底稿'!A$2:A$97,A3,'月度底稿'!B$2:B$97,B3))</f>
        <v/>
      </c>
    </row>
    <row r="4">
      <c r="A4" s="2" t="n">
        <v>1</v>
      </c>
      <c r="B4" s="2" t="n">
        <v>3</v>
      </c>
      <c r="C4" s="3" t="inlineStr">
        <is>
          <t>王五</t>
        </is>
      </c>
      <c r="D4" s="2">
        <f>SUMIFS('月度底稿'!H$2:H$97,'月度底稿'!A$2:A$97,A4,'月度底稿'!B$2:B$97,B4)+SUMIFS('月度底稿'!I$2:I$97,'月度底稿'!A$2:A$97,A4,'月度底稿'!B$2:B$97,B4)+SUMIFS('月度底稿'!J$2:J$97,'月度底稿'!A$2:A$97,A4,'月度底稿'!B$2:B$97,B4)+SUMIFS('月度底稿'!K$2:K$97,'月度底稿'!A$2:A$97,A4,'月度底稿'!B$2:B$97,B4)+SUMIFS('月度底稿'!L$2:L$97,'月度底稿'!A$2:A$97,A4,'月度底稿'!B$2:B$97,B4)+SUMIFS('月度底稿'!M$2:M$97,'月度底稿'!A$2:A$97,A4,'月度底稿'!B$2:B$97,B4)+SUMIFS('月度底稿'!N$2:N$97,'月度底稿'!A$2:A$97,A4,'月度底稿'!B$2:B$97,B4)</f>
        <v/>
      </c>
      <c r="E4" s="2">
        <f>SUMIFS('月度底稿'!P$2:P$97,'月度底稿'!A$2:A$97,A4,'月度底稿'!B$2:B$97,B4)+SUMIFS('月度底稿'!Q$2:Q$97,'月度底稿'!A$2:A$97,A4,'月度底稿'!B$2:B$97,B4)+SUMIFS('月度底稿'!R$2:R$97,'月度底稿'!A$2:A$97,A4,'月度底稿'!B$2:B$97,B4)+SUMIFS('月度底稿'!S$2:S$97,'月度底稿'!A$2:A$97,A4,'月度底稿'!B$2:B$97,B4)+SUMIFS('月度底稿'!T$2:T$97,'月度底稿'!A$2:A$97,A4,'月度底稿'!B$2:B$97,B4)</f>
        <v/>
      </c>
      <c r="F4" s="2">
        <f>D4-E4</f>
        <v/>
      </c>
      <c r="G4" s="2">
        <f>SUMIFS('月度底稿'!W$2:W$97,'月度底稿'!A$2:A$97,A4,'月度底稿'!B$2:B$97,B4)</f>
        <v/>
      </c>
      <c r="H4" s="2">
        <f>F4-G4</f>
        <v/>
      </c>
      <c r="I4" s="2">
        <f>SUMIFS('月度底稿'!O$2:O$97,'月度底稿'!A$2:A$97,A4,'月度底稿'!B$2:B$97,B4)-D4</f>
        <v/>
      </c>
      <c r="J4" s="2">
        <f>SUMIFS('月度底稿'!U$2:U$97,'月度底稿'!A$2:A$97,A4,'月度底稿'!B$2:B$97,B4)-E4</f>
        <v/>
      </c>
      <c r="K4" s="2">
        <f>SUMIFS('月度底稿'!V$2:V$97,'月度底稿'!A$2:A$97,A4,'月度底稿'!B$2:B$97,B4)-(D4-E4)</f>
        <v/>
      </c>
      <c r="L4" s="2">
        <f>SUMIFS('月度底稿'!W$2:W$97,'月度底稿'!A$2:A$97,A4,'月度底稿'!B$2:B$97,B4)-(SUMIFS('月度底稿'!V$2:V$97,'月度底稿'!A$2:A$97,A4,'月度底稿'!B$2:B$97,B4)-SUMIFS('月度底稿'!T$2:T$97,'月度底稿'!A$2:A$97,A4,'月度底稿'!B$2:B$97,B4))</f>
        <v/>
      </c>
    </row>
    <row r="5">
      <c r="A5" s="2" t="n">
        <v>1</v>
      </c>
      <c r="B5" s="2" t="n">
        <v>4</v>
      </c>
      <c r="C5" s="3" t="inlineStr">
        <is>
          <t>赵六</t>
        </is>
      </c>
      <c r="D5" s="2">
        <f>SUMIFS('月度底稿'!H$2:H$97,'月度底稿'!A$2:A$97,A5,'月度底稿'!B$2:B$97,B5)+SUMIFS('月度底稿'!I$2:I$97,'月度底稿'!A$2:A$97,A5,'月度底稿'!B$2:B$97,B5)+SUMIFS('月度底稿'!J$2:J$97,'月度底稿'!A$2:A$97,A5,'月度底稿'!B$2:B$97,B5)+SUMIFS('月度底稿'!K$2:K$97,'月度底稿'!A$2:A$97,A5,'月度底稿'!B$2:B$97,B5)+SUMIFS('月度底稿'!L$2:L$97,'月度底稿'!A$2:A$97,A5,'月度底稿'!B$2:B$97,B5)+SUMIFS('月度底稿'!M$2:M$97,'月度底稿'!A$2:A$97,A5,'月度底稿'!B$2:B$97,B5)+SUMIFS('月度底稿'!N$2:N$97,'月度底稿'!A$2:A$97,A5,'月度底稿'!B$2:B$97,B5)</f>
        <v/>
      </c>
      <c r="E5" s="2">
        <f>SUMIFS('月度底稿'!P$2:P$97,'月度底稿'!A$2:A$97,A5,'月度底稿'!B$2:B$97,B5)+SUMIFS('月度底稿'!Q$2:Q$97,'月度底稿'!A$2:A$97,A5,'月度底稿'!B$2:B$97,B5)+SUMIFS('月度底稿'!R$2:R$97,'月度底稿'!A$2:A$97,A5,'月度底稿'!B$2:B$97,B5)+SUMIFS('月度底稿'!S$2:S$97,'月度底稿'!A$2:A$97,A5,'月度底稿'!B$2:B$97,B5)+SUMIFS('月度底稿'!T$2:T$97,'月度底稿'!A$2:A$97,A5,'月度底稿'!B$2:B$97,B5)</f>
        <v/>
      </c>
      <c r="F5" s="2">
        <f>D5-E5</f>
        <v/>
      </c>
      <c r="G5" s="2">
        <f>SUMIFS('月度底稿'!W$2:W$97,'月度底稿'!A$2:A$97,A5,'月度底稿'!B$2:B$97,B5)</f>
        <v/>
      </c>
      <c r="H5" s="2">
        <f>F5-G5</f>
        <v/>
      </c>
      <c r="I5" s="2">
        <f>SUMIFS('月度底稿'!O$2:O$97,'月度底稿'!A$2:A$97,A5,'月度底稿'!B$2:B$97,B5)-D5</f>
        <v/>
      </c>
      <c r="J5" s="2">
        <f>SUMIFS('月度底稿'!U$2:U$97,'月度底稿'!A$2:A$97,A5,'月度底稿'!B$2:B$97,B5)-E5</f>
        <v/>
      </c>
      <c r="K5" s="2">
        <f>SUMIFS('月度底稿'!V$2:V$97,'月度底稿'!A$2:A$97,A5,'月度底稿'!B$2:B$97,B5)-(D5-E5)</f>
        <v/>
      </c>
      <c r="L5" s="2">
        <f>SUMIFS('月度底稿'!W$2:W$97,'月度底稿'!A$2:A$97,A5,'月度底稿'!B$2:B$97,B5)-(SUMIFS('月度底稿'!V$2:V$97,'月度底稿'!A$2:A$97,A5,'月度底稿'!B$2:B$97,B5)-SUMIFS('月度底稿'!T$2:T$97,'月度底稿'!A$2:A$97,A5,'月度底稿'!B$2:B$97,B5))</f>
        <v/>
      </c>
    </row>
    <row r="6">
      <c r="A6" s="2" t="n">
        <v>1</v>
      </c>
      <c r="B6" s="2" t="n">
        <v>5</v>
      </c>
      <c r="C6" s="3" t="inlineStr">
        <is>
          <t>孙七</t>
        </is>
      </c>
      <c r="D6" s="2">
        <f>SUMIFS('月度底稿'!H$2:H$97,'月度底稿'!A$2:A$97,A6,'月度底稿'!B$2:B$97,B6)+SUMIFS('月度底稿'!I$2:I$97,'月度底稿'!A$2:A$97,A6,'月度底稿'!B$2:B$97,B6)+SUMIFS('月度底稿'!J$2:J$97,'月度底稿'!A$2:A$97,A6,'月度底稿'!B$2:B$97,B6)+SUMIFS('月度底稿'!K$2:K$97,'月度底稿'!A$2:A$97,A6,'月度底稿'!B$2:B$97,B6)+SUMIFS('月度底稿'!L$2:L$97,'月度底稿'!A$2:A$97,A6,'月度底稿'!B$2:B$97,B6)+SUMIFS('月度底稿'!M$2:M$97,'月度底稿'!A$2:A$97,A6,'月度底稿'!B$2:B$97,B6)+SUMIFS('月度底稿'!N$2:N$97,'月度底稿'!A$2:A$97,A6,'月度底稿'!B$2:B$97,B6)</f>
        <v/>
      </c>
      <c r="E6" s="2">
        <f>SUMIFS('月度底稿'!P$2:P$97,'月度底稿'!A$2:A$97,A6,'月度底稿'!B$2:B$97,B6)+SUMIFS('月度底稿'!Q$2:Q$97,'月度底稿'!A$2:A$97,A6,'月度底稿'!B$2:B$97,B6)+SUMIFS('月度底稿'!R$2:R$97,'月度底稿'!A$2:A$97,A6,'月度底稿'!B$2:B$97,B6)+SUMIFS('月度底稿'!S$2:S$97,'月度底稿'!A$2:A$97,A6,'月度底稿'!B$2:B$97,B6)+SUMIFS('月度底稿'!T$2:T$97,'月度底稿'!A$2:A$97,A6,'月度底稿'!B$2:B$97,B6)</f>
        <v/>
      </c>
      <c r="F6" s="2">
        <f>D6-E6</f>
        <v/>
      </c>
      <c r="G6" s="2">
        <f>SUMIFS('月度底稿'!W$2:W$97,'月度底稿'!A$2:A$97,A6,'月度底稿'!B$2:B$97,B6)</f>
        <v/>
      </c>
      <c r="H6" s="2">
        <f>F6-G6</f>
        <v/>
      </c>
      <c r="I6" s="2">
        <f>SUMIFS('月度底稿'!O$2:O$97,'月度底稿'!A$2:A$97,A6,'月度底稿'!B$2:B$97,B6)-D6</f>
        <v/>
      </c>
      <c r="J6" s="2">
        <f>SUMIFS('月度底稿'!U$2:U$97,'月度底稿'!A$2:A$97,A6,'月度底稿'!B$2:B$97,B6)-E6</f>
        <v/>
      </c>
      <c r="K6" s="2">
        <f>SUMIFS('月度底稿'!V$2:V$97,'月度底稿'!A$2:A$97,A6,'月度底稿'!B$2:B$97,B6)-(D6-E6)</f>
        <v/>
      </c>
      <c r="L6" s="2">
        <f>SUMIFS('月度底稿'!W$2:W$97,'月度底稿'!A$2:A$97,A6,'月度底稿'!B$2:B$97,B6)-(SUMIFS('月度底稿'!V$2:V$97,'月度底稿'!A$2:A$97,A6,'月度底稿'!B$2:B$97,B6)-SUMIFS('月度底稿'!T$2:T$97,'月度底稿'!A$2:A$97,A6,'月度底稿'!B$2:B$97,B6))</f>
        <v/>
      </c>
    </row>
    <row r="7">
      <c r="A7" s="2" t="n">
        <v>1</v>
      </c>
      <c r="B7" s="2" t="n">
        <v>6</v>
      </c>
      <c r="C7" s="3" t="inlineStr">
        <is>
          <t>周八</t>
        </is>
      </c>
      <c r="D7" s="2">
        <f>SUMIFS('月度底稿'!H$2:H$97,'月度底稿'!A$2:A$97,A7,'月度底稿'!B$2:B$97,B7)+SUMIFS('月度底稿'!I$2:I$97,'月度底稿'!A$2:A$97,A7,'月度底稿'!B$2:B$97,B7)+SUMIFS('月度底稿'!J$2:J$97,'月度底稿'!A$2:A$97,A7,'月度底稿'!B$2:B$97,B7)+SUMIFS('月度底稿'!K$2:K$97,'月度底稿'!A$2:A$97,A7,'月度底稿'!B$2:B$97,B7)+SUMIFS('月度底稿'!L$2:L$97,'月度底稿'!A$2:A$97,A7,'月度底稿'!B$2:B$97,B7)+SUMIFS('月度底稿'!M$2:M$97,'月度底稿'!A$2:A$97,A7,'月度底稿'!B$2:B$97,B7)+SUMIFS('月度底稿'!N$2:N$97,'月度底稿'!A$2:A$97,A7,'月度底稿'!B$2:B$97,B7)</f>
        <v/>
      </c>
      <c r="E7" s="2">
        <f>SUMIFS('月度底稿'!P$2:P$97,'月度底稿'!A$2:A$97,A7,'月度底稿'!B$2:B$97,B7)+SUMIFS('月度底稿'!Q$2:Q$97,'月度底稿'!A$2:A$97,A7,'月度底稿'!B$2:B$97,B7)+SUMIFS('月度底稿'!R$2:R$97,'月度底稿'!A$2:A$97,A7,'月度底稿'!B$2:B$97,B7)+SUMIFS('月度底稿'!S$2:S$97,'月度底稿'!A$2:A$97,A7,'月度底稿'!B$2:B$97,B7)+SUMIFS('月度底稿'!T$2:T$97,'月度底稿'!A$2:A$97,A7,'月度底稿'!B$2:B$97,B7)</f>
        <v/>
      </c>
      <c r="F7" s="2">
        <f>D7-E7</f>
        <v/>
      </c>
      <c r="G7" s="2">
        <f>SUMIFS('月度底稿'!W$2:W$97,'月度底稿'!A$2:A$97,A7,'月度底稿'!B$2:B$97,B7)</f>
        <v/>
      </c>
      <c r="H7" s="2">
        <f>F7-G7</f>
        <v/>
      </c>
      <c r="I7" s="2">
        <f>SUMIFS('月度底稿'!O$2:O$97,'月度底稿'!A$2:A$97,A7,'月度底稿'!B$2:B$97,B7)-D7</f>
        <v/>
      </c>
      <c r="J7" s="2">
        <f>SUMIFS('月度底稿'!U$2:U$97,'月度底稿'!A$2:A$97,A7,'月度底稿'!B$2:B$97,B7)-E7</f>
        <v/>
      </c>
      <c r="K7" s="2">
        <f>SUMIFS('月度底稿'!V$2:V$97,'月度底稿'!A$2:A$97,A7,'月度底稿'!B$2:B$97,B7)-(D7-E7)</f>
        <v/>
      </c>
      <c r="L7" s="2">
        <f>SUMIFS('月度底稿'!W$2:W$97,'月度底稿'!A$2:A$97,A7,'月度底稿'!B$2:B$97,B7)-(SUMIFS('月度底稿'!V$2:V$97,'月度底稿'!A$2:A$97,A7,'月度底稿'!B$2:B$97,B7)-SUMIFS('月度底稿'!T$2:T$97,'月度底稿'!A$2:A$97,A7,'月度底稿'!B$2:B$97,B7))</f>
        <v/>
      </c>
    </row>
    <row r="8">
      <c r="A8" s="2" t="n">
        <v>1</v>
      </c>
      <c r="B8" s="2" t="n">
        <v>7</v>
      </c>
      <c r="C8" s="3" t="inlineStr">
        <is>
          <t>吴九</t>
        </is>
      </c>
      <c r="D8" s="2">
        <f>SUMIFS('月度底稿'!H$2:H$97,'月度底稿'!A$2:A$97,A8,'月度底稿'!B$2:B$97,B8)+SUMIFS('月度底稿'!I$2:I$97,'月度底稿'!A$2:A$97,A8,'月度底稿'!B$2:B$97,B8)+SUMIFS('月度底稿'!J$2:J$97,'月度底稿'!A$2:A$97,A8,'月度底稿'!B$2:B$97,B8)+SUMIFS('月度底稿'!K$2:K$97,'月度底稿'!A$2:A$97,A8,'月度底稿'!B$2:B$97,B8)+SUMIFS('月度底稿'!L$2:L$97,'月度底稿'!A$2:A$97,A8,'月度底稿'!B$2:B$97,B8)+SUMIFS('月度底稿'!M$2:M$97,'月度底稿'!A$2:A$97,A8,'月度底稿'!B$2:B$97,B8)+SUMIFS('月度底稿'!N$2:N$97,'月度底稿'!A$2:A$97,A8,'月度底稿'!B$2:B$97,B8)</f>
        <v/>
      </c>
      <c r="E8" s="2">
        <f>SUMIFS('月度底稿'!P$2:P$97,'月度底稿'!A$2:A$97,A8,'月度底稿'!B$2:B$97,B8)+SUMIFS('月度底稿'!Q$2:Q$97,'月度底稿'!A$2:A$97,A8,'月度底稿'!B$2:B$97,B8)+SUMIFS('月度底稿'!R$2:R$97,'月度底稿'!A$2:A$97,A8,'月度底稿'!B$2:B$97,B8)+SUMIFS('月度底稿'!S$2:S$97,'月度底稿'!A$2:A$97,A8,'月度底稿'!B$2:B$97,B8)+SUMIFS('月度底稿'!T$2:T$97,'月度底稿'!A$2:A$97,A8,'月度底稿'!B$2:B$97,B8)</f>
        <v/>
      </c>
      <c r="F8" s="2">
        <f>D8-E8</f>
        <v/>
      </c>
      <c r="G8" s="2">
        <f>SUMIFS('月度底稿'!W$2:W$97,'月度底稿'!A$2:A$97,A8,'月度底稿'!B$2:B$97,B8)</f>
        <v/>
      </c>
      <c r="H8" s="2">
        <f>F8-G8</f>
        <v/>
      </c>
      <c r="I8" s="2">
        <f>SUMIFS('月度底稿'!O$2:O$97,'月度底稿'!A$2:A$97,A8,'月度底稿'!B$2:B$97,B8)-D8</f>
        <v/>
      </c>
      <c r="J8" s="2">
        <f>SUMIFS('月度底稿'!U$2:U$97,'月度底稿'!A$2:A$97,A8,'月度底稿'!B$2:B$97,B8)-E8</f>
        <v/>
      </c>
      <c r="K8" s="2">
        <f>SUMIFS('月度底稿'!V$2:V$97,'月度底稿'!A$2:A$97,A8,'月度底稿'!B$2:B$97,B8)-(D8-E8)</f>
        <v/>
      </c>
      <c r="L8" s="2">
        <f>SUMIFS('月度底稿'!W$2:W$97,'月度底稿'!A$2:A$97,A8,'月度底稿'!B$2:B$97,B8)-(SUMIFS('月度底稿'!V$2:V$97,'月度底稿'!A$2:A$97,A8,'月度底稿'!B$2:B$97,B8)-SUMIFS('月度底稿'!T$2:T$97,'月度底稿'!A$2:A$97,A8,'月度底稿'!B$2:B$97,B8))</f>
        <v/>
      </c>
    </row>
    <row r="9">
      <c r="A9" s="2" t="n">
        <v>1</v>
      </c>
      <c r="B9" s="2" t="n">
        <v>8</v>
      </c>
      <c r="C9" s="3" t="inlineStr">
        <is>
          <t>郑十</t>
        </is>
      </c>
      <c r="D9" s="2">
        <f>SUMIFS('月度底稿'!H$2:H$97,'月度底稿'!A$2:A$97,A9,'月度底稿'!B$2:B$97,B9)+SUMIFS('月度底稿'!I$2:I$97,'月度底稿'!A$2:A$97,A9,'月度底稿'!B$2:B$97,B9)+SUMIFS('月度底稿'!J$2:J$97,'月度底稿'!A$2:A$97,A9,'月度底稿'!B$2:B$97,B9)+SUMIFS('月度底稿'!K$2:K$97,'月度底稿'!A$2:A$97,A9,'月度底稿'!B$2:B$97,B9)+SUMIFS('月度底稿'!L$2:L$97,'月度底稿'!A$2:A$97,A9,'月度底稿'!B$2:B$97,B9)+SUMIFS('月度底稿'!M$2:M$97,'月度底稿'!A$2:A$97,A9,'月度底稿'!B$2:B$97,B9)+SUMIFS('月度底稿'!N$2:N$97,'月度底稿'!A$2:A$97,A9,'月度底稿'!B$2:B$97,B9)</f>
        <v/>
      </c>
      <c r="E9" s="2">
        <f>SUMIFS('月度底稿'!P$2:P$97,'月度底稿'!A$2:A$97,A9,'月度底稿'!B$2:B$97,B9)+SUMIFS('月度底稿'!Q$2:Q$97,'月度底稿'!A$2:A$97,A9,'月度底稿'!B$2:B$97,B9)+SUMIFS('月度底稿'!R$2:R$97,'月度底稿'!A$2:A$97,A9,'月度底稿'!B$2:B$97,B9)+SUMIFS('月度底稿'!S$2:S$97,'月度底稿'!A$2:A$97,A9,'月度底稿'!B$2:B$97,B9)+SUMIFS('月度底稿'!T$2:T$97,'月度底稿'!A$2:A$97,A9,'月度底稿'!B$2:B$97,B9)</f>
        <v/>
      </c>
      <c r="F9" s="2">
        <f>D9-E9</f>
        <v/>
      </c>
      <c r="G9" s="2">
        <f>SUMIFS('月度底稿'!W$2:W$97,'月度底稿'!A$2:A$97,A9,'月度底稿'!B$2:B$97,B9)</f>
        <v/>
      </c>
      <c r="H9" s="2">
        <f>F9-G9</f>
        <v/>
      </c>
      <c r="I9" s="2">
        <f>SUMIFS('月度底稿'!O$2:O$97,'月度底稿'!A$2:A$97,A9,'月度底稿'!B$2:B$97,B9)-D9</f>
        <v/>
      </c>
      <c r="J9" s="2">
        <f>SUMIFS('月度底稿'!U$2:U$97,'月度底稿'!A$2:A$97,A9,'月度底稿'!B$2:B$97,B9)-E9</f>
        <v/>
      </c>
      <c r="K9" s="2">
        <f>SUMIFS('月度底稿'!V$2:V$97,'月度底稿'!A$2:A$97,A9,'月度底稿'!B$2:B$97,B9)-(D9-E9)</f>
        <v/>
      </c>
      <c r="L9" s="2">
        <f>SUMIFS('月度底稿'!W$2:W$97,'月度底稿'!A$2:A$97,A9,'月度底稿'!B$2:B$97,B9)-(SUMIFS('月度底稿'!V$2:V$97,'月度底稿'!A$2:A$97,A9,'月度底稿'!B$2:B$97,B9)-SUMIFS('月度底稿'!T$2:T$97,'月度底稿'!A$2:A$97,A9,'月度底稿'!B$2:B$97,B9))</f>
        <v/>
      </c>
    </row>
    <row r="10">
      <c r="A10" s="2" t="n">
        <v>2</v>
      </c>
      <c r="B10" s="2" t="n">
        <v>1</v>
      </c>
      <c r="C10" s="3" t="inlineStr">
        <is>
          <t>张三</t>
        </is>
      </c>
      <c r="D10" s="2">
        <f>SUMIFS('月度底稿'!H$2:H$97,'月度底稿'!A$2:A$97,A10,'月度底稿'!B$2:B$97,B10)+SUMIFS('月度底稿'!I$2:I$97,'月度底稿'!A$2:A$97,A10,'月度底稿'!B$2:B$97,B10)+SUMIFS('月度底稿'!J$2:J$97,'月度底稿'!A$2:A$97,A10,'月度底稿'!B$2:B$97,B10)+SUMIFS('月度底稿'!K$2:K$97,'月度底稿'!A$2:A$97,A10,'月度底稿'!B$2:B$97,B10)+SUMIFS('月度底稿'!L$2:L$97,'月度底稿'!A$2:A$97,A10,'月度底稿'!B$2:B$97,B10)+SUMIFS('月度底稿'!M$2:M$97,'月度底稿'!A$2:A$97,A10,'月度底稿'!B$2:B$97,B10)+SUMIFS('月度底稿'!N$2:N$97,'月度底稿'!A$2:A$97,A10,'月度底稿'!B$2:B$97,B10)</f>
        <v/>
      </c>
      <c r="E10" s="2">
        <f>SUMIFS('月度底稿'!P$2:P$97,'月度底稿'!A$2:A$97,A10,'月度底稿'!B$2:B$97,B10)+SUMIFS('月度底稿'!Q$2:Q$97,'月度底稿'!A$2:A$97,A10,'月度底稿'!B$2:B$97,B10)+SUMIFS('月度底稿'!R$2:R$97,'月度底稿'!A$2:A$97,A10,'月度底稿'!B$2:B$97,B10)+SUMIFS('月度底稿'!S$2:S$97,'月度底稿'!A$2:A$97,A10,'月度底稿'!B$2:B$97,B10)+SUMIFS('月度底稿'!T$2:T$97,'月度底稿'!A$2:A$97,A10,'月度底稿'!B$2:B$97,B10)</f>
        <v/>
      </c>
      <c r="F10" s="2">
        <f>D10-E10</f>
        <v/>
      </c>
      <c r="G10" s="2">
        <f>SUMIFS('月度底稿'!W$2:W$97,'月度底稿'!A$2:A$97,A10,'月度底稿'!B$2:B$97,B10)</f>
        <v/>
      </c>
      <c r="H10" s="2">
        <f>F10-G10</f>
        <v/>
      </c>
      <c r="I10" s="2">
        <f>SUMIFS('月度底稿'!O$2:O$97,'月度底稿'!A$2:A$97,A10,'月度底稿'!B$2:B$97,B10)-D10</f>
        <v/>
      </c>
      <c r="J10" s="2">
        <f>SUMIFS('月度底稿'!U$2:U$97,'月度底稿'!A$2:A$97,A10,'月度底稿'!B$2:B$97,B10)-E10</f>
        <v/>
      </c>
      <c r="K10" s="2">
        <f>SUMIFS('月度底稿'!V$2:V$97,'月度底稿'!A$2:A$97,A10,'月度底稿'!B$2:B$97,B10)-(D10-E10)</f>
        <v/>
      </c>
      <c r="L10" s="2">
        <f>SUMIFS('月度底稿'!W$2:W$97,'月度底稿'!A$2:A$97,A10,'月度底稿'!B$2:B$97,B10)-(SUMIFS('月度底稿'!V$2:V$97,'月度底稿'!A$2:A$97,A10,'月度底稿'!B$2:B$97,B10)-SUMIFS('月度底稿'!T$2:T$97,'月度底稿'!A$2:A$97,A10,'月度底稿'!B$2:B$97,B10))</f>
        <v/>
      </c>
    </row>
    <row r="11">
      <c r="A11" s="2" t="n">
        <v>2</v>
      </c>
      <c r="B11" s="2" t="n">
        <v>2</v>
      </c>
      <c r="C11" s="3" t="inlineStr">
        <is>
          <t>李四</t>
        </is>
      </c>
      <c r="D11" s="2">
        <f>SUMIFS('月度底稿'!H$2:H$97,'月度底稿'!A$2:A$97,A11,'月度底稿'!B$2:B$97,B11)+SUMIFS('月度底稿'!I$2:I$97,'月度底稿'!A$2:A$97,A11,'月度底稿'!B$2:B$97,B11)+SUMIFS('月度底稿'!J$2:J$97,'月度底稿'!A$2:A$97,A11,'月度底稿'!B$2:B$97,B11)+SUMIFS('月度底稿'!K$2:K$97,'月度底稿'!A$2:A$97,A11,'月度底稿'!B$2:B$97,B11)+SUMIFS('月度底稿'!L$2:L$97,'月度底稿'!A$2:A$97,A11,'月度底稿'!B$2:B$97,B11)+SUMIFS('月度底稿'!M$2:M$97,'月度底稿'!A$2:A$97,A11,'月度底稿'!B$2:B$97,B11)+SUMIFS('月度底稿'!N$2:N$97,'月度底稿'!A$2:A$97,A11,'月度底稿'!B$2:B$97,B11)</f>
        <v/>
      </c>
      <c r="E11" s="2">
        <f>SUMIFS('月度底稿'!P$2:P$97,'月度底稿'!A$2:A$97,A11,'月度底稿'!B$2:B$97,B11)+SUMIFS('月度底稿'!Q$2:Q$97,'月度底稿'!A$2:A$97,A11,'月度底稿'!B$2:B$97,B11)+SUMIFS('月度底稿'!R$2:R$97,'月度底稿'!A$2:A$97,A11,'月度底稿'!B$2:B$97,B11)+SUMIFS('月度底稿'!S$2:S$97,'月度底稿'!A$2:A$97,A11,'月度底稿'!B$2:B$97,B11)+SUMIFS('月度底稿'!T$2:T$97,'月度底稿'!A$2:A$97,A11,'月度底稿'!B$2:B$97,B11)</f>
        <v/>
      </c>
      <c r="F11" s="2">
        <f>D11-E11</f>
        <v/>
      </c>
      <c r="G11" s="2">
        <f>SUMIFS('月度底稿'!W$2:W$97,'月度底稿'!A$2:A$97,A11,'月度底稿'!B$2:B$97,B11)</f>
        <v/>
      </c>
      <c r="H11" s="2">
        <f>F11-G11</f>
        <v/>
      </c>
      <c r="I11" s="2">
        <f>SUMIFS('月度底稿'!O$2:O$97,'月度底稿'!A$2:A$97,A11,'月度底稿'!B$2:B$97,B11)-D11</f>
        <v/>
      </c>
      <c r="J11" s="2">
        <f>SUMIFS('月度底稿'!U$2:U$97,'月度底稿'!A$2:A$97,A11,'月度底稿'!B$2:B$97,B11)-E11</f>
        <v/>
      </c>
      <c r="K11" s="2">
        <f>SUMIFS('月度底稿'!V$2:V$97,'月度底稿'!A$2:A$97,A11,'月度底稿'!B$2:B$97,B11)-(D11-E11)</f>
        <v/>
      </c>
      <c r="L11" s="2">
        <f>SUMIFS('月度底稿'!W$2:W$97,'月度底稿'!A$2:A$97,A11,'月度底稿'!B$2:B$97,B11)-(SUMIFS('月度底稿'!V$2:V$97,'月度底稿'!A$2:A$97,A11,'月度底稿'!B$2:B$97,B11)-SUMIFS('月度底稿'!T$2:T$97,'月度底稿'!A$2:A$97,A11,'月度底稿'!B$2:B$97,B11))</f>
        <v/>
      </c>
    </row>
    <row r="12">
      <c r="A12" s="2" t="n">
        <v>2</v>
      </c>
      <c r="B12" s="2" t="n">
        <v>3</v>
      </c>
      <c r="C12" s="3" t="inlineStr">
        <is>
          <t>王五</t>
        </is>
      </c>
      <c r="D12" s="2">
        <f>SUMIFS('月度底稿'!H$2:H$97,'月度底稿'!A$2:A$97,A12,'月度底稿'!B$2:B$97,B12)+SUMIFS('月度底稿'!I$2:I$97,'月度底稿'!A$2:A$97,A12,'月度底稿'!B$2:B$97,B12)+SUMIFS('月度底稿'!J$2:J$97,'月度底稿'!A$2:A$97,A12,'月度底稿'!B$2:B$97,B12)+SUMIFS('月度底稿'!K$2:K$97,'月度底稿'!A$2:A$97,A12,'月度底稿'!B$2:B$97,B12)+SUMIFS('月度底稿'!L$2:L$97,'月度底稿'!A$2:A$97,A12,'月度底稿'!B$2:B$97,B12)+SUMIFS('月度底稿'!M$2:M$97,'月度底稿'!A$2:A$97,A12,'月度底稿'!B$2:B$97,B12)+SUMIFS('月度底稿'!N$2:N$97,'月度底稿'!A$2:A$97,A12,'月度底稿'!B$2:B$97,B12)</f>
        <v/>
      </c>
      <c r="E12" s="2">
        <f>SUMIFS('月度底稿'!P$2:P$97,'月度底稿'!A$2:A$97,A12,'月度底稿'!B$2:B$97,B12)+SUMIFS('月度底稿'!Q$2:Q$97,'月度底稿'!A$2:A$97,A12,'月度底稿'!B$2:B$97,B12)+SUMIFS('月度底稿'!R$2:R$97,'月度底稿'!A$2:A$97,A12,'月度底稿'!B$2:B$97,B12)+SUMIFS('月度底稿'!S$2:S$97,'月度底稿'!A$2:A$97,A12,'月度底稿'!B$2:B$97,B12)+SUMIFS('月度底稿'!T$2:T$97,'月度底稿'!A$2:A$97,A12,'月度底稿'!B$2:B$97,B12)</f>
        <v/>
      </c>
      <c r="F12" s="2">
        <f>D12-E12</f>
        <v/>
      </c>
      <c r="G12" s="2">
        <f>SUMIFS('月度底稿'!W$2:W$97,'月度底稿'!A$2:A$97,A12,'月度底稿'!B$2:B$97,B12)</f>
        <v/>
      </c>
      <c r="H12" s="2">
        <f>F12-G12</f>
        <v/>
      </c>
      <c r="I12" s="2">
        <f>SUMIFS('月度底稿'!O$2:O$97,'月度底稿'!A$2:A$97,A12,'月度底稿'!B$2:B$97,B12)-D12</f>
        <v/>
      </c>
      <c r="J12" s="2">
        <f>SUMIFS('月度底稿'!U$2:U$97,'月度底稿'!A$2:A$97,A12,'月度底稿'!B$2:B$97,B12)-E12</f>
        <v/>
      </c>
      <c r="K12" s="2">
        <f>SUMIFS('月度底稿'!V$2:V$97,'月度底稿'!A$2:A$97,A12,'月度底稿'!B$2:B$97,B12)-(D12-E12)</f>
        <v/>
      </c>
      <c r="L12" s="2">
        <f>SUMIFS('月度底稿'!W$2:W$97,'月度底稿'!A$2:A$97,A12,'月度底稿'!B$2:B$97,B12)-(SUMIFS('月度底稿'!V$2:V$97,'月度底稿'!A$2:A$97,A12,'月度底稿'!B$2:B$97,B12)-SUMIFS('月度底稿'!T$2:T$97,'月度底稿'!A$2:A$97,A12,'月度底稿'!B$2:B$97,B12))</f>
        <v/>
      </c>
    </row>
    <row r="13">
      <c r="A13" s="2" t="n">
        <v>2</v>
      </c>
      <c r="B13" s="2" t="n">
        <v>4</v>
      </c>
      <c r="C13" s="3" t="inlineStr">
        <is>
          <t>赵六</t>
        </is>
      </c>
      <c r="D13" s="2">
        <f>SUMIFS('月度底稿'!H$2:H$97,'月度底稿'!A$2:A$97,A13,'月度底稿'!B$2:B$97,B13)+SUMIFS('月度底稿'!I$2:I$97,'月度底稿'!A$2:A$97,A13,'月度底稿'!B$2:B$97,B13)+SUMIFS('月度底稿'!J$2:J$97,'月度底稿'!A$2:A$97,A13,'月度底稿'!B$2:B$97,B13)+SUMIFS('月度底稿'!K$2:K$97,'月度底稿'!A$2:A$97,A13,'月度底稿'!B$2:B$97,B13)+SUMIFS('月度底稿'!L$2:L$97,'月度底稿'!A$2:A$97,A13,'月度底稿'!B$2:B$97,B13)+SUMIFS('月度底稿'!M$2:M$97,'月度底稿'!A$2:A$97,A13,'月度底稿'!B$2:B$97,B13)+SUMIFS('月度底稿'!N$2:N$97,'月度底稿'!A$2:A$97,A13,'月度底稿'!B$2:B$97,B13)</f>
        <v/>
      </c>
      <c r="E13" s="2">
        <f>SUMIFS('月度底稿'!P$2:P$97,'月度底稿'!A$2:A$97,A13,'月度底稿'!B$2:B$97,B13)+SUMIFS('月度底稿'!Q$2:Q$97,'月度底稿'!A$2:A$97,A13,'月度底稿'!B$2:B$97,B13)+SUMIFS('月度底稿'!R$2:R$97,'月度底稿'!A$2:A$97,A13,'月度底稿'!B$2:B$97,B13)+SUMIFS('月度底稿'!S$2:S$97,'月度底稿'!A$2:A$97,A13,'月度底稿'!B$2:B$97,B13)+SUMIFS('月度底稿'!T$2:T$97,'月度底稿'!A$2:A$97,A13,'月度底稿'!B$2:B$97,B13)</f>
        <v/>
      </c>
      <c r="F13" s="2">
        <f>D13-E13</f>
        <v/>
      </c>
      <c r="G13" s="2">
        <f>SUMIFS('月度底稿'!W$2:W$97,'月度底稿'!A$2:A$97,A13,'月度底稿'!B$2:B$97,B13)</f>
        <v/>
      </c>
      <c r="H13" s="2">
        <f>F13-G13</f>
        <v/>
      </c>
      <c r="I13" s="2">
        <f>SUMIFS('月度底稿'!O$2:O$97,'月度底稿'!A$2:A$97,A13,'月度底稿'!B$2:B$97,B13)-D13</f>
        <v/>
      </c>
      <c r="J13" s="2">
        <f>SUMIFS('月度底稿'!U$2:U$97,'月度底稿'!A$2:A$97,A13,'月度底稿'!B$2:B$97,B13)-E13</f>
        <v/>
      </c>
      <c r="K13" s="2">
        <f>SUMIFS('月度底稿'!V$2:V$97,'月度底稿'!A$2:A$97,A13,'月度底稿'!B$2:B$97,B13)-(D13-E13)</f>
        <v/>
      </c>
      <c r="L13" s="2">
        <f>SUMIFS('月度底稿'!W$2:W$97,'月度底稿'!A$2:A$97,A13,'月度底稿'!B$2:B$97,B13)-(SUMIFS('月度底稿'!V$2:V$97,'月度底稿'!A$2:A$97,A13,'月度底稿'!B$2:B$97,B13)-SUMIFS('月度底稿'!T$2:T$97,'月度底稿'!A$2:A$97,A13,'月度底稿'!B$2:B$97,B13))</f>
        <v/>
      </c>
    </row>
    <row r="14">
      <c r="A14" s="2" t="n">
        <v>2</v>
      </c>
      <c r="B14" s="2" t="n">
        <v>5</v>
      </c>
      <c r="C14" s="3" t="inlineStr">
        <is>
          <t>孙七</t>
        </is>
      </c>
      <c r="D14" s="2">
        <f>SUMIFS('月度底稿'!H$2:H$97,'月度底稿'!A$2:A$97,A14,'月度底稿'!B$2:B$97,B14)+SUMIFS('月度底稿'!I$2:I$97,'月度底稿'!A$2:A$97,A14,'月度底稿'!B$2:B$97,B14)+SUMIFS('月度底稿'!J$2:J$97,'月度底稿'!A$2:A$97,A14,'月度底稿'!B$2:B$97,B14)+SUMIFS('月度底稿'!K$2:K$97,'月度底稿'!A$2:A$97,A14,'月度底稿'!B$2:B$97,B14)+SUMIFS('月度底稿'!L$2:L$97,'月度底稿'!A$2:A$97,A14,'月度底稿'!B$2:B$97,B14)+SUMIFS('月度底稿'!M$2:M$97,'月度底稿'!A$2:A$97,A14,'月度底稿'!B$2:B$97,B14)+SUMIFS('月度底稿'!N$2:N$97,'月度底稿'!A$2:A$97,A14,'月度底稿'!B$2:B$97,B14)</f>
        <v/>
      </c>
      <c r="E14" s="2">
        <f>SUMIFS('月度底稿'!P$2:P$97,'月度底稿'!A$2:A$97,A14,'月度底稿'!B$2:B$97,B14)+SUMIFS('月度底稿'!Q$2:Q$97,'月度底稿'!A$2:A$97,A14,'月度底稿'!B$2:B$97,B14)+SUMIFS('月度底稿'!R$2:R$97,'月度底稿'!A$2:A$97,A14,'月度底稿'!B$2:B$97,B14)+SUMIFS('月度底稿'!S$2:S$97,'月度底稿'!A$2:A$97,A14,'月度底稿'!B$2:B$97,B14)+SUMIFS('月度底稿'!T$2:T$97,'月度底稿'!A$2:A$97,A14,'月度底稿'!B$2:B$97,B14)</f>
        <v/>
      </c>
      <c r="F14" s="2">
        <f>D14-E14</f>
        <v/>
      </c>
      <c r="G14" s="2">
        <f>SUMIFS('月度底稿'!W$2:W$97,'月度底稿'!A$2:A$97,A14,'月度底稿'!B$2:B$97,B14)</f>
        <v/>
      </c>
      <c r="H14" s="2">
        <f>F14-G14</f>
        <v/>
      </c>
      <c r="I14" s="2">
        <f>SUMIFS('月度底稿'!O$2:O$97,'月度底稿'!A$2:A$97,A14,'月度底稿'!B$2:B$97,B14)-D14</f>
        <v/>
      </c>
      <c r="J14" s="2">
        <f>SUMIFS('月度底稿'!U$2:U$97,'月度底稿'!A$2:A$97,A14,'月度底稿'!B$2:B$97,B14)-E14</f>
        <v/>
      </c>
      <c r="K14" s="2">
        <f>SUMIFS('月度底稿'!V$2:V$97,'月度底稿'!A$2:A$97,A14,'月度底稿'!B$2:B$97,B14)-(D14-E14)</f>
        <v/>
      </c>
      <c r="L14" s="2">
        <f>SUMIFS('月度底稿'!W$2:W$97,'月度底稿'!A$2:A$97,A14,'月度底稿'!B$2:B$97,B14)-(SUMIFS('月度底稿'!V$2:V$97,'月度底稿'!A$2:A$97,A14,'月度底稿'!B$2:B$97,B14)-SUMIFS('月度底稿'!T$2:T$97,'月度底稿'!A$2:A$97,A14,'月度底稿'!B$2:B$97,B14))</f>
        <v/>
      </c>
    </row>
    <row r="15">
      <c r="A15" s="2" t="n">
        <v>2</v>
      </c>
      <c r="B15" s="2" t="n">
        <v>6</v>
      </c>
      <c r="C15" s="3" t="inlineStr">
        <is>
          <t>周八</t>
        </is>
      </c>
      <c r="D15" s="2">
        <f>SUMIFS('月度底稿'!H$2:H$97,'月度底稿'!A$2:A$97,A15,'月度底稿'!B$2:B$97,B15)+SUMIFS('月度底稿'!I$2:I$97,'月度底稿'!A$2:A$97,A15,'月度底稿'!B$2:B$97,B15)+SUMIFS('月度底稿'!J$2:J$97,'月度底稿'!A$2:A$97,A15,'月度底稿'!B$2:B$97,B15)+SUMIFS('月度底稿'!K$2:K$97,'月度底稿'!A$2:A$97,A15,'月度底稿'!B$2:B$97,B15)+SUMIFS('月度底稿'!L$2:L$97,'月度底稿'!A$2:A$97,A15,'月度底稿'!B$2:B$97,B15)+SUMIFS('月度底稿'!M$2:M$97,'月度底稿'!A$2:A$97,A15,'月度底稿'!B$2:B$97,B15)+SUMIFS('月度底稿'!N$2:N$97,'月度底稿'!A$2:A$97,A15,'月度底稿'!B$2:B$97,B15)</f>
        <v/>
      </c>
      <c r="E15" s="2">
        <f>SUMIFS('月度底稿'!P$2:P$97,'月度底稿'!A$2:A$97,A15,'月度底稿'!B$2:B$97,B15)+SUMIFS('月度底稿'!Q$2:Q$97,'月度底稿'!A$2:A$97,A15,'月度底稿'!B$2:B$97,B15)+SUMIFS('月度底稿'!R$2:R$97,'月度底稿'!A$2:A$97,A15,'月度底稿'!B$2:B$97,B15)+SUMIFS('月度底稿'!S$2:S$97,'月度底稿'!A$2:A$97,A15,'月度底稿'!B$2:B$97,B15)+SUMIFS('月度底稿'!T$2:T$97,'月度底稿'!A$2:A$97,A15,'月度底稿'!B$2:B$97,B15)</f>
        <v/>
      </c>
      <c r="F15" s="2">
        <f>D15-E15</f>
        <v/>
      </c>
      <c r="G15" s="2">
        <f>SUMIFS('月度底稿'!W$2:W$97,'月度底稿'!A$2:A$97,A15,'月度底稿'!B$2:B$97,B15)</f>
        <v/>
      </c>
      <c r="H15" s="2">
        <f>F15-G15</f>
        <v/>
      </c>
      <c r="I15" s="2">
        <f>SUMIFS('月度底稿'!O$2:O$97,'月度底稿'!A$2:A$97,A15,'月度底稿'!B$2:B$97,B15)-D15</f>
        <v/>
      </c>
      <c r="J15" s="2">
        <f>SUMIFS('月度底稿'!U$2:U$97,'月度底稿'!A$2:A$97,A15,'月度底稿'!B$2:B$97,B15)-E15</f>
        <v/>
      </c>
      <c r="K15" s="2">
        <f>SUMIFS('月度底稿'!V$2:V$97,'月度底稿'!A$2:A$97,A15,'月度底稿'!B$2:B$97,B15)-(D15-E15)</f>
        <v/>
      </c>
      <c r="L15" s="2">
        <f>SUMIFS('月度底稿'!W$2:W$97,'月度底稿'!A$2:A$97,A15,'月度底稿'!B$2:B$97,B15)-(SUMIFS('月度底稿'!V$2:V$97,'月度底稿'!A$2:A$97,A15,'月度底稿'!B$2:B$97,B15)-SUMIFS('月度底稿'!T$2:T$97,'月度底稿'!A$2:A$97,A15,'月度底稿'!B$2:B$97,B15))</f>
        <v/>
      </c>
    </row>
    <row r="16">
      <c r="A16" s="2" t="n">
        <v>2</v>
      </c>
      <c r="B16" s="2" t="n">
        <v>7</v>
      </c>
      <c r="C16" s="3" t="inlineStr">
        <is>
          <t>吴九</t>
        </is>
      </c>
      <c r="D16" s="2">
        <f>SUMIFS('月度底稿'!H$2:H$97,'月度底稿'!A$2:A$97,A16,'月度底稿'!B$2:B$97,B16)+SUMIFS('月度底稿'!I$2:I$97,'月度底稿'!A$2:A$97,A16,'月度底稿'!B$2:B$97,B16)+SUMIFS('月度底稿'!J$2:J$97,'月度底稿'!A$2:A$97,A16,'月度底稿'!B$2:B$97,B16)+SUMIFS('月度底稿'!K$2:K$97,'月度底稿'!A$2:A$97,A16,'月度底稿'!B$2:B$97,B16)+SUMIFS('月度底稿'!L$2:L$97,'月度底稿'!A$2:A$97,A16,'月度底稿'!B$2:B$97,B16)+SUMIFS('月度底稿'!M$2:M$97,'月度底稿'!A$2:A$97,A16,'月度底稿'!B$2:B$97,B16)+SUMIFS('月度底稿'!N$2:N$97,'月度底稿'!A$2:A$97,A16,'月度底稿'!B$2:B$97,B16)</f>
        <v/>
      </c>
      <c r="E16" s="2">
        <f>SUMIFS('月度底稿'!P$2:P$97,'月度底稿'!A$2:A$97,A16,'月度底稿'!B$2:B$97,B16)+SUMIFS('月度底稿'!Q$2:Q$97,'月度底稿'!A$2:A$97,A16,'月度底稿'!B$2:B$97,B16)+SUMIFS('月度底稿'!R$2:R$97,'月度底稿'!A$2:A$97,A16,'月度底稿'!B$2:B$97,B16)+SUMIFS('月度底稿'!S$2:S$97,'月度底稿'!A$2:A$97,A16,'月度底稿'!B$2:B$97,B16)+SUMIFS('月度底稿'!T$2:T$97,'月度底稿'!A$2:A$97,A16,'月度底稿'!B$2:B$97,B16)</f>
        <v/>
      </c>
      <c r="F16" s="2">
        <f>D16-E16</f>
        <v/>
      </c>
      <c r="G16" s="2">
        <f>SUMIFS('月度底稿'!W$2:W$97,'月度底稿'!A$2:A$97,A16,'月度底稿'!B$2:B$97,B16)</f>
        <v/>
      </c>
      <c r="H16" s="2">
        <f>F16-G16</f>
        <v/>
      </c>
      <c r="I16" s="2">
        <f>SUMIFS('月度底稿'!O$2:O$97,'月度底稿'!A$2:A$97,A16,'月度底稿'!B$2:B$97,B16)-D16</f>
        <v/>
      </c>
      <c r="J16" s="2">
        <f>SUMIFS('月度底稿'!U$2:U$97,'月度底稿'!A$2:A$97,A16,'月度底稿'!B$2:B$97,B16)-E16</f>
        <v/>
      </c>
      <c r="K16" s="2">
        <f>SUMIFS('月度底稿'!V$2:V$97,'月度底稿'!A$2:A$97,A16,'月度底稿'!B$2:B$97,B16)-(D16-E16)</f>
        <v/>
      </c>
      <c r="L16" s="2">
        <f>SUMIFS('月度底稿'!W$2:W$97,'月度底稿'!A$2:A$97,A16,'月度底稿'!B$2:B$97,B16)-(SUMIFS('月度底稿'!V$2:V$97,'月度底稿'!A$2:A$97,A16,'月度底稿'!B$2:B$97,B16)-SUMIFS('月度底稿'!T$2:T$97,'月度底稿'!A$2:A$97,A16,'月度底稿'!B$2:B$97,B16))</f>
        <v/>
      </c>
    </row>
    <row r="17">
      <c r="A17" s="2" t="n">
        <v>2</v>
      </c>
      <c r="B17" s="2" t="n">
        <v>8</v>
      </c>
      <c r="C17" s="3" t="inlineStr">
        <is>
          <t>郑十</t>
        </is>
      </c>
      <c r="D17" s="2">
        <f>SUMIFS('月度底稿'!H$2:H$97,'月度底稿'!A$2:A$97,A17,'月度底稿'!B$2:B$97,B17)+SUMIFS('月度底稿'!I$2:I$97,'月度底稿'!A$2:A$97,A17,'月度底稿'!B$2:B$97,B17)+SUMIFS('月度底稿'!J$2:J$97,'月度底稿'!A$2:A$97,A17,'月度底稿'!B$2:B$97,B17)+SUMIFS('月度底稿'!K$2:K$97,'月度底稿'!A$2:A$97,A17,'月度底稿'!B$2:B$97,B17)+SUMIFS('月度底稿'!L$2:L$97,'月度底稿'!A$2:A$97,A17,'月度底稿'!B$2:B$97,B17)+SUMIFS('月度底稿'!M$2:M$97,'月度底稿'!A$2:A$97,A17,'月度底稿'!B$2:B$97,B17)+SUMIFS('月度底稿'!N$2:N$97,'月度底稿'!A$2:A$97,A17,'月度底稿'!B$2:B$97,B17)</f>
        <v/>
      </c>
      <c r="E17" s="2">
        <f>SUMIFS('月度底稿'!P$2:P$97,'月度底稿'!A$2:A$97,A17,'月度底稿'!B$2:B$97,B17)+SUMIFS('月度底稿'!Q$2:Q$97,'月度底稿'!A$2:A$97,A17,'月度底稿'!B$2:B$97,B17)+SUMIFS('月度底稿'!R$2:R$97,'月度底稿'!A$2:A$97,A17,'月度底稿'!B$2:B$97,B17)+SUMIFS('月度底稿'!S$2:S$97,'月度底稿'!A$2:A$97,A17,'月度底稿'!B$2:B$97,B17)+SUMIFS('月度底稿'!T$2:T$97,'月度底稿'!A$2:A$97,A17,'月度底稿'!B$2:B$97,B17)</f>
        <v/>
      </c>
      <c r="F17" s="2">
        <f>D17-E17</f>
        <v/>
      </c>
      <c r="G17" s="2">
        <f>SUMIFS('月度底稿'!W$2:W$97,'月度底稿'!A$2:A$97,A17,'月度底稿'!B$2:B$97,B17)</f>
        <v/>
      </c>
      <c r="H17" s="2">
        <f>F17-G17</f>
        <v/>
      </c>
      <c r="I17" s="2">
        <f>SUMIFS('月度底稿'!O$2:O$97,'月度底稿'!A$2:A$97,A17,'月度底稿'!B$2:B$97,B17)-D17</f>
        <v/>
      </c>
      <c r="J17" s="2">
        <f>SUMIFS('月度底稿'!U$2:U$97,'月度底稿'!A$2:A$97,A17,'月度底稿'!B$2:B$97,B17)-E17</f>
        <v/>
      </c>
      <c r="K17" s="2">
        <f>SUMIFS('月度底稿'!V$2:V$97,'月度底稿'!A$2:A$97,A17,'月度底稿'!B$2:B$97,B17)-(D17-E17)</f>
        <v/>
      </c>
      <c r="L17" s="2">
        <f>SUMIFS('月度底稿'!W$2:W$97,'月度底稿'!A$2:A$97,A17,'月度底稿'!B$2:B$97,B17)-(SUMIFS('月度底稿'!V$2:V$97,'月度底稿'!A$2:A$97,A17,'月度底稿'!B$2:B$97,B17)-SUMIFS('月度底稿'!T$2:T$97,'月度底稿'!A$2:A$97,A17,'月度底稿'!B$2:B$97,B17))</f>
        <v/>
      </c>
    </row>
    <row r="18">
      <c r="A18" s="2" t="n">
        <v>3</v>
      </c>
      <c r="B18" s="2" t="n">
        <v>1</v>
      </c>
      <c r="C18" s="3" t="inlineStr">
        <is>
          <t>张三</t>
        </is>
      </c>
      <c r="D18" s="2">
        <f>SUMIFS('月度底稿'!H$2:H$97,'月度底稿'!A$2:A$97,A18,'月度底稿'!B$2:B$97,B18)+SUMIFS('月度底稿'!I$2:I$97,'月度底稿'!A$2:A$97,A18,'月度底稿'!B$2:B$97,B18)+SUMIFS('月度底稿'!J$2:J$97,'月度底稿'!A$2:A$97,A18,'月度底稿'!B$2:B$97,B18)+SUMIFS('月度底稿'!K$2:K$97,'月度底稿'!A$2:A$97,A18,'月度底稿'!B$2:B$97,B18)+SUMIFS('月度底稿'!L$2:L$97,'月度底稿'!A$2:A$97,A18,'月度底稿'!B$2:B$97,B18)+SUMIFS('月度底稿'!M$2:M$97,'月度底稿'!A$2:A$97,A18,'月度底稿'!B$2:B$97,B18)+SUMIFS('月度底稿'!N$2:N$97,'月度底稿'!A$2:A$97,A18,'月度底稿'!B$2:B$97,B18)</f>
        <v/>
      </c>
      <c r="E18" s="2">
        <f>SUMIFS('月度底稿'!P$2:P$97,'月度底稿'!A$2:A$97,A18,'月度底稿'!B$2:B$97,B18)+SUMIFS('月度底稿'!Q$2:Q$97,'月度底稿'!A$2:A$97,A18,'月度底稿'!B$2:B$97,B18)+SUMIFS('月度底稿'!R$2:R$97,'月度底稿'!A$2:A$97,A18,'月度底稿'!B$2:B$97,B18)+SUMIFS('月度底稿'!S$2:S$97,'月度底稿'!A$2:A$97,A18,'月度底稿'!B$2:B$97,B18)+SUMIFS('月度底稿'!T$2:T$97,'月度底稿'!A$2:A$97,A18,'月度底稿'!B$2:B$97,B18)</f>
        <v/>
      </c>
      <c r="F18" s="2">
        <f>D18-E18</f>
        <v/>
      </c>
      <c r="G18" s="2">
        <f>SUMIFS('月度底稿'!W$2:W$97,'月度底稿'!A$2:A$97,A18,'月度底稿'!B$2:B$97,B18)</f>
        <v/>
      </c>
      <c r="H18" s="2">
        <f>F18-G18</f>
        <v/>
      </c>
      <c r="I18" s="2">
        <f>SUMIFS('月度底稿'!O$2:O$97,'月度底稿'!A$2:A$97,A18,'月度底稿'!B$2:B$97,B18)-D18</f>
        <v/>
      </c>
      <c r="J18" s="2">
        <f>SUMIFS('月度底稿'!U$2:U$97,'月度底稿'!A$2:A$97,A18,'月度底稿'!B$2:B$97,B18)-E18</f>
        <v/>
      </c>
      <c r="K18" s="2">
        <f>SUMIFS('月度底稿'!V$2:V$97,'月度底稿'!A$2:A$97,A18,'月度底稿'!B$2:B$97,B18)-(D18-E18)</f>
        <v/>
      </c>
      <c r="L18" s="2">
        <f>SUMIFS('月度底稿'!W$2:W$97,'月度底稿'!A$2:A$97,A18,'月度底稿'!B$2:B$97,B18)-(SUMIFS('月度底稿'!V$2:V$97,'月度底稿'!A$2:A$97,A18,'月度底稿'!B$2:B$97,B18)-SUMIFS('月度底稿'!T$2:T$97,'月度底稿'!A$2:A$97,A18,'月度底稿'!B$2:B$97,B18))</f>
        <v/>
      </c>
    </row>
    <row r="19">
      <c r="A19" s="2" t="n">
        <v>3</v>
      </c>
      <c r="B19" s="2" t="n">
        <v>2</v>
      </c>
      <c r="C19" s="3" t="inlineStr">
        <is>
          <t>李四</t>
        </is>
      </c>
      <c r="D19" s="2">
        <f>SUMIFS('月度底稿'!H$2:H$97,'月度底稿'!A$2:A$97,A19,'月度底稿'!B$2:B$97,B19)+SUMIFS('月度底稿'!I$2:I$97,'月度底稿'!A$2:A$97,A19,'月度底稿'!B$2:B$97,B19)+SUMIFS('月度底稿'!J$2:J$97,'月度底稿'!A$2:A$97,A19,'月度底稿'!B$2:B$97,B19)+SUMIFS('月度底稿'!K$2:K$97,'月度底稿'!A$2:A$97,A19,'月度底稿'!B$2:B$97,B19)+SUMIFS('月度底稿'!L$2:L$97,'月度底稿'!A$2:A$97,A19,'月度底稿'!B$2:B$97,B19)+SUMIFS('月度底稿'!M$2:M$97,'月度底稿'!A$2:A$97,A19,'月度底稿'!B$2:B$97,B19)+SUMIFS('月度底稿'!N$2:N$97,'月度底稿'!A$2:A$97,A19,'月度底稿'!B$2:B$97,B19)</f>
        <v/>
      </c>
      <c r="E19" s="2">
        <f>SUMIFS('月度底稿'!P$2:P$97,'月度底稿'!A$2:A$97,A19,'月度底稿'!B$2:B$97,B19)+SUMIFS('月度底稿'!Q$2:Q$97,'月度底稿'!A$2:A$97,A19,'月度底稿'!B$2:B$97,B19)+SUMIFS('月度底稿'!R$2:R$97,'月度底稿'!A$2:A$97,A19,'月度底稿'!B$2:B$97,B19)+SUMIFS('月度底稿'!S$2:S$97,'月度底稿'!A$2:A$97,A19,'月度底稿'!B$2:B$97,B19)+SUMIFS('月度底稿'!T$2:T$97,'月度底稿'!A$2:A$97,A19,'月度底稿'!B$2:B$97,B19)</f>
        <v/>
      </c>
      <c r="F19" s="2">
        <f>D19-E19</f>
        <v/>
      </c>
      <c r="G19" s="2">
        <f>SUMIFS('月度底稿'!W$2:W$97,'月度底稿'!A$2:A$97,A19,'月度底稿'!B$2:B$97,B19)</f>
        <v/>
      </c>
      <c r="H19" s="2">
        <f>F19-G19</f>
        <v/>
      </c>
      <c r="I19" s="2">
        <f>SUMIFS('月度底稿'!O$2:O$97,'月度底稿'!A$2:A$97,A19,'月度底稿'!B$2:B$97,B19)-D19</f>
        <v/>
      </c>
      <c r="J19" s="2">
        <f>SUMIFS('月度底稿'!U$2:U$97,'月度底稿'!A$2:A$97,A19,'月度底稿'!B$2:B$97,B19)-E19</f>
        <v/>
      </c>
      <c r="K19" s="2">
        <f>SUMIFS('月度底稿'!V$2:V$97,'月度底稿'!A$2:A$97,A19,'月度底稿'!B$2:B$97,B19)-(D19-E19)</f>
        <v/>
      </c>
      <c r="L19" s="2">
        <f>SUMIFS('月度底稿'!W$2:W$97,'月度底稿'!A$2:A$97,A19,'月度底稿'!B$2:B$97,B19)-(SUMIFS('月度底稿'!V$2:V$97,'月度底稿'!A$2:A$97,A19,'月度底稿'!B$2:B$97,B19)-SUMIFS('月度底稿'!T$2:T$97,'月度底稿'!A$2:A$97,A19,'月度底稿'!B$2:B$97,B19))</f>
        <v/>
      </c>
    </row>
    <row r="20">
      <c r="A20" s="2" t="n">
        <v>3</v>
      </c>
      <c r="B20" s="2" t="n">
        <v>3</v>
      </c>
      <c r="C20" s="3" t="inlineStr">
        <is>
          <t>王五</t>
        </is>
      </c>
      <c r="D20" s="2">
        <f>SUMIFS('月度底稿'!H$2:H$97,'月度底稿'!A$2:A$97,A20,'月度底稿'!B$2:B$97,B20)+SUMIFS('月度底稿'!I$2:I$97,'月度底稿'!A$2:A$97,A20,'月度底稿'!B$2:B$97,B20)+SUMIFS('月度底稿'!J$2:J$97,'月度底稿'!A$2:A$97,A20,'月度底稿'!B$2:B$97,B20)+SUMIFS('月度底稿'!K$2:K$97,'月度底稿'!A$2:A$97,A20,'月度底稿'!B$2:B$97,B20)+SUMIFS('月度底稿'!L$2:L$97,'月度底稿'!A$2:A$97,A20,'月度底稿'!B$2:B$97,B20)+SUMIFS('月度底稿'!M$2:M$97,'月度底稿'!A$2:A$97,A20,'月度底稿'!B$2:B$97,B20)+SUMIFS('月度底稿'!N$2:N$97,'月度底稿'!A$2:A$97,A20,'月度底稿'!B$2:B$97,B20)</f>
        <v/>
      </c>
      <c r="E20" s="2">
        <f>SUMIFS('月度底稿'!P$2:P$97,'月度底稿'!A$2:A$97,A20,'月度底稿'!B$2:B$97,B20)+SUMIFS('月度底稿'!Q$2:Q$97,'月度底稿'!A$2:A$97,A20,'月度底稿'!B$2:B$97,B20)+SUMIFS('月度底稿'!R$2:R$97,'月度底稿'!A$2:A$97,A20,'月度底稿'!B$2:B$97,B20)+SUMIFS('月度底稿'!S$2:S$97,'月度底稿'!A$2:A$97,A20,'月度底稿'!B$2:B$97,B20)+SUMIFS('月度底稿'!T$2:T$97,'月度底稿'!A$2:A$97,A20,'月度底稿'!B$2:B$97,B20)</f>
        <v/>
      </c>
      <c r="F20" s="2">
        <f>D20-E20</f>
        <v/>
      </c>
      <c r="G20" s="2">
        <f>SUMIFS('月度底稿'!W$2:W$97,'月度底稿'!A$2:A$97,A20,'月度底稿'!B$2:B$97,B20)</f>
        <v/>
      </c>
      <c r="H20" s="2">
        <f>F20-G20</f>
        <v/>
      </c>
      <c r="I20" s="2">
        <f>SUMIFS('月度底稿'!O$2:O$97,'月度底稿'!A$2:A$97,A20,'月度底稿'!B$2:B$97,B20)-D20</f>
        <v/>
      </c>
      <c r="J20" s="2">
        <f>SUMIFS('月度底稿'!U$2:U$97,'月度底稿'!A$2:A$97,A20,'月度底稿'!B$2:B$97,B20)-E20</f>
        <v/>
      </c>
      <c r="K20" s="2">
        <f>SUMIFS('月度底稿'!V$2:V$97,'月度底稿'!A$2:A$97,A20,'月度底稿'!B$2:B$97,B20)-(D20-E20)</f>
        <v/>
      </c>
      <c r="L20" s="2">
        <f>SUMIFS('月度底稿'!W$2:W$97,'月度底稿'!A$2:A$97,A20,'月度底稿'!B$2:B$97,B20)-(SUMIFS('月度底稿'!V$2:V$97,'月度底稿'!A$2:A$97,A20,'月度底稿'!B$2:B$97,B20)-SUMIFS('月度底稿'!T$2:T$97,'月度底稿'!A$2:A$97,A20,'月度底稿'!B$2:B$97,B20))</f>
        <v/>
      </c>
    </row>
    <row r="21">
      <c r="A21" s="2" t="n">
        <v>3</v>
      </c>
      <c r="B21" s="2" t="n">
        <v>4</v>
      </c>
      <c r="C21" s="3" t="inlineStr">
        <is>
          <t>赵六</t>
        </is>
      </c>
      <c r="D21" s="2">
        <f>SUMIFS('月度底稿'!H$2:H$97,'月度底稿'!A$2:A$97,A21,'月度底稿'!B$2:B$97,B21)+SUMIFS('月度底稿'!I$2:I$97,'月度底稿'!A$2:A$97,A21,'月度底稿'!B$2:B$97,B21)+SUMIFS('月度底稿'!J$2:J$97,'月度底稿'!A$2:A$97,A21,'月度底稿'!B$2:B$97,B21)+SUMIFS('月度底稿'!K$2:K$97,'月度底稿'!A$2:A$97,A21,'月度底稿'!B$2:B$97,B21)+SUMIFS('月度底稿'!L$2:L$97,'月度底稿'!A$2:A$97,A21,'月度底稿'!B$2:B$97,B21)+SUMIFS('月度底稿'!M$2:M$97,'月度底稿'!A$2:A$97,A21,'月度底稿'!B$2:B$97,B21)+SUMIFS('月度底稿'!N$2:N$97,'月度底稿'!A$2:A$97,A21,'月度底稿'!B$2:B$97,B21)</f>
        <v/>
      </c>
      <c r="E21" s="2">
        <f>SUMIFS('月度底稿'!P$2:P$97,'月度底稿'!A$2:A$97,A21,'月度底稿'!B$2:B$97,B21)+SUMIFS('月度底稿'!Q$2:Q$97,'月度底稿'!A$2:A$97,A21,'月度底稿'!B$2:B$97,B21)+SUMIFS('月度底稿'!R$2:R$97,'月度底稿'!A$2:A$97,A21,'月度底稿'!B$2:B$97,B21)+SUMIFS('月度底稿'!S$2:S$97,'月度底稿'!A$2:A$97,A21,'月度底稿'!B$2:B$97,B21)+SUMIFS('月度底稿'!T$2:T$97,'月度底稿'!A$2:A$97,A21,'月度底稿'!B$2:B$97,B21)</f>
        <v/>
      </c>
      <c r="F21" s="2">
        <f>D21-E21</f>
        <v/>
      </c>
      <c r="G21" s="2">
        <f>SUMIFS('月度底稿'!W$2:W$97,'月度底稿'!A$2:A$97,A21,'月度底稿'!B$2:B$97,B21)</f>
        <v/>
      </c>
      <c r="H21" s="2">
        <f>F21-G21</f>
        <v/>
      </c>
      <c r="I21" s="2">
        <f>SUMIFS('月度底稿'!O$2:O$97,'月度底稿'!A$2:A$97,A21,'月度底稿'!B$2:B$97,B21)-D21</f>
        <v/>
      </c>
      <c r="J21" s="2">
        <f>SUMIFS('月度底稿'!U$2:U$97,'月度底稿'!A$2:A$97,A21,'月度底稿'!B$2:B$97,B21)-E21</f>
        <v/>
      </c>
      <c r="K21" s="2">
        <f>SUMIFS('月度底稿'!V$2:V$97,'月度底稿'!A$2:A$97,A21,'月度底稿'!B$2:B$97,B21)-(D21-E21)</f>
        <v/>
      </c>
      <c r="L21" s="2">
        <f>SUMIFS('月度底稿'!W$2:W$97,'月度底稿'!A$2:A$97,A21,'月度底稿'!B$2:B$97,B21)-(SUMIFS('月度底稿'!V$2:V$97,'月度底稿'!A$2:A$97,A21,'月度底稿'!B$2:B$97,B21)-SUMIFS('月度底稿'!T$2:T$97,'月度底稿'!A$2:A$97,A21,'月度底稿'!B$2:B$97,B21))</f>
        <v/>
      </c>
    </row>
    <row r="22">
      <c r="A22" s="2" t="n">
        <v>3</v>
      </c>
      <c r="B22" s="2" t="n">
        <v>5</v>
      </c>
      <c r="C22" s="3" t="inlineStr">
        <is>
          <t>孙七</t>
        </is>
      </c>
      <c r="D22" s="2">
        <f>SUMIFS('月度底稿'!H$2:H$97,'月度底稿'!A$2:A$97,A22,'月度底稿'!B$2:B$97,B22)+SUMIFS('月度底稿'!I$2:I$97,'月度底稿'!A$2:A$97,A22,'月度底稿'!B$2:B$97,B22)+SUMIFS('月度底稿'!J$2:J$97,'月度底稿'!A$2:A$97,A22,'月度底稿'!B$2:B$97,B22)+SUMIFS('月度底稿'!K$2:K$97,'月度底稿'!A$2:A$97,A22,'月度底稿'!B$2:B$97,B22)+SUMIFS('月度底稿'!L$2:L$97,'月度底稿'!A$2:A$97,A22,'月度底稿'!B$2:B$97,B22)+SUMIFS('月度底稿'!M$2:M$97,'月度底稿'!A$2:A$97,A22,'月度底稿'!B$2:B$97,B22)+SUMIFS('月度底稿'!N$2:N$97,'月度底稿'!A$2:A$97,A22,'月度底稿'!B$2:B$97,B22)</f>
        <v/>
      </c>
      <c r="E22" s="2">
        <f>SUMIFS('月度底稿'!P$2:P$97,'月度底稿'!A$2:A$97,A22,'月度底稿'!B$2:B$97,B22)+SUMIFS('月度底稿'!Q$2:Q$97,'月度底稿'!A$2:A$97,A22,'月度底稿'!B$2:B$97,B22)+SUMIFS('月度底稿'!R$2:R$97,'月度底稿'!A$2:A$97,A22,'月度底稿'!B$2:B$97,B22)+SUMIFS('月度底稿'!S$2:S$97,'月度底稿'!A$2:A$97,A22,'月度底稿'!B$2:B$97,B22)+SUMIFS('月度底稿'!T$2:T$97,'月度底稿'!A$2:A$97,A22,'月度底稿'!B$2:B$97,B22)</f>
        <v/>
      </c>
      <c r="F22" s="2">
        <f>D22-E22</f>
        <v/>
      </c>
      <c r="G22" s="2">
        <f>SUMIFS('月度底稿'!W$2:W$97,'月度底稿'!A$2:A$97,A22,'月度底稿'!B$2:B$97,B22)</f>
        <v/>
      </c>
      <c r="H22" s="2">
        <f>F22-G22</f>
        <v/>
      </c>
      <c r="I22" s="2">
        <f>SUMIFS('月度底稿'!O$2:O$97,'月度底稿'!A$2:A$97,A22,'月度底稿'!B$2:B$97,B22)-D22</f>
        <v/>
      </c>
      <c r="J22" s="2">
        <f>SUMIFS('月度底稿'!U$2:U$97,'月度底稿'!A$2:A$97,A22,'月度底稿'!B$2:B$97,B22)-E22</f>
        <v/>
      </c>
      <c r="K22" s="2">
        <f>SUMIFS('月度底稿'!V$2:V$97,'月度底稿'!A$2:A$97,A22,'月度底稿'!B$2:B$97,B22)-(D22-E22)</f>
        <v/>
      </c>
      <c r="L22" s="2">
        <f>SUMIFS('月度底稿'!W$2:W$97,'月度底稿'!A$2:A$97,A22,'月度底稿'!B$2:B$97,B22)-(SUMIFS('月度底稿'!V$2:V$97,'月度底稿'!A$2:A$97,A22,'月度底稿'!B$2:B$97,B22)-SUMIFS('月度底稿'!T$2:T$97,'月度底稿'!A$2:A$97,A22,'月度底稿'!B$2:B$97,B22))</f>
        <v/>
      </c>
    </row>
    <row r="23">
      <c r="A23" s="2" t="n">
        <v>3</v>
      </c>
      <c r="B23" s="2" t="n">
        <v>6</v>
      </c>
      <c r="C23" s="3" t="inlineStr">
        <is>
          <t>周八</t>
        </is>
      </c>
      <c r="D23" s="2">
        <f>SUMIFS('月度底稿'!H$2:H$97,'月度底稿'!A$2:A$97,A23,'月度底稿'!B$2:B$97,B23)+SUMIFS('月度底稿'!I$2:I$97,'月度底稿'!A$2:A$97,A23,'月度底稿'!B$2:B$97,B23)+SUMIFS('月度底稿'!J$2:J$97,'月度底稿'!A$2:A$97,A23,'月度底稿'!B$2:B$97,B23)+SUMIFS('月度底稿'!K$2:K$97,'月度底稿'!A$2:A$97,A23,'月度底稿'!B$2:B$97,B23)+SUMIFS('月度底稿'!L$2:L$97,'月度底稿'!A$2:A$97,A23,'月度底稿'!B$2:B$97,B23)+SUMIFS('月度底稿'!M$2:M$97,'月度底稿'!A$2:A$97,A23,'月度底稿'!B$2:B$97,B23)+SUMIFS('月度底稿'!N$2:N$97,'月度底稿'!A$2:A$97,A23,'月度底稿'!B$2:B$97,B23)</f>
        <v/>
      </c>
      <c r="E23" s="2">
        <f>SUMIFS('月度底稿'!P$2:P$97,'月度底稿'!A$2:A$97,A23,'月度底稿'!B$2:B$97,B23)+SUMIFS('月度底稿'!Q$2:Q$97,'月度底稿'!A$2:A$97,A23,'月度底稿'!B$2:B$97,B23)+SUMIFS('月度底稿'!R$2:R$97,'月度底稿'!A$2:A$97,A23,'月度底稿'!B$2:B$97,B23)+SUMIFS('月度底稿'!S$2:S$97,'月度底稿'!A$2:A$97,A23,'月度底稿'!B$2:B$97,B23)+SUMIFS('月度底稿'!T$2:T$97,'月度底稿'!A$2:A$97,A23,'月度底稿'!B$2:B$97,B23)</f>
        <v/>
      </c>
      <c r="F23" s="2">
        <f>D23-E23</f>
        <v/>
      </c>
      <c r="G23" s="2">
        <f>SUMIFS('月度底稿'!W$2:W$97,'月度底稿'!A$2:A$97,A23,'月度底稿'!B$2:B$97,B23)</f>
        <v/>
      </c>
      <c r="H23" s="2">
        <f>F23-G23</f>
        <v/>
      </c>
      <c r="I23" s="2">
        <f>SUMIFS('月度底稿'!O$2:O$97,'月度底稿'!A$2:A$97,A23,'月度底稿'!B$2:B$97,B23)-D23</f>
        <v/>
      </c>
      <c r="J23" s="2">
        <f>SUMIFS('月度底稿'!U$2:U$97,'月度底稿'!A$2:A$97,A23,'月度底稿'!B$2:B$97,B23)-E23</f>
        <v/>
      </c>
      <c r="K23" s="2">
        <f>SUMIFS('月度底稿'!V$2:V$97,'月度底稿'!A$2:A$97,A23,'月度底稿'!B$2:B$97,B23)-(D23-E23)</f>
        <v/>
      </c>
      <c r="L23" s="2">
        <f>SUMIFS('月度底稿'!W$2:W$97,'月度底稿'!A$2:A$97,A23,'月度底稿'!B$2:B$97,B23)-(SUMIFS('月度底稿'!V$2:V$97,'月度底稿'!A$2:A$97,A23,'月度底稿'!B$2:B$97,B23)-SUMIFS('月度底稿'!T$2:T$97,'月度底稿'!A$2:A$97,A23,'月度底稿'!B$2:B$97,B23))</f>
        <v/>
      </c>
    </row>
    <row r="24">
      <c r="A24" s="2" t="n">
        <v>3</v>
      </c>
      <c r="B24" s="2" t="n">
        <v>7</v>
      </c>
      <c r="C24" s="3" t="inlineStr">
        <is>
          <t>吴九</t>
        </is>
      </c>
      <c r="D24" s="2">
        <f>SUMIFS('月度底稿'!H$2:H$97,'月度底稿'!A$2:A$97,A24,'月度底稿'!B$2:B$97,B24)+SUMIFS('月度底稿'!I$2:I$97,'月度底稿'!A$2:A$97,A24,'月度底稿'!B$2:B$97,B24)+SUMIFS('月度底稿'!J$2:J$97,'月度底稿'!A$2:A$97,A24,'月度底稿'!B$2:B$97,B24)+SUMIFS('月度底稿'!K$2:K$97,'月度底稿'!A$2:A$97,A24,'月度底稿'!B$2:B$97,B24)+SUMIFS('月度底稿'!L$2:L$97,'月度底稿'!A$2:A$97,A24,'月度底稿'!B$2:B$97,B24)+SUMIFS('月度底稿'!M$2:M$97,'月度底稿'!A$2:A$97,A24,'月度底稿'!B$2:B$97,B24)+SUMIFS('月度底稿'!N$2:N$97,'月度底稿'!A$2:A$97,A24,'月度底稿'!B$2:B$97,B24)</f>
        <v/>
      </c>
      <c r="E24" s="2">
        <f>SUMIFS('月度底稿'!P$2:P$97,'月度底稿'!A$2:A$97,A24,'月度底稿'!B$2:B$97,B24)+SUMIFS('月度底稿'!Q$2:Q$97,'月度底稿'!A$2:A$97,A24,'月度底稿'!B$2:B$97,B24)+SUMIFS('月度底稿'!R$2:R$97,'月度底稿'!A$2:A$97,A24,'月度底稿'!B$2:B$97,B24)+SUMIFS('月度底稿'!S$2:S$97,'月度底稿'!A$2:A$97,A24,'月度底稿'!B$2:B$97,B24)+SUMIFS('月度底稿'!T$2:T$97,'月度底稿'!A$2:A$97,A24,'月度底稿'!B$2:B$97,B24)</f>
        <v/>
      </c>
      <c r="F24" s="2">
        <f>D24-E24</f>
        <v/>
      </c>
      <c r="G24" s="2">
        <f>SUMIFS('月度底稿'!W$2:W$97,'月度底稿'!A$2:A$97,A24,'月度底稿'!B$2:B$97,B24)</f>
        <v/>
      </c>
      <c r="H24" s="2">
        <f>F24-G24</f>
        <v/>
      </c>
      <c r="I24" s="2">
        <f>SUMIFS('月度底稿'!O$2:O$97,'月度底稿'!A$2:A$97,A24,'月度底稿'!B$2:B$97,B24)-D24</f>
        <v/>
      </c>
      <c r="J24" s="2">
        <f>SUMIFS('月度底稿'!U$2:U$97,'月度底稿'!A$2:A$97,A24,'月度底稿'!B$2:B$97,B24)-E24</f>
        <v/>
      </c>
      <c r="K24" s="2">
        <f>SUMIFS('月度底稿'!V$2:V$97,'月度底稿'!A$2:A$97,A24,'月度底稿'!B$2:B$97,B24)-(D24-E24)</f>
        <v/>
      </c>
      <c r="L24" s="2">
        <f>SUMIFS('月度底稿'!W$2:W$97,'月度底稿'!A$2:A$97,A24,'月度底稿'!B$2:B$97,B24)-(SUMIFS('月度底稿'!V$2:V$97,'月度底稿'!A$2:A$97,A24,'月度底稿'!B$2:B$97,B24)-SUMIFS('月度底稿'!T$2:T$97,'月度底稿'!A$2:A$97,A24,'月度底稿'!B$2:B$97,B24))</f>
        <v/>
      </c>
    </row>
    <row r="25">
      <c r="A25" s="2" t="n">
        <v>3</v>
      </c>
      <c r="B25" s="2" t="n">
        <v>8</v>
      </c>
      <c r="C25" s="3" t="inlineStr">
        <is>
          <t>郑十</t>
        </is>
      </c>
      <c r="D25" s="2">
        <f>SUMIFS('月度底稿'!H$2:H$97,'月度底稿'!A$2:A$97,A25,'月度底稿'!B$2:B$97,B25)+SUMIFS('月度底稿'!I$2:I$97,'月度底稿'!A$2:A$97,A25,'月度底稿'!B$2:B$97,B25)+SUMIFS('月度底稿'!J$2:J$97,'月度底稿'!A$2:A$97,A25,'月度底稿'!B$2:B$97,B25)+SUMIFS('月度底稿'!K$2:K$97,'月度底稿'!A$2:A$97,A25,'月度底稿'!B$2:B$97,B25)+SUMIFS('月度底稿'!L$2:L$97,'月度底稿'!A$2:A$97,A25,'月度底稿'!B$2:B$97,B25)+SUMIFS('月度底稿'!M$2:M$97,'月度底稿'!A$2:A$97,A25,'月度底稿'!B$2:B$97,B25)+SUMIFS('月度底稿'!N$2:N$97,'月度底稿'!A$2:A$97,A25,'月度底稿'!B$2:B$97,B25)</f>
        <v/>
      </c>
      <c r="E25" s="2">
        <f>SUMIFS('月度底稿'!P$2:P$97,'月度底稿'!A$2:A$97,A25,'月度底稿'!B$2:B$97,B25)+SUMIFS('月度底稿'!Q$2:Q$97,'月度底稿'!A$2:A$97,A25,'月度底稿'!B$2:B$97,B25)+SUMIFS('月度底稿'!R$2:R$97,'月度底稿'!A$2:A$97,A25,'月度底稿'!B$2:B$97,B25)+SUMIFS('月度底稿'!S$2:S$97,'月度底稿'!A$2:A$97,A25,'月度底稿'!B$2:B$97,B25)+SUMIFS('月度底稿'!T$2:T$97,'月度底稿'!A$2:A$97,A25,'月度底稿'!B$2:B$97,B25)</f>
        <v/>
      </c>
      <c r="F25" s="2">
        <f>D25-E25</f>
        <v/>
      </c>
      <c r="G25" s="2">
        <f>SUMIFS('月度底稿'!W$2:W$97,'月度底稿'!A$2:A$97,A25,'月度底稿'!B$2:B$97,B25)</f>
        <v/>
      </c>
      <c r="H25" s="2">
        <f>F25-G25</f>
        <v/>
      </c>
      <c r="I25" s="2">
        <f>SUMIFS('月度底稿'!O$2:O$97,'月度底稿'!A$2:A$97,A25,'月度底稿'!B$2:B$97,B25)-D25</f>
        <v/>
      </c>
      <c r="J25" s="2">
        <f>SUMIFS('月度底稿'!U$2:U$97,'月度底稿'!A$2:A$97,A25,'月度底稿'!B$2:B$97,B25)-E25</f>
        <v/>
      </c>
      <c r="K25" s="2">
        <f>SUMIFS('月度底稿'!V$2:V$97,'月度底稿'!A$2:A$97,A25,'月度底稿'!B$2:B$97,B25)-(D25-E25)</f>
        <v/>
      </c>
      <c r="L25" s="2">
        <f>SUMIFS('月度底稿'!W$2:W$97,'月度底稿'!A$2:A$97,A25,'月度底稿'!B$2:B$97,B25)-(SUMIFS('月度底稿'!V$2:V$97,'月度底稿'!A$2:A$97,A25,'月度底稿'!B$2:B$97,B25)-SUMIFS('月度底稿'!T$2:T$97,'月度底稿'!A$2:A$97,A25,'月度底稿'!B$2:B$97,B25))</f>
        <v/>
      </c>
    </row>
    <row r="26">
      <c r="A26" s="2" t="n">
        <v>4</v>
      </c>
      <c r="B26" s="2" t="n">
        <v>1</v>
      </c>
      <c r="C26" s="3" t="inlineStr">
        <is>
          <t>张三</t>
        </is>
      </c>
      <c r="D26" s="2">
        <f>SUMIFS('月度底稿'!H$2:H$97,'月度底稿'!A$2:A$97,A26,'月度底稿'!B$2:B$97,B26)+SUMIFS('月度底稿'!I$2:I$97,'月度底稿'!A$2:A$97,A26,'月度底稿'!B$2:B$97,B26)+SUMIFS('月度底稿'!J$2:J$97,'月度底稿'!A$2:A$97,A26,'月度底稿'!B$2:B$97,B26)+SUMIFS('月度底稿'!K$2:K$97,'月度底稿'!A$2:A$97,A26,'月度底稿'!B$2:B$97,B26)+SUMIFS('月度底稿'!L$2:L$97,'月度底稿'!A$2:A$97,A26,'月度底稿'!B$2:B$97,B26)+SUMIFS('月度底稿'!M$2:M$97,'月度底稿'!A$2:A$97,A26,'月度底稿'!B$2:B$97,B26)+SUMIFS('月度底稿'!N$2:N$97,'月度底稿'!A$2:A$97,A26,'月度底稿'!B$2:B$97,B26)</f>
        <v/>
      </c>
      <c r="E26" s="2">
        <f>SUMIFS('月度底稿'!P$2:P$97,'月度底稿'!A$2:A$97,A26,'月度底稿'!B$2:B$97,B26)+SUMIFS('月度底稿'!Q$2:Q$97,'月度底稿'!A$2:A$97,A26,'月度底稿'!B$2:B$97,B26)+SUMIFS('月度底稿'!R$2:R$97,'月度底稿'!A$2:A$97,A26,'月度底稿'!B$2:B$97,B26)+SUMIFS('月度底稿'!S$2:S$97,'月度底稿'!A$2:A$97,A26,'月度底稿'!B$2:B$97,B26)+SUMIFS('月度底稿'!T$2:T$97,'月度底稿'!A$2:A$97,A26,'月度底稿'!B$2:B$97,B26)</f>
        <v/>
      </c>
      <c r="F26" s="2">
        <f>D26-E26</f>
        <v/>
      </c>
      <c r="G26" s="2">
        <f>SUMIFS('月度底稿'!W$2:W$97,'月度底稿'!A$2:A$97,A26,'月度底稿'!B$2:B$97,B26)</f>
        <v/>
      </c>
      <c r="H26" s="2">
        <f>F26-G26</f>
        <v/>
      </c>
      <c r="I26" s="2">
        <f>SUMIFS('月度底稿'!O$2:O$97,'月度底稿'!A$2:A$97,A26,'月度底稿'!B$2:B$97,B26)-D26</f>
        <v/>
      </c>
      <c r="J26" s="2">
        <f>SUMIFS('月度底稿'!U$2:U$97,'月度底稿'!A$2:A$97,A26,'月度底稿'!B$2:B$97,B26)-E26</f>
        <v/>
      </c>
      <c r="K26" s="2">
        <f>SUMIFS('月度底稿'!V$2:V$97,'月度底稿'!A$2:A$97,A26,'月度底稿'!B$2:B$97,B26)-(D26-E26)</f>
        <v/>
      </c>
      <c r="L26" s="2">
        <f>SUMIFS('月度底稿'!W$2:W$97,'月度底稿'!A$2:A$97,A26,'月度底稿'!B$2:B$97,B26)-(SUMIFS('月度底稿'!V$2:V$97,'月度底稿'!A$2:A$97,A26,'月度底稿'!B$2:B$97,B26)-SUMIFS('月度底稿'!T$2:T$97,'月度底稿'!A$2:A$97,A26,'月度底稿'!B$2:B$97,B26))</f>
        <v/>
      </c>
    </row>
    <row r="27">
      <c r="A27" s="2" t="n">
        <v>4</v>
      </c>
      <c r="B27" s="2" t="n">
        <v>2</v>
      </c>
      <c r="C27" s="3" t="inlineStr">
        <is>
          <t>李四</t>
        </is>
      </c>
      <c r="D27" s="2">
        <f>SUMIFS('月度底稿'!H$2:H$97,'月度底稿'!A$2:A$97,A27,'月度底稿'!B$2:B$97,B27)+SUMIFS('月度底稿'!I$2:I$97,'月度底稿'!A$2:A$97,A27,'月度底稿'!B$2:B$97,B27)+SUMIFS('月度底稿'!J$2:J$97,'月度底稿'!A$2:A$97,A27,'月度底稿'!B$2:B$97,B27)+SUMIFS('月度底稿'!K$2:K$97,'月度底稿'!A$2:A$97,A27,'月度底稿'!B$2:B$97,B27)+SUMIFS('月度底稿'!L$2:L$97,'月度底稿'!A$2:A$97,A27,'月度底稿'!B$2:B$97,B27)+SUMIFS('月度底稿'!M$2:M$97,'月度底稿'!A$2:A$97,A27,'月度底稿'!B$2:B$97,B27)+SUMIFS('月度底稿'!N$2:N$97,'月度底稿'!A$2:A$97,A27,'月度底稿'!B$2:B$97,B27)</f>
        <v/>
      </c>
      <c r="E27" s="2">
        <f>SUMIFS('月度底稿'!P$2:P$97,'月度底稿'!A$2:A$97,A27,'月度底稿'!B$2:B$97,B27)+SUMIFS('月度底稿'!Q$2:Q$97,'月度底稿'!A$2:A$97,A27,'月度底稿'!B$2:B$97,B27)+SUMIFS('月度底稿'!R$2:R$97,'月度底稿'!A$2:A$97,A27,'月度底稿'!B$2:B$97,B27)+SUMIFS('月度底稿'!S$2:S$97,'月度底稿'!A$2:A$97,A27,'月度底稿'!B$2:B$97,B27)+SUMIFS('月度底稿'!T$2:T$97,'月度底稿'!A$2:A$97,A27,'月度底稿'!B$2:B$97,B27)</f>
        <v/>
      </c>
      <c r="F27" s="2">
        <f>D27-E27</f>
        <v/>
      </c>
      <c r="G27" s="2">
        <f>SUMIFS('月度底稿'!W$2:W$97,'月度底稿'!A$2:A$97,A27,'月度底稿'!B$2:B$97,B27)</f>
        <v/>
      </c>
      <c r="H27" s="2">
        <f>F27-G27</f>
        <v/>
      </c>
      <c r="I27" s="2">
        <f>SUMIFS('月度底稿'!O$2:O$97,'月度底稿'!A$2:A$97,A27,'月度底稿'!B$2:B$97,B27)-D27</f>
        <v/>
      </c>
      <c r="J27" s="2">
        <f>SUMIFS('月度底稿'!U$2:U$97,'月度底稿'!A$2:A$97,A27,'月度底稿'!B$2:B$97,B27)-E27</f>
        <v/>
      </c>
      <c r="K27" s="2">
        <f>SUMIFS('月度底稿'!V$2:V$97,'月度底稿'!A$2:A$97,A27,'月度底稿'!B$2:B$97,B27)-(D27-E27)</f>
        <v/>
      </c>
      <c r="L27" s="2">
        <f>SUMIFS('月度底稿'!W$2:W$97,'月度底稿'!A$2:A$97,A27,'月度底稿'!B$2:B$97,B27)-(SUMIFS('月度底稿'!V$2:V$97,'月度底稿'!A$2:A$97,A27,'月度底稿'!B$2:B$97,B27)-SUMIFS('月度底稿'!T$2:T$97,'月度底稿'!A$2:A$97,A27,'月度底稿'!B$2:B$97,B27))</f>
        <v/>
      </c>
    </row>
    <row r="28">
      <c r="A28" s="2" t="n">
        <v>4</v>
      </c>
      <c r="B28" s="2" t="n">
        <v>3</v>
      </c>
      <c r="C28" s="3" t="inlineStr">
        <is>
          <t>王五</t>
        </is>
      </c>
      <c r="D28" s="2">
        <f>SUMIFS('月度底稿'!H$2:H$97,'月度底稿'!A$2:A$97,A28,'月度底稿'!B$2:B$97,B28)+SUMIFS('月度底稿'!I$2:I$97,'月度底稿'!A$2:A$97,A28,'月度底稿'!B$2:B$97,B28)+SUMIFS('月度底稿'!J$2:J$97,'月度底稿'!A$2:A$97,A28,'月度底稿'!B$2:B$97,B28)+SUMIFS('月度底稿'!K$2:K$97,'月度底稿'!A$2:A$97,A28,'月度底稿'!B$2:B$97,B28)+SUMIFS('月度底稿'!L$2:L$97,'月度底稿'!A$2:A$97,A28,'月度底稿'!B$2:B$97,B28)+SUMIFS('月度底稿'!M$2:M$97,'月度底稿'!A$2:A$97,A28,'月度底稿'!B$2:B$97,B28)+SUMIFS('月度底稿'!N$2:N$97,'月度底稿'!A$2:A$97,A28,'月度底稿'!B$2:B$97,B28)</f>
        <v/>
      </c>
      <c r="E28" s="2">
        <f>SUMIFS('月度底稿'!P$2:P$97,'月度底稿'!A$2:A$97,A28,'月度底稿'!B$2:B$97,B28)+SUMIFS('月度底稿'!Q$2:Q$97,'月度底稿'!A$2:A$97,A28,'月度底稿'!B$2:B$97,B28)+SUMIFS('月度底稿'!R$2:R$97,'月度底稿'!A$2:A$97,A28,'月度底稿'!B$2:B$97,B28)+SUMIFS('月度底稿'!S$2:S$97,'月度底稿'!A$2:A$97,A28,'月度底稿'!B$2:B$97,B28)+SUMIFS('月度底稿'!T$2:T$97,'月度底稿'!A$2:A$97,A28,'月度底稿'!B$2:B$97,B28)</f>
        <v/>
      </c>
      <c r="F28" s="2">
        <f>D28-E28</f>
        <v/>
      </c>
      <c r="G28" s="2">
        <f>SUMIFS('月度底稿'!W$2:W$97,'月度底稿'!A$2:A$97,A28,'月度底稿'!B$2:B$97,B28)</f>
        <v/>
      </c>
      <c r="H28" s="2">
        <f>F28-G28</f>
        <v/>
      </c>
      <c r="I28" s="2">
        <f>SUMIFS('月度底稿'!O$2:O$97,'月度底稿'!A$2:A$97,A28,'月度底稿'!B$2:B$97,B28)-D28</f>
        <v/>
      </c>
      <c r="J28" s="2">
        <f>SUMIFS('月度底稿'!U$2:U$97,'月度底稿'!A$2:A$97,A28,'月度底稿'!B$2:B$97,B28)-E28</f>
        <v/>
      </c>
      <c r="K28" s="2">
        <f>SUMIFS('月度底稿'!V$2:V$97,'月度底稿'!A$2:A$97,A28,'月度底稿'!B$2:B$97,B28)-(D28-E28)</f>
        <v/>
      </c>
      <c r="L28" s="2">
        <f>SUMIFS('月度底稿'!W$2:W$97,'月度底稿'!A$2:A$97,A28,'月度底稿'!B$2:B$97,B28)-(SUMIFS('月度底稿'!V$2:V$97,'月度底稿'!A$2:A$97,A28,'月度底稿'!B$2:B$97,B28)-SUMIFS('月度底稿'!T$2:T$97,'月度底稿'!A$2:A$97,A28,'月度底稿'!B$2:B$97,B28))</f>
        <v/>
      </c>
    </row>
    <row r="29">
      <c r="A29" s="2" t="n">
        <v>4</v>
      </c>
      <c r="B29" s="2" t="n">
        <v>4</v>
      </c>
      <c r="C29" s="3" t="inlineStr">
        <is>
          <t>赵六</t>
        </is>
      </c>
      <c r="D29" s="2">
        <f>SUMIFS('月度底稿'!H$2:H$97,'月度底稿'!A$2:A$97,A29,'月度底稿'!B$2:B$97,B29)+SUMIFS('月度底稿'!I$2:I$97,'月度底稿'!A$2:A$97,A29,'月度底稿'!B$2:B$97,B29)+SUMIFS('月度底稿'!J$2:J$97,'月度底稿'!A$2:A$97,A29,'月度底稿'!B$2:B$97,B29)+SUMIFS('月度底稿'!K$2:K$97,'月度底稿'!A$2:A$97,A29,'月度底稿'!B$2:B$97,B29)+SUMIFS('月度底稿'!L$2:L$97,'月度底稿'!A$2:A$97,A29,'月度底稿'!B$2:B$97,B29)+SUMIFS('月度底稿'!M$2:M$97,'月度底稿'!A$2:A$97,A29,'月度底稿'!B$2:B$97,B29)+SUMIFS('月度底稿'!N$2:N$97,'月度底稿'!A$2:A$97,A29,'月度底稿'!B$2:B$97,B29)</f>
        <v/>
      </c>
      <c r="E29" s="2">
        <f>SUMIFS('月度底稿'!P$2:P$97,'月度底稿'!A$2:A$97,A29,'月度底稿'!B$2:B$97,B29)+SUMIFS('月度底稿'!Q$2:Q$97,'月度底稿'!A$2:A$97,A29,'月度底稿'!B$2:B$97,B29)+SUMIFS('月度底稿'!R$2:R$97,'月度底稿'!A$2:A$97,A29,'月度底稿'!B$2:B$97,B29)+SUMIFS('月度底稿'!S$2:S$97,'月度底稿'!A$2:A$97,A29,'月度底稿'!B$2:B$97,B29)+SUMIFS('月度底稿'!T$2:T$97,'月度底稿'!A$2:A$97,A29,'月度底稿'!B$2:B$97,B29)</f>
        <v/>
      </c>
      <c r="F29" s="2">
        <f>D29-E29</f>
        <v/>
      </c>
      <c r="G29" s="2">
        <f>SUMIFS('月度底稿'!W$2:W$97,'月度底稿'!A$2:A$97,A29,'月度底稿'!B$2:B$97,B29)</f>
        <v/>
      </c>
      <c r="H29" s="2">
        <f>F29-G29</f>
        <v/>
      </c>
      <c r="I29" s="2">
        <f>SUMIFS('月度底稿'!O$2:O$97,'月度底稿'!A$2:A$97,A29,'月度底稿'!B$2:B$97,B29)-D29</f>
        <v/>
      </c>
      <c r="J29" s="2">
        <f>SUMIFS('月度底稿'!U$2:U$97,'月度底稿'!A$2:A$97,A29,'月度底稿'!B$2:B$97,B29)-E29</f>
        <v/>
      </c>
      <c r="K29" s="2">
        <f>SUMIFS('月度底稿'!V$2:V$97,'月度底稿'!A$2:A$97,A29,'月度底稿'!B$2:B$97,B29)-(D29-E29)</f>
        <v/>
      </c>
      <c r="L29" s="2">
        <f>SUMIFS('月度底稿'!W$2:W$97,'月度底稿'!A$2:A$97,A29,'月度底稿'!B$2:B$97,B29)-(SUMIFS('月度底稿'!V$2:V$97,'月度底稿'!A$2:A$97,A29,'月度底稿'!B$2:B$97,B29)-SUMIFS('月度底稿'!T$2:T$97,'月度底稿'!A$2:A$97,A29,'月度底稿'!B$2:B$97,B29))</f>
        <v/>
      </c>
    </row>
    <row r="30">
      <c r="A30" s="2" t="n">
        <v>4</v>
      </c>
      <c r="B30" s="2" t="n">
        <v>5</v>
      </c>
      <c r="C30" s="3" t="inlineStr">
        <is>
          <t>孙七</t>
        </is>
      </c>
      <c r="D30" s="2">
        <f>SUMIFS('月度底稿'!H$2:H$97,'月度底稿'!A$2:A$97,A30,'月度底稿'!B$2:B$97,B30)+SUMIFS('月度底稿'!I$2:I$97,'月度底稿'!A$2:A$97,A30,'月度底稿'!B$2:B$97,B30)+SUMIFS('月度底稿'!J$2:J$97,'月度底稿'!A$2:A$97,A30,'月度底稿'!B$2:B$97,B30)+SUMIFS('月度底稿'!K$2:K$97,'月度底稿'!A$2:A$97,A30,'月度底稿'!B$2:B$97,B30)+SUMIFS('月度底稿'!L$2:L$97,'月度底稿'!A$2:A$97,A30,'月度底稿'!B$2:B$97,B30)+SUMIFS('月度底稿'!M$2:M$97,'月度底稿'!A$2:A$97,A30,'月度底稿'!B$2:B$97,B30)+SUMIFS('月度底稿'!N$2:N$97,'月度底稿'!A$2:A$97,A30,'月度底稿'!B$2:B$97,B30)</f>
        <v/>
      </c>
      <c r="E30" s="2">
        <f>SUMIFS('月度底稿'!P$2:P$97,'月度底稿'!A$2:A$97,A30,'月度底稿'!B$2:B$97,B30)+SUMIFS('月度底稿'!Q$2:Q$97,'月度底稿'!A$2:A$97,A30,'月度底稿'!B$2:B$97,B30)+SUMIFS('月度底稿'!R$2:R$97,'月度底稿'!A$2:A$97,A30,'月度底稿'!B$2:B$97,B30)+SUMIFS('月度底稿'!S$2:S$97,'月度底稿'!A$2:A$97,A30,'月度底稿'!B$2:B$97,B30)+SUMIFS('月度底稿'!T$2:T$97,'月度底稿'!A$2:A$97,A30,'月度底稿'!B$2:B$97,B30)</f>
        <v/>
      </c>
      <c r="F30" s="2">
        <f>D30-E30</f>
        <v/>
      </c>
      <c r="G30" s="2">
        <f>SUMIFS('月度底稿'!W$2:W$97,'月度底稿'!A$2:A$97,A30,'月度底稿'!B$2:B$97,B30)</f>
        <v/>
      </c>
      <c r="H30" s="2">
        <f>F30-G30</f>
        <v/>
      </c>
      <c r="I30" s="2">
        <f>SUMIFS('月度底稿'!O$2:O$97,'月度底稿'!A$2:A$97,A30,'月度底稿'!B$2:B$97,B30)-D30</f>
        <v/>
      </c>
      <c r="J30" s="2">
        <f>SUMIFS('月度底稿'!U$2:U$97,'月度底稿'!A$2:A$97,A30,'月度底稿'!B$2:B$97,B30)-E30</f>
        <v/>
      </c>
      <c r="K30" s="2">
        <f>SUMIFS('月度底稿'!V$2:V$97,'月度底稿'!A$2:A$97,A30,'月度底稿'!B$2:B$97,B30)-(D30-E30)</f>
        <v/>
      </c>
      <c r="L30" s="2">
        <f>SUMIFS('月度底稿'!W$2:W$97,'月度底稿'!A$2:A$97,A30,'月度底稿'!B$2:B$97,B30)-(SUMIFS('月度底稿'!V$2:V$97,'月度底稿'!A$2:A$97,A30,'月度底稿'!B$2:B$97,B30)-SUMIFS('月度底稿'!T$2:T$97,'月度底稿'!A$2:A$97,A30,'月度底稿'!B$2:B$97,B30))</f>
        <v/>
      </c>
    </row>
    <row r="31">
      <c r="A31" s="2" t="n">
        <v>4</v>
      </c>
      <c r="B31" s="2" t="n">
        <v>6</v>
      </c>
      <c r="C31" s="3" t="inlineStr">
        <is>
          <t>周八</t>
        </is>
      </c>
      <c r="D31" s="2">
        <f>SUMIFS('月度底稿'!H$2:H$97,'月度底稿'!A$2:A$97,A31,'月度底稿'!B$2:B$97,B31)+SUMIFS('月度底稿'!I$2:I$97,'月度底稿'!A$2:A$97,A31,'月度底稿'!B$2:B$97,B31)+SUMIFS('月度底稿'!J$2:J$97,'月度底稿'!A$2:A$97,A31,'月度底稿'!B$2:B$97,B31)+SUMIFS('月度底稿'!K$2:K$97,'月度底稿'!A$2:A$97,A31,'月度底稿'!B$2:B$97,B31)+SUMIFS('月度底稿'!L$2:L$97,'月度底稿'!A$2:A$97,A31,'月度底稿'!B$2:B$97,B31)+SUMIFS('月度底稿'!M$2:M$97,'月度底稿'!A$2:A$97,A31,'月度底稿'!B$2:B$97,B31)+SUMIFS('月度底稿'!N$2:N$97,'月度底稿'!A$2:A$97,A31,'月度底稿'!B$2:B$97,B31)</f>
        <v/>
      </c>
      <c r="E31" s="2">
        <f>SUMIFS('月度底稿'!P$2:P$97,'月度底稿'!A$2:A$97,A31,'月度底稿'!B$2:B$97,B31)+SUMIFS('月度底稿'!Q$2:Q$97,'月度底稿'!A$2:A$97,A31,'月度底稿'!B$2:B$97,B31)+SUMIFS('月度底稿'!R$2:R$97,'月度底稿'!A$2:A$97,A31,'月度底稿'!B$2:B$97,B31)+SUMIFS('月度底稿'!S$2:S$97,'月度底稿'!A$2:A$97,A31,'月度底稿'!B$2:B$97,B31)+SUMIFS('月度底稿'!T$2:T$97,'月度底稿'!A$2:A$97,A31,'月度底稿'!B$2:B$97,B31)</f>
        <v/>
      </c>
      <c r="F31" s="2">
        <f>D31-E31</f>
        <v/>
      </c>
      <c r="G31" s="2">
        <f>SUMIFS('月度底稿'!W$2:W$97,'月度底稿'!A$2:A$97,A31,'月度底稿'!B$2:B$97,B31)</f>
        <v/>
      </c>
      <c r="H31" s="2">
        <f>F31-G31</f>
        <v/>
      </c>
      <c r="I31" s="2">
        <f>SUMIFS('月度底稿'!O$2:O$97,'月度底稿'!A$2:A$97,A31,'月度底稿'!B$2:B$97,B31)-D31</f>
        <v/>
      </c>
      <c r="J31" s="2">
        <f>SUMIFS('月度底稿'!U$2:U$97,'月度底稿'!A$2:A$97,A31,'月度底稿'!B$2:B$97,B31)-E31</f>
        <v/>
      </c>
      <c r="K31" s="2">
        <f>SUMIFS('月度底稿'!V$2:V$97,'月度底稿'!A$2:A$97,A31,'月度底稿'!B$2:B$97,B31)-(D31-E31)</f>
        <v/>
      </c>
      <c r="L31" s="2">
        <f>SUMIFS('月度底稿'!W$2:W$97,'月度底稿'!A$2:A$97,A31,'月度底稿'!B$2:B$97,B31)-(SUMIFS('月度底稿'!V$2:V$97,'月度底稿'!A$2:A$97,A31,'月度底稿'!B$2:B$97,B31)-SUMIFS('月度底稿'!T$2:T$97,'月度底稿'!A$2:A$97,A31,'月度底稿'!B$2:B$97,B31))</f>
        <v/>
      </c>
    </row>
    <row r="32">
      <c r="A32" s="2" t="n">
        <v>4</v>
      </c>
      <c r="B32" s="2" t="n">
        <v>7</v>
      </c>
      <c r="C32" s="3" t="inlineStr">
        <is>
          <t>吴九</t>
        </is>
      </c>
      <c r="D32" s="2">
        <f>SUMIFS('月度底稿'!H$2:H$97,'月度底稿'!A$2:A$97,A32,'月度底稿'!B$2:B$97,B32)+SUMIFS('月度底稿'!I$2:I$97,'月度底稿'!A$2:A$97,A32,'月度底稿'!B$2:B$97,B32)+SUMIFS('月度底稿'!J$2:J$97,'月度底稿'!A$2:A$97,A32,'月度底稿'!B$2:B$97,B32)+SUMIFS('月度底稿'!K$2:K$97,'月度底稿'!A$2:A$97,A32,'月度底稿'!B$2:B$97,B32)+SUMIFS('月度底稿'!L$2:L$97,'月度底稿'!A$2:A$97,A32,'月度底稿'!B$2:B$97,B32)+SUMIFS('月度底稿'!M$2:M$97,'月度底稿'!A$2:A$97,A32,'月度底稿'!B$2:B$97,B32)+SUMIFS('月度底稿'!N$2:N$97,'月度底稿'!A$2:A$97,A32,'月度底稿'!B$2:B$97,B32)</f>
        <v/>
      </c>
      <c r="E32" s="2">
        <f>SUMIFS('月度底稿'!P$2:P$97,'月度底稿'!A$2:A$97,A32,'月度底稿'!B$2:B$97,B32)+SUMIFS('月度底稿'!Q$2:Q$97,'月度底稿'!A$2:A$97,A32,'月度底稿'!B$2:B$97,B32)+SUMIFS('月度底稿'!R$2:R$97,'月度底稿'!A$2:A$97,A32,'月度底稿'!B$2:B$97,B32)+SUMIFS('月度底稿'!S$2:S$97,'月度底稿'!A$2:A$97,A32,'月度底稿'!B$2:B$97,B32)+SUMIFS('月度底稿'!T$2:T$97,'月度底稿'!A$2:A$97,A32,'月度底稿'!B$2:B$97,B32)</f>
        <v/>
      </c>
      <c r="F32" s="2">
        <f>D32-E32</f>
        <v/>
      </c>
      <c r="G32" s="2">
        <f>SUMIFS('月度底稿'!W$2:W$97,'月度底稿'!A$2:A$97,A32,'月度底稿'!B$2:B$97,B32)</f>
        <v/>
      </c>
      <c r="H32" s="2">
        <f>F32-G32</f>
        <v/>
      </c>
      <c r="I32" s="2">
        <f>SUMIFS('月度底稿'!O$2:O$97,'月度底稿'!A$2:A$97,A32,'月度底稿'!B$2:B$97,B32)-D32</f>
        <v/>
      </c>
      <c r="J32" s="2">
        <f>SUMIFS('月度底稿'!U$2:U$97,'月度底稿'!A$2:A$97,A32,'月度底稿'!B$2:B$97,B32)-E32</f>
        <v/>
      </c>
      <c r="K32" s="2">
        <f>SUMIFS('月度底稿'!V$2:V$97,'月度底稿'!A$2:A$97,A32,'月度底稿'!B$2:B$97,B32)-(D32-E32)</f>
        <v/>
      </c>
      <c r="L32" s="2">
        <f>SUMIFS('月度底稿'!W$2:W$97,'月度底稿'!A$2:A$97,A32,'月度底稿'!B$2:B$97,B32)-(SUMIFS('月度底稿'!V$2:V$97,'月度底稿'!A$2:A$97,A32,'月度底稿'!B$2:B$97,B32)-SUMIFS('月度底稿'!T$2:T$97,'月度底稿'!A$2:A$97,A32,'月度底稿'!B$2:B$97,B32))</f>
        <v/>
      </c>
    </row>
    <row r="33">
      <c r="A33" s="2" t="n">
        <v>4</v>
      </c>
      <c r="B33" s="2" t="n">
        <v>8</v>
      </c>
      <c r="C33" s="3" t="inlineStr">
        <is>
          <t>郑十</t>
        </is>
      </c>
      <c r="D33" s="2">
        <f>SUMIFS('月度底稿'!H$2:H$97,'月度底稿'!A$2:A$97,A33,'月度底稿'!B$2:B$97,B33)+SUMIFS('月度底稿'!I$2:I$97,'月度底稿'!A$2:A$97,A33,'月度底稿'!B$2:B$97,B33)+SUMIFS('月度底稿'!J$2:J$97,'月度底稿'!A$2:A$97,A33,'月度底稿'!B$2:B$97,B33)+SUMIFS('月度底稿'!K$2:K$97,'月度底稿'!A$2:A$97,A33,'月度底稿'!B$2:B$97,B33)+SUMIFS('月度底稿'!L$2:L$97,'月度底稿'!A$2:A$97,A33,'月度底稿'!B$2:B$97,B33)+SUMIFS('月度底稿'!M$2:M$97,'月度底稿'!A$2:A$97,A33,'月度底稿'!B$2:B$97,B33)+SUMIFS('月度底稿'!N$2:N$97,'月度底稿'!A$2:A$97,A33,'月度底稿'!B$2:B$97,B33)</f>
        <v/>
      </c>
      <c r="E33" s="2">
        <f>SUMIFS('月度底稿'!P$2:P$97,'月度底稿'!A$2:A$97,A33,'月度底稿'!B$2:B$97,B33)+SUMIFS('月度底稿'!Q$2:Q$97,'月度底稿'!A$2:A$97,A33,'月度底稿'!B$2:B$97,B33)+SUMIFS('月度底稿'!R$2:R$97,'月度底稿'!A$2:A$97,A33,'月度底稿'!B$2:B$97,B33)+SUMIFS('月度底稿'!S$2:S$97,'月度底稿'!A$2:A$97,A33,'月度底稿'!B$2:B$97,B33)+SUMIFS('月度底稿'!T$2:T$97,'月度底稿'!A$2:A$97,A33,'月度底稿'!B$2:B$97,B33)</f>
        <v/>
      </c>
      <c r="F33" s="2">
        <f>D33-E33</f>
        <v/>
      </c>
      <c r="G33" s="2">
        <f>SUMIFS('月度底稿'!W$2:W$97,'月度底稿'!A$2:A$97,A33,'月度底稿'!B$2:B$97,B33)</f>
        <v/>
      </c>
      <c r="H33" s="2">
        <f>F33-G33</f>
        <v/>
      </c>
      <c r="I33" s="2">
        <f>SUMIFS('月度底稿'!O$2:O$97,'月度底稿'!A$2:A$97,A33,'月度底稿'!B$2:B$97,B33)-D33</f>
        <v/>
      </c>
      <c r="J33" s="2">
        <f>SUMIFS('月度底稿'!U$2:U$97,'月度底稿'!A$2:A$97,A33,'月度底稿'!B$2:B$97,B33)-E33</f>
        <v/>
      </c>
      <c r="K33" s="2">
        <f>SUMIFS('月度底稿'!V$2:V$97,'月度底稿'!A$2:A$97,A33,'月度底稿'!B$2:B$97,B33)-(D33-E33)</f>
        <v/>
      </c>
      <c r="L33" s="2">
        <f>SUMIFS('月度底稿'!W$2:W$97,'月度底稿'!A$2:A$97,A33,'月度底稿'!B$2:B$97,B33)-(SUMIFS('月度底稿'!V$2:V$97,'月度底稿'!A$2:A$97,A33,'月度底稿'!B$2:B$97,B33)-SUMIFS('月度底稿'!T$2:T$97,'月度底稿'!A$2:A$97,A33,'月度底稿'!B$2:B$97,B33))</f>
        <v/>
      </c>
    </row>
    <row r="34">
      <c r="A34" s="2" t="n">
        <v>5</v>
      </c>
      <c r="B34" s="2" t="n">
        <v>1</v>
      </c>
      <c r="C34" s="3" t="inlineStr">
        <is>
          <t>张三</t>
        </is>
      </c>
      <c r="D34" s="2">
        <f>SUMIFS('月度底稿'!H$2:H$97,'月度底稿'!A$2:A$97,A34,'月度底稿'!B$2:B$97,B34)+SUMIFS('月度底稿'!I$2:I$97,'月度底稿'!A$2:A$97,A34,'月度底稿'!B$2:B$97,B34)+SUMIFS('月度底稿'!J$2:J$97,'月度底稿'!A$2:A$97,A34,'月度底稿'!B$2:B$97,B34)+SUMIFS('月度底稿'!K$2:K$97,'月度底稿'!A$2:A$97,A34,'月度底稿'!B$2:B$97,B34)+SUMIFS('月度底稿'!L$2:L$97,'月度底稿'!A$2:A$97,A34,'月度底稿'!B$2:B$97,B34)+SUMIFS('月度底稿'!M$2:M$97,'月度底稿'!A$2:A$97,A34,'月度底稿'!B$2:B$97,B34)+SUMIFS('月度底稿'!N$2:N$97,'月度底稿'!A$2:A$97,A34,'月度底稿'!B$2:B$97,B34)</f>
        <v/>
      </c>
      <c r="E34" s="2">
        <f>SUMIFS('月度底稿'!P$2:P$97,'月度底稿'!A$2:A$97,A34,'月度底稿'!B$2:B$97,B34)+SUMIFS('月度底稿'!Q$2:Q$97,'月度底稿'!A$2:A$97,A34,'月度底稿'!B$2:B$97,B34)+SUMIFS('月度底稿'!R$2:R$97,'月度底稿'!A$2:A$97,A34,'月度底稿'!B$2:B$97,B34)+SUMIFS('月度底稿'!S$2:S$97,'月度底稿'!A$2:A$97,A34,'月度底稿'!B$2:B$97,B34)+SUMIFS('月度底稿'!T$2:T$97,'月度底稿'!A$2:A$97,A34,'月度底稿'!B$2:B$97,B34)</f>
        <v/>
      </c>
      <c r="F34" s="2">
        <f>D34-E34</f>
        <v/>
      </c>
      <c r="G34" s="2">
        <f>SUMIFS('月度底稿'!W$2:W$97,'月度底稿'!A$2:A$97,A34,'月度底稿'!B$2:B$97,B34)</f>
        <v/>
      </c>
      <c r="H34" s="2">
        <f>F34-G34</f>
        <v/>
      </c>
      <c r="I34" s="2">
        <f>SUMIFS('月度底稿'!O$2:O$97,'月度底稿'!A$2:A$97,A34,'月度底稿'!B$2:B$97,B34)-D34</f>
        <v/>
      </c>
      <c r="J34" s="2">
        <f>SUMIFS('月度底稿'!U$2:U$97,'月度底稿'!A$2:A$97,A34,'月度底稿'!B$2:B$97,B34)-E34</f>
        <v/>
      </c>
      <c r="K34" s="2">
        <f>SUMIFS('月度底稿'!V$2:V$97,'月度底稿'!A$2:A$97,A34,'月度底稿'!B$2:B$97,B34)-(D34-E34)</f>
        <v/>
      </c>
      <c r="L34" s="2">
        <f>SUMIFS('月度底稿'!W$2:W$97,'月度底稿'!A$2:A$97,A34,'月度底稿'!B$2:B$97,B34)-(SUMIFS('月度底稿'!V$2:V$97,'月度底稿'!A$2:A$97,A34,'月度底稿'!B$2:B$97,B34)-SUMIFS('月度底稿'!T$2:T$97,'月度底稿'!A$2:A$97,A34,'月度底稿'!B$2:B$97,B34))</f>
        <v/>
      </c>
    </row>
    <row r="35">
      <c r="A35" s="2" t="n">
        <v>5</v>
      </c>
      <c r="B35" s="2" t="n">
        <v>2</v>
      </c>
      <c r="C35" s="3" t="inlineStr">
        <is>
          <t>李四</t>
        </is>
      </c>
      <c r="D35" s="2">
        <f>SUMIFS('月度底稿'!H$2:H$97,'月度底稿'!A$2:A$97,A35,'月度底稿'!B$2:B$97,B35)+SUMIFS('月度底稿'!I$2:I$97,'月度底稿'!A$2:A$97,A35,'月度底稿'!B$2:B$97,B35)+SUMIFS('月度底稿'!J$2:J$97,'月度底稿'!A$2:A$97,A35,'月度底稿'!B$2:B$97,B35)+SUMIFS('月度底稿'!K$2:K$97,'月度底稿'!A$2:A$97,A35,'月度底稿'!B$2:B$97,B35)+SUMIFS('月度底稿'!L$2:L$97,'月度底稿'!A$2:A$97,A35,'月度底稿'!B$2:B$97,B35)+SUMIFS('月度底稿'!M$2:M$97,'月度底稿'!A$2:A$97,A35,'月度底稿'!B$2:B$97,B35)+SUMIFS('月度底稿'!N$2:N$97,'月度底稿'!A$2:A$97,A35,'月度底稿'!B$2:B$97,B35)</f>
        <v/>
      </c>
      <c r="E35" s="2">
        <f>SUMIFS('月度底稿'!P$2:P$97,'月度底稿'!A$2:A$97,A35,'月度底稿'!B$2:B$97,B35)+SUMIFS('月度底稿'!Q$2:Q$97,'月度底稿'!A$2:A$97,A35,'月度底稿'!B$2:B$97,B35)+SUMIFS('月度底稿'!R$2:R$97,'月度底稿'!A$2:A$97,A35,'月度底稿'!B$2:B$97,B35)+SUMIFS('月度底稿'!S$2:S$97,'月度底稿'!A$2:A$97,A35,'月度底稿'!B$2:B$97,B35)+SUMIFS('月度底稿'!T$2:T$97,'月度底稿'!A$2:A$97,A35,'月度底稿'!B$2:B$97,B35)</f>
        <v/>
      </c>
      <c r="F35" s="2">
        <f>D35-E35</f>
        <v/>
      </c>
      <c r="G35" s="2">
        <f>SUMIFS('月度底稿'!W$2:W$97,'月度底稿'!A$2:A$97,A35,'月度底稿'!B$2:B$97,B35)</f>
        <v/>
      </c>
      <c r="H35" s="2">
        <f>F35-G35</f>
        <v/>
      </c>
      <c r="I35" s="2">
        <f>SUMIFS('月度底稿'!O$2:O$97,'月度底稿'!A$2:A$97,A35,'月度底稿'!B$2:B$97,B35)-D35</f>
        <v/>
      </c>
      <c r="J35" s="2">
        <f>SUMIFS('月度底稿'!U$2:U$97,'月度底稿'!A$2:A$97,A35,'月度底稿'!B$2:B$97,B35)-E35</f>
        <v/>
      </c>
      <c r="K35" s="2">
        <f>SUMIFS('月度底稿'!V$2:V$97,'月度底稿'!A$2:A$97,A35,'月度底稿'!B$2:B$97,B35)-(D35-E35)</f>
        <v/>
      </c>
      <c r="L35" s="2">
        <f>SUMIFS('月度底稿'!W$2:W$97,'月度底稿'!A$2:A$97,A35,'月度底稿'!B$2:B$97,B35)-(SUMIFS('月度底稿'!V$2:V$97,'月度底稿'!A$2:A$97,A35,'月度底稿'!B$2:B$97,B35)-SUMIFS('月度底稿'!T$2:T$97,'月度底稿'!A$2:A$97,A35,'月度底稿'!B$2:B$97,B35))</f>
        <v/>
      </c>
    </row>
    <row r="36">
      <c r="A36" s="2" t="n">
        <v>5</v>
      </c>
      <c r="B36" s="2" t="n">
        <v>3</v>
      </c>
      <c r="C36" s="3" t="inlineStr">
        <is>
          <t>王五</t>
        </is>
      </c>
      <c r="D36" s="2">
        <f>SUMIFS('月度底稿'!H$2:H$97,'月度底稿'!A$2:A$97,A36,'月度底稿'!B$2:B$97,B36)+SUMIFS('月度底稿'!I$2:I$97,'月度底稿'!A$2:A$97,A36,'月度底稿'!B$2:B$97,B36)+SUMIFS('月度底稿'!J$2:J$97,'月度底稿'!A$2:A$97,A36,'月度底稿'!B$2:B$97,B36)+SUMIFS('月度底稿'!K$2:K$97,'月度底稿'!A$2:A$97,A36,'月度底稿'!B$2:B$97,B36)+SUMIFS('月度底稿'!L$2:L$97,'月度底稿'!A$2:A$97,A36,'月度底稿'!B$2:B$97,B36)+SUMIFS('月度底稿'!M$2:M$97,'月度底稿'!A$2:A$97,A36,'月度底稿'!B$2:B$97,B36)+SUMIFS('月度底稿'!N$2:N$97,'月度底稿'!A$2:A$97,A36,'月度底稿'!B$2:B$97,B36)</f>
        <v/>
      </c>
      <c r="E36" s="2">
        <f>SUMIFS('月度底稿'!P$2:P$97,'月度底稿'!A$2:A$97,A36,'月度底稿'!B$2:B$97,B36)+SUMIFS('月度底稿'!Q$2:Q$97,'月度底稿'!A$2:A$97,A36,'月度底稿'!B$2:B$97,B36)+SUMIFS('月度底稿'!R$2:R$97,'月度底稿'!A$2:A$97,A36,'月度底稿'!B$2:B$97,B36)+SUMIFS('月度底稿'!S$2:S$97,'月度底稿'!A$2:A$97,A36,'月度底稿'!B$2:B$97,B36)+SUMIFS('月度底稿'!T$2:T$97,'月度底稿'!A$2:A$97,A36,'月度底稿'!B$2:B$97,B36)</f>
        <v/>
      </c>
      <c r="F36" s="2">
        <f>D36-E36</f>
        <v/>
      </c>
      <c r="G36" s="2">
        <f>SUMIFS('月度底稿'!W$2:W$97,'月度底稿'!A$2:A$97,A36,'月度底稿'!B$2:B$97,B36)</f>
        <v/>
      </c>
      <c r="H36" s="2">
        <f>F36-G36</f>
        <v/>
      </c>
      <c r="I36" s="2">
        <f>SUMIFS('月度底稿'!O$2:O$97,'月度底稿'!A$2:A$97,A36,'月度底稿'!B$2:B$97,B36)-D36</f>
        <v/>
      </c>
      <c r="J36" s="2">
        <f>SUMIFS('月度底稿'!U$2:U$97,'月度底稿'!A$2:A$97,A36,'月度底稿'!B$2:B$97,B36)-E36</f>
        <v/>
      </c>
      <c r="K36" s="2">
        <f>SUMIFS('月度底稿'!V$2:V$97,'月度底稿'!A$2:A$97,A36,'月度底稿'!B$2:B$97,B36)-(D36-E36)</f>
        <v/>
      </c>
      <c r="L36" s="2">
        <f>SUMIFS('月度底稿'!W$2:W$97,'月度底稿'!A$2:A$97,A36,'月度底稿'!B$2:B$97,B36)-(SUMIFS('月度底稿'!V$2:V$97,'月度底稿'!A$2:A$97,A36,'月度底稿'!B$2:B$97,B36)-SUMIFS('月度底稿'!T$2:T$97,'月度底稿'!A$2:A$97,A36,'月度底稿'!B$2:B$97,B36))</f>
        <v/>
      </c>
    </row>
    <row r="37">
      <c r="A37" s="2" t="n">
        <v>5</v>
      </c>
      <c r="B37" s="2" t="n">
        <v>4</v>
      </c>
      <c r="C37" s="3" t="inlineStr">
        <is>
          <t>赵六</t>
        </is>
      </c>
      <c r="D37" s="2">
        <f>SUMIFS('月度底稿'!H$2:H$97,'月度底稿'!A$2:A$97,A37,'月度底稿'!B$2:B$97,B37)+SUMIFS('月度底稿'!I$2:I$97,'月度底稿'!A$2:A$97,A37,'月度底稿'!B$2:B$97,B37)+SUMIFS('月度底稿'!J$2:J$97,'月度底稿'!A$2:A$97,A37,'月度底稿'!B$2:B$97,B37)+SUMIFS('月度底稿'!K$2:K$97,'月度底稿'!A$2:A$97,A37,'月度底稿'!B$2:B$97,B37)+SUMIFS('月度底稿'!L$2:L$97,'月度底稿'!A$2:A$97,A37,'月度底稿'!B$2:B$97,B37)+SUMIFS('月度底稿'!M$2:M$97,'月度底稿'!A$2:A$97,A37,'月度底稿'!B$2:B$97,B37)+SUMIFS('月度底稿'!N$2:N$97,'月度底稿'!A$2:A$97,A37,'月度底稿'!B$2:B$97,B37)</f>
        <v/>
      </c>
      <c r="E37" s="2">
        <f>SUMIFS('月度底稿'!P$2:P$97,'月度底稿'!A$2:A$97,A37,'月度底稿'!B$2:B$97,B37)+SUMIFS('月度底稿'!Q$2:Q$97,'月度底稿'!A$2:A$97,A37,'月度底稿'!B$2:B$97,B37)+SUMIFS('月度底稿'!R$2:R$97,'月度底稿'!A$2:A$97,A37,'月度底稿'!B$2:B$97,B37)+SUMIFS('月度底稿'!S$2:S$97,'月度底稿'!A$2:A$97,A37,'月度底稿'!B$2:B$97,B37)+SUMIFS('月度底稿'!T$2:T$97,'月度底稿'!A$2:A$97,A37,'月度底稿'!B$2:B$97,B37)</f>
        <v/>
      </c>
      <c r="F37" s="2">
        <f>D37-E37</f>
        <v/>
      </c>
      <c r="G37" s="2">
        <f>SUMIFS('月度底稿'!W$2:W$97,'月度底稿'!A$2:A$97,A37,'月度底稿'!B$2:B$97,B37)</f>
        <v/>
      </c>
      <c r="H37" s="2">
        <f>F37-G37</f>
        <v/>
      </c>
      <c r="I37" s="2">
        <f>SUMIFS('月度底稿'!O$2:O$97,'月度底稿'!A$2:A$97,A37,'月度底稿'!B$2:B$97,B37)-D37</f>
        <v/>
      </c>
      <c r="J37" s="2">
        <f>SUMIFS('月度底稿'!U$2:U$97,'月度底稿'!A$2:A$97,A37,'月度底稿'!B$2:B$97,B37)-E37</f>
        <v/>
      </c>
      <c r="K37" s="2">
        <f>SUMIFS('月度底稿'!V$2:V$97,'月度底稿'!A$2:A$97,A37,'月度底稿'!B$2:B$97,B37)-(D37-E37)</f>
        <v/>
      </c>
      <c r="L37" s="2">
        <f>SUMIFS('月度底稿'!W$2:W$97,'月度底稿'!A$2:A$97,A37,'月度底稿'!B$2:B$97,B37)-(SUMIFS('月度底稿'!V$2:V$97,'月度底稿'!A$2:A$97,A37,'月度底稿'!B$2:B$97,B37)-SUMIFS('月度底稿'!T$2:T$97,'月度底稿'!A$2:A$97,A37,'月度底稿'!B$2:B$97,B37))</f>
        <v/>
      </c>
    </row>
    <row r="38">
      <c r="A38" s="2" t="n">
        <v>5</v>
      </c>
      <c r="B38" s="2" t="n">
        <v>5</v>
      </c>
      <c r="C38" s="3" t="inlineStr">
        <is>
          <t>孙七</t>
        </is>
      </c>
      <c r="D38" s="2">
        <f>SUMIFS('月度底稿'!H$2:H$97,'月度底稿'!A$2:A$97,A38,'月度底稿'!B$2:B$97,B38)+SUMIFS('月度底稿'!I$2:I$97,'月度底稿'!A$2:A$97,A38,'月度底稿'!B$2:B$97,B38)+SUMIFS('月度底稿'!J$2:J$97,'月度底稿'!A$2:A$97,A38,'月度底稿'!B$2:B$97,B38)+SUMIFS('月度底稿'!K$2:K$97,'月度底稿'!A$2:A$97,A38,'月度底稿'!B$2:B$97,B38)+SUMIFS('月度底稿'!L$2:L$97,'月度底稿'!A$2:A$97,A38,'月度底稿'!B$2:B$97,B38)+SUMIFS('月度底稿'!M$2:M$97,'月度底稿'!A$2:A$97,A38,'月度底稿'!B$2:B$97,B38)+SUMIFS('月度底稿'!N$2:N$97,'月度底稿'!A$2:A$97,A38,'月度底稿'!B$2:B$97,B38)</f>
        <v/>
      </c>
      <c r="E38" s="2">
        <f>SUMIFS('月度底稿'!P$2:P$97,'月度底稿'!A$2:A$97,A38,'月度底稿'!B$2:B$97,B38)+SUMIFS('月度底稿'!Q$2:Q$97,'月度底稿'!A$2:A$97,A38,'月度底稿'!B$2:B$97,B38)+SUMIFS('月度底稿'!R$2:R$97,'月度底稿'!A$2:A$97,A38,'月度底稿'!B$2:B$97,B38)+SUMIFS('月度底稿'!S$2:S$97,'月度底稿'!A$2:A$97,A38,'月度底稿'!B$2:B$97,B38)+SUMIFS('月度底稿'!T$2:T$97,'月度底稿'!A$2:A$97,A38,'月度底稿'!B$2:B$97,B38)</f>
        <v/>
      </c>
      <c r="F38" s="2">
        <f>D38-E38</f>
        <v/>
      </c>
      <c r="G38" s="2">
        <f>SUMIFS('月度底稿'!W$2:W$97,'月度底稿'!A$2:A$97,A38,'月度底稿'!B$2:B$97,B38)</f>
        <v/>
      </c>
      <c r="H38" s="2">
        <f>F38-G38</f>
        <v/>
      </c>
      <c r="I38" s="2">
        <f>SUMIFS('月度底稿'!O$2:O$97,'月度底稿'!A$2:A$97,A38,'月度底稿'!B$2:B$97,B38)-D38</f>
        <v/>
      </c>
      <c r="J38" s="2">
        <f>SUMIFS('月度底稿'!U$2:U$97,'月度底稿'!A$2:A$97,A38,'月度底稿'!B$2:B$97,B38)-E38</f>
        <v/>
      </c>
      <c r="K38" s="2">
        <f>SUMIFS('月度底稿'!V$2:V$97,'月度底稿'!A$2:A$97,A38,'月度底稿'!B$2:B$97,B38)-(D38-E38)</f>
        <v/>
      </c>
      <c r="L38" s="2">
        <f>SUMIFS('月度底稿'!W$2:W$97,'月度底稿'!A$2:A$97,A38,'月度底稿'!B$2:B$97,B38)-(SUMIFS('月度底稿'!V$2:V$97,'月度底稿'!A$2:A$97,A38,'月度底稿'!B$2:B$97,B38)-SUMIFS('月度底稿'!T$2:T$97,'月度底稿'!A$2:A$97,A38,'月度底稿'!B$2:B$97,B38))</f>
        <v/>
      </c>
    </row>
    <row r="39">
      <c r="A39" s="2" t="n">
        <v>5</v>
      </c>
      <c r="B39" s="2" t="n">
        <v>6</v>
      </c>
      <c r="C39" s="3" t="inlineStr">
        <is>
          <t>周八</t>
        </is>
      </c>
      <c r="D39" s="2">
        <f>SUMIFS('月度底稿'!H$2:H$97,'月度底稿'!A$2:A$97,A39,'月度底稿'!B$2:B$97,B39)+SUMIFS('月度底稿'!I$2:I$97,'月度底稿'!A$2:A$97,A39,'月度底稿'!B$2:B$97,B39)+SUMIFS('月度底稿'!J$2:J$97,'月度底稿'!A$2:A$97,A39,'月度底稿'!B$2:B$97,B39)+SUMIFS('月度底稿'!K$2:K$97,'月度底稿'!A$2:A$97,A39,'月度底稿'!B$2:B$97,B39)+SUMIFS('月度底稿'!L$2:L$97,'月度底稿'!A$2:A$97,A39,'月度底稿'!B$2:B$97,B39)+SUMIFS('月度底稿'!M$2:M$97,'月度底稿'!A$2:A$97,A39,'月度底稿'!B$2:B$97,B39)+SUMIFS('月度底稿'!N$2:N$97,'月度底稿'!A$2:A$97,A39,'月度底稿'!B$2:B$97,B39)</f>
        <v/>
      </c>
      <c r="E39" s="2">
        <f>SUMIFS('月度底稿'!P$2:P$97,'月度底稿'!A$2:A$97,A39,'月度底稿'!B$2:B$97,B39)+SUMIFS('月度底稿'!Q$2:Q$97,'月度底稿'!A$2:A$97,A39,'月度底稿'!B$2:B$97,B39)+SUMIFS('月度底稿'!R$2:R$97,'月度底稿'!A$2:A$97,A39,'月度底稿'!B$2:B$97,B39)+SUMIFS('月度底稿'!S$2:S$97,'月度底稿'!A$2:A$97,A39,'月度底稿'!B$2:B$97,B39)+SUMIFS('月度底稿'!T$2:T$97,'月度底稿'!A$2:A$97,A39,'月度底稿'!B$2:B$97,B39)</f>
        <v/>
      </c>
      <c r="F39" s="2">
        <f>D39-E39</f>
        <v/>
      </c>
      <c r="G39" s="2">
        <f>SUMIFS('月度底稿'!W$2:W$97,'月度底稿'!A$2:A$97,A39,'月度底稿'!B$2:B$97,B39)</f>
        <v/>
      </c>
      <c r="H39" s="2">
        <f>F39-G39</f>
        <v/>
      </c>
      <c r="I39" s="2">
        <f>SUMIFS('月度底稿'!O$2:O$97,'月度底稿'!A$2:A$97,A39,'月度底稿'!B$2:B$97,B39)-D39</f>
        <v/>
      </c>
      <c r="J39" s="2">
        <f>SUMIFS('月度底稿'!U$2:U$97,'月度底稿'!A$2:A$97,A39,'月度底稿'!B$2:B$97,B39)-E39</f>
        <v/>
      </c>
      <c r="K39" s="2">
        <f>SUMIFS('月度底稿'!V$2:V$97,'月度底稿'!A$2:A$97,A39,'月度底稿'!B$2:B$97,B39)-(D39-E39)</f>
        <v/>
      </c>
      <c r="L39" s="2">
        <f>SUMIFS('月度底稿'!W$2:W$97,'月度底稿'!A$2:A$97,A39,'月度底稿'!B$2:B$97,B39)-(SUMIFS('月度底稿'!V$2:V$97,'月度底稿'!A$2:A$97,A39,'月度底稿'!B$2:B$97,B39)-SUMIFS('月度底稿'!T$2:T$97,'月度底稿'!A$2:A$97,A39,'月度底稿'!B$2:B$97,B39))</f>
        <v/>
      </c>
    </row>
    <row r="40">
      <c r="A40" s="2" t="n">
        <v>5</v>
      </c>
      <c r="B40" s="2" t="n">
        <v>7</v>
      </c>
      <c r="C40" s="3" t="inlineStr">
        <is>
          <t>吴九</t>
        </is>
      </c>
      <c r="D40" s="2">
        <f>SUMIFS('月度底稿'!H$2:H$97,'月度底稿'!A$2:A$97,A40,'月度底稿'!B$2:B$97,B40)+SUMIFS('月度底稿'!I$2:I$97,'月度底稿'!A$2:A$97,A40,'月度底稿'!B$2:B$97,B40)+SUMIFS('月度底稿'!J$2:J$97,'月度底稿'!A$2:A$97,A40,'月度底稿'!B$2:B$97,B40)+SUMIFS('月度底稿'!K$2:K$97,'月度底稿'!A$2:A$97,A40,'月度底稿'!B$2:B$97,B40)+SUMIFS('月度底稿'!L$2:L$97,'月度底稿'!A$2:A$97,A40,'月度底稿'!B$2:B$97,B40)+SUMIFS('月度底稿'!M$2:M$97,'月度底稿'!A$2:A$97,A40,'月度底稿'!B$2:B$97,B40)+SUMIFS('月度底稿'!N$2:N$97,'月度底稿'!A$2:A$97,A40,'月度底稿'!B$2:B$97,B40)</f>
        <v/>
      </c>
      <c r="E40" s="2">
        <f>SUMIFS('月度底稿'!P$2:P$97,'月度底稿'!A$2:A$97,A40,'月度底稿'!B$2:B$97,B40)+SUMIFS('月度底稿'!Q$2:Q$97,'月度底稿'!A$2:A$97,A40,'月度底稿'!B$2:B$97,B40)+SUMIFS('月度底稿'!R$2:R$97,'月度底稿'!A$2:A$97,A40,'月度底稿'!B$2:B$97,B40)+SUMIFS('月度底稿'!S$2:S$97,'月度底稿'!A$2:A$97,A40,'月度底稿'!B$2:B$97,B40)+SUMIFS('月度底稿'!T$2:T$97,'月度底稿'!A$2:A$97,A40,'月度底稿'!B$2:B$97,B40)</f>
        <v/>
      </c>
      <c r="F40" s="2">
        <f>D40-E40</f>
        <v/>
      </c>
      <c r="G40" s="2">
        <f>SUMIFS('月度底稿'!W$2:W$97,'月度底稿'!A$2:A$97,A40,'月度底稿'!B$2:B$97,B40)</f>
        <v/>
      </c>
      <c r="H40" s="2">
        <f>F40-G40</f>
        <v/>
      </c>
      <c r="I40" s="2">
        <f>SUMIFS('月度底稿'!O$2:O$97,'月度底稿'!A$2:A$97,A40,'月度底稿'!B$2:B$97,B40)-D40</f>
        <v/>
      </c>
      <c r="J40" s="2">
        <f>SUMIFS('月度底稿'!U$2:U$97,'月度底稿'!A$2:A$97,A40,'月度底稿'!B$2:B$97,B40)-E40</f>
        <v/>
      </c>
      <c r="K40" s="2">
        <f>SUMIFS('月度底稿'!V$2:V$97,'月度底稿'!A$2:A$97,A40,'月度底稿'!B$2:B$97,B40)-(D40-E40)</f>
        <v/>
      </c>
      <c r="L40" s="2">
        <f>SUMIFS('月度底稿'!W$2:W$97,'月度底稿'!A$2:A$97,A40,'月度底稿'!B$2:B$97,B40)-(SUMIFS('月度底稿'!V$2:V$97,'月度底稿'!A$2:A$97,A40,'月度底稿'!B$2:B$97,B40)-SUMIFS('月度底稿'!T$2:T$97,'月度底稿'!A$2:A$97,A40,'月度底稿'!B$2:B$97,B40))</f>
        <v/>
      </c>
    </row>
    <row r="41">
      <c r="A41" s="2" t="n">
        <v>5</v>
      </c>
      <c r="B41" s="2" t="n">
        <v>8</v>
      </c>
      <c r="C41" s="3" t="inlineStr">
        <is>
          <t>郑十</t>
        </is>
      </c>
      <c r="D41" s="2">
        <f>SUMIFS('月度底稿'!H$2:H$97,'月度底稿'!A$2:A$97,A41,'月度底稿'!B$2:B$97,B41)+SUMIFS('月度底稿'!I$2:I$97,'月度底稿'!A$2:A$97,A41,'月度底稿'!B$2:B$97,B41)+SUMIFS('月度底稿'!J$2:J$97,'月度底稿'!A$2:A$97,A41,'月度底稿'!B$2:B$97,B41)+SUMIFS('月度底稿'!K$2:K$97,'月度底稿'!A$2:A$97,A41,'月度底稿'!B$2:B$97,B41)+SUMIFS('月度底稿'!L$2:L$97,'月度底稿'!A$2:A$97,A41,'月度底稿'!B$2:B$97,B41)+SUMIFS('月度底稿'!M$2:M$97,'月度底稿'!A$2:A$97,A41,'月度底稿'!B$2:B$97,B41)+SUMIFS('月度底稿'!N$2:N$97,'月度底稿'!A$2:A$97,A41,'月度底稿'!B$2:B$97,B41)</f>
        <v/>
      </c>
      <c r="E41" s="2">
        <f>SUMIFS('月度底稿'!P$2:P$97,'月度底稿'!A$2:A$97,A41,'月度底稿'!B$2:B$97,B41)+SUMIFS('月度底稿'!Q$2:Q$97,'月度底稿'!A$2:A$97,A41,'月度底稿'!B$2:B$97,B41)+SUMIFS('月度底稿'!R$2:R$97,'月度底稿'!A$2:A$97,A41,'月度底稿'!B$2:B$97,B41)+SUMIFS('月度底稿'!S$2:S$97,'月度底稿'!A$2:A$97,A41,'月度底稿'!B$2:B$97,B41)+SUMIFS('月度底稿'!T$2:T$97,'月度底稿'!A$2:A$97,A41,'月度底稿'!B$2:B$97,B41)</f>
        <v/>
      </c>
      <c r="F41" s="2">
        <f>D41-E41</f>
        <v/>
      </c>
      <c r="G41" s="2">
        <f>SUMIFS('月度底稿'!W$2:W$97,'月度底稿'!A$2:A$97,A41,'月度底稿'!B$2:B$97,B41)</f>
        <v/>
      </c>
      <c r="H41" s="2">
        <f>F41-G41</f>
        <v/>
      </c>
      <c r="I41" s="2">
        <f>SUMIFS('月度底稿'!O$2:O$97,'月度底稿'!A$2:A$97,A41,'月度底稿'!B$2:B$97,B41)-D41</f>
        <v/>
      </c>
      <c r="J41" s="2">
        <f>SUMIFS('月度底稿'!U$2:U$97,'月度底稿'!A$2:A$97,A41,'月度底稿'!B$2:B$97,B41)-E41</f>
        <v/>
      </c>
      <c r="K41" s="2">
        <f>SUMIFS('月度底稿'!V$2:V$97,'月度底稿'!A$2:A$97,A41,'月度底稿'!B$2:B$97,B41)-(D41-E41)</f>
        <v/>
      </c>
      <c r="L41" s="2">
        <f>SUMIFS('月度底稿'!W$2:W$97,'月度底稿'!A$2:A$97,A41,'月度底稿'!B$2:B$97,B41)-(SUMIFS('月度底稿'!V$2:V$97,'月度底稿'!A$2:A$97,A41,'月度底稿'!B$2:B$97,B41)-SUMIFS('月度底稿'!T$2:T$97,'月度底稿'!A$2:A$97,A41,'月度底稿'!B$2:B$97,B41))</f>
        <v/>
      </c>
    </row>
    <row r="42">
      <c r="A42" s="2" t="n">
        <v>6</v>
      </c>
      <c r="B42" s="2" t="n">
        <v>1</v>
      </c>
      <c r="C42" s="3" t="inlineStr">
        <is>
          <t>张三</t>
        </is>
      </c>
      <c r="D42" s="2">
        <f>SUMIFS('月度底稿'!H$2:H$97,'月度底稿'!A$2:A$97,A42,'月度底稿'!B$2:B$97,B42)+SUMIFS('月度底稿'!I$2:I$97,'月度底稿'!A$2:A$97,A42,'月度底稿'!B$2:B$97,B42)+SUMIFS('月度底稿'!J$2:J$97,'月度底稿'!A$2:A$97,A42,'月度底稿'!B$2:B$97,B42)+SUMIFS('月度底稿'!K$2:K$97,'月度底稿'!A$2:A$97,A42,'月度底稿'!B$2:B$97,B42)+SUMIFS('月度底稿'!L$2:L$97,'月度底稿'!A$2:A$97,A42,'月度底稿'!B$2:B$97,B42)+SUMIFS('月度底稿'!M$2:M$97,'月度底稿'!A$2:A$97,A42,'月度底稿'!B$2:B$97,B42)+SUMIFS('月度底稿'!N$2:N$97,'月度底稿'!A$2:A$97,A42,'月度底稿'!B$2:B$97,B42)</f>
        <v/>
      </c>
      <c r="E42" s="2">
        <f>SUMIFS('月度底稿'!P$2:P$97,'月度底稿'!A$2:A$97,A42,'月度底稿'!B$2:B$97,B42)+SUMIFS('月度底稿'!Q$2:Q$97,'月度底稿'!A$2:A$97,A42,'月度底稿'!B$2:B$97,B42)+SUMIFS('月度底稿'!R$2:R$97,'月度底稿'!A$2:A$97,A42,'月度底稿'!B$2:B$97,B42)+SUMIFS('月度底稿'!S$2:S$97,'月度底稿'!A$2:A$97,A42,'月度底稿'!B$2:B$97,B42)+SUMIFS('月度底稿'!T$2:T$97,'月度底稿'!A$2:A$97,A42,'月度底稿'!B$2:B$97,B42)</f>
        <v/>
      </c>
      <c r="F42" s="2">
        <f>D42-E42</f>
        <v/>
      </c>
      <c r="G42" s="2">
        <f>SUMIFS('月度底稿'!W$2:W$97,'月度底稿'!A$2:A$97,A42,'月度底稿'!B$2:B$97,B42)</f>
        <v/>
      </c>
      <c r="H42" s="2">
        <f>F42-G42</f>
        <v/>
      </c>
      <c r="I42" s="2">
        <f>SUMIFS('月度底稿'!O$2:O$97,'月度底稿'!A$2:A$97,A42,'月度底稿'!B$2:B$97,B42)-D42</f>
        <v/>
      </c>
      <c r="J42" s="2">
        <f>SUMIFS('月度底稿'!U$2:U$97,'月度底稿'!A$2:A$97,A42,'月度底稿'!B$2:B$97,B42)-E42</f>
        <v/>
      </c>
      <c r="K42" s="2">
        <f>SUMIFS('月度底稿'!V$2:V$97,'月度底稿'!A$2:A$97,A42,'月度底稿'!B$2:B$97,B42)-(D42-E42)</f>
        <v/>
      </c>
      <c r="L42" s="2">
        <f>SUMIFS('月度底稿'!W$2:W$97,'月度底稿'!A$2:A$97,A42,'月度底稿'!B$2:B$97,B42)-(SUMIFS('月度底稿'!V$2:V$97,'月度底稿'!A$2:A$97,A42,'月度底稿'!B$2:B$97,B42)-SUMIFS('月度底稿'!T$2:T$97,'月度底稿'!A$2:A$97,A42,'月度底稿'!B$2:B$97,B42))</f>
        <v/>
      </c>
    </row>
    <row r="43">
      <c r="A43" s="2" t="n">
        <v>6</v>
      </c>
      <c r="B43" s="2" t="n">
        <v>2</v>
      </c>
      <c r="C43" s="3" t="inlineStr">
        <is>
          <t>李四</t>
        </is>
      </c>
      <c r="D43" s="2">
        <f>SUMIFS('月度底稿'!H$2:H$97,'月度底稿'!A$2:A$97,A43,'月度底稿'!B$2:B$97,B43)+SUMIFS('月度底稿'!I$2:I$97,'月度底稿'!A$2:A$97,A43,'月度底稿'!B$2:B$97,B43)+SUMIFS('月度底稿'!J$2:J$97,'月度底稿'!A$2:A$97,A43,'月度底稿'!B$2:B$97,B43)+SUMIFS('月度底稿'!K$2:K$97,'月度底稿'!A$2:A$97,A43,'月度底稿'!B$2:B$97,B43)+SUMIFS('月度底稿'!L$2:L$97,'月度底稿'!A$2:A$97,A43,'月度底稿'!B$2:B$97,B43)+SUMIFS('月度底稿'!M$2:M$97,'月度底稿'!A$2:A$97,A43,'月度底稿'!B$2:B$97,B43)+SUMIFS('月度底稿'!N$2:N$97,'月度底稿'!A$2:A$97,A43,'月度底稿'!B$2:B$97,B43)</f>
        <v/>
      </c>
      <c r="E43" s="2">
        <f>SUMIFS('月度底稿'!P$2:P$97,'月度底稿'!A$2:A$97,A43,'月度底稿'!B$2:B$97,B43)+SUMIFS('月度底稿'!Q$2:Q$97,'月度底稿'!A$2:A$97,A43,'月度底稿'!B$2:B$97,B43)+SUMIFS('月度底稿'!R$2:R$97,'月度底稿'!A$2:A$97,A43,'月度底稿'!B$2:B$97,B43)+SUMIFS('月度底稿'!S$2:S$97,'月度底稿'!A$2:A$97,A43,'月度底稿'!B$2:B$97,B43)+SUMIFS('月度底稿'!T$2:T$97,'月度底稿'!A$2:A$97,A43,'月度底稿'!B$2:B$97,B43)</f>
        <v/>
      </c>
      <c r="F43" s="2">
        <f>D43-E43</f>
        <v/>
      </c>
      <c r="G43" s="2">
        <f>SUMIFS('月度底稿'!W$2:W$97,'月度底稿'!A$2:A$97,A43,'月度底稿'!B$2:B$97,B43)</f>
        <v/>
      </c>
      <c r="H43" s="2">
        <f>F43-G43</f>
        <v/>
      </c>
      <c r="I43" s="2">
        <f>SUMIFS('月度底稿'!O$2:O$97,'月度底稿'!A$2:A$97,A43,'月度底稿'!B$2:B$97,B43)-D43</f>
        <v/>
      </c>
      <c r="J43" s="2">
        <f>SUMIFS('月度底稿'!U$2:U$97,'月度底稿'!A$2:A$97,A43,'月度底稿'!B$2:B$97,B43)-E43</f>
        <v/>
      </c>
      <c r="K43" s="2">
        <f>SUMIFS('月度底稿'!V$2:V$97,'月度底稿'!A$2:A$97,A43,'月度底稿'!B$2:B$97,B43)-(D43-E43)</f>
        <v/>
      </c>
      <c r="L43" s="2">
        <f>SUMIFS('月度底稿'!W$2:W$97,'月度底稿'!A$2:A$97,A43,'月度底稿'!B$2:B$97,B43)-(SUMIFS('月度底稿'!V$2:V$97,'月度底稿'!A$2:A$97,A43,'月度底稿'!B$2:B$97,B43)-SUMIFS('月度底稿'!T$2:T$97,'月度底稿'!A$2:A$97,A43,'月度底稿'!B$2:B$97,B43))</f>
        <v/>
      </c>
    </row>
    <row r="44">
      <c r="A44" s="2" t="n">
        <v>6</v>
      </c>
      <c r="B44" s="2" t="n">
        <v>3</v>
      </c>
      <c r="C44" s="3" t="inlineStr">
        <is>
          <t>王五</t>
        </is>
      </c>
      <c r="D44" s="2">
        <f>SUMIFS('月度底稿'!H$2:H$97,'月度底稿'!A$2:A$97,A44,'月度底稿'!B$2:B$97,B44)+SUMIFS('月度底稿'!I$2:I$97,'月度底稿'!A$2:A$97,A44,'月度底稿'!B$2:B$97,B44)+SUMIFS('月度底稿'!J$2:J$97,'月度底稿'!A$2:A$97,A44,'月度底稿'!B$2:B$97,B44)+SUMIFS('月度底稿'!K$2:K$97,'月度底稿'!A$2:A$97,A44,'月度底稿'!B$2:B$97,B44)+SUMIFS('月度底稿'!L$2:L$97,'月度底稿'!A$2:A$97,A44,'月度底稿'!B$2:B$97,B44)+SUMIFS('月度底稿'!M$2:M$97,'月度底稿'!A$2:A$97,A44,'月度底稿'!B$2:B$97,B44)+SUMIFS('月度底稿'!N$2:N$97,'月度底稿'!A$2:A$97,A44,'月度底稿'!B$2:B$97,B44)</f>
        <v/>
      </c>
      <c r="E44" s="2">
        <f>SUMIFS('月度底稿'!P$2:P$97,'月度底稿'!A$2:A$97,A44,'月度底稿'!B$2:B$97,B44)+SUMIFS('月度底稿'!Q$2:Q$97,'月度底稿'!A$2:A$97,A44,'月度底稿'!B$2:B$97,B44)+SUMIFS('月度底稿'!R$2:R$97,'月度底稿'!A$2:A$97,A44,'月度底稿'!B$2:B$97,B44)+SUMIFS('月度底稿'!S$2:S$97,'月度底稿'!A$2:A$97,A44,'月度底稿'!B$2:B$97,B44)+SUMIFS('月度底稿'!T$2:T$97,'月度底稿'!A$2:A$97,A44,'月度底稿'!B$2:B$97,B44)</f>
        <v/>
      </c>
      <c r="F44" s="2">
        <f>D44-E44</f>
        <v/>
      </c>
      <c r="G44" s="2">
        <f>SUMIFS('月度底稿'!W$2:W$97,'月度底稿'!A$2:A$97,A44,'月度底稿'!B$2:B$97,B44)</f>
        <v/>
      </c>
      <c r="H44" s="2">
        <f>F44-G44</f>
        <v/>
      </c>
      <c r="I44" s="2">
        <f>SUMIFS('月度底稿'!O$2:O$97,'月度底稿'!A$2:A$97,A44,'月度底稿'!B$2:B$97,B44)-D44</f>
        <v/>
      </c>
      <c r="J44" s="2">
        <f>SUMIFS('月度底稿'!U$2:U$97,'月度底稿'!A$2:A$97,A44,'月度底稿'!B$2:B$97,B44)-E44</f>
        <v/>
      </c>
      <c r="K44" s="2">
        <f>SUMIFS('月度底稿'!V$2:V$97,'月度底稿'!A$2:A$97,A44,'月度底稿'!B$2:B$97,B44)-(D44-E44)</f>
        <v/>
      </c>
      <c r="L44" s="2">
        <f>SUMIFS('月度底稿'!W$2:W$97,'月度底稿'!A$2:A$97,A44,'月度底稿'!B$2:B$97,B44)-(SUMIFS('月度底稿'!V$2:V$97,'月度底稿'!A$2:A$97,A44,'月度底稿'!B$2:B$97,B44)-SUMIFS('月度底稿'!T$2:T$97,'月度底稿'!A$2:A$97,A44,'月度底稿'!B$2:B$97,B44))</f>
        <v/>
      </c>
    </row>
    <row r="45">
      <c r="A45" s="2" t="n">
        <v>6</v>
      </c>
      <c r="B45" s="2" t="n">
        <v>4</v>
      </c>
      <c r="C45" s="3" t="inlineStr">
        <is>
          <t>赵六</t>
        </is>
      </c>
      <c r="D45" s="2">
        <f>SUMIFS('月度底稿'!H$2:H$97,'月度底稿'!A$2:A$97,A45,'月度底稿'!B$2:B$97,B45)+SUMIFS('月度底稿'!I$2:I$97,'月度底稿'!A$2:A$97,A45,'月度底稿'!B$2:B$97,B45)+SUMIFS('月度底稿'!J$2:J$97,'月度底稿'!A$2:A$97,A45,'月度底稿'!B$2:B$97,B45)+SUMIFS('月度底稿'!K$2:K$97,'月度底稿'!A$2:A$97,A45,'月度底稿'!B$2:B$97,B45)+SUMIFS('月度底稿'!L$2:L$97,'月度底稿'!A$2:A$97,A45,'月度底稿'!B$2:B$97,B45)+SUMIFS('月度底稿'!M$2:M$97,'月度底稿'!A$2:A$97,A45,'月度底稿'!B$2:B$97,B45)+SUMIFS('月度底稿'!N$2:N$97,'月度底稿'!A$2:A$97,A45,'月度底稿'!B$2:B$97,B45)</f>
        <v/>
      </c>
      <c r="E45" s="2">
        <f>SUMIFS('月度底稿'!P$2:P$97,'月度底稿'!A$2:A$97,A45,'月度底稿'!B$2:B$97,B45)+SUMIFS('月度底稿'!Q$2:Q$97,'月度底稿'!A$2:A$97,A45,'月度底稿'!B$2:B$97,B45)+SUMIFS('月度底稿'!R$2:R$97,'月度底稿'!A$2:A$97,A45,'月度底稿'!B$2:B$97,B45)+SUMIFS('月度底稿'!S$2:S$97,'月度底稿'!A$2:A$97,A45,'月度底稿'!B$2:B$97,B45)+SUMIFS('月度底稿'!T$2:T$97,'月度底稿'!A$2:A$97,A45,'月度底稿'!B$2:B$97,B45)</f>
        <v/>
      </c>
      <c r="F45" s="2">
        <f>D45-E45</f>
        <v/>
      </c>
      <c r="G45" s="2">
        <f>SUMIFS('月度底稿'!W$2:W$97,'月度底稿'!A$2:A$97,A45,'月度底稿'!B$2:B$97,B45)</f>
        <v/>
      </c>
      <c r="H45" s="2">
        <f>F45-G45</f>
        <v/>
      </c>
      <c r="I45" s="2">
        <f>SUMIFS('月度底稿'!O$2:O$97,'月度底稿'!A$2:A$97,A45,'月度底稿'!B$2:B$97,B45)-D45</f>
        <v/>
      </c>
      <c r="J45" s="2">
        <f>SUMIFS('月度底稿'!U$2:U$97,'月度底稿'!A$2:A$97,A45,'月度底稿'!B$2:B$97,B45)-E45</f>
        <v/>
      </c>
      <c r="K45" s="2">
        <f>SUMIFS('月度底稿'!V$2:V$97,'月度底稿'!A$2:A$97,A45,'月度底稿'!B$2:B$97,B45)-(D45-E45)</f>
        <v/>
      </c>
      <c r="L45" s="2">
        <f>SUMIFS('月度底稿'!W$2:W$97,'月度底稿'!A$2:A$97,A45,'月度底稿'!B$2:B$97,B45)-(SUMIFS('月度底稿'!V$2:V$97,'月度底稿'!A$2:A$97,A45,'月度底稿'!B$2:B$97,B45)-SUMIFS('月度底稿'!T$2:T$97,'月度底稿'!A$2:A$97,A45,'月度底稿'!B$2:B$97,B45))</f>
        <v/>
      </c>
    </row>
    <row r="46">
      <c r="A46" s="2" t="n">
        <v>6</v>
      </c>
      <c r="B46" s="2" t="n">
        <v>5</v>
      </c>
      <c r="C46" s="3" t="inlineStr">
        <is>
          <t>孙七</t>
        </is>
      </c>
      <c r="D46" s="2">
        <f>SUMIFS('月度底稿'!H$2:H$97,'月度底稿'!A$2:A$97,A46,'月度底稿'!B$2:B$97,B46)+SUMIFS('月度底稿'!I$2:I$97,'月度底稿'!A$2:A$97,A46,'月度底稿'!B$2:B$97,B46)+SUMIFS('月度底稿'!J$2:J$97,'月度底稿'!A$2:A$97,A46,'月度底稿'!B$2:B$97,B46)+SUMIFS('月度底稿'!K$2:K$97,'月度底稿'!A$2:A$97,A46,'月度底稿'!B$2:B$97,B46)+SUMIFS('月度底稿'!L$2:L$97,'月度底稿'!A$2:A$97,A46,'月度底稿'!B$2:B$97,B46)+SUMIFS('月度底稿'!M$2:M$97,'月度底稿'!A$2:A$97,A46,'月度底稿'!B$2:B$97,B46)+SUMIFS('月度底稿'!N$2:N$97,'月度底稿'!A$2:A$97,A46,'月度底稿'!B$2:B$97,B46)</f>
        <v/>
      </c>
      <c r="E46" s="2">
        <f>SUMIFS('月度底稿'!P$2:P$97,'月度底稿'!A$2:A$97,A46,'月度底稿'!B$2:B$97,B46)+SUMIFS('月度底稿'!Q$2:Q$97,'月度底稿'!A$2:A$97,A46,'月度底稿'!B$2:B$97,B46)+SUMIFS('月度底稿'!R$2:R$97,'月度底稿'!A$2:A$97,A46,'月度底稿'!B$2:B$97,B46)+SUMIFS('月度底稿'!S$2:S$97,'月度底稿'!A$2:A$97,A46,'月度底稿'!B$2:B$97,B46)+SUMIFS('月度底稿'!T$2:T$97,'月度底稿'!A$2:A$97,A46,'月度底稿'!B$2:B$97,B46)</f>
        <v/>
      </c>
      <c r="F46" s="2">
        <f>D46-E46</f>
        <v/>
      </c>
      <c r="G46" s="2">
        <f>SUMIFS('月度底稿'!W$2:W$97,'月度底稿'!A$2:A$97,A46,'月度底稿'!B$2:B$97,B46)</f>
        <v/>
      </c>
      <c r="H46" s="2">
        <f>F46-G46</f>
        <v/>
      </c>
      <c r="I46" s="2">
        <f>SUMIFS('月度底稿'!O$2:O$97,'月度底稿'!A$2:A$97,A46,'月度底稿'!B$2:B$97,B46)-D46</f>
        <v/>
      </c>
      <c r="J46" s="2">
        <f>SUMIFS('月度底稿'!U$2:U$97,'月度底稿'!A$2:A$97,A46,'月度底稿'!B$2:B$97,B46)-E46</f>
        <v/>
      </c>
      <c r="K46" s="2">
        <f>SUMIFS('月度底稿'!V$2:V$97,'月度底稿'!A$2:A$97,A46,'月度底稿'!B$2:B$97,B46)-(D46-E46)</f>
        <v/>
      </c>
      <c r="L46" s="2">
        <f>SUMIFS('月度底稿'!W$2:W$97,'月度底稿'!A$2:A$97,A46,'月度底稿'!B$2:B$97,B46)-(SUMIFS('月度底稿'!V$2:V$97,'月度底稿'!A$2:A$97,A46,'月度底稿'!B$2:B$97,B46)-SUMIFS('月度底稿'!T$2:T$97,'月度底稿'!A$2:A$97,A46,'月度底稿'!B$2:B$97,B46))</f>
        <v/>
      </c>
    </row>
    <row r="47">
      <c r="A47" s="2" t="n">
        <v>6</v>
      </c>
      <c r="B47" s="2" t="n">
        <v>6</v>
      </c>
      <c r="C47" s="3" t="inlineStr">
        <is>
          <t>周八</t>
        </is>
      </c>
      <c r="D47" s="2">
        <f>SUMIFS('月度底稿'!H$2:H$97,'月度底稿'!A$2:A$97,A47,'月度底稿'!B$2:B$97,B47)+SUMIFS('月度底稿'!I$2:I$97,'月度底稿'!A$2:A$97,A47,'月度底稿'!B$2:B$97,B47)+SUMIFS('月度底稿'!J$2:J$97,'月度底稿'!A$2:A$97,A47,'月度底稿'!B$2:B$97,B47)+SUMIFS('月度底稿'!K$2:K$97,'月度底稿'!A$2:A$97,A47,'月度底稿'!B$2:B$97,B47)+SUMIFS('月度底稿'!L$2:L$97,'月度底稿'!A$2:A$97,A47,'月度底稿'!B$2:B$97,B47)+SUMIFS('月度底稿'!M$2:M$97,'月度底稿'!A$2:A$97,A47,'月度底稿'!B$2:B$97,B47)+SUMIFS('月度底稿'!N$2:N$97,'月度底稿'!A$2:A$97,A47,'月度底稿'!B$2:B$97,B47)</f>
        <v/>
      </c>
      <c r="E47" s="2">
        <f>SUMIFS('月度底稿'!P$2:P$97,'月度底稿'!A$2:A$97,A47,'月度底稿'!B$2:B$97,B47)+SUMIFS('月度底稿'!Q$2:Q$97,'月度底稿'!A$2:A$97,A47,'月度底稿'!B$2:B$97,B47)+SUMIFS('月度底稿'!R$2:R$97,'月度底稿'!A$2:A$97,A47,'月度底稿'!B$2:B$97,B47)+SUMIFS('月度底稿'!S$2:S$97,'月度底稿'!A$2:A$97,A47,'月度底稿'!B$2:B$97,B47)+SUMIFS('月度底稿'!T$2:T$97,'月度底稿'!A$2:A$97,A47,'月度底稿'!B$2:B$97,B47)</f>
        <v/>
      </c>
      <c r="F47" s="2">
        <f>D47-E47</f>
        <v/>
      </c>
      <c r="G47" s="2">
        <f>SUMIFS('月度底稿'!W$2:W$97,'月度底稿'!A$2:A$97,A47,'月度底稿'!B$2:B$97,B47)</f>
        <v/>
      </c>
      <c r="H47" s="2">
        <f>F47-G47</f>
        <v/>
      </c>
      <c r="I47" s="2">
        <f>SUMIFS('月度底稿'!O$2:O$97,'月度底稿'!A$2:A$97,A47,'月度底稿'!B$2:B$97,B47)-D47</f>
        <v/>
      </c>
      <c r="J47" s="2">
        <f>SUMIFS('月度底稿'!U$2:U$97,'月度底稿'!A$2:A$97,A47,'月度底稿'!B$2:B$97,B47)-E47</f>
        <v/>
      </c>
      <c r="K47" s="2">
        <f>SUMIFS('月度底稿'!V$2:V$97,'月度底稿'!A$2:A$97,A47,'月度底稿'!B$2:B$97,B47)-(D47-E47)</f>
        <v/>
      </c>
      <c r="L47" s="2">
        <f>SUMIFS('月度底稿'!W$2:W$97,'月度底稿'!A$2:A$97,A47,'月度底稿'!B$2:B$97,B47)-(SUMIFS('月度底稿'!V$2:V$97,'月度底稿'!A$2:A$97,A47,'月度底稿'!B$2:B$97,B47)-SUMIFS('月度底稿'!T$2:T$97,'月度底稿'!A$2:A$97,A47,'月度底稿'!B$2:B$97,B47))</f>
        <v/>
      </c>
    </row>
    <row r="48">
      <c r="A48" s="2" t="n">
        <v>6</v>
      </c>
      <c r="B48" s="2" t="n">
        <v>7</v>
      </c>
      <c r="C48" s="3" t="inlineStr">
        <is>
          <t>吴九</t>
        </is>
      </c>
      <c r="D48" s="2">
        <f>SUMIFS('月度底稿'!H$2:H$97,'月度底稿'!A$2:A$97,A48,'月度底稿'!B$2:B$97,B48)+SUMIFS('月度底稿'!I$2:I$97,'月度底稿'!A$2:A$97,A48,'月度底稿'!B$2:B$97,B48)+SUMIFS('月度底稿'!J$2:J$97,'月度底稿'!A$2:A$97,A48,'月度底稿'!B$2:B$97,B48)+SUMIFS('月度底稿'!K$2:K$97,'月度底稿'!A$2:A$97,A48,'月度底稿'!B$2:B$97,B48)+SUMIFS('月度底稿'!L$2:L$97,'月度底稿'!A$2:A$97,A48,'月度底稿'!B$2:B$97,B48)+SUMIFS('月度底稿'!M$2:M$97,'月度底稿'!A$2:A$97,A48,'月度底稿'!B$2:B$97,B48)+SUMIFS('月度底稿'!N$2:N$97,'月度底稿'!A$2:A$97,A48,'月度底稿'!B$2:B$97,B48)</f>
        <v/>
      </c>
      <c r="E48" s="2">
        <f>SUMIFS('月度底稿'!P$2:P$97,'月度底稿'!A$2:A$97,A48,'月度底稿'!B$2:B$97,B48)+SUMIFS('月度底稿'!Q$2:Q$97,'月度底稿'!A$2:A$97,A48,'月度底稿'!B$2:B$97,B48)+SUMIFS('月度底稿'!R$2:R$97,'月度底稿'!A$2:A$97,A48,'月度底稿'!B$2:B$97,B48)+SUMIFS('月度底稿'!S$2:S$97,'月度底稿'!A$2:A$97,A48,'月度底稿'!B$2:B$97,B48)+SUMIFS('月度底稿'!T$2:T$97,'月度底稿'!A$2:A$97,A48,'月度底稿'!B$2:B$97,B48)</f>
        <v/>
      </c>
      <c r="F48" s="2">
        <f>D48-E48</f>
        <v/>
      </c>
      <c r="G48" s="2">
        <f>SUMIFS('月度底稿'!W$2:W$97,'月度底稿'!A$2:A$97,A48,'月度底稿'!B$2:B$97,B48)</f>
        <v/>
      </c>
      <c r="H48" s="2">
        <f>F48-G48</f>
        <v/>
      </c>
      <c r="I48" s="2">
        <f>SUMIFS('月度底稿'!O$2:O$97,'月度底稿'!A$2:A$97,A48,'月度底稿'!B$2:B$97,B48)-D48</f>
        <v/>
      </c>
      <c r="J48" s="2">
        <f>SUMIFS('月度底稿'!U$2:U$97,'月度底稿'!A$2:A$97,A48,'月度底稿'!B$2:B$97,B48)-E48</f>
        <v/>
      </c>
      <c r="K48" s="2">
        <f>SUMIFS('月度底稿'!V$2:V$97,'月度底稿'!A$2:A$97,A48,'月度底稿'!B$2:B$97,B48)-(D48-E48)</f>
        <v/>
      </c>
      <c r="L48" s="2">
        <f>SUMIFS('月度底稿'!W$2:W$97,'月度底稿'!A$2:A$97,A48,'月度底稿'!B$2:B$97,B48)-(SUMIFS('月度底稿'!V$2:V$97,'月度底稿'!A$2:A$97,A48,'月度底稿'!B$2:B$97,B48)-SUMIFS('月度底稿'!T$2:T$97,'月度底稿'!A$2:A$97,A48,'月度底稿'!B$2:B$97,B48))</f>
        <v/>
      </c>
    </row>
    <row r="49">
      <c r="A49" s="2" t="n">
        <v>6</v>
      </c>
      <c r="B49" s="2" t="n">
        <v>8</v>
      </c>
      <c r="C49" s="3" t="inlineStr">
        <is>
          <t>郑十</t>
        </is>
      </c>
      <c r="D49" s="2">
        <f>SUMIFS('月度底稿'!H$2:H$97,'月度底稿'!A$2:A$97,A49,'月度底稿'!B$2:B$97,B49)+SUMIFS('月度底稿'!I$2:I$97,'月度底稿'!A$2:A$97,A49,'月度底稿'!B$2:B$97,B49)+SUMIFS('月度底稿'!J$2:J$97,'月度底稿'!A$2:A$97,A49,'月度底稿'!B$2:B$97,B49)+SUMIFS('月度底稿'!K$2:K$97,'月度底稿'!A$2:A$97,A49,'月度底稿'!B$2:B$97,B49)+SUMIFS('月度底稿'!L$2:L$97,'月度底稿'!A$2:A$97,A49,'月度底稿'!B$2:B$97,B49)+SUMIFS('月度底稿'!M$2:M$97,'月度底稿'!A$2:A$97,A49,'月度底稿'!B$2:B$97,B49)+SUMIFS('月度底稿'!N$2:N$97,'月度底稿'!A$2:A$97,A49,'月度底稿'!B$2:B$97,B49)</f>
        <v/>
      </c>
      <c r="E49" s="2">
        <f>SUMIFS('月度底稿'!P$2:P$97,'月度底稿'!A$2:A$97,A49,'月度底稿'!B$2:B$97,B49)+SUMIFS('月度底稿'!Q$2:Q$97,'月度底稿'!A$2:A$97,A49,'月度底稿'!B$2:B$97,B49)+SUMIFS('月度底稿'!R$2:R$97,'月度底稿'!A$2:A$97,A49,'月度底稿'!B$2:B$97,B49)+SUMIFS('月度底稿'!S$2:S$97,'月度底稿'!A$2:A$97,A49,'月度底稿'!B$2:B$97,B49)+SUMIFS('月度底稿'!T$2:T$97,'月度底稿'!A$2:A$97,A49,'月度底稿'!B$2:B$97,B49)</f>
        <v/>
      </c>
      <c r="F49" s="2">
        <f>D49-E49</f>
        <v/>
      </c>
      <c r="G49" s="2">
        <f>SUMIFS('月度底稿'!W$2:W$97,'月度底稿'!A$2:A$97,A49,'月度底稿'!B$2:B$97,B49)</f>
        <v/>
      </c>
      <c r="H49" s="2">
        <f>F49-G49</f>
        <v/>
      </c>
      <c r="I49" s="2">
        <f>SUMIFS('月度底稿'!O$2:O$97,'月度底稿'!A$2:A$97,A49,'月度底稿'!B$2:B$97,B49)-D49</f>
        <v/>
      </c>
      <c r="J49" s="2">
        <f>SUMIFS('月度底稿'!U$2:U$97,'月度底稿'!A$2:A$97,A49,'月度底稿'!B$2:B$97,B49)-E49</f>
        <v/>
      </c>
      <c r="K49" s="2">
        <f>SUMIFS('月度底稿'!V$2:V$97,'月度底稿'!A$2:A$97,A49,'月度底稿'!B$2:B$97,B49)-(D49-E49)</f>
        <v/>
      </c>
      <c r="L49" s="2">
        <f>SUMIFS('月度底稿'!W$2:W$97,'月度底稿'!A$2:A$97,A49,'月度底稿'!B$2:B$97,B49)-(SUMIFS('月度底稿'!V$2:V$97,'月度底稿'!A$2:A$97,A49,'月度底稿'!B$2:B$97,B49)-SUMIFS('月度底稿'!T$2:T$97,'月度底稿'!A$2:A$97,A49,'月度底稿'!B$2:B$97,B49))</f>
        <v/>
      </c>
    </row>
    <row r="50">
      <c r="A50" s="2" t="n">
        <v>7</v>
      </c>
      <c r="B50" s="2" t="n">
        <v>1</v>
      </c>
      <c r="C50" s="3" t="inlineStr">
        <is>
          <t>张三</t>
        </is>
      </c>
      <c r="D50" s="2">
        <f>SUMIFS('月度底稿'!H$2:H$97,'月度底稿'!A$2:A$97,A50,'月度底稿'!B$2:B$97,B50)+SUMIFS('月度底稿'!I$2:I$97,'月度底稿'!A$2:A$97,A50,'月度底稿'!B$2:B$97,B50)+SUMIFS('月度底稿'!J$2:J$97,'月度底稿'!A$2:A$97,A50,'月度底稿'!B$2:B$97,B50)+SUMIFS('月度底稿'!K$2:K$97,'月度底稿'!A$2:A$97,A50,'月度底稿'!B$2:B$97,B50)+SUMIFS('月度底稿'!L$2:L$97,'月度底稿'!A$2:A$97,A50,'月度底稿'!B$2:B$97,B50)+SUMIFS('月度底稿'!M$2:M$97,'月度底稿'!A$2:A$97,A50,'月度底稿'!B$2:B$97,B50)+SUMIFS('月度底稿'!N$2:N$97,'月度底稿'!A$2:A$97,A50,'月度底稿'!B$2:B$97,B50)</f>
        <v/>
      </c>
      <c r="E50" s="2">
        <f>SUMIFS('月度底稿'!P$2:P$97,'月度底稿'!A$2:A$97,A50,'月度底稿'!B$2:B$97,B50)+SUMIFS('月度底稿'!Q$2:Q$97,'月度底稿'!A$2:A$97,A50,'月度底稿'!B$2:B$97,B50)+SUMIFS('月度底稿'!R$2:R$97,'月度底稿'!A$2:A$97,A50,'月度底稿'!B$2:B$97,B50)+SUMIFS('月度底稿'!S$2:S$97,'月度底稿'!A$2:A$97,A50,'月度底稿'!B$2:B$97,B50)+SUMIFS('月度底稿'!T$2:T$97,'月度底稿'!A$2:A$97,A50,'月度底稿'!B$2:B$97,B50)</f>
        <v/>
      </c>
      <c r="F50" s="2">
        <f>D50-E50</f>
        <v/>
      </c>
      <c r="G50" s="2">
        <f>SUMIFS('月度底稿'!W$2:W$97,'月度底稿'!A$2:A$97,A50,'月度底稿'!B$2:B$97,B50)</f>
        <v/>
      </c>
      <c r="H50" s="2">
        <f>F50-G50</f>
        <v/>
      </c>
      <c r="I50" s="2">
        <f>SUMIFS('月度底稿'!O$2:O$97,'月度底稿'!A$2:A$97,A50,'月度底稿'!B$2:B$97,B50)-D50</f>
        <v/>
      </c>
      <c r="J50" s="2">
        <f>SUMIFS('月度底稿'!U$2:U$97,'月度底稿'!A$2:A$97,A50,'月度底稿'!B$2:B$97,B50)-E50</f>
        <v/>
      </c>
      <c r="K50" s="2">
        <f>SUMIFS('月度底稿'!V$2:V$97,'月度底稿'!A$2:A$97,A50,'月度底稿'!B$2:B$97,B50)-(D50-E50)</f>
        <v/>
      </c>
      <c r="L50" s="2">
        <f>SUMIFS('月度底稿'!W$2:W$97,'月度底稿'!A$2:A$97,A50,'月度底稿'!B$2:B$97,B50)-(SUMIFS('月度底稿'!V$2:V$97,'月度底稿'!A$2:A$97,A50,'月度底稿'!B$2:B$97,B50)-SUMIFS('月度底稿'!T$2:T$97,'月度底稿'!A$2:A$97,A50,'月度底稿'!B$2:B$97,B50))</f>
        <v/>
      </c>
    </row>
    <row r="51">
      <c r="A51" s="2" t="n">
        <v>7</v>
      </c>
      <c r="B51" s="2" t="n">
        <v>2</v>
      </c>
      <c r="C51" s="3" t="inlineStr">
        <is>
          <t>李四</t>
        </is>
      </c>
      <c r="D51" s="2">
        <f>SUMIFS('月度底稿'!H$2:H$97,'月度底稿'!A$2:A$97,A51,'月度底稿'!B$2:B$97,B51)+SUMIFS('月度底稿'!I$2:I$97,'月度底稿'!A$2:A$97,A51,'月度底稿'!B$2:B$97,B51)+SUMIFS('月度底稿'!J$2:J$97,'月度底稿'!A$2:A$97,A51,'月度底稿'!B$2:B$97,B51)+SUMIFS('月度底稿'!K$2:K$97,'月度底稿'!A$2:A$97,A51,'月度底稿'!B$2:B$97,B51)+SUMIFS('月度底稿'!L$2:L$97,'月度底稿'!A$2:A$97,A51,'月度底稿'!B$2:B$97,B51)+SUMIFS('月度底稿'!M$2:M$97,'月度底稿'!A$2:A$97,A51,'月度底稿'!B$2:B$97,B51)+SUMIFS('月度底稿'!N$2:N$97,'月度底稿'!A$2:A$97,A51,'月度底稿'!B$2:B$97,B51)</f>
        <v/>
      </c>
      <c r="E51" s="2">
        <f>SUMIFS('月度底稿'!P$2:P$97,'月度底稿'!A$2:A$97,A51,'月度底稿'!B$2:B$97,B51)+SUMIFS('月度底稿'!Q$2:Q$97,'月度底稿'!A$2:A$97,A51,'月度底稿'!B$2:B$97,B51)+SUMIFS('月度底稿'!R$2:R$97,'月度底稿'!A$2:A$97,A51,'月度底稿'!B$2:B$97,B51)+SUMIFS('月度底稿'!S$2:S$97,'月度底稿'!A$2:A$97,A51,'月度底稿'!B$2:B$97,B51)+SUMIFS('月度底稿'!T$2:T$97,'月度底稿'!A$2:A$97,A51,'月度底稿'!B$2:B$97,B51)</f>
        <v/>
      </c>
      <c r="F51" s="2">
        <f>D51-E51</f>
        <v/>
      </c>
      <c r="G51" s="2">
        <f>SUMIFS('月度底稿'!W$2:W$97,'月度底稿'!A$2:A$97,A51,'月度底稿'!B$2:B$97,B51)</f>
        <v/>
      </c>
      <c r="H51" s="2">
        <f>F51-G51</f>
        <v/>
      </c>
      <c r="I51" s="2">
        <f>SUMIFS('月度底稿'!O$2:O$97,'月度底稿'!A$2:A$97,A51,'月度底稿'!B$2:B$97,B51)-D51</f>
        <v/>
      </c>
      <c r="J51" s="2">
        <f>SUMIFS('月度底稿'!U$2:U$97,'月度底稿'!A$2:A$97,A51,'月度底稿'!B$2:B$97,B51)-E51</f>
        <v/>
      </c>
      <c r="K51" s="2">
        <f>SUMIFS('月度底稿'!V$2:V$97,'月度底稿'!A$2:A$97,A51,'月度底稿'!B$2:B$97,B51)-(D51-E51)</f>
        <v/>
      </c>
      <c r="L51" s="2">
        <f>SUMIFS('月度底稿'!W$2:W$97,'月度底稿'!A$2:A$97,A51,'月度底稿'!B$2:B$97,B51)-(SUMIFS('月度底稿'!V$2:V$97,'月度底稿'!A$2:A$97,A51,'月度底稿'!B$2:B$97,B51)-SUMIFS('月度底稿'!T$2:T$97,'月度底稿'!A$2:A$97,A51,'月度底稿'!B$2:B$97,B51))</f>
        <v/>
      </c>
    </row>
    <row r="52">
      <c r="A52" s="2" t="n">
        <v>7</v>
      </c>
      <c r="B52" s="2" t="n">
        <v>3</v>
      </c>
      <c r="C52" s="3" t="inlineStr">
        <is>
          <t>王五</t>
        </is>
      </c>
      <c r="D52" s="2">
        <f>SUMIFS('月度底稿'!H$2:H$97,'月度底稿'!A$2:A$97,A52,'月度底稿'!B$2:B$97,B52)+SUMIFS('月度底稿'!I$2:I$97,'月度底稿'!A$2:A$97,A52,'月度底稿'!B$2:B$97,B52)+SUMIFS('月度底稿'!J$2:J$97,'月度底稿'!A$2:A$97,A52,'月度底稿'!B$2:B$97,B52)+SUMIFS('月度底稿'!K$2:K$97,'月度底稿'!A$2:A$97,A52,'月度底稿'!B$2:B$97,B52)+SUMIFS('月度底稿'!L$2:L$97,'月度底稿'!A$2:A$97,A52,'月度底稿'!B$2:B$97,B52)+SUMIFS('月度底稿'!M$2:M$97,'月度底稿'!A$2:A$97,A52,'月度底稿'!B$2:B$97,B52)+SUMIFS('月度底稿'!N$2:N$97,'月度底稿'!A$2:A$97,A52,'月度底稿'!B$2:B$97,B52)</f>
        <v/>
      </c>
      <c r="E52" s="2">
        <f>SUMIFS('月度底稿'!P$2:P$97,'月度底稿'!A$2:A$97,A52,'月度底稿'!B$2:B$97,B52)+SUMIFS('月度底稿'!Q$2:Q$97,'月度底稿'!A$2:A$97,A52,'月度底稿'!B$2:B$97,B52)+SUMIFS('月度底稿'!R$2:R$97,'月度底稿'!A$2:A$97,A52,'月度底稿'!B$2:B$97,B52)+SUMIFS('月度底稿'!S$2:S$97,'月度底稿'!A$2:A$97,A52,'月度底稿'!B$2:B$97,B52)+SUMIFS('月度底稿'!T$2:T$97,'月度底稿'!A$2:A$97,A52,'月度底稿'!B$2:B$97,B52)</f>
        <v/>
      </c>
      <c r="F52" s="2">
        <f>D52-E52</f>
        <v/>
      </c>
      <c r="G52" s="2">
        <f>SUMIFS('月度底稿'!W$2:W$97,'月度底稿'!A$2:A$97,A52,'月度底稿'!B$2:B$97,B52)</f>
        <v/>
      </c>
      <c r="H52" s="2">
        <f>F52-G52</f>
        <v/>
      </c>
      <c r="I52" s="2">
        <f>SUMIFS('月度底稿'!O$2:O$97,'月度底稿'!A$2:A$97,A52,'月度底稿'!B$2:B$97,B52)-D52</f>
        <v/>
      </c>
      <c r="J52" s="2">
        <f>SUMIFS('月度底稿'!U$2:U$97,'月度底稿'!A$2:A$97,A52,'月度底稿'!B$2:B$97,B52)-E52</f>
        <v/>
      </c>
      <c r="K52" s="2">
        <f>SUMIFS('月度底稿'!V$2:V$97,'月度底稿'!A$2:A$97,A52,'月度底稿'!B$2:B$97,B52)-(D52-E52)</f>
        <v/>
      </c>
      <c r="L52" s="2">
        <f>SUMIFS('月度底稿'!W$2:W$97,'月度底稿'!A$2:A$97,A52,'月度底稿'!B$2:B$97,B52)-(SUMIFS('月度底稿'!V$2:V$97,'月度底稿'!A$2:A$97,A52,'月度底稿'!B$2:B$97,B52)-SUMIFS('月度底稿'!T$2:T$97,'月度底稿'!A$2:A$97,A52,'月度底稿'!B$2:B$97,B52))</f>
        <v/>
      </c>
    </row>
    <row r="53">
      <c r="A53" s="2" t="n">
        <v>7</v>
      </c>
      <c r="B53" s="2" t="n">
        <v>4</v>
      </c>
      <c r="C53" s="3" t="inlineStr">
        <is>
          <t>赵六</t>
        </is>
      </c>
      <c r="D53" s="2">
        <f>SUMIFS('月度底稿'!H$2:H$97,'月度底稿'!A$2:A$97,A53,'月度底稿'!B$2:B$97,B53)+SUMIFS('月度底稿'!I$2:I$97,'月度底稿'!A$2:A$97,A53,'月度底稿'!B$2:B$97,B53)+SUMIFS('月度底稿'!J$2:J$97,'月度底稿'!A$2:A$97,A53,'月度底稿'!B$2:B$97,B53)+SUMIFS('月度底稿'!K$2:K$97,'月度底稿'!A$2:A$97,A53,'月度底稿'!B$2:B$97,B53)+SUMIFS('月度底稿'!L$2:L$97,'月度底稿'!A$2:A$97,A53,'月度底稿'!B$2:B$97,B53)+SUMIFS('月度底稿'!M$2:M$97,'月度底稿'!A$2:A$97,A53,'月度底稿'!B$2:B$97,B53)+SUMIFS('月度底稿'!N$2:N$97,'月度底稿'!A$2:A$97,A53,'月度底稿'!B$2:B$97,B53)</f>
        <v/>
      </c>
      <c r="E53" s="2">
        <f>SUMIFS('月度底稿'!P$2:P$97,'月度底稿'!A$2:A$97,A53,'月度底稿'!B$2:B$97,B53)+SUMIFS('月度底稿'!Q$2:Q$97,'月度底稿'!A$2:A$97,A53,'月度底稿'!B$2:B$97,B53)+SUMIFS('月度底稿'!R$2:R$97,'月度底稿'!A$2:A$97,A53,'月度底稿'!B$2:B$97,B53)+SUMIFS('月度底稿'!S$2:S$97,'月度底稿'!A$2:A$97,A53,'月度底稿'!B$2:B$97,B53)+SUMIFS('月度底稿'!T$2:T$97,'月度底稿'!A$2:A$97,A53,'月度底稿'!B$2:B$97,B53)</f>
        <v/>
      </c>
      <c r="F53" s="2">
        <f>D53-E53</f>
        <v/>
      </c>
      <c r="G53" s="2">
        <f>SUMIFS('月度底稿'!W$2:W$97,'月度底稿'!A$2:A$97,A53,'月度底稿'!B$2:B$97,B53)</f>
        <v/>
      </c>
      <c r="H53" s="2">
        <f>F53-G53</f>
        <v/>
      </c>
      <c r="I53" s="2">
        <f>SUMIFS('月度底稿'!O$2:O$97,'月度底稿'!A$2:A$97,A53,'月度底稿'!B$2:B$97,B53)-D53</f>
        <v/>
      </c>
      <c r="J53" s="2">
        <f>SUMIFS('月度底稿'!U$2:U$97,'月度底稿'!A$2:A$97,A53,'月度底稿'!B$2:B$97,B53)-E53</f>
        <v/>
      </c>
      <c r="K53" s="2">
        <f>SUMIFS('月度底稿'!V$2:V$97,'月度底稿'!A$2:A$97,A53,'月度底稿'!B$2:B$97,B53)-(D53-E53)</f>
        <v/>
      </c>
      <c r="L53" s="2">
        <f>SUMIFS('月度底稿'!W$2:W$97,'月度底稿'!A$2:A$97,A53,'月度底稿'!B$2:B$97,B53)-(SUMIFS('月度底稿'!V$2:V$97,'月度底稿'!A$2:A$97,A53,'月度底稿'!B$2:B$97,B53)-SUMIFS('月度底稿'!T$2:T$97,'月度底稿'!A$2:A$97,A53,'月度底稿'!B$2:B$97,B53))</f>
        <v/>
      </c>
    </row>
    <row r="54">
      <c r="A54" s="2" t="n">
        <v>7</v>
      </c>
      <c r="B54" s="2" t="n">
        <v>5</v>
      </c>
      <c r="C54" s="3" t="inlineStr">
        <is>
          <t>孙七</t>
        </is>
      </c>
      <c r="D54" s="2">
        <f>SUMIFS('月度底稿'!H$2:H$97,'月度底稿'!A$2:A$97,A54,'月度底稿'!B$2:B$97,B54)+SUMIFS('月度底稿'!I$2:I$97,'月度底稿'!A$2:A$97,A54,'月度底稿'!B$2:B$97,B54)+SUMIFS('月度底稿'!J$2:J$97,'月度底稿'!A$2:A$97,A54,'月度底稿'!B$2:B$97,B54)+SUMIFS('月度底稿'!K$2:K$97,'月度底稿'!A$2:A$97,A54,'月度底稿'!B$2:B$97,B54)+SUMIFS('月度底稿'!L$2:L$97,'月度底稿'!A$2:A$97,A54,'月度底稿'!B$2:B$97,B54)+SUMIFS('月度底稿'!M$2:M$97,'月度底稿'!A$2:A$97,A54,'月度底稿'!B$2:B$97,B54)+SUMIFS('月度底稿'!N$2:N$97,'月度底稿'!A$2:A$97,A54,'月度底稿'!B$2:B$97,B54)</f>
        <v/>
      </c>
      <c r="E54" s="2">
        <f>SUMIFS('月度底稿'!P$2:P$97,'月度底稿'!A$2:A$97,A54,'月度底稿'!B$2:B$97,B54)+SUMIFS('月度底稿'!Q$2:Q$97,'月度底稿'!A$2:A$97,A54,'月度底稿'!B$2:B$97,B54)+SUMIFS('月度底稿'!R$2:R$97,'月度底稿'!A$2:A$97,A54,'月度底稿'!B$2:B$97,B54)+SUMIFS('月度底稿'!S$2:S$97,'月度底稿'!A$2:A$97,A54,'月度底稿'!B$2:B$97,B54)+SUMIFS('月度底稿'!T$2:T$97,'月度底稿'!A$2:A$97,A54,'月度底稿'!B$2:B$97,B54)</f>
        <v/>
      </c>
      <c r="F54" s="2">
        <f>D54-E54</f>
        <v/>
      </c>
      <c r="G54" s="2">
        <f>SUMIFS('月度底稿'!W$2:W$97,'月度底稿'!A$2:A$97,A54,'月度底稿'!B$2:B$97,B54)</f>
        <v/>
      </c>
      <c r="H54" s="2">
        <f>F54-G54</f>
        <v/>
      </c>
      <c r="I54" s="2">
        <f>SUMIFS('月度底稿'!O$2:O$97,'月度底稿'!A$2:A$97,A54,'月度底稿'!B$2:B$97,B54)-D54</f>
        <v/>
      </c>
      <c r="J54" s="2">
        <f>SUMIFS('月度底稿'!U$2:U$97,'月度底稿'!A$2:A$97,A54,'月度底稿'!B$2:B$97,B54)-E54</f>
        <v/>
      </c>
      <c r="K54" s="2">
        <f>SUMIFS('月度底稿'!V$2:V$97,'月度底稿'!A$2:A$97,A54,'月度底稿'!B$2:B$97,B54)-(D54-E54)</f>
        <v/>
      </c>
      <c r="L54" s="2">
        <f>SUMIFS('月度底稿'!W$2:W$97,'月度底稿'!A$2:A$97,A54,'月度底稿'!B$2:B$97,B54)-(SUMIFS('月度底稿'!V$2:V$97,'月度底稿'!A$2:A$97,A54,'月度底稿'!B$2:B$97,B54)-SUMIFS('月度底稿'!T$2:T$97,'月度底稿'!A$2:A$97,A54,'月度底稿'!B$2:B$97,B54))</f>
        <v/>
      </c>
    </row>
    <row r="55">
      <c r="A55" s="2" t="n">
        <v>7</v>
      </c>
      <c r="B55" s="2" t="n">
        <v>6</v>
      </c>
      <c r="C55" s="3" t="inlineStr">
        <is>
          <t>周八</t>
        </is>
      </c>
      <c r="D55" s="2">
        <f>SUMIFS('月度底稿'!H$2:H$97,'月度底稿'!A$2:A$97,A55,'月度底稿'!B$2:B$97,B55)+SUMIFS('月度底稿'!I$2:I$97,'月度底稿'!A$2:A$97,A55,'月度底稿'!B$2:B$97,B55)+SUMIFS('月度底稿'!J$2:J$97,'月度底稿'!A$2:A$97,A55,'月度底稿'!B$2:B$97,B55)+SUMIFS('月度底稿'!K$2:K$97,'月度底稿'!A$2:A$97,A55,'月度底稿'!B$2:B$97,B55)+SUMIFS('月度底稿'!L$2:L$97,'月度底稿'!A$2:A$97,A55,'月度底稿'!B$2:B$97,B55)+SUMIFS('月度底稿'!M$2:M$97,'月度底稿'!A$2:A$97,A55,'月度底稿'!B$2:B$97,B55)+SUMIFS('月度底稿'!N$2:N$97,'月度底稿'!A$2:A$97,A55,'月度底稿'!B$2:B$97,B55)</f>
        <v/>
      </c>
      <c r="E55" s="2">
        <f>SUMIFS('月度底稿'!P$2:P$97,'月度底稿'!A$2:A$97,A55,'月度底稿'!B$2:B$97,B55)+SUMIFS('月度底稿'!Q$2:Q$97,'月度底稿'!A$2:A$97,A55,'月度底稿'!B$2:B$97,B55)+SUMIFS('月度底稿'!R$2:R$97,'月度底稿'!A$2:A$97,A55,'月度底稿'!B$2:B$97,B55)+SUMIFS('月度底稿'!S$2:S$97,'月度底稿'!A$2:A$97,A55,'月度底稿'!B$2:B$97,B55)+SUMIFS('月度底稿'!T$2:T$97,'月度底稿'!A$2:A$97,A55,'月度底稿'!B$2:B$97,B55)</f>
        <v/>
      </c>
      <c r="F55" s="2">
        <f>D55-E55</f>
        <v/>
      </c>
      <c r="G55" s="2">
        <f>SUMIFS('月度底稿'!W$2:W$97,'月度底稿'!A$2:A$97,A55,'月度底稿'!B$2:B$97,B55)</f>
        <v/>
      </c>
      <c r="H55" s="2">
        <f>F55-G55</f>
        <v/>
      </c>
      <c r="I55" s="2">
        <f>SUMIFS('月度底稿'!O$2:O$97,'月度底稿'!A$2:A$97,A55,'月度底稿'!B$2:B$97,B55)-D55</f>
        <v/>
      </c>
      <c r="J55" s="2">
        <f>SUMIFS('月度底稿'!U$2:U$97,'月度底稿'!A$2:A$97,A55,'月度底稿'!B$2:B$97,B55)-E55</f>
        <v/>
      </c>
      <c r="K55" s="2">
        <f>SUMIFS('月度底稿'!V$2:V$97,'月度底稿'!A$2:A$97,A55,'月度底稿'!B$2:B$97,B55)-(D55-E55)</f>
        <v/>
      </c>
      <c r="L55" s="2">
        <f>SUMIFS('月度底稿'!W$2:W$97,'月度底稿'!A$2:A$97,A55,'月度底稿'!B$2:B$97,B55)-(SUMIFS('月度底稿'!V$2:V$97,'月度底稿'!A$2:A$97,A55,'月度底稿'!B$2:B$97,B55)-SUMIFS('月度底稿'!T$2:T$97,'月度底稿'!A$2:A$97,A55,'月度底稿'!B$2:B$97,B55))</f>
        <v/>
      </c>
    </row>
    <row r="56">
      <c r="A56" s="2" t="n">
        <v>7</v>
      </c>
      <c r="B56" s="2" t="n">
        <v>7</v>
      </c>
      <c r="C56" s="3" t="inlineStr">
        <is>
          <t>吴九</t>
        </is>
      </c>
      <c r="D56" s="2">
        <f>SUMIFS('月度底稿'!H$2:H$97,'月度底稿'!A$2:A$97,A56,'月度底稿'!B$2:B$97,B56)+SUMIFS('月度底稿'!I$2:I$97,'月度底稿'!A$2:A$97,A56,'月度底稿'!B$2:B$97,B56)+SUMIFS('月度底稿'!J$2:J$97,'月度底稿'!A$2:A$97,A56,'月度底稿'!B$2:B$97,B56)+SUMIFS('月度底稿'!K$2:K$97,'月度底稿'!A$2:A$97,A56,'月度底稿'!B$2:B$97,B56)+SUMIFS('月度底稿'!L$2:L$97,'月度底稿'!A$2:A$97,A56,'月度底稿'!B$2:B$97,B56)+SUMIFS('月度底稿'!M$2:M$97,'月度底稿'!A$2:A$97,A56,'月度底稿'!B$2:B$97,B56)+SUMIFS('月度底稿'!N$2:N$97,'月度底稿'!A$2:A$97,A56,'月度底稿'!B$2:B$97,B56)</f>
        <v/>
      </c>
      <c r="E56" s="2">
        <f>SUMIFS('月度底稿'!P$2:P$97,'月度底稿'!A$2:A$97,A56,'月度底稿'!B$2:B$97,B56)+SUMIFS('月度底稿'!Q$2:Q$97,'月度底稿'!A$2:A$97,A56,'月度底稿'!B$2:B$97,B56)+SUMIFS('月度底稿'!R$2:R$97,'月度底稿'!A$2:A$97,A56,'月度底稿'!B$2:B$97,B56)+SUMIFS('月度底稿'!S$2:S$97,'月度底稿'!A$2:A$97,A56,'月度底稿'!B$2:B$97,B56)+SUMIFS('月度底稿'!T$2:T$97,'月度底稿'!A$2:A$97,A56,'月度底稿'!B$2:B$97,B56)</f>
        <v/>
      </c>
      <c r="F56" s="2">
        <f>D56-E56</f>
        <v/>
      </c>
      <c r="G56" s="2">
        <f>SUMIFS('月度底稿'!W$2:W$97,'月度底稿'!A$2:A$97,A56,'月度底稿'!B$2:B$97,B56)</f>
        <v/>
      </c>
      <c r="H56" s="2">
        <f>F56-G56</f>
        <v/>
      </c>
      <c r="I56" s="2">
        <f>SUMIFS('月度底稿'!O$2:O$97,'月度底稿'!A$2:A$97,A56,'月度底稿'!B$2:B$97,B56)-D56</f>
        <v/>
      </c>
      <c r="J56" s="2">
        <f>SUMIFS('月度底稿'!U$2:U$97,'月度底稿'!A$2:A$97,A56,'月度底稿'!B$2:B$97,B56)-E56</f>
        <v/>
      </c>
      <c r="K56" s="2">
        <f>SUMIFS('月度底稿'!V$2:V$97,'月度底稿'!A$2:A$97,A56,'月度底稿'!B$2:B$97,B56)-(D56-E56)</f>
        <v/>
      </c>
      <c r="L56" s="2">
        <f>SUMIFS('月度底稿'!W$2:W$97,'月度底稿'!A$2:A$97,A56,'月度底稿'!B$2:B$97,B56)-(SUMIFS('月度底稿'!V$2:V$97,'月度底稿'!A$2:A$97,A56,'月度底稿'!B$2:B$97,B56)-SUMIFS('月度底稿'!T$2:T$97,'月度底稿'!A$2:A$97,A56,'月度底稿'!B$2:B$97,B56))</f>
        <v/>
      </c>
    </row>
    <row r="57">
      <c r="A57" s="2" t="n">
        <v>7</v>
      </c>
      <c r="B57" s="2" t="n">
        <v>8</v>
      </c>
      <c r="C57" s="3" t="inlineStr">
        <is>
          <t>郑十</t>
        </is>
      </c>
      <c r="D57" s="2">
        <f>SUMIFS('月度底稿'!H$2:H$97,'月度底稿'!A$2:A$97,A57,'月度底稿'!B$2:B$97,B57)+SUMIFS('月度底稿'!I$2:I$97,'月度底稿'!A$2:A$97,A57,'月度底稿'!B$2:B$97,B57)+SUMIFS('月度底稿'!J$2:J$97,'月度底稿'!A$2:A$97,A57,'月度底稿'!B$2:B$97,B57)+SUMIFS('月度底稿'!K$2:K$97,'月度底稿'!A$2:A$97,A57,'月度底稿'!B$2:B$97,B57)+SUMIFS('月度底稿'!L$2:L$97,'月度底稿'!A$2:A$97,A57,'月度底稿'!B$2:B$97,B57)+SUMIFS('月度底稿'!M$2:M$97,'月度底稿'!A$2:A$97,A57,'月度底稿'!B$2:B$97,B57)+SUMIFS('月度底稿'!N$2:N$97,'月度底稿'!A$2:A$97,A57,'月度底稿'!B$2:B$97,B57)</f>
        <v/>
      </c>
      <c r="E57" s="2">
        <f>SUMIFS('月度底稿'!P$2:P$97,'月度底稿'!A$2:A$97,A57,'月度底稿'!B$2:B$97,B57)+SUMIFS('月度底稿'!Q$2:Q$97,'月度底稿'!A$2:A$97,A57,'月度底稿'!B$2:B$97,B57)+SUMIFS('月度底稿'!R$2:R$97,'月度底稿'!A$2:A$97,A57,'月度底稿'!B$2:B$97,B57)+SUMIFS('月度底稿'!S$2:S$97,'月度底稿'!A$2:A$97,A57,'月度底稿'!B$2:B$97,B57)+SUMIFS('月度底稿'!T$2:T$97,'月度底稿'!A$2:A$97,A57,'月度底稿'!B$2:B$97,B57)</f>
        <v/>
      </c>
      <c r="F57" s="2">
        <f>D57-E57</f>
        <v/>
      </c>
      <c r="G57" s="2">
        <f>SUMIFS('月度底稿'!W$2:W$97,'月度底稿'!A$2:A$97,A57,'月度底稿'!B$2:B$97,B57)</f>
        <v/>
      </c>
      <c r="H57" s="2">
        <f>F57-G57</f>
        <v/>
      </c>
      <c r="I57" s="2">
        <f>SUMIFS('月度底稿'!O$2:O$97,'月度底稿'!A$2:A$97,A57,'月度底稿'!B$2:B$97,B57)-D57</f>
        <v/>
      </c>
      <c r="J57" s="2">
        <f>SUMIFS('月度底稿'!U$2:U$97,'月度底稿'!A$2:A$97,A57,'月度底稿'!B$2:B$97,B57)-E57</f>
        <v/>
      </c>
      <c r="K57" s="2">
        <f>SUMIFS('月度底稿'!V$2:V$97,'月度底稿'!A$2:A$97,A57,'月度底稿'!B$2:B$97,B57)-(D57-E57)</f>
        <v/>
      </c>
      <c r="L57" s="2">
        <f>SUMIFS('月度底稿'!W$2:W$97,'月度底稿'!A$2:A$97,A57,'月度底稿'!B$2:B$97,B57)-(SUMIFS('月度底稿'!V$2:V$97,'月度底稿'!A$2:A$97,A57,'月度底稿'!B$2:B$97,B57)-SUMIFS('月度底稿'!T$2:T$97,'月度底稿'!A$2:A$97,A57,'月度底稿'!B$2:B$97,B57))</f>
        <v/>
      </c>
    </row>
    <row r="58">
      <c r="A58" s="2" t="n">
        <v>8</v>
      </c>
      <c r="B58" s="2" t="n">
        <v>1</v>
      </c>
      <c r="C58" s="3" t="inlineStr">
        <is>
          <t>张三</t>
        </is>
      </c>
      <c r="D58" s="2">
        <f>SUMIFS('月度底稿'!H$2:H$97,'月度底稿'!A$2:A$97,A58,'月度底稿'!B$2:B$97,B58)+SUMIFS('月度底稿'!I$2:I$97,'月度底稿'!A$2:A$97,A58,'月度底稿'!B$2:B$97,B58)+SUMIFS('月度底稿'!J$2:J$97,'月度底稿'!A$2:A$97,A58,'月度底稿'!B$2:B$97,B58)+SUMIFS('月度底稿'!K$2:K$97,'月度底稿'!A$2:A$97,A58,'月度底稿'!B$2:B$97,B58)+SUMIFS('月度底稿'!L$2:L$97,'月度底稿'!A$2:A$97,A58,'月度底稿'!B$2:B$97,B58)+SUMIFS('月度底稿'!M$2:M$97,'月度底稿'!A$2:A$97,A58,'月度底稿'!B$2:B$97,B58)+SUMIFS('月度底稿'!N$2:N$97,'月度底稿'!A$2:A$97,A58,'月度底稿'!B$2:B$97,B58)</f>
        <v/>
      </c>
      <c r="E58" s="2">
        <f>SUMIFS('月度底稿'!P$2:P$97,'月度底稿'!A$2:A$97,A58,'月度底稿'!B$2:B$97,B58)+SUMIFS('月度底稿'!Q$2:Q$97,'月度底稿'!A$2:A$97,A58,'月度底稿'!B$2:B$97,B58)+SUMIFS('月度底稿'!R$2:R$97,'月度底稿'!A$2:A$97,A58,'月度底稿'!B$2:B$97,B58)+SUMIFS('月度底稿'!S$2:S$97,'月度底稿'!A$2:A$97,A58,'月度底稿'!B$2:B$97,B58)+SUMIFS('月度底稿'!T$2:T$97,'月度底稿'!A$2:A$97,A58,'月度底稿'!B$2:B$97,B58)</f>
        <v/>
      </c>
      <c r="F58" s="2">
        <f>D58-E58</f>
        <v/>
      </c>
      <c r="G58" s="2">
        <f>SUMIFS('月度底稿'!W$2:W$97,'月度底稿'!A$2:A$97,A58,'月度底稿'!B$2:B$97,B58)</f>
        <v/>
      </c>
      <c r="H58" s="2">
        <f>F58-G58</f>
        <v/>
      </c>
      <c r="I58" s="2">
        <f>SUMIFS('月度底稿'!O$2:O$97,'月度底稿'!A$2:A$97,A58,'月度底稿'!B$2:B$97,B58)-D58</f>
        <v/>
      </c>
      <c r="J58" s="2">
        <f>SUMIFS('月度底稿'!U$2:U$97,'月度底稿'!A$2:A$97,A58,'月度底稿'!B$2:B$97,B58)-E58</f>
        <v/>
      </c>
      <c r="K58" s="2">
        <f>SUMIFS('月度底稿'!V$2:V$97,'月度底稿'!A$2:A$97,A58,'月度底稿'!B$2:B$97,B58)-(D58-E58)</f>
        <v/>
      </c>
      <c r="L58" s="2">
        <f>SUMIFS('月度底稿'!W$2:W$97,'月度底稿'!A$2:A$97,A58,'月度底稿'!B$2:B$97,B58)-(SUMIFS('月度底稿'!V$2:V$97,'月度底稿'!A$2:A$97,A58,'月度底稿'!B$2:B$97,B58)-SUMIFS('月度底稿'!T$2:T$97,'月度底稿'!A$2:A$97,A58,'月度底稿'!B$2:B$97,B58))</f>
        <v/>
      </c>
    </row>
    <row r="59">
      <c r="A59" s="2" t="n">
        <v>8</v>
      </c>
      <c r="B59" s="2" t="n">
        <v>2</v>
      </c>
      <c r="C59" s="3" t="inlineStr">
        <is>
          <t>李四</t>
        </is>
      </c>
      <c r="D59" s="2">
        <f>SUMIFS('月度底稿'!H$2:H$97,'月度底稿'!A$2:A$97,A59,'月度底稿'!B$2:B$97,B59)+SUMIFS('月度底稿'!I$2:I$97,'月度底稿'!A$2:A$97,A59,'月度底稿'!B$2:B$97,B59)+SUMIFS('月度底稿'!J$2:J$97,'月度底稿'!A$2:A$97,A59,'月度底稿'!B$2:B$97,B59)+SUMIFS('月度底稿'!K$2:K$97,'月度底稿'!A$2:A$97,A59,'月度底稿'!B$2:B$97,B59)+SUMIFS('月度底稿'!L$2:L$97,'月度底稿'!A$2:A$97,A59,'月度底稿'!B$2:B$97,B59)+SUMIFS('月度底稿'!M$2:M$97,'月度底稿'!A$2:A$97,A59,'月度底稿'!B$2:B$97,B59)+SUMIFS('月度底稿'!N$2:N$97,'月度底稿'!A$2:A$97,A59,'月度底稿'!B$2:B$97,B59)</f>
        <v/>
      </c>
      <c r="E59" s="2">
        <f>SUMIFS('月度底稿'!P$2:P$97,'月度底稿'!A$2:A$97,A59,'月度底稿'!B$2:B$97,B59)+SUMIFS('月度底稿'!Q$2:Q$97,'月度底稿'!A$2:A$97,A59,'月度底稿'!B$2:B$97,B59)+SUMIFS('月度底稿'!R$2:R$97,'月度底稿'!A$2:A$97,A59,'月度底稿'!B$2:B$97,B59)+SUMIFS('月度底稿'!S$2:S$97,'月度底稿'!A$2:A$97,A59,'月度底稿'!B$2:B$97,B59)+SUMIFS('月度底稿'!T$2:T$97,'月度底稿'!A$2:A$97,A59,'月度底稿'!B$2:B$97,B59)</f>
        <v/>
      </c>
      <c r="F59" s="2">
        <f>D59-E59</f>
        <v/>
      </c>
      <c r="G59" s="2">
        <f>SUMIFS('月度底稿'!W$2:W$97,'月度底稿'!A$2:A$97,A59,'月度底稿'!B$2:B$97,B59)</f>
        <v/>
      </c>
      <c r="H59" s="2">
        <f>F59-G59</f>
        <v/>
      </c>
      <c r="I59" s="2">
        <f>SUMIFS('月度底稿'!O$2:O$97,'月度底稿'!A$2:A$97,A59,'月度底稿'!B$2:B$97,B59)-D59</f>
        <v/>
      </c>
      <c r="J59" s="2">
        <f>SUMIFS('月度底稿'!U$2:U$97,'月度底稿'!A$2:A$97,A59,'月度底稿'!B$2:B$97,B59)-E59</f>
        <v/>
      </c>
      <c r="K59" s="2">
        <f>SUMIFS('月度底稿'!V$2:V$97,'月度底稿'!A$2:A$97,A59,'月度底稿'!B$2:B$97,B59)-(D59-E59)</f>
        <v/>
      </c>
      <c r="L59" s="2">
        <f>SUMIFS('月度底稿'!W$2:W$97,'月度底稿'!A$2:A$97,A59,'月度底稿'!B$2:B$97,B59)-(SUMIFS('月度底稿'!V$2:V$97,'月度底稿'!A$2:A$97,A59,'月度底稿'!B$2:B$97,B59)-SUMIFS('月度底稿'!T$2:T$97,'月度底稿'!A$2:A$97,A59,'月度底稿'!B$2:B$97,B59))</f>
        <v/>
      </c>
    </row>
    <row r="60">
      <c r="A60" s="2" t="n">
        <v>8</v>
      </c>
      <c r="B60" s="2" t="n">
        <v>3</v>
      </c>
      <c r="C60" s="3" t="inlineStr">
        <is>
          <t>王五</t>
        </is>
      </c>
      <c r="D60" s="2">
        <f>SUMIFS('月度底稿'!H$2:H$97,'月度底稿'!A$2:A$97,A60,'月度底稿'!B$2:B$97,B60)+SUMIFS('月度底稿'!I$2:I$97,'月度底稿'!A$2:A$97,A60,'月度底稿'!B$2:B$97,B60)+SUMIFS('月度底稿'!J$2:J$97,'月度底稿'!A$2:A$97,A60,'月度底稿'!B$2:B$97,B60)+SUMIFS('月度底稿'!K$2:K$97,'月度底稿'!A$2:A$97,A60,'月度底稿'!B$2:B$97,B60)+SUMIFS('月度底稿'!L$2:L$97,'月度底稿'!A$2:A$97,A60,'月度底稿'!B$2:B$97,B60)+SUMIFS('月度底稿'!M$2:M$97,'月度底稿'!A$2:A$97,A60,'月度底稿'!B$2:B$97,B60)+SUMIFS('月度底稿'!N$2:N$97,'月度底稿'!A$2:A$97,A60,'月度底稿'!B$2:B$97,B60)</f>
        <v/>
      </c>
      <c r="E60" s="2">
        <f>SUMIFS('月度底稿'!P$2:P$97,'月度底稿'!A$2:A$97,A60,'月度底稿'!B$2:B$97,B60)+SUMIFS('月度底稿'!Q$2:Q$97,'月度底稿'!A$2:A$97,A60,'月度底稿'!B$2:B$97,B60)+SUMIFS('月度底稿'!R$2:R$97,'月度底稿'!A$2:A$97,A60,'月度底稿'!B$2:B$97,B60)+SUMIFS('月度底稿'!S$2:S$97,'月度底稿'!A$2:A$97,A60,'月度底稿'!B$2:B$97,B60)+SUMIFS('月度底稿'!T$2:T$97,'月度底稿'!A$2:A$97,A60,'月度底稿'!B$2:B$97,B60)</f>
        <v/>
      </c>
      <c r="F60" s="2">
        <f>D60-E60</f>
        <v/>
      </c>
      <c r="G60" s="2">
        <f>SUMIFS('月度底稿'!W$2:W$97,'月度底稿'!A$2:A$97,A60,'月度底稿'!B$2:B$97,B60)</f>
        <v/>
      </c>
      <c r="H60" s="2">
        <f>F60-G60</f>
        <v/>
      </c>
      <c r="I60" s="2">
        <f>SUMIFS('月度底稿'!O$2:O$97,'月度底稿'!A$2:A$97,A60,'月度底稿'!B$2:B$97,B60)-D60</f>
        <v/>
      </c>
      <c r="J60" s="2">
        <f>SUMIFS('月度底稿'!U$2:U$97,'月度底稿'!A$2:A$97,A60,'月度底稿'!B$2:B$97,B60)-E60</f>
        <v/>
      </c>
      <c r="K60" s="2">
        <f>SUMIFS('月度底稿'!V$2:V$97,'月度底稿'!A$2:A$97,A60,'月度底稿'!B$2:B$97,B60)-(D60-E60)</f>
        <v/>
      </c>
      <c r="L60" s="2">
        <f>SUMIFS('月度底稿'!W$2:W$97,'月度底稿'!A$2:A$97,A60,'月度底稿'!B$2:B$97,B60)-(SUMIFS('月度底稿'!V$2:V$97,'月度底稿'!A$2:A$97,A60,'月度底稿'!B$2:B$97,B60)-SUMIFS('月度底稿'!T$2:T$97,'月度底稿'!A$2:A$97,A60,'月度底稿'!B$2:B$97,B60))</f>
        <v/>
      </c>
    </row>
    <row r="61">
      <c r="A61" s="2" t="n">
        <v>8</v>
      </c>
      <c r="B61" s="2" t="n">
        <v>4</v>
      </c>
      <c r="C61" s="3" t="inlineStr">
        <is>
          <t>赵六</t>
        </is>
      </c>
      <c r="D61" s="2">
        <f>SUMIFS('月度底稿'!H$2:H$97,'月度底稿'!A$2:A$97,A61,'月度底稿'!B$2:B$97,B61)+SUMIFS('月度底稿'!I$2:I$97,'月度底稿'!A$2:A$97,A61,'月度底稿'!B$2:B$97,B61)+SUMIFS('月度底稿'!J$2:J$97,'月度底稿'!A$2:A$97,A61,'月度底稿'!B$2:B$97,B61)+SUMIFS('月度底稿'!K$2:K$97,'月度底稿'!A$2:A$97,A61,'月度底稿'!B$2:B$97,B61)+SUMIFS('月度底稿'!L$2:L$97,'月度底稿'!A$2:A$97,A61,'月度底稿'!B$2:B$97,B61)+SUMIFS('月度底稿'!M$2:M$97,'月度底稿'!A$2:A$97,A61,'月度底稿'!B$2:B$97,B61)+SUMIFS('月度底稿'!N$2:N$97,'月度底稿'!A$2:A$97,A61,'月度底稿'!B$2:B$97,B61)</f>
        <v/>
      </c>
      <c r="E61" s="2">
        <f>SUMIFS('月度底稿'!P$2:P$97,'月度底稿'!A$2:A$97,A61,'月度底稿'!B$2:B$97,B61)+SUMIFS('月度底稿'!Q$2:Q$97,'月度底稿'!A$2:A$97,A61,'月度底稿'!B$2:B$97,B61)+SUMIFS('月度底稿'!R$2:R$97,'月度底稿'!A$2:A$97,A61,'月度底稿'!B$2:B$97,B61)+SUMIFS('月度底稿'!S$2:S$97,'月度底稿'!A$2:A$97,A61,'月度底稿'!B$2:B$97,B61)+SUMIFS('月度底稿'!T$2:T$97,'月度底稿'!A$2:A$97,A61,'月度底稿'!B$2:B$97,B61)</f>
        <v/>
      </c>
      <c r="F61" s="2">
        <f>D61-E61</f>
        <v/>
      </c>
      <c r="G61" s="2">
        <f>SUMIFS('月度底稿'!W$2:W$97,'月度底稿'!A$2:A$97,A61,'月度底稿'!B$2:B$97,B61)</f>
        <v/>
      </c>
      <c r="H61" s="2">
        <f>F61-G61</f>
        <v/>
      </c>
      <c r="I61" s="2">
        <f>SUMIFS('月度底稿'!O$2:O$97,'月度底稿'!A$2:A$97,A61,'月度底稿'!B$2:B$97,B61)-D61</f>
        <v/>
      </c>
      <c r="J61" s="2">
        <f>SUMIFS('月度底稿'!U$2:U$97,'月度底稿'!A$2:A$97,A61,'月度底稿'!B$2:B$97,B61)-E61</f>
        <v/>
      </c>
      <c r="K61" s="2">
        <f>SUMIFS('月度底稿'!V$2:V$97,'月度底稿'!A$2:A$97,A61,'月度底稿'!B$2:B$97,B61)-(D61-E61)</f>
        <v/>
      </c>
      <c r="L61" s="2">
        <f>SUMIFS('月度底稿'!W$2:W$97,'月度底稿'!A$2:A$97,A61,'月度底稿'!B$2:B$97,B61)-(SUMIFS('月度底稿'!V$2:V$97,'月度底稿'!A$2:A$97,A61,'月度底稿'!B$2:B$97,B61)-SUMIFS('月度底稿'!T$2:T$97,'月度底稿'!A$2:A$97,A61,'月度底稿'!B$2:B$97,B61))</f>
        <v/>
      </c>
    </row>
    <row r="62">
      <c r="A62" s="2" t="n">
        <v>8</v>
      </c>
      <c r="B62" s="2" t="n">
        <v>5</v>
      </c>
      <c r="C62" s="3" t="inlineStr">
        <is>
          <t>孙七</t>
        </is>
      </c>
      <c r="D62" s="2">
        <f>SUMIFS('月度底稿'!H$2:H$97,'月度底稿'!A$2:A$97,A62,'月度底稿'!B$2:B$97,B62)+SUMIFS('月度底稿'!I$2:I$97,'月度底稿'!A$2:A$97,A62,'月度底稿'!B$2:B$97,B62)+SUMIFS('月度底稿'!J$2:J$97,'月度底稿'!A$2:A$97,A62,'月度底稿'!B$2:B$97,B62)+SUMIFS('月度底稿'!K$2:K$97,'月度底稿'!A$2:A$97,A62,'月度底稿'!B$2:B$97,B62)+SUMIFS('月度底稿'!L$2:L$97,'月度底稿'!A$2:A$97,A62,'月度底稿'!B$2:B$97,B62)+SUMIFS('月度底稿'!M$2:M$97,'月度底稿'!A$2:A$97,A62,'月度底稿'!B$2:B$97,B62)+SUMIFS('月度底稿'!N$2:N$97,'月度底稿'!A$2:A$97,A62,'月度底稿'!B$2:B$97,B62)</f>
        <v/>
      </c>
      <c r="E62" s="2">
        <f>SUMIFS('月度底稿'!P$2:P$97,'月度底稿'!A$2:A$97,A62,'月度底稿'!B$2:B$97,B62)+SUMIFS('月度底稿'!Q$2:Q$97,'月度底稿'!A$2:A$97,A62,'月度底稿'!B$2:B$97,B62)+SUMIFS('月度底稿'!R$2:R$97,'月度底稿'!A$2:A$97,A62,'月度底稿'!B$2:B$97,B62)+SUMIFS('月度底稿'!S$2:S$97,'月度底稿'!A$2:A$97,A62,'月度底稿'!B$2:B$97,B62)+SUMIFS('月度底稿'!T$2:T$97,'月度底稿'!A$2:A$97,A62,'月度底稿'!B$2:B$97,B62)</f>
        <v/>
      </c>
      <c r="F62" s="2">
        <f>D62-E62</f>
        <v/>
      </c>
      <c r="G62" s="2">
        <f>SUMIFS('月度底稿'!W$2:W$97,'月度底稿'!A$2:A$97,A62,'月度底稿'!B$2:B$97,B62)</f>
        <v/>
      </c>
      <c r="H62" s="2">
        <f>F62-G62</f>
        <v/>
      </c>
      <c r="I62" s="2">
        <f>SUMIFS('月度底稿'!O$2:O$97,'月度底稿'!A$2:A$97,A62,'月度底稿'!B$2:B$97,B62)-D62</f>
        <v/>
      </c>
      <c r="J62" s="2">
        <f>SUMIFS('月度底稿'!U$2:U$97,'月度底稿'!A$2:A$97,A62,'月度底稿'!B$2:B$97,B62)-E62</f>
        <v/>
      </c>
      <c r="K62" s="2">
        <f>SUMIFS('月度底稿'!V$2:V$97,'月度底稿'!A$2:A$97,A62,'月度底稿'!B$2:B$97,B62)-(D62-E62)</f>
        <v/>
      </c>
      <c r="L62" s="2">
        <f>SUMIFS('月度底稿'!W$2:W$97,'月度底稿'!A$2:A$97,A62,'月度底稿'!B$2:B$97,B62)-(SUMIFS('月度底稿'!V$2:V$97,'月度底稿'!A$2:A$97,A62,'月度底稿'!B$2:B$97,B62)-SUMIFS('月度底稿'!T$2:T$97,'月度底稿'!A$2:A$97,A62,'月度底稿'!B$2:B$97,B62))</f>
        <v/>
      </c>
    </row>
    <row r="63">
      <c r="A63" s="2" t="n">
        <v>8</v>
      </c>
      <c r="B63" s="2" t="n">
        <v>6</v>
      </c>
      <c r="C63" s="3" t="inlineStr">
        <is>
          <t>周八</t>
        </is>
      </c>
      <c r="D63" s="2">
        <f>SUMIFS('月度底稿'!H$2:H$97,'月度底稿'!A$2:A$97,A63,'月度底稿'!B$2:B$97,B63)+SUMIFS('月度底稿'!I$2:I$97,'月度底稿'!A$2:A$97,A63,'月度底稿'!B$2:B$97,B63)+SUMIFS('月度底稿'!J$2:J$97,'月度底稿'!A$2:A$97,A63,'月度底稿'!B$2:B$97,B63)+SUMIFS('月度底稿'!K$2:K$97,'月度底稿'!A$2:A$97,A63,'月度底稿'!B$2:B$97,B63)+SUMIFS('月度底稿'!L$2:L$97,'月度底稿'!A$2:A$97,A63,'月度底稿'!B$2:B$97,B63)+SUMIFS('月度底稿'!M$2:M$97,'月度底稿'!A$2:A$97,A63,'月度底稿'!B$2:B$97,B63)+SUMIFS('月度底稿'!N$2:N$97,'月度底稿'!A$2:A$97,A63,'月度底稿'!B$2:B$97,B63)</f>
        <v/>
      </c>
      <c r="E63" s="2">
        <f>SUMIFS('月度底稿'!P$2:P$97,'月度底稿'!A$2:A$97,A63,'月度底稿'!B$2:B$97,B63)+SUMIFS('月度底稿'!Q$2:Q$97,'月度底稿'!A$2:A$97,A63,'月度底稿'!B$2:B$97,B63)+SUMIFS('月度底稿'!R$2:R$97,'月度底稿'!A$2:A$97,A63,'月度底稿'!B$2:B$97,B63)+SUMIFS('月度底稿'!S$2:S$97,'月度底稿'!A$2:A$97,A63,'月度底稿'!B$2:B$97,B63)+SUMIFS('月度底稿'!T$2:T$97,'月度底稿'!A$2:A$97,A63,'月度底稿'!B$2:B$97,B63)</f>
        <v/>
      </c>
      <c r="F63" s="2">
        <f>D63-E63</f>
        <v/>
      </c>
      <c r="G63" s="2">
        <f>SUMIFS('月度底稿'!W$2:W$97,'月度底稿'!A$2:A$97,A63,'月度底稿'!B$2:B$97,B63)</f>
        <v/>
      </c>
      <c r="H63" s="2">
        <f>F63-G63</f>
        <v/>
      </c>
      <c r="I63" s="2">
        <f>SUMIFS('月度底稿'!O$2:O$97,'月度底稿'!A$2:A$97,A63,'月度底稿'!B$2:B$97,B63)-D63</f>
        <v/>
      </c>
      <c r="J63" s="2">
        <f>SUMIFS('月度底稿'!U$2:U$97,'月度底稿'!A$2:A$97,A63,'月度底稿'!B$2:B$97,B63)-E63</f>
        <v/>
      </c>
      <c r="K63" s="2">
        <f>SUMIFS('月度底稿'!V$2:V$97,'月度底稿'!A$2:A$97,A63,'月度底稿'!B$2:B$97,B63)-(D63-E63)</f>
        <v/>
      </c>
      <c r="L63" s="2">
        <f>SUMIFS('月度底稿'!W$2:W$97,'月度底稿'!A$2:A$97,A63,'月度底稿'!B$2:B$97,B63)-(SUMIFS('月度底稿'!V$2:V$97,'月度底稿'!A$2:A$97,A63,'月度底稿'!B$2:B$97,B63)-SUMIFS('月度底稿'!T$2:T$97,'月度底稿'!A$2:A$97,A63,'月度底稿'!B$2:B$97,B63))</f>
        <v/>
      </c>
    </row>
    <row r="64">
      <c r="A64" s="2" t="n">
        <v>8</v>
      </c>
      <c r="B64" s="2" t="n">
        <v>7</v>
      </c>
      <c r="C64" s="3" t="inlineStr">
        <is>
          <t>吴九</t>
        </is>
      </c>
      <c r="D64" s="2">
        <f>SUMIFS('月度底稿'!H$2:H$97,'月度底稿'!A$2:A$97,A64,'月度底稿'!B$2:B$97,B64)+SUMIFS('月度底稿'!I$2:I$97,'月度底稿'!A$2:A$97,A64,'月度底稿'!B$2:B$97,B64)+SUMIFS('月度底稿'!J$2:J$97,'月度底稿'!A$2:A$97,A64,'月度底稿'!B$2:B$97,B64)+SUMIFS('月度底稿'!K$2:K$97,'月度底稿'!A$2:A$97,A64,'月度底稿'!B$2:B$97,B64)+SUMIFS('月度底稿'!L$2:L$97,'月度底稿'!A$2:A$97,A64,'月度底稿'!B$2:B$97,B64)+SUMIFS('月度底稿'!M$2:M$97,'月度底稿'!A$2:A$97,A64,'月度底稿'!B$2:B$97,B64)+SUMIFS('月度底稿'!N$2:N$97,'月度底稿'!A$2:A$97,A64,'月度底稿'!B$2:B$97,B64)</f>
        <v/>
      </c>
      <c r="E64" s="2">
        <f>SUMIFS('月度底稿'!P$2:P$97,'月度底稿'!A$2:A$97,A64,'月度底稿'!B$2:B$97,B64)+SUMIFS('月度底稿'!Q$2:Q$97,'月度底稿'!A$2:A$97,A64,'月度底稿'!B$2:B$97,B64)+SUMIFS('月度底稿'!R$2:R$97,'月度底稿'!A$2:A$97,A64,'月度底稿'!B$2:B$97,B64)+SUMIFS('月度底稿'!S$2:S$97,'月度底稿'!A$2:A$97,A64,'月度底稿'!B$2:B$97,B64)+SUMIFS('月度底稿'!T$2:T$97,'月度底稿'!A$2:A$97,A64,'月度底稿'!B$2:B$97,B64)</f>
        <v/>
      </c>
      <c r="F64" s="2">
        <f>D64-E64</f>
        <v/>
      </c>
      <c r="G64" s="2">
        <f>SUMIFS('月度底稿'!W$2:W$97,'月度底稿'!A$2:A$97,A64,'月度底稿'!B$2:B$97,B64)</f>
        <v/>
      </c>
      <c r="H64" s="2">
        <f>F64-G64</f>
        <v/>
      </c>
      <c r="I64" s="2">
        <f>SUMIFS('月度底稿'!O$2:O$97,'月度底稿'!A$2:A$97,A64,'月度底稿'!B$2:B$97,B64)-D64</f>
        <v/>
      </c>
      <c r="J64" s="2">
        <f>SUMIFS('月度底稿'!U$2:U$97,'月度底稿'!A$2:A$97,A64,'月度底稿'!B$2:B$97,B64)-E64</f>
        <v/>
      </c>
      <c r="K64" s="2">
        <f>SUMIFS('月度底稿'!V$2:V$97,'月度底稿'!A$2:A$97,A64,'月度底稿'!B$2:B$97,B64)-(D64-E64)</f>
        <v/>
      </c>
      <c r="L64" s="2">
        <f>SUMIFS('月度底稿'!W$2:W$97,'月度底稿'!A$2:A$97,A64,'月度底稿'!B$2:B$97,B64)-(SUMIFS('月度底稿'!V$2:V$97,'月度底稿'!A$2:A$97,A64,'月度底稿'!B$2:B$97,B64)-SUMIFS('月度底稿'!T$2:T$97,'月度底稿'!A$2:A$97,A64,'月度底稿'!B$2:B$97,B64))</f>
        <v/>
      </c>
    </row>
    <row r="65">
      <c r="A65" s="2" t="n">
        <v>8</v>
      </c>
      <c r="B65" s="2" t="n">
        <v>8</v>
      </c>
      <c r="C65" s="3" t="inlineStr">
        <is>
          <t>郑十</t>
        </is>
      </c>
      <c r="D65" s="2">
        <f>SUMIFS('月度底稿'!H$2:H$97,'月度底稿'!A$2:A$97,A65,'月度底稿'!B$2:B$97,B65)+SUMIFS('月度底稿'!I$2:I$97,'月度底稿'!A$2:A$97,A65,'月度底稿'!B$2:B$97,B65)+SUMIFS('月度底稿'!J$2:J$97,'月度底稿'!A$2:A$97,A65,'月度底稿'!B$2:B$97,B65)+SUMIFS('月度底稿'!K$2:K$97,'月度底稿'!A$2:A$97,A65,'月度底稿'!B$2:B$97,B65)+SUMIFS('月度底稿'!L$2:L$97,'月度底稿'!A$2:A$97,A65,'月度底稿'!B$2:B$97,B65)+SUMIFS('月度底稿'!M$2:M$97,'月度底稿'!A$2:A$97,A65,'月度底稿'!B$2:B$97,B65)+SUMIFS('月度底稿'!N$2:N$97,'月度底稿'!A$2:A$97,A65,'月度底稿'!B$2:B$97,B65)</f>
        <v/>
      </c>
      <c r="E65" s="2">
        <f>SUMIFS('月度底稿'!P$2:P$97,'月度底稿'!A$2:A$97,A65,'月度底稿'!B$2:B$97,B65)+SUMIFS('月度底稿'!Q$2:Q$97,'月度底稿'!A$2:A$97,A65,'月度底稿'!B$2:B$97,B65)+SUMIFS('月度底稿'!R$2:R$97,'月度底稿'!A$2:A$97,A65,'月度底稿'!B$2:B$97,B65)+SUMIFS('月度底稿'!S$2:S$97,'月度底稿'!A$2:A$97,A65,'月度底稿'!B$2:B$97,B65)+SUMIFS('月度底稿'!T$2:T$97,'月度底稿'!A$2:A$97,A65,'月度底稿'!B$2:B$97,B65)</f>
        <v/>
      </c>
      <c r="F65" s="2">
        <f>D65-E65</f>
        <v/>
      </c>
      <c r="G65" s="2">
        <f>SUMIFS('月度底稿'!W$2:W$97,'月度底稿'!A$2:A$97,A65,'月度底稿'!B$2:B$97,B65)</f>
        <v/>
      </c>
      <c r="H65" s="2">
        <f>F65-G65</f>
        <v/>
      </c>
      <c r="I65" s="2">
        <f>SUMIFS('月度底稿'!O$2:O$97,'月度底稿'!A$2:A$97,A65,'月度底稿'!B$2:B$97,B65)-D65</f>
        <v/>
      </c>
      <c r="J65" s="2">
        <f>SUMIFS('月度底稿'!U$2:U$97,'月度底稿'!A$2:A$97,A65,'月度底稿'!B$2:B$97,B65)-E65</f>
        <v/>
      </c>
      <c r="K65" s="2">
        <f>SUMIFS('月度底稿'!V$2:V$97,'月度底稿'!A$2:A$97,A65,'月度底稿'!B$2:B$97,B65)-(D65-E65)</f>
        <v/>
      </c>
      <c r="L65" s="2">
        <f>SUMIFS('月度底稿'!W$2:W$97,'月度底稿'!A$2:A$97,A65,'月度底稿'!B$2:B$97,B65)-(SUMIFS('月度底稿'!V$2:V$97,'月度底稿'!A$2:A$97,A65,'月度底稿'!B$2:B$97,B65)-SUMIFS('月度底稿'!T$2:T$97,'月度底稿'!A$2:A$97,A65,'月度底稿'!B$2:B$97,B65))</f>
        <v/>
      </c>
    </row>
    <row r="66">
      <c r="A66" s="2" t="n">
        <v>9</v>
      </c>
      <c r="B66" s="2" t="n">
        <v>1</v>
      </c>
      <c r="C66" s="3" t="inlineStr">
        <is>
          <t>张三</t>
        </is>
      </c>
      <c r="D66" s="2">
        <f>SUMIFS('月度底稿'!H$2:H$97,'月度底稿'!A$2:A$97,A66,'月度底稿'!B$2:B$97,B66)+SUMIFS('月度底稿'!I$2:I$97,'月度底稿'!A$2:A$97,A66,'月度底稿'!B$2:B$97,B66)+SUMIFS('月度底稿'!J$2:J$97,'月度底稿'!A$2:A$97,A66,'月度底稿'!B$2:B$97,B66)+SUMIFS('月度底稿'!K$2:K$97,'月度底稿'!A$2:A$97,A66,'月度底稿'!B$2:B$97,B66)+SUMIFS('月度底稿'!L$2:L$97,'月度底稿'!A$2:A$97,A66,'月度底稿'!B$2:B$97,B66)+SUMIFS('月度底稿'!M$2:M$97,'月度底稿'!A$2:A$97,A66,'月度底稿'!B$2:B$97,B66)+SUMIFS('月度底稿'!N$2:N$97,'月度底稿'!A$2:A$97,A66,'月度底稿'!B$2:B$97,B66)</f>
        <v/>
      </c>
      <c r="E66" s="2">
        <f>SUMIFS('月度底稿'!P$2:P$97,'月度底稿'!A$2:A$97,A66,'月度底稿'!B$2:B$97,B66)+SUMIFS('月度底稿'!Q$2:Q$97,'月度底稿'!A$2:A$97,A66,'月度底稿'!B$2:B$97,B66)+SUMIFS('月度底稿'!R$2:R$97,'月度底稿'!A$2:A$97,A66,'月度底稿'!B$2:B$97,B66)+SUMIFS('月度底稿'!S$2:S$97,'月度底稿'!A$2:A$97,A66,'月度底稿'!B$2:B$97,B66)+SUMIFS('月度底稿'!T$2:T$97,'月度底稿'!A$2:A$97,A66,'月度底稿'!B$2:B$97,B66)</f>
        <v/>
      </c>
      <c r="F66" s="2">
        <f>D66-E66</f>
        <v/>
      </c>
      <c r="G66" s="2">
        <f>SUMIFS('月度底稿'!W$2:W$97,'月度底稿'!A$2:A$97,A66,'月度底稿'!B$2:B$97,B66)</f>
        <v/>
      </c>
      <c r="H66" s="2">
        <f>F66-G66</f>
        <v/>
      </c>
      <c r="I66" s="2">
        <f>SUMIFS('月度底稿'!O$2:O$97,'月度底稿'!A$2:A$97,A66,'月度底稿'!B$2:B$97,B66)-D66</f>
        <v/>
      </c>
      <c r="J66" s="2">
        <f>SUMIFS('月度底稿'!U$2:U$97,'月度底稿'!A$2:A$97,A66,'月度底稿'!B$2:B$97,B66)-E66</f>
        <v/>
      </c>
      <c r="K66" s="2">
        <f>SUMIFS('月度底稿'!V$2:V$97,'月度底稿'!A$2:A$97,A66,'月度底稿'!B$2:B$97,B66)-(D66-E66)</f>
        <v/>
      </c>
      <c r="L66" s="2">
        <f>SUMIFS('月度底稿'!W$2:W$97,'月度底稿'!A$2:A$97,A66,'月度底稿'!B$2:B$97,B66)-(SUMIFS('月度底稿'!V$2:V$97,'月度底稿'!A$2:A$97,A66,'月度底稿'!B$2:B$97,B66)-SUMIFS('月度底稿'!T$2:T$97,'月度底稿'!A$2:A$97,A66,'月度底稿'!B$2:B$97,B66))</f>
        <v/>
      </c>
    </row>
    <row r="67">
      <c r="A67" s="2" t="n">
        <v>9</v>
      </c>
      <c r="B67" s="2" t="n">
        <v>2</v>
      </c>
      <c r="C67" s="3" t="inlineStr">
        <is>
          <t>李四</t>
        </is>
      </c>
      <c r="D67" s="2">
        <f>SUMIFS('月度底稿'!H$2:H$97,'月度底稿'!A$2:A$97,A67,'月度底稿'!B$2:B$97,B67)+SUMIFS('月度底稿'!I$2:I$97,'月度底稿'!A$2:A$97,A67,'月度底稿'!B$2:B$97,B67)+SUMIFS('月度底稿'!J$2:J$97,'月度底稿'!A$2:A$97,A67,'月度底稿'!B$2:B$97,B67)+SUMIFS('月度底稿'!K$2:K$97,'月度底稿'!A$2:A$97,A67,'月度底稿'!B$2:B$97,B67)+SUMIFS('月度底稿'!L$2:L$97,'月度底稿'!A$2:A$97,A67,'月度底稿'!B$2:B$97,B67)+SUMIFS('月度底稿'!M$2:M$97,'月度底稿'!A$2:A$97,A67,'月度底稿'!B$2:B$97,B67)+SUMIFS('月度底稿'!N$2:N$97,'月度底稿'!A$2:A$97,A67,'月度底稿'!B$2:B$97,B67)</f>
        <v/>
      </c>
      <c r="E67" s="2">
        <f>SUMIFS('月度底稿'!P$2:P$97,'月度底稿'!A$2:A$97,A67,'月度底稿'!B$2:B$97,B67)+SUMIFS('月度底稿'!Q$2:Q$97,'月度底稿'!A$2:A$97,A67,'月度底稿'!B$2:B$97,B67)+SUMIFS('月度底稿'!R$2:R$97,'月度底稿'!A$2:A$97,A67,'月度底稿'!B$2:B$97,B67)+SUMIFS('月度底稿'!S$2:S$97,'月度底稿'!A$2:A$97,A67,'月度底稿'!B$2:B$97,B67)+SUMIFS('月度底稿'!T$2:T$97,'月度底稿'!A$2:A$97,A67,'月度底稿'!B$2:B$97,B67)</f>
        <v/>
      </c>
      <c r="F67" s="2">
        <f>D67-E67</f>
        <v/>
      </c>
      <c r="G67" s="2">
        <f>SUMIFS('月度底稿'!W$2:W$97,'月度底稿'!A$2:A$97,A67,'月度底稿'!B$2:B$97,B67)</f>
        <v/>
      </c>
      <c r="H67" s="2">
        <f>F67-G67</f>
        <v/>
      </c>
      <c r="I67" s="2">
        <f>SUMIFS('月度底稿'!O$2:O$97,'月度底稿'!A$2:A$97,A67,'月度底稿'!B$2:B$97,B67)-D67</f>
        <v/>
      </c>
      <c r="J67" s="2">
        <f>SUMIFS('月度底稿'!U$2:U$97,'月度底稿'!A$2:A$97,A67,'月度底稿'!B$2:B$97,B67)-E67</f>
        <v/>
      </c>
      <c r="K67" s="2">
        <f>SUMIFS('月度底稿'!V$2:V$97,'月度底稿'!A$2:A$97,A67,'月度底稿'!B$2:B$97,B67)-(D67-E67)</f>
        <v/>
      </c>
      <c r="L67" s="2">
        <f>SUMIFS('月度底稿'!W$2:W$97,'月度底稿'!A$2:A$97,A67,'月度底稿'!B$2:B$97,B67)-(SUMIFS('月度底稿'!V$2:V$97,'月度底稿'!A$2:A$97,A67,'月度底稿'!B$2:B$97,B67)-SUMIFS('月度底稿'!T$2:T$97,'月度底稿'!A$2:A$97,A67,'月度底稿'!B$2:B$97,B67))</f>
        <v/>
      </c>
    </row>
    <row r="68">
      <c r="A68" s="2" t="n">
        <v>9</v>
      </c>
      <c r="B68" s="2" t="n">
        <v>3</v>
      </c>
      <c r="C68" s="3" t="inlineStr">
        <is>
          <t>王五</t>
        </is>
      </c>
      <c r="D68" s="2">
        <f>SUMIFS('月度底稿'!H$2:H$97,'月度底稿'!A$2:A$97,A68,'月度底稿'!B$2:B$97,B68)+SUMIFS('月度底稿'!I$2:I$97,'月度底稿'!A$2:A$97,A68,'月度底稿'!B$2:B$97,B68)+SUMIFS('月度底稿'!J$2:J$97,'月度底稿'!A$2:A$97,A68,'月度底稿'!B$2:B$97,B68)+SUMIFS('月度底稿'!K$2:K$97,'月度底稿'!A$2:A$97,A68,'月度底稿'!B$2:B$97,B68)+SUMIFS('月度底稿'!L$2:L$97,'月度底稿'!A$2:A$97,A68,'月度底稿'!B$2:B$97,B68)+SUMIFS('月度底稿'!M$2:M$97,'月度底稿'!A$2:A$97,A68,'月度底稿'!B$2:B$97,B68)+SUMIFS('月度底稿'!N$2:N$97,'月度底稿'!A$2:A$97,A68,'月度底稿'!B$2:B$97,B68)</f>
        <v/>
      </c>
      <c r="E68" s="2">
        <f>SUMIFS('月度底稿'!P$2:P$97,'月度底稿'!A$2:A$97,A68,'月度底稿'!B$2:B$97,B68)+SUMIFS('月度底稿'!Q$2:Q$97,'月度底稿'!A$2:A$97,A68,'月度底稿'!B$2:B$97,B68)+SUMIFS('月度底稿'!R$2:R$97,'月度底稿'!A$2:A$97,A68,'月度底稿'!B$2:B$97,B68)+SUMIFS('月度底稿'!S$2:S$97,'月度底稿'!A$2:A$97,A68,'月度底稿'!B$2:B$97,B68)+SUMIFS('月度底稿'!T$2:T$97,'月度底稿'!A$2:A$97,A68,'月度底稿'!B$2:B$97,B68)</f>
        <v/>
      </c>
      <c r="F68" s="2">
        <f>D68-E68</f>
        <v/>
      </c>
      <c r="G68" s="2">
        <f>SUMIFS('月度底稿'!W$2:W$97,'月度底稿'!A$2:A$97,A68,'月度底稿'!B$2:B$97,B68)</f>
        <v/>
      </c>
      <c r="H68" s="2">
        <f>F68-G68</f>
        <v/>
      </c>
      <c r="I68" s="2">
        <f>SUMIFS('月度底稿'!O$2:O$97,'月度底稿'!A$2:A$97,A68,'月度底稿'!B$2:B$97,B68)-D68</f>
        <v/>
      </c>
      <c r="J68" s="2">
        <f>SUMIFS('月度底稿'!U$2:U$97,'月度底稿'!A$2:A$97,A68,'月度底稿'!B$2:B$97,B68)-E68</f>
        <v/>
      </c>
      <c r="K68" s="2">
        <f>SUMIFS('月度底稿'!V$2:V$97,'月度底稿'!A$2:A$97,A68,'月度底稿'!B$2:B$97,B68)-(D68-E68)</f>
        <v/>
      </c>
      <c r="L68" s="2">
        <f>SUMIFS('月度底稿'!W$2:W$97,'月度底稿'!A$2:A$97,A68,'月度底稿'!B$2:B$97,B68)-(SUMIFS('月度底稿'!V$2:V$97,'月度底稿'!A$2:A$97,A68,'月度底稿'!B$2:B$97,B68)-SUMIFS('月度底稿'!T$2:T$97,'月度底稿'!A$2:A$97,A68,'月度底稿'!B$2:B$97,B68))</f>
        <v/>
      </c>
    </row>
    <row r="69">
      <c r="A69" s="2" t="n">
        <v>9</v>
      </c>
      <c r="B69" s="2" t="n">
        <v>4</v>
      </c>
      <c r="C69" s="3" t="inlineStr">
        <is>
          <t>赵六</t>
        </is>
      </c>
      <c r="D69" s="2">
        <f>SUMIFS('月度底稿'!H$2:H$97,'月度底稿'!A$2:A$97,A69,'月度底稿'!B$2:B$97,B69)+SUMIFS('月度底稿'!I$2:I$97,'月度底稿'!A$2:A$97,A69,'月度底稿'!B$2:B$97,B69)+SUMIFS('月度底稿'!J$2:J$97,'月度底稿'!A$2:A$97,A69,'月度底稿'!B$2:B$97,B69)+SUMIFS('月度底稿'!K$2:K$97,'月度底稿'!A$2:A$97,A69,'月度底稿'!B$2:B$97,B69)+SUMIFS('月度底稿'!L$2:L$97,'月度底稿'!A$2:A$97,A69,'月度底稿'!B$2:B$97,B69)+SUMIFS('月度底稿'!M$2:M$97,'月度底稿'!A$2:A$97,A69,'月度底稿'!B$2:B$97,B69)+SUMIFS('月度底稿'!N$2:N$97,'月度底稿'!A$2:A$97,A69,'月度底稿'!B$2:B$97,B69)</f>
        <v/>
      </c>
      <c r="E69" s="2">
        <f>SUMIFS('月度底稿'!P$2:P$97,'月度底稿'!A$2:A$97,A69,'月度底稿'!B$2:B$97,B69)+SUMIFS('月度底稿'!Q$2:Q$97,'月度底稿'!A$2:A$97,A69,'月度底稿'!B$2:B$97,B69)+SUMIFS('月度底稿'!R$2:R$97,'月度底稿'!A$2:A$97,A69,'月度底稿'!B$2:B$97,B69)+SUMIFS('月度底稿'!S$2:S$97,'月度底稿'!A$2:A$97,A69,'月度底稿'!B$2:B$97,B69)+SUMIFS('月度底稿'!T$2:T$97,'月度底稿'!A$2:A$97,A69,'月度底稿'!B$2:B$97,B69)</f>
        <v/>
      </c>
      <c r="F69" s="2">
        <f>D69-E69</f>
        <v/>
      </c>
      <c r="G69" s="2">
        <f>SUMIFS('月度底稿'!W$2:W$97,'月度底稿'!A$2:A$97,A69,'月度底稿'!B$2:B$97,B69)</f>
        <v/>
      </c>
      <c r="H69" s="2">
        <f>F69-G69</f>
        <v/>
      </c>
      <c r="I69" s="2">
        <f>SUMIFS('月度底稿'!O$2:O$97,'月度底稿'!A$2:A$97,A69,'月度底稿'!B$2:B$97,B69)-D69</f>
        <v/>
      </c>
      <c r="J69" s="2">
        <f>SUMIFS('月度底稿'!U$2:U$97,'月度底稿'!A$2:A$97,A69,'月度底稿'!B$2:B$97,B69)-E69</f>
        <v/>
      </c>
      <c r="K69" s="2">
        <f>SUMIFS('月度底稿'!V$2:V$97,'月度底稿'!A$2:A$97,A69,'月度底稿'!B$2:B$97,B69)-(D69-E69)</f>
        <v/>
      </c>
      <c r="L69" s="2">
        <f>SUMIFS('月度底稿'!W$2:W$97,'月度底稿'!A$2:A$97,A69,'月度底稿'!B$2:B$97,B69)-(SUMIFS('月度底稿'!V$2:V$97,'月度底稿'!A$2:A$97,A69,'月度底稿'!B$2:B$97,B69)-SUMIFS('月度底稿'!T$2:T$97,'月度底稿'!A$2:A$97,A69,'月度底稿'!B$2:B$97,B69))</f>
        <v/>
      </c>
    </row>
    <row r="70">
      <c r="A70" s="2" t="n">
        <v>9</v>
      </c>
      <c r="B70" s="2" t="n">
        <v>5</v>
      </c>
      <c r="C70" s="3" t="inlineStr">
        <is>
          <t>孙七</t>
        </is>
      </c>
      <c r="D70" s="2">
        <f>SUMIFS('月度底稿'!H$2:H$97,'月度底稿'!A$2:A$97,A70,'月度底稿'!B$2:B$97,B70)+SUMIFS('月度底稿'!I$2:I$97,'月度底稿'!A$2:A$97,A70,'月度底稿'!B$2:B$97,B70)+SUMIFS('月度底稿'!J$2:J$97,'月度底稿'!A$2:A$97,A70,'月度底稿'!B$2:B$97,B70)+SUMIFS('月度底稿'!K$2:K$97,'月度底稿'!A$2:A$97,A70,'月度底稿'!B$2:B$97,B70)+SUMIFS('月度底稿'!L$2:L$97,'月度底稿'!A$2:A$97,A70,'月度底稿'!B$2:B$97,B70)+SUMIFS('月度底稿'!M$2:M$97,'月度底稿'!A$2:A$97,A70,'月度底稿'!B$2:B$97,B70)+SUMIFS('月度底稿'!N$2:N$97,'月度底稿'!A$2:A$97,A70,'月度底稿'!B$2:B$97,B70)</f>
        <v/>
      </c>
      <c r="E70" s="2">
        <f>SUMIFS('月度底稿'!P$2:P$97,'月度底稿'!A$2:A$97,A70,'月度底稿'!B$2:B$97,B70)+SUMIFS('月度底稿'!Q$2:Q$97,'月度底稿'!A$2:A$97,A70,'月度底稿'!B$2:B$97,B70)+SUMIFS('月度底稿'!R$2:R$97,'月度底稿'!A$2:A$97,A70,'月度底稿'!B$2:B$97,B70)+SUMIFS('月度底稿'!S$2:S$97,'月度底稿'!A$2:A$97,A70,'月度底稿'!B$2:B$97,B70)+SUMIFS('月度底稿'!T$2:T$97,'月度底稿'!A$2:A$97,A70,'月度底稿'!B$2:B$97,B70)</f>
        <v/>
      </c>
      <c r="F70" s="2">
        <f>D70-E70</f>
        <v/>
      </c>
      <c r="G70" s="2">
        <f>SUMIFS('月度底稿'!W$2:W$97,'月度底稿'!A$2:A$97,A70,'月度底稿'!B$2:B$97,B70)</f>
        <v/>
      </c>
      <c r="H70" s="2">
        <f>F70-G70</f>
        <v/>
      </c>
      <c r="I70" s="2">
        <f>SUMIFS('月度底稿'!O$2:O$97,'月度底稿'!A$2:A$97,A70,'月度底稿'!B$2:B$97,B70)-D70</f>
        <v/>
      </c>
      <c r="J70" s="2">
        <f>SUMIFS('月度底稿'!U$2:U$97,'月度底稿'!A$2:A$97,A70,'月度底稿'!B$2:B$97,B70)-E70</f>
        <v/>
      </c>
      <c r="K70" s="2">
        <f>SUMIFS('月度底稿'!V$2:V$97,'月度底稿'!A$2:A$97,A70,'月度底稿'!B$2:B$97,B70)-(D70-E70)</f>
        <v/>
      </c>
      <c r="L70" s="2">
        <f>SUMIFS('月度底稿'!W$2:W$97,'月度底稿'!A$2:A$97,A70,'月度底稿'!B$2:B$97,B70)-(SUMIFS('月度底稿'!V$2:V$97,'月度底稿'!A$2:A$97,A70,'月度底稿'!B$2:B$97,B70)-SUMIFS('月度底稿'!T$2:T$97,'月度底稿'!A$2:A$97,A70,'月度底稿'!B$2:B$97,B70))</f>
        <v/>
      </c>
    </row>
    <row r="71">
      <c r="A71" s="2" t="n">
        <v>9</v>
      </c>
      <c r="B71" s="2" t="n">
        <v>6</v>
      </c>
      <c r="C71" s="3" t="inlineStr">
        <is>
          <t>周八</t>
        </is>
      </c>
      <c r="D71" s="2">
        <f>SUMIFS('月度底稿'!H$2:H$97,'月度底稿'!A$2:A$97,A71,'月度底稿'!B$2:B$97,B71)+SUMIFS('月度底稿'!I$2:I$97,'月度底稿'!A$2:A$97,A71,'月度底稿'!B$2:B$97,B71)+SUMIFS('月度底稿'!J$2:J$97,'月度底稿'!A$2:A$97,A71,'月度底稿'!B$2:B$97,B71)+SUMIFS('月度底稿'!K$2:K$97,'月度底稿'!A$2:A$97,A71,'月度底稿'!B$2:B$97,B71)+SUMIFS('月度底稿'!L$2:L$97,'月度底稿'!A$2:A$97,A71,'月度底稿'!B$2:B$97,B71)+SUMIFS('月度底稿'!M$2:M$97,'月度底稿'!A$2:A$97,A71,'月度底稿'!B$2:B$97,B71)+SUMIFS('月度底稿'!N$2:N$97,'月度底稿'!A$2:A$97,A71,'月度底稿'!B$2:B$97,B71)</f>
        <v/>
      </c>
      <c r="E71" s="2">
        <f>SUMIFS('月度底稿'!P$2:P$97,'月度底稿'!A$2:A$97,A71,'月度底稿'!B$2:B$97,B71)+SUMIFS('月度底稿'!Q$2:Q$97,'月度底稿'!A$2:A$97,A71,'月度底稿'!B$2:B$97,B71)+SUMIFS('月度底稿'!R$2:R$97,'月度底稿'!A$2:A$97,A71,'月度底稿'!B$2:B$97,B71)+SUMIFS('月度底稿'!S$2:S$97,'月度底稿'!A$2:A$97,A71,'月度底稿'!B$2:B$97,B71)+SUMIFS('月度底稿'!T$2:T$97,'月度底稿'!A$2:A$97,A71,'月度底稿'!B$2:B$97,B71)</f>
        <v/>
      </c>
      <c r="F71" s="2">
        <f>D71-E71</f>
        <v/>
      </c>
      <c r="G71" s="2">
        <f>SUMIFS('月度底稿'!W$2:W$97,'月度底稿'!A$2:A$97,A71,'月度底稿'!B$2:B$97,B71)</f>
        <v/>
      </c>
      <c r="H71" s="2">
        <f>F71-G71</f>
        <v/>
      </c>
      <c r="I71" s="2">
        <f>SUMIFS('月度底稿'!O$2:O$97,'月度底稿'!A$2:A$97,A71,'月度底稿'!B$2:B$97,B71)-D71</f>
        <v/>
      </c>
      <c r="J71" s="2">
        <f>SUMIFS('月度底稿'!U$2:U$97,'月度底稿'!A$2:A$97,A71,'月度底稿'!B$2:B$97,B71)-E71</f>
        <v/>
      </c>
      <c r="K71" s="2">
        <f>SUMIFS('月度底稿'!V$2:V$97,'月度底稿'!A$2:A$97,A71,'月度底稿'!B$2:B$97,B71)-(D71-E71)</f>
        <v/>
      </c>
      <c r="L71" s="2">
        <f>SUMIFS('月度底稿'!W$2:W$97,'月度底稿'!A$2:A$97,A71,'月度底稿'!B$2:B$97,B71)-(SUMIFS('月度底稿'!V$2:V$97,'月度底稿'!A$2:A$97,A71,'月度底稿'!B$2:B$97,B71)-SUMIFS('月度底稿'!T$2:T$97,'月度底稿'!A$2:A$97,A71,'月度底稿'!B$2:B$97,B71))</f>
        <v/>
      </c>
    </row>
    <row r="72">
      <c r="A72" s="2" t="n">
        <v>9</v>
      </c>
      <c r="B72" s="2" t="n">
        <v>7</v>
      </c>
      <c r="C72" s="3" t="inlineStr">
        <is>
          <t>吴九</t>
        </is>
      </c>
      <c r="D72" s="2">
        <f>SUMIFS('月度底稿'!H$2:H$97,'月度底稿'!A$2:A$97,A72,'月度底稿'!B$2:B$97,B72)+SUMIFS('月度底稿'!I$2:I$97,'月度底稿'!A$2:A$97,A72,'月度底稿'!B$2:B$97,B72)+SUMIFS('月度底稿'!J$2:J$97,'月度底稿'!A$2:A$97,A72,'月度底稿'!B$2:B$97,B72)+SUMIFS('月度底稿'!K$2:K$97,'月度底稿'!A$2:A$97,A72,'月度底稿'!B$2:B$97,B72)+SUMIFS('月度底稿'!L$2:L$97,'月度底稿'!A$2:A$97,A72,'月度底稿'!B$2:B$97,B72)+SUMIFS('月度底稿'!M$2:M$97,'月度底稿'!A$2:A$97,A72,'月度底稿'!B$2:B$97,B72)+SUMIFS('月度底稿'!N$2:N$97,'月度底稿'!A$2:A$97,A72,'月度底稿'!B$2:B$97,B72)</f>
        <v/>
      </c>
      <c r="E72" s="2">
        <f>SUMIFS('月度底稿'!P$2:P$97,'月度底稿'!A$2:A$97,A72,'月度底稿'!B$2:B$97,B72)+SUMIFS('月度底稿'!Q$2:Q$97,'月度底稿'!A$2:A$97,A72,'月度底稿'!B$2:B$97,B72)+SUMIFS('月度底稿'!R$2:R$97,'月度底稿'!A$2:A$97,A72,'月度底稿'!B$2:B$97,B72)+SUMIFS('月度底稿'!S$2:S$97,'月度底稿'!A$2:A$97,A72,'月度底稿'!B$2:B$97,B72)+SUMIFS('月度底稿'!T$2:T$97,'月度底稿'!A$2:A$97,A72,'月度底稿'!B$2:B$97,B72)</f>
        <v/>
      </c>
      <c r="F72" s="2">
        <f>D72-E72</f>
        <v/>
      </c>
      <c r="G72" s="2">
        <f>SUMIFS('月度底稿'!W$2:W$97,'月度底稿'!A$2:A$97,A72,'月度底稿'!B$2:B$97,B72)</f>
        <v/>
      </c>
      <c r="H72" s="2">
        <f>F72-G72</f>
        <v/>
      </c>
      <c r="I72" s="2">
        <f>SUMIFS('月度底稿'!O$2:O$97,'月度底稿'!A$2:A$97,A72,'月度底稿'!B$2:B$97,B72)-D72</f>
        <v/>
      </c>
      <c r="J72" s="2">
        <f>SUMIFS('月度底稿'!U$2:U$97,'月度底稿'!A$2:A$97,A72,'月度底稿'!B$2:B$97,B72)-E72</f>
        <v/>
      </c>
      <c r="K72" s="2">
        <f>SUMIFS('月度底稿'!V$2:V$97,'月度底稿'!A$2:A$97,A72,'月度底稿'!B$2:B$97,B72)-(D72-E72)</f>
        <v/>
      </c>
      <c r="L72" s="2">
        <f>SUMIFS('月度底稿'!W$2:W$97,'月度底稿'!A$2:A$97,A72,'月度底稿'!B$2:B$97,B72)-(SUMIFS('月度底稿'!V$2:V$97,'月度底稿'!A$2:A$97,A72,'月度底稿'!B$2:B$97,B72)-SUMIFS('月度底稿'!T$2:T$97,'月度底稿'!A$2:A$97,A72,'月度底稿'!B$2:B$97,B72))</f>
        <v/>
      </c>
    </row>
    <row r="73">
      <c r="A73" s="2" t="n">
        <v>9</v>
      </c>
      <c r="B73" s="2" t="n">
        <v>8</v>
      </c>
      <c r="C73" s="3" t="inlineStr">
        <is>
          <t>郑十</t>
        </is>
      </c>
      <c r="D73" s="2">
        <f>SUMIFS('月度底稿'!H$2:H$97,'月度底稿'!A$2:A$97,A73,'月度底稿'!B$2:B$97,B73)+SUMIFS('月度底稿'!I$2:I$97,'月度底稿'!A$2:A$97,A73,'月度底稿'!B$2:B$97,B73)+SUMIFS('月度底稿'!J$2:J$97,'月度底稿'!A$2:A$97,A73,'月度底稿'!B$2:B$97,B73)+SUMIFS('月度底稿'!K$2:K$97,'月度底稿'!A$2:A$97,A73,'月度底稿'!B$2:B$97,B73)+SUMIFS('月度底稿'!L$2:L$97,'月度底稿'!A$2:A$97,A73,'月度底稿'!B$2:B$97,B73)+SUMIFS('月度底稿'!M$2:M$97,'月度底稿'!A$2:A$97,A73,'月度底稿'!B$2:B$97,B73)+SUMIFS('月度底稿'!N$2:N$97,'月度底稿'!A$2:A$97,A73,'月度底稿'!B$2:B$97,B73)</f>
        <v/>
      </c>
      <c r="E73" s="2">
        <f>SUMIFS('月度底稿'!P$2:P$97,'月度底稿'!A$2:A$97,A73,'月度底稿'!B$2:B$97,B73)+SUMIFS('月度底稿'!Q$2:Q$97,'月度底稿'!A$2:A$97,A73,'月度底稿'!B$2:B$97,B73)+SUMIFS('月度底稿'!R$2:R$97,'月度底稿'!A$2:A$97,A73,'月度底稿'!B$2:B$97,B73)+SUMIFS('月度底稿'!S$2:S$97,'月度底稿'!A$2:A$97,A73,'月度底稿'!B$2:B$97,B73)+SUMIFS('月度底稿'!T$2:T$97,'月度底稿'!A$2:A$97,A73,'月度底稿'!B$2:B$97,B73)</f>
        <v/>
      </c>
      <c r="F73" s="2">
        <f>D73-E73</f>
        <v/>
      </c>
      <c r="G73" s="2">
        <f>SUMIFS('月度底稿'!W$2:W$97,'月度底稿'!A$2:A$97,A73,'月度底稿'!B$2:B$97,B73)</f>
        <v/>
      </c>
      <c r="H73" s="2">
        <f>F73-G73</f>
        <v/>
      </c>
      <c r="I73" s="2">
        <f>SUMIFS('月度底稿'!O$2:O$97,'月度底稿'!A$2:A$97,A73,'月度底稿'!B$2:B$97,B73)-D73</f>
        <v/>
      </c>
      <c r="J73" s="2">
        <f>SUMIFS('月度底稿'!U$2:U$97,'月度底稿'!A$2:A$97,A73,'月度底稿'!B$2:B$97,B73)-E73</f>
        <v/>
      </c>
      <c r="K73" s="2">
        <f>SUMIFS('月度底稿'!V$2:V$97,'月度底稿'!A$2:A$97,A73,'月度底稿'!B$2:B$97,B73)-(D73-E73)</f>
        <v/>
      </c>
      <c r="L73" s="2">
        <f>SUMIFS('月度底稿'!W$2:W$97,'月度底稿'!A$2:A$97,A73,'月度底稿'!B$2:B$97,B73)-(SUMIFS('月度底稿'!V$2:V$97,'月度底稿'!A$2:A$97,A73,'月度底稿'!B$2:B$97,B73)-SUMIFS('月度底稿'!T$2:T$97,'月度底稿'!A$2:A$97,A73,'月度底稿'!B$2:B$97,B73))</f>
        <v/>
      </c>
    </row>
    <row r="74">
      <c r="A74" s="2" t="n">
        <v>10</v>
      </c>
      <c r="B74" s="2" t="n">
        <v>1</v>
      </c>
      <c r="C74" s="3" t="inlineStr">
        <is>
          <t>张三</t>
        </is>
      </c>
      <c r="D74" s="2">
        <f>SUMIFS('月度底稿'!H$2:H$97,'月度底稿'!A$2:A$97,A74,'月度底稿'!B$2:B$97,B74)+SUMIFS('月度底稿'!I$2:I$97,'月度底稿'!A$2:A$97,A74,'月度底稿'!B$2:B$97,B74)+SUMIFS('月度底稿'!J$2:J$97,'月度底稿'!A$2:A$97,A74,'月度底稿'!B$2:B$97,B74)+SUMIFS('月度底稿'!K$2:K$97,'月度底稿'!A$2:A$97,A74,'月度底稿'!B$2:B$97,B74)+SUMIFS('月度底稿'!L$2:L$97,'月度底稿'!A$2:A$97,A74,'月度底稿'!B$2:B$97,B74)+SUMIFS('月度底稿'!M$2:M$97,'月度底稿'!A$2:A$97,A74,'月度底稿'!B$2:B$97,B74)+SUMIFS('月度底稿'!N$2:N$97,'月度底稿'!A$2:A$97,A74,'月度底稿'!B$2:B$97,B74)</f>
        <v/>
      </c>
      <c r="E74" s="2">
        <f>SUMIFS('月度底稿'!P$2:P$97,'月度底稿'!A$2:A$97,A74,'月度底稿'!B$2:B$97,B74)+SUMIFS('月度底稿'!Q$2:Q$97,'月度底稿'!A$2:A$97,A74,'月度底稿'!B$2:B$97,B74)+SUMIFS('月度底稿'!R$2:R$97,'月度底稿'!A$2:A$97,A74,'月度底稿'!B$2:B$97,B74)+SUMIFS('月度底稿'!S$2:S$97,'月度底稿'!A$2:A$97,A74,'月度底稿'!B$2:B$97,B74)+SUMIFS('月度底稿'!T$2:T$97,'月度底稿'!A$2:A$97,A74,'月度底稿'!B$2:B$97,B74)</f>
        <v/>
      </c>
      <c r="F74" s="2">
        <f>D74-E74</f>
        <v/>
      </c>
      <c r="G74" s="2">
        <f>SUMIFS('月度底稿'!W$2:W$97,'月度底稿'!A$2:A$97,A74,'月度底稿'!B$2:B$97,B74)</f>
        <v/>
      </c>
      <c r="H74" s="2">
        <f>F74-G74</f>
        <v/>
      </c>
      <c r="I74" s="2">
        <f>SUMIFS('月度底稿'!O$2:O$97,'月度底稿'!A$2:A$97,A74,'月度底稿'!B$2:B$97,B74)-D74</f>
        <v/>
      </c>
      <c r="J74" s="2">
        <f>SUMIFS('月度底稿'!U$2:U$97,'月度底稿'!A$2:A$97,A74,'月度底稿'!B$2:B$97,B74)-E74</f>
        <v/>
      </c>
      <c r="K74" s="2">
        <f>SUMIFS('月度底稿'!V$2:V$97,'月度底稿'!A$2:A$97,A74,'月度底稿'!B$2:B$97,B74)-(D74-E74)</f>
        <v/>
      </c>
      <c r="L74" s="2">
        <f>SUMIFS('月度底稿'!W$2:W$97,'月度底稿'!A$2:A$97,A74,'月度底稿'!B$2:B$97,B74)-(SUMIFS('月度底稿'!V$2:V$97,'月度底稿'!A$2:A$97,A74,'月度底稿'!B$2:B$97,B74)-SUMIFS('月度底稿'!T$2:T$97,'月度底稿'!A$2:A$97,A74,'月度底稿'!B$2:B$97,B74))</f>
        <v/>
      </c>
    </row>
    <row r="75">
      <c r="A75" s="2" t="n">
        <v>10</v>
      </c>
      <c r="B75" s="2" t="n">
        <v>2</v>
      </c>
      <c r="C75" s="3" t="inlineStr">
        <is>
          <t>李四</t>
        </is>
      </c>
      <c r="D75" s="2">
        <f>SUMIFS('月度底稿'!H$2:H$97,'月度底稿'!A$2:A$97,A75,'月度底稿'!B$2:B$97,B75)+SUMIFS('月度底稿'!I$2:I$97,'月度底稿'!A$2:A$97,A75,'月度底稿'!B$2:B$97,B75)+SUMIFS('月度底稿'!J$2:J$97,'月度底稿'!A$2:A$97,A75,'月度底稿'!B$2:B$97,B75)+SUMIFS('月度底稿'!K$2:K$97,'月度底稿'!A$2:A$97,A75,'月度底稿'!B$2:B$97,B75)+SUMIFS('月度底稿'!L$2:L$97,'月度底稿'!A$2:A$97,A75,'月度底稿'!B$2:B$97,B75)+SUMIFS('月度底稿'!M$2:M$97,'月度底稿'!A$2:A$97,A75,'月度底稿'!B$2:B$97,B75)+SUMIFS('月度底稿'!N$2:N$97,'月度底稿'!A$2:A$97,A75,'月度底稿'!B$2:B$97,B75)</f>
        <v/>
      </c>
      <c r="E75" s="2">
        <f>SUMIFS('月度底稿'!P$2:P$97,'月度底稿'!A$2:A$97,A75,'月度底稿'!B$2:B$97,B75)+SUMIFS('月度底稿'!Q$2:Q$97,'月度底稿'!A$2:A$97,A75,'月度底稿'!B$2:B$97,B75)+SUMIFS('月度底稿'!R$2:R$97,'月度底稿'!A$2:A$97,A75,'月度底稿'!B$2:B$97,B75)+SUMIFS('月度底稿'!S$2:S$97,'月度底稿'!A$2:A$97,A75,'月度底稿'!B$2:B$97,B75)+SUMIFS('月度底稿'!T$2:T$97,'月度底稿'!A$2:A$97,A75,'月度底稿'!B$2:B$97,B75)</f>
        <v/>
      </c>
      <c r="F75" s="2">
        <f>D75-E75</f>
        <v/>
      </c>
      <c r="G75" s="2">
        <f>SUMIFS('月度底稿'!W$2:W$97,'月度底稿'!A$2:A$97,A75,'月度底稿'!B$2:B$97,B75)</f>
        <v/>
      </c>
      <c r="H75" s="2">
        <f>F75-G75</f>
        <v/>
      </c>
      <c r="I75" s="2">
        <f>SUMIFS('月度底稿'!O$2:O$97,'月度底稿'!A$2:A$97,A75,'月度底稿'!B$2:B$97,B75)-D75</f>
        <v/>
      </c>
      <c r="J75" s="2">
        <f>SUMIFS('月度底稿'!U$2:U$97,'月度底稿'!A$2:A$97,A75,'月度底稿'!B$2:B$97,B75)-E75</f>
        <v/>
      </c>
      <c r="K75" s="2">
        <f>SUMIFS('月度底稿'!V$2:V$97,'月度底稿'!A$2:A$97,A75,'月度底稿'!B$2:B$97,B75)-(D75-E75)</f>
        <v/>
      </c>
      <c r="L75" s="2">
        <f>SUMIFS('月度底稿'!W$2:W$97,'月度底稿'!A$2:A$97,A75,'月度底稿'!B$2:B$97,B75)-(SUMIFS('月度底稿'!V$2:V$97,'月度底稿'!A$2:A$97,A75,'月度底稿'!B$2:B$97,B75)-SUMIFS('月度底稿'!T$2:T$97,'月度底稿'!A$2:A$97,A75,'月度底稿'!B$2:B$97,B75))</f>
        <v/>
      </c>
    </row>
    <row r="76">
      <c r="A76" s="2" t="n">
        <v>10</v>
      </c>
      <c r="B76" s="2" t="n">
        <v>3</v>
      </c>
      <c r="C76" s="3" t="inlineStr">
        <is>
          <t>王五</t>
        </is>
      </c>
      <c r="D76" s="2">
        <f>SUMIFS('月度底稿'!H$2:H$97,'月度底稿'!A$2:A$97,A76,'月度底稿'!B$2:B$97,B76)+SUMIFS('月度底稿'!I$2:I$97,'月度底稿'!A$2:A$97,A76,'月度底稿'!B$2:B$97,B76)+SUMIFS('月度底稿'!J$2:J$97,'月度底稿'!A$2:A$97,A76,'月度底稿'!B$2:B$97,B76)+SUMIFS('月度底稿'!K$2:K$97,'月度底稿'!A$2:A$97,A76,'月度底稿'!B$2:B$97,B76)+SUMIFS('月度底稿'!L$2:L$97,'月度底稿'!A$2:A$97,A76,'月度底稿'!B$2:B$97,B76)+SUMIFS('月度底稿'!M$2:M$97,'月度底稿'!A$2:A$97,A76,'月度底稿'!B$2:B$97,B76)+SUMIFS('月度底稿'!N$2:N$97,'月度底稿'!A$2:A$97,A76,'月度底稿'!B$2:B$97,B76)</f>
        <v/>
      </c>
      <c r="E76" s="2">
        <f>SUMIFS('月度底稿'!P$2:P$97,'月度底稿'!A$2:A$97,A76,'月度底稿'!B$2:B$97,B76)+SUMIFS('月度底稿'!Q$2:Q$97,'月度底稿'!A$2:A$97,A76,'月度底稿'!B$2:B$97,B76)+SUMIFS('月度底稿'!R$2:R$97,'月度底稿'!A$2:A$97,A76,'月度底稿'!B$2:B$97,B76)+SUMIFS('月度底稿'!S$2:S$97,'月度底稿'!A$2:A$97,A76,'月度底稿'!B$2:B$97,B76)+SUMIFS('月度底稿'!T$2:T$97,'月度底稿'!A$2:A$97,A76,'月度底稿'!B$2:B$97,B76)</f>
        <v/>
      </c>
      <c r="F76" s="2">
        <f>D76-E76</f>
        <v/>
      </c>
      <c r="G76" s="2">
        <f>SUMIFS('月度底稿'!W$2:W$97,'月度底稿'!A$2:A$97,A76,'月度底稿'!B$2:B$97,B76)</f>
        <v/>
      </c>
      <c r="H76" s="2">
        <f>F76-G76</f>
        <v/>
      </c>
      <c r="I76" s="2">
        <f>SUMIFS('月度底稿'!O$2:O$97,'月度底稿'!A$2:A$97,A76,'月度底稿'!B$2:B$97,B76)-D76</f>
        <v/>
      </c>
      <c r="J76" s="2">
        <f>SUMIFS('月度底稿'!U$2:U$97,'月度底稿'!A$2:A$97,A76,'月度底稿'!B$2:B$97,B76)-E76</f>
        <v/>
      </c>
      <c r="K76" s="2">
        <f>SUMIFS('月度底稿'!V$2:V$97,'月度底稿'!A$2:A$97,A76,'月度底稿'!B$2:B$97,B76)-(D76-E76)</f>
        <v/>
      </c>
      <c r="L76" s="2">
        <f>SUMIFS('月度底稿'!W$2:W$97,'月度底稿'!A$2:A$97,A76,'月度底稿'!B$2:B$97,B76)-(SUMIFS('月度底稿'!V$2:V$97,'月度底稿'!A$2:A$97,A76,'月度底稿'!B$2:B$97,B76)-SUMIFS('月度底稿'!T$2:T$97,'月度底稿'!A$2:A$97,A76,'月度底稿'!B$2:B$97,B76))</f>
        <v/>
      </c>
    </row>
    <row r="77">
      <c r="A77" s="2" t="n">
        <v>10</v>
      </c>
      <c r="B77" s="2" t="n">
        <v>4</v>
      </c>
      <c r="C77" s="3" t="inlineStr">
        <is>
          <t>赵六</t>
        </is>
      </c>
      <c r="D77" s="2">
        <f>SUMIFS('月度底稿'!H$2:H$97,'月度底稿'!A$2:A$97,A77,'月度底稿'!B$2:B$97,B77)+SUMIFS('月度底稿'!I$2:I$97,'月度底稿'!A$2:A$97,A77,'月度底稿'!B$2:B$97,B77)+SUMIFS('月度底稿'!J$2:J$97,'月度底稿'!A$2:A$97,A77,'月度底稿'!B$2:B$97,B77)+SUMIFS('月度底稿'!K$2:K$97,'月度底稿'!A$2:A$97,A77,'月度底稿'!B$2:B$97,B77)+SUMIFS('月度底稿'!L$2:L$97,'月度底稿'!A$2:A$97,A77,'月度底稿'!B$2:B$97,B77)+SUMIFS('月度底稿'!M$2:M$97,'月度底稿'!A$2:A$97,A77,'月度底稿'!B$2:B$97,B77)+SUMIFS('月度底稿'!N$2:N$97,'月度底稿'!A$2:A$97,A77,'月度底稿'!B$2:B$97,B77)</f>
        <v/>
      </c>
      <c r="E77" s="2">
        <f>SUMIFS('月度底稿'!P$2:P$97,'月度底稿'!A$2:A$97,A77,'月度底稿'!B$2:B$97,B77)+SUMIFS('月度底稿'!Q$2:Q$97,'月度底稿'!A$2:A$97,A77,'月度底稿'!B$2:B$97,B77)+SUMIFS('月度底稿'!R$2:R$97,'月度底稿'!A$2:A$97,A77,'月度底稿'!B$2:B$97,B77)+SUMIFS('月度底稿'!S$2:S$97,'月度底稿'!A$2:A$97,A77,'月度底稿'!B$2:B$97,B77)+SUMIFS('月度底稿'!T$2:T$97,'月度底稿'!A$2:A$97,A77,'月度底稿'!B$2:B$97,B77)</f>
        <v/>
      </c>
      <c r="F77" s="2">
        <f>D77-E77</f>
        <v/>
      </c>
      <c r="G77" s="2">
        <f>SUMIFS('月度底稿'!W$2:W$97,'月度底稿'!A$2:A$97,A77,'月度底稿'!B$2:B$97,B77)</f>
        <v/>
      </c>
      <c r="H77" s="2">
        <f>F77-G77</f>
        <v/>
      </c>
      <c r="I77" s="2">
        <f>SUMIFS('月度底稿'!O$2:O$97,'月度底稿'!A$2:A$97,A77,'月度底稿'!B$2:B$97,B77)-D77</f>
        <v/>
      </c>
      <c r="J77" s="2">
        <f>SUMIFS('月度底稿'!U$2:U$97,'月度底稿'!A$2:A$97,A77,'月度底稿'!B$2:B$97,B77)-E77</f>
        <v/>
      </c>
      <c r="K77" s="2">
        <f>SUMIFS('月度底稿'!V$2:V$97,'月度底稿'!A$2:A$97,A77,'月度底稿'!B$2:B$97,B77)-(D77-E77)</f>
        <v/>
      </c>
      <c r="L77" s="2">
        <f>SUMIFS('月度底稿'!W$2:W$97,'月度底稿'!A$2:A$97,A77,'月度底稿'!B$2:B$97,B77)-(SUMIFS('月度底稿'!V$2:V$97,'月度底稿'!A$2:A$97,A77,'月度底稿'!B$2:B$97,B77)-SUMIFS('月度底稿'!T$2:T$97,'月度底稿'!A$2:A$97,A77,'月度底稿'!B$2:B$97,B77))</f>
        <v/>
      </c>
    </row>
    <row r="78">
      <c r="A78" s="2" t="n">
        <v>10</v>
      </c>
      <c r="B78" s="2" t="n">
        <v>5</v>
      </c>
      <c r="C78" s="3" t="inlineStr">
        <is>
          <t>孙七</t>
        </is>
      </c>
      <c r="D78" s="2">
        <f>SUMIFS('月度底稿'!H$2:H$97,'月度底稿'!A$2:A$97,A78,'月度底稿'!B$2:B$97,B78)+SUMIFS('月度底稿'!I$2:I$97,'月度底稿'!A$2:A$97,A78,'月度底稿'!B$2:B$97,B78)+SUMIFS('月度底稿'!J$2:J$97,'月度底稿'!A$2:A$97,A78,'月度底稿'!B$2:B$97,B78)+SUMIFS('月度底稿'!K$2:K$97,'月度底稿'!A$2:A$97,A78,'月度底稿'!B$2:B$97,B78)+SUMIFS('月度底稿'!L$2:L$97,'月度底稿'!A$2:A$97,A78,'月度底稿'!B$2:B$97,B78)+SUMIFS('月度底稿'!M$2:M$97,'月度底稿'!A$2:A$97,A78,'月度底稿'!B$2:B$97,B78)+SUMIFS('月度底稿'!N$2:N$97,'月度底稿'!A$2:A$97,A78,'月度底稿'!B$2:B$97,B78)</f>
        <v/>
      </c>
      <c r="E78" s="2">
        <f>SUMIFS('月度底稿'!P$2:P$97,'月度底稿'!A$2:A$97,A78,'月度底稿'!B$2:B$97,B78)+SUMIFS('月度底稿'!Q$2:Q$97,'月度底稿'!A$2:A$97,A78,'月度底稿'!B$2:B$97,B78)+SUMIFS('月度底稿'!R$2:R$97,'月度底稿'!A$2:A$97,A78,'月度底稿'!B$2:B$97,B78)+SUMIFS('月度底稿'!S$2:S$97,'月度底稿'!A$2:A$97,A78,'月度底稿'!B$2:B$97,B78)+SUMIFS('月度底稿'!T$2:T$97,'月度底稿'!A$2:A$97,A78,'月度底稿'!B$2:B$97,B78)</f>
        <v/>
      </c>
      <c r="F78" s="2">
        <f>D78-E78</f>
        <v/>
      </c>
      <c r="G78" s="2">
        <f>SUMIFS('月度底稿'!W$2:W$97,'月度底稿'!A$2:A$97,A78,'月度底稿'!B$2:B$97,B78)</f>
        <v/>
      </c>
      <c r="H78" s="2">
        <f>F78-G78</f>
        <v/>
      </c>
      <c r="I78" s="2">
        <f>SUMIFS('月度底稿'!O$2:O$97,'月度底稿'!A$2:A$97,A78,'月度底稿'!B$2:B$97,B78)-D78</f>
        <v/>
      </c>
      <c r="J78" s="2">
        <f>SUMIFS('月度底稿'!U$2:U$97,'月度底稿'!A$2:A$97,A78,'月度底稿'!B$2:B$97,B78)-E78</f>
        <v/>
      </c>
      <c r="K78" s="2">
        <f>SUMIFS('月度底稿'!V$2:V$97,'月度底稿'!A$2:A$97,A78,'月度底稿'!B$2:B$97,B78)-(D78-E78)</f>
        <v/>
      </c>
      <c r="L78" s="2">
        <f>SUMIFS('月度底稿'!W$2:W$97,'月度底稿'!A$2:A$97,A78,'月度底稿'!B$2:B$97,B78)-(SUMIFS('月度底稿'!V$2:V$97,'月度底稿'!A$2:A$97,A78,'月度底稿'!B$2:B$97,B78)-SUMIFS('月度底稿'!T$2:T$97,'月度底稿'!A$2:A$97,A78,'月度底稿'!B$2:B$97,B78))</f>
        <v/>
      </c>
    </row>
    <row r="79">
      <c r="A79" s="2" t="n">
        <v>10</v>
      </c>
      <c r="B79" s="2" t="n">
        <v>6</v>
      </c>
      <c r="C79" s="3" t="inlineStr">
        <is>
          <t>周八</t>
        </is>
      </c>
      <c r="D79" s="2">
        <f>SUMIFS('月度底稿'!H$2:H$97,'月度底稿'!A$2:A$97,A79,'月度底稿'!B$2:B$97,B79)+SUMIFS('月度底稿'!I$2:I$97,'月度底稿'!A$2:A$97,A79,'月度底稿'!B$2:B$97,B79)+SUMIFS('月度底稿'!J$2:J$97,'月度底稿'!A$2:A$97,A79,'月度底稿'!B$2:B$97,B79)+SUMIFS('月度底稿'!K$2:K$97,'月度底稿'!A$2:A$97,A79,'月度底稿'!B$2:B$97,B79)+SUMIFS('月度底稿'!L$2:L$97,'月度底稿'!A$2:A$97,A79,'月度底稿'!B$2:B$97,B79)+SUMIFS('月度底稿'!M$2:M$97,'月度底稿'!A$2:A$97,A79,'月度底稿'!B$2:B$97,B79)+SUMIFS('月度底稿'!N$2:N$97,'月度底稿'!A$2:A$97,A79,'月度底稿'!B$2:B$97,B79)</f>
        <v/>
      </c>
      <c r="E79" s="2">
        <f>SUMIFS('月度底稿'!P$2:P$97,'月度底稿'!A$2:A$97,A79,'月度底稿'!B$2:B$97,B79)+SUMIFS('月度底稿'!Q$2:Q$97,'月度底稿'!A$2:A$97,A79,'月度底稿'!B$2:B$97,B79)+SUMIFS('月度底稿'!R$2:R$97,'月度底稿'!A$2:A$97,A79,'月度底稿'!B$2:B$97,B79)+SUMIFS('月度底稿'!S$2:S$97,'月度底稿'!A$2:A$97,A79,'月度底稿'!B$2:B$97,B79)+SUMIFS('月度底稿'!T$2:T$97,'月度底稿'!A$2:A$97,A79,'月度底稿'!B$2:B$97,B79)</f>
        <v/>
      </c>
      <c r="F79" s="2">
        <f>D79-E79</f>
        <v/>
      </c>
      <c r="G79" s="2">
        <f>SUMIFS('月度底稿'!W$2:W$97,'月度底稿'!A$2:A$97,A79,'月度底稿'!B$2:B$97,B79)</f>
        <v/>
      </c>
      <c r="H79" s="2">
        <f>F79-G79</f>
        <v/>
      </c>
      <c r="I79" s="2">
        <f>SUMIFS('月度底稿'!O$2:O$97,'月度底稿'!A$2:A$97,A79,'月度底稿'!B$2:B$97,B79)-D79</f>
        <v/>
      </c>
      <c r="J79" s="2">
        <f>SUMIFS('月度底稿'!U$2:U$97,'月度底稿'!A$2:A$97,A79,'月度底稿'!B$2:B$97,B79)-E79</f>
        <v/>
      </c>
      <c r="K79" s="2">
        <f>SUMIFS('月度底稿'!V$2:V$97,'月度底稿'!A$2:A$97,A79,'月度底稿'!B$2:B$97,B79)-(D79-E79)</f>
        <v/>
      </c>
      <c r="L79" s="2">
        <f>SUMIFS('月度底稿'!W$2:W$97,'月度底稿'!A$2:A$97,A79,'月度底稿'!B$2:B$97,B79)-(SUMIFS('月度底稿'!V$2:V$97,'月度底稿'!A$2:A$97,A79,'月度底稿'!B$2:B$97,B79)-SUMIFS('月度底稿'!T$2:T$97,'月度底稿'!A$2:A$97,A79,'月度底稿'!B$2:B$97,B79))</f>
        <v/>
      </c>
    </row>
    <row r="80">
      <c r="A80" s="2" t="n">
        <v>10</v>
      </c>
      <c r="B80" s="2" t="n">
        <v>7</v>
      </c>
      <c r="C80" s="3" t="inlineStr">
        <is>
          <t>吴九</t>
        </is>
      </c>
      <c r="D80" s="2">
        <f>SUMIFS('月度底稿'!H$2:H$97,'月度底稿'!A$2:A$97,A80,'月度底稿'!B$2:B$97,B80)+SUMIFS('月度底稿'!I$2:I$97,'月度底稿'!A$2:A$97,A80,'月度底稿'!B$2:B$97,B80)+SUMIFS('月度底稿'!J$2:J$97,'月度底稿'!A$2:A$97,A80,'月度底稿'!B$2:B$97,B80)+SUMIFS('月度底稿'!K$2:K$97,'月度底稿'!A$2:A$97,A80,'月度底稿'!B$2:B$97,B80)+SUMIFS('月度底稿'!L$2:L$97,'月度底稿'!A$2:A$97,A80,'月度底稿'!B$2:B$97,B80)+SUMIFS('月度底稿'!M$2:M$97,'月度底稿'!A$2:A$97,A80,'月度底稿'!B$2:B$97,B80)+SUMIFS('月度底稿'!N$2:N$97,'月度底稿'!A$2:A$97,A80,'月度底稿'!B$2:B$97,B80)</f>
        <v/>
      </c>
      <c r="E80" s="2">
        <f>SUMIFS('月度底稿'!P$2:P$97,'月度底稿'!A$2:A$97,A80,'月度底稿'!B$2:B$97,B80)+SUMIFS('月度底稿'!Q$2:Q$97,'月度底稿'!A$2:A$97,A80,'月度底稿'!B$2:B$97,B80)+SUMIFS('月度底稿'!R$2:R$97,'月度底稿'!A$2:A$97,A80,'月度底稿'!B$2:B$97,B80)+SUMIFS('月度底稿'!S$2:S$97,'月度底稿'!A$2:A$97,A80,'月度底稿'!B$2:B$97,B80)+SUMIFS('月度底稿'!T$2:T$97,'月度底稿'!A$2:A$97,A80,'月度底稿'!B$2:B$97,B80)</f>
        <v/>
      </c>
      <c r="F80" s="2">
        <f>D80-E80</f>
        <v/>
      </c>
      <c r="G80" s="2">
        <f>SUMIFS('月度底稿'!W$2:W$97,'月度底稿'!A$2:A$97,A80,'月度底稿'!B$2:B$97,B80)</f>
        <v/>
      </c>
      <c r="H80" s="2">
        <f>F80-G80</f>
        <v/>
      </c>
      <c r="I80" s="2">
        <f>SUMIFS('月度底稿'!O$2:O$97,'月度底稿'!A$2:A$97,A80,'月度底稿'!B$2:B$97,B80)-D80</f>
        <v/>
      </c>
      <c r="J80" s="2">
        <f>SUMIFS('月度底稿'!U$2:U$97,'月度底稿'!A$2:A$97,A80,'月度底稿'!B$2:B$97,B80)-E80</f>
        <v/>
      </c>
      <c r="K80" s="2">
        <f>SUMIFS('月度底稿'!V$2:V$97,'月度底稿'!A$2:A$97,A80,'月度底稿'!B$2:B$97,B80)-(D80-E80)</f>
        <v/>
      </c>
      <c r="L80" s="2">
        <f>SUMIFS('月度底稿'!W$2:W$97,'月度底稿'!A$2:A$97,A80,'月度底稿'!B$2:B$97,B80)-(SUMIFS('月度底稿'!V$2:V$97,'月度底稿'!A$2:A$97,A80,'月度底稿'!B$2:B$97,B80)-SUMIFS('月度底稿'!T$2:T$97,'月度底稿'!A$2:A$97,A80,'月度底稿'!B$2:B$97,B80))</f>
        <v/>
      </c>
    </row>
    <row r="81">
      <c r="A81" s="2" t="n">
        <v>10</v>
      </c>
      <c r="B81" s="2" t="n">
        <v>8</v>
      </c>
      <c r="C81" s="3" t="inlineStr">
        <is>
          <t>郑十</t>
        </is>
      </c>
      <c r="D81" s="2">
        <f>SUMIFS('月度底稿'!H$2:H$97,'月度底稿'!A$2:A$97,A81,'月度底稿'!B$2:B$97,B81)+SUMIFS('月度底稿'!I$2:I$97,'月度底稿'!A$2:A$97,A81,'月度底稿'!B$2:B$97,B81)+SUMIFS('月度底稿'!J$2:J$97,'月度底稿'!A$2:A$97,A81,'月度底稿'!B$2:B$97,B81)+SUMIFS('月度底稿'!K$2:K$97,'月度底稿'!A$2:A$97,A81,'月度底稿'!B$2:B$97,B81)+SUMIFS('月度底稿'!L$2:L$97,'月度底稿'!A$2:A$97,A81,'月度底稿'!B$2:B$97,B81)+SUMIFS('月度底稿'!M$2:M$97,'月度底稿'!A$2:A$97,A81,'月度底稿'!B$2:B$97,B81)+SUMIFS('月度底稿'!N$2:N$97,'月度底稿'!A$2:A$97,A81,'月度底稿'!B$2:B$97,B81)</f>
        <v/>
      </c>
      <c r="E81" s="2">
        <f>SUMIFS('月度底稿'!P$2:P$97,'月度底稿'!A$2:A$97,A81,'月度底稿'!B$2:B$97,B81)+SUMIFS('月度底稿'!Q$2:Q$97,'月度底稿'!A$2:A$97,A81,'月度底稿'!B$2:B$97,B81)+SUMIFS('月度底稿'!R$2:R$97,'月度底稿'!A$2:A$97,A81,'月度底稿'!B$2:B$97,B81)+SUMIFS('月度底稿'!S$2:S$97,'月度底稿'!A$2:A$97,A81,'月度底稿'!B$2:B$97,B81)+SUMIFS('月度底稿'!T$2:T$97,'月度底稿'!A$2:A$97,A81,'月度底稿'!B$2:B$97,B81)</f>
        <v/>
      </c>
      <c r="F81" s="2">
        <f>D81-E81</f>
        <v/>
      </c>
      <c r="G81" s="2">
        <f>SUMIFS('月度底稿'!W$2:W$97,'月度底稿'!A$2:A$97,A81,'月度底稿'!B$2:B$97,B81)</f>
        <v/>
      </c>
      <c r="H81" s="2">
        <f>F81-G81</f>
        <v/>
      </c>
      <c r="I81" s="2">
        <f>SUMIFS('月度底稿'!O$2:O$97,'月度底稿'!A$2:A$97,A81,'月度底稿'!B$2:B$97,B81)-D81</f>
        <v/>
      </c>
      <c r="J81" s="2">
        <f>SUMIFS('月度底稿'!U$2:U$97,'月度底稿'!A$2:A$97,A81,'月度底稿'!B$2:B$97,B81)-E81</f>
        <v/>
      </c>
      <c r="K81" s="2">
        <f>SUMIFS('月度底稿'!V$2:V$97,'月度底稿'!A$2:A$97,A81,'月度底稿'!B$2:B$97,B81)-(D81-E81)</f>
        <v/>
      </c>
      <c r="L81" s="2">
        <f>SUMIFS('月度底稿'!W$2:W$97,'月度底稿'!A$2:A$97,A81,'月度底稿'!B$2:B$97,B81)-(SUMIFS('月度底稿'!V$2:V$97,'月度底稿'!A$2:A$97,A81,'月度底稿'!B$2:B$97,B81)-SUMIFS('月度底稿'!T$2:T$97,'月度底稿'!A$2:A$97,A81,'月度底稿'!B$2:B$97,B81))</f>
        <v/>
      </c>
    </row>
    <row r="82">
      <c r="A82" s="2" t="n">
        <v>11</v>
      </c>
      <c r="B82" s="2" t="n">
        <v>1</v>
      </c>
      <c r="C82" s="3" t="inlineStr">
        <is>
          <t>张三</t>
        </is>
      </c>
      <c r="D82" s="2">
        <f>SUMIFS('月度底稿'!H$2:H$97,'月度底稿'!A$2:A$97,A82,'月度底稿'!B$2:B$97,B82)+SUMIFS('月度底稿'!I$2:I$97,'月度底稿'!A$2:A$97,A82,'月度底稿'!B$2:B$97,B82)+SUMIFS('月度底稿'!J$2:J$97,'月度底稿'!A$2:A$97,A82,'月度底稿'!B$2:B$97,B82)+SUMIFS('月度底稿'!K$2:K$97,'月度底稿'!A$2:A$97,A82,'月度底稿'!B$2:B$97,B82)+SUMIFS('月度底稿'!L$2:L$97,'月度底稿'!A$2:A$97,A82,'月度底稿'!B$2:B$97,B82)+SUMIFS('月度底稿'!M$2:M$97,'月度底稿'!A$2:A$97,A82,'月度底稿'!B$2:B$97,B82)+SUMIFS('月度底稿'!N$2:N$97,'月度底稿'!A$2:A$97,A82,'月度底稿'!B$2:B$97,B82)</f>
        <v/>
      </c>
      <c r="E82" s="2">
        <f>SUMIFS('月度底稿'!P$2:P$97,'月度底稿'!A$2:A$97,A82,'月度底稿'!B$2:B$97,B82)+SUMIFS('月度底稿'!Q$2:Q$97,'月度底稿'!A$2:A$97,A82,'月度底稿'!B$2:B$97,B82)+SUMIFS('月度底稿'!R$2:R$97,'月度底稿'!A$2:A$97,A82,'月度底稿'!B$2:B$97,B82)+SUMIFS('月度底稿'!S$2:S$97,'月度底稿'!A$2:A$97,A82,'月度底稿'!B$2:B$97,B82)+SUMIFS('月度底稿'!T$2:T$97,'月度底稿'!A$2:A$97,A82,'月度底稿'!B$2:B$97,B82)</f>
        <v/>
      </c>
      <c r="F82" s="2">
        <f>D82-E82</f>
        <v/>
      </c>
      <c r="G82" s="2">
        <f>SUMIFS('月度底稿'!W$2:W$97,'月度底稿'!A$2:A$97,A82,'月度底稿'!B$2:B$97,B82)</f>
        <v/>
      </c>
      <c r="H82" s="2">
        <f>F82-G82</f>
        <v/>
      </c>
      <c r="I82" s="2">
        <f>SUMIFS('月度底稿'!O$2:O$97,'月度底稿'!A$2:A$97,A82,'月度底稿'!B$2:B$97,B82)-D82</f>
        <v/>
      </c>
      <c r="J82" s="2">
        <f>SUMIFS('月度底稿'!U$2:U$97,'月度底稿'!A$2:A$97,A82,'月度底稿'!B$2:B$97,B82)-E82</f>
        <v/>
      </c>
      <c r="K82" s="2">
        <f>SUMIFS('月度底稿'!V$2:V$97,'月度底稿'!A$2:A$97,A82,'月度底稿'!B$2:B$97,B82)-(D82-E82)</f>
        <v/>
      </c>
      <c r="L82" s="2">
        <f>SUMIFS('月度底稿'!W$2:W$97,'月度底稿'!A$2:A$97,A82,'月度底稿'!B$2:B$97,B82)-(SUMIFS('月度底稿'!V$2:V$97,'月度底稿'!A$2:A$97,A82,'月度底稿'!B$2:B$97,B82)-SUMIFS('月度底稿'!T$2:T$97,'月度底稿'!A$2:A$97,A82,'月度底稿'!B$2:B$97,B82))</f>
        <v/>
      </c>
    </row>
    <row r="83">
      <c r="A83" s="2" t="n">
        <v>11</v>
      </c>
      <c r="B83" s="2" t="n">
        <v>2</v>
      </c>
      <c r="C83" s="3" t="inlineStr">
        <is>
          <t>李四</t>
        </is>
      </c>
      <c r="D83" s="2">
        <f>SUMIFS('月度底稿'!H$2:H$97,'月度底稿'!A$2:A$97,A83,'月度底稿'!B$2:B$97,B83)+SUMIFS('月度底稿'!I$2:I$97,'月度底稿'!A$2:A$97,A83,'月度底稿'!B$2:B$97,B83)+SUMIFS('月度底稿'!J$2:J$97,'月度底稿'!A$2:A$97,A83,'月度底稿'!B$2:B$97,B83)+SUMIFS('月度底稿'!K$2:K$97,'月度底稿'!A$2:A$97,A83,'月度底稿'!B$2:B$97,B83)+SUMIFS('月度底稿'!L$2:L$97,'月度底稿'!A$2:A$97,A83,'月度底稿'!B$2:B$97,B83)+SUMIFS('月度底稿'!M$2:M$97,'月度底稿'!A$2:A$97,A83,'月度底稿'!B$2:B$97,B83)+SUMIFS('月度底稿'!N$2:N$97,'月度底稿'!A$2:A$97,A83,'月度底稿'!B$2:B$97,B83)</f>
        <v/>
      </c>
      <c r="E83" s="2">
        <f>SUMIFS('月度底稿'!P$2:P$97,'月度底稿'!A$2:A$97,A83,'月度底稿'!B$2:B$97,B83)+SUMIFS('月度底稿'!Q$2:Q$97,'月度底稿'!A$2:A$97,A83,'月度底稿'!B$2:B$97,B83)+SUMIFS('月度底稿'!R$2:R$97,'月度底稿'!A$2:A$97,A83,'月度底稿'!B$2:B$97,B83)+SUMIFS('月度底稿'!S$2:S$97,'月度底稿'!A$2:A$97,A83,'月度底稿'!B$2:B$97,B83)+SUMIFS('月度底稿'!T$2:T$97,'月度底稿'!A$2:A$97,A83,'月度底稿'!B$2:B$97,B83)</f>
        <v/>
      </c>
      <c r="F83" s="2">
        <f>D83-E83</f>
        <v/>
      </c>
      <c r="G83" s="2">
        <f>SUMIFS('月度底稿'!W$2:W$97,'月度底稿'!A$2:A$97,A83,'月度底稿'!B$2:B$97,B83)</f>
        <v/>
      </c>
      <c r="H83" s="2">
        <f>F83-G83</f>
        <v/>
      </c>
      <c r="I83" s="2">
        <f>SUMIFS('月度底稿'!O$2:O$97,'月度底稿'!A$2:A$97,A83,'月度底稿'!B$2:B$97,B83)-D83</f>
        <v/>
      </c>
      <c r="J83" s="2">
        <f>SUMIFS('月度底稿'!U$2:U$97,'月度底稿'!A$2:A$97,A83,'月度底稿'!B$2:B$97,B83)-E83</f>
        <v/>
      </c>
      <c r="K83" s="2">
        <f>SUMIFS('月度底稿'!V$2:V$97,'月度底稿'!A$2:A$97,A83,'月度底稿'!B$2:B$97,B83)-(D83-E83)</f>
        <v/>
      </c>
      <c r="L83" s="2">
        <f>SUMIFS('月度底稿'!W$2:W$97,'月度底稿'!A$2:A$97,A83,'月度底稿'!B$2:B$97,B83)-(SUMIFS('月度底稿'!V$2:V$97,'月度底稿'!A$2:A$97,A83,'月度底稿'!B$2:B$97,B83)-SUMIFS('月度底稿'!T$2:T$97,'月度底稿'!A$2:A$97,A83,'月度底稿'!B$2:B$97,B83))</f>
        <v/>
      </c>
    </row>
    <row r="84">
      <c r="A84" s="2" t="n">
        <v>11</v>
      </c>
      <c r="B84" s="2" t="n">
        <v>3</v>
      </c>
      <c r="C84" s="3" t="inlineStr">
        <is>
          <t>王五</t>
        </is>
      </c>
      <c r="D84" s="2">
        <f>SUMIFS('月度底稿'!H$2:H$97,'月度底稿'!A$2:A$97,A84,'月度底稿'!B$2:B$97,B84)+SUMIFS('月度底稿'!I$2:I$97,'月度底稿'!A$2:A$97,A84,'月度底稿'!B$2:B$97,B84)+SUMIFS('月度底稿'!J$2:J$97,'月度底稿'!A$2:A$97,A84,'月度底稿'!B$2:B$97,B84)+SUMIFS('月度底稿'!K$2:K$97,'月度底稿'!A$2:A$97,A84,'月度底稿'!B$2:B$97,B84)+SUMIFS('月度底稿'!L$2:L$97,'月度底稿'!A$2:A$97,A84,'月度底稿'!B$2:B$97,B84)+SUMIFS('月度底稿'!M$2:M$97,'月度底稿'!A$2:A$97,A84,'月度底稿'!B$2:B$97,B84)+SUMIFS('月度底稿'!N$2:N$97,'月度底稿'!A$2:A$97,A84,'月度底稿'!B$2:B$97,B84)</f>
        <v/>
      </c>
      <c r="E84" s="2">
        <f>SUMIFS('月度底稿'!P$2:P$97,'月度底稿'!A$2:A$97,A84,'月度底稿'!B$2:B$97,B84)+SUMIFS('月度底稿'!Q$2:Q$97,'月度底稿'!A$2:A$97,A84,'月度底稿'!B$2:B$97,B84)+SUMIFS('月度底稿'!R$2:R$97,'月度底稿'!A$2:A$97,A84,'月度底稿'!B$2:B$97,B84)+SUMIFS('月度底稿'!S$2:S$97,'月度底稿'!A$2:A$97,A84,'月度底稿'!B$2:B$97,B84)+SUMIFS('月度底稿'!T$2:T$97,'月度底稿'!A$2:A$97,A84,'月度底稿'!B$2:B$97,B84)</f>
        <v/>
      </c>
      <c r="F84" s="2">
        <f>D84-E84</f>
        <v/>
      </c>
      <c r="G84" s="2">
        <f>SUMIFS('月度底稿'!W$2:W$97,'月度底稿'!A$2:A$97,A84,'月度底稿'!B$2:B$97,B84)</f>
        <v/>
      </c>
      <c r="H84" s="2">
        <f>F84-G84</f>
        <v/>
      </c>
      <c r="I84" s="2">
        <f>SUMIFS('月度底稿'!O$2:O$97,'月度底稿'!A$2:A$97,A84,'月度底稿'!B$2:B$97,B84)-D84</f>
        <v/>
      </c>
      <c r="J84" s="2">
        <f>SUMIFS('月度底稿'!U$2:U$97,'月度底稿'!A$2:A$97,A84,'月度底稿'!B$2:B$97,B84)-E84</f>
        <v/>
      </c>
      <c r="K84" s="2">
        <f>SUMIFS('月度底稿'!V$2:V$97,'月度底稿'!A$2:A$97,A84,'月度底稿'!B$2:B$97,B84)-(D84-E84)</f>
        <v/>
      </c>
      <c r="L84" s="2">
        <f>SUMIFS('月度底稿'!W$2:W$97,'月度底稿'!A$2:A$97,A84,'月度底稿'!B$2:B$97,B84)-(SUMIFS('月度底稿'!V$2:V$97,'月度底稿'!A$2:A$97,A84,'月度底稿'!B$2:B$97,B84)-SUMIFS('月度底稿'!T$2:T$97,'月度底稿'!A$2:A$97,A84,'月度底稿'!B$2:B$97,B84))</f>
        <v/>
      </c>
    </row>
    <row r="85">
      <c r="A85" s="2" t="n">
        <v>11</v>
      </c>
      <c r="B85" s="2" t="n">
        <v>4</v>
      </c>
      <c r="C85" s="3" t="inlineStr">
        <is>
          <t>赵六</t>
        </is>
      </c>
      <c r="D85" s="2">
        <f>SUMIFS('月度底稿'!H$2:H$97,'月度底稿'!A$2:A$97,A85,'月度底稿'!B$2:B$97,B85)+SUMIFS('月度底稿'!I$2:I$97,'月度底稿'!A$2:A$97,A85,'月度底稿'!B$2:B$97,B85)+SUMIFS('月度底稿'!J$2:J$97,'月度底稿'!A$2:A$97,A85,'月度底稿'!B$2:B$97,B85)+SUMIFS('月度底稿'!K$2:K$97,'月度底稿'!A$2:A$97,A85,'月度底稿'!B$2:B$97,B85)+SUMIFS('月度底稿'!L$2:L$97,'月度底稿'!A$2:A$97,A85,'月度底稿'!B$2:B$97,B85)+SUMIFS('月度底稿'!M$2:M$97,'月度底稿'!A$2:A$97,A85,'月度底稿'!B$2:B$97,B85)+SUMIFS('月度底稿'!N$2:N$97,'月度底稿'!A$2:A$97,A85,'月度底稿'!B$2:B$97,B85)</f>
        <v/>
      </c>
      <c r="E85" s="2">
        <f>SUMIFS('月度底稿'!P$2:P$97,'月度底稿'!A$2:A$97,A85,'月度底稿'!B$2:B$97,B85)+SUMIFS('月度底稿'!Q$2:Q$97,'月度底稿'!A$2:A$97,A85,'月度底稿'!B$2:B$97,B85)+SUMIFS('月度底稿'!R$2:R$97,'月度底稿'!A$2:A$97,A85,'月度底稿'!B$2:B$97,B85)+SUMIFS('月度底稿'!S$2:S$97,'月度底稿'!A$2:A$97,A85,'月度底稿'!B$2:B$97,B85)+SUMIFS('月度底稿'!T$2:T$97,'月度底稿'!A$2:A$97,A85,'月度底稿'!B$2:B$97,B85)</f>
        <v/>
      </c>
      <c r="F85" s="2">
        <f>D85-E85</f>
        <v/>
      </c>
      <c r="G85" s="2">
        <f>SUMIFS('月度底稿'!W$2:W$97,'月度底稿'!A$2:A$97,A85,'月度底稿'!B$2:B$97,B85)</f>
        <v/>
      </c>
      <c r="H85" s="2">
        <f>F85-G85</f>
        <v/>
      </c>
      <c r="I85" s="2">
        <f>SUMIFS('月度底稿'!O$2:O$97,'月度底稿'!A$2:A$97,A85,'月度底稿'!B$2:B$97,B85)-D85</f>
        <v/>
      </c>
      <c r="J85" s="2">
        <f>SUMIFS('月度底稿'!U$2:U$97,'月度底稿'!A$2:A$97,A85,'月度底稿'!B$2:B$97,B85)-E85</f>
        <v/>
      </c>
      <c r="K85" s="2">
        <f>SUMIFS('月度底稿'!V$2:V$97,'月度底稿'!A$2:A$97,A85,'月度底稿'!B$2:B$97,B85)-(D85-E85)</f>
        <v/>
      </c>
      <c r="L85" s="2">
        <f>SUMIFS('月度底稿'!W$2:W$97,'月度底稿'!A$2:A$97,A85,'月度底稿'!B$2:B$97,B85)-(SUMIFS('月度底稿'!V$2:V$97,'月度底稿'!A$2:A$97,A85,'月度底稿'!B$2:B$97,B85)-SUMIFS('月度底稿'!T$2:T$97,'月度底稿'!A$2:A$97,A85,'月度底稿'!B$2:B$97,B85))</f>
        <v/>
      </c>
    </row>
    <row r="86">
      <c r="A86" s="2" t="n">
        <v>11</v>
      </c>
      <c r="B86" s="2" t="n">
        <v>5</v>
      </c>
      <c r="C86" s="3" t="inlineStr">
        <is>
          <t>孙七</t>
        </is>
      </c>
      <c r="D86" s="2">
        <f>SUMIFS('月度底稿'!H$2:H$97,'月度底稿'!A$2:A$97,A86,'月度底稿'!B$2:B$97,B86)+SUMIFS('月度底稿'!I$2:I$97,'月度底稿'!A$2:A$97,A86,'月度底稿'!B$2:B$97,B86)+SUMIFS('月度底稿'!J$2:J$97,'月度底稿'!A$2:A$97,A86,'月度底稿'!B$2:B$97,B86)+SUMIFS('月度底稿'!K$2:K$97,'月度底稿'!A$2:A$97,A86,'月度底稿'!B$2:B$97,B86)+SUMIFS('月度底稿'!L$2:L$97,'月度底稿'!A$2:A$97,A86,'月度底稿'!B$2:B$97,B86)+SUMIFS('月度底稿'!M$2:M$97,'月度底稿'!A$2:A$97,A86,'月度底稿'!B$2:B$97,B86)+SUMIFS('月度底稿'!N$2:N$97,'月度底稿'!A$2:A$97,A86,'月度底稿'!B$2:B$97,B86)</f>
        <v/>
      </c>
      <c r="E86" s="2">
        <f>SUMIFS('月度底稿'!P$2:P$97,'月度底稿'!A$2:A$97,A86,'月度底稿'!B$2:B$97,B86)+SUMIFS('月度底稿'!Q$2:Q$97,'月度底稿'!A$2:A$97,A86,'月度底稿'!B$2:B$97,B86)+SUMIFS('月度底稿'!R$2:R$97,'月度底稿'!A$2:A$97,A86,'月度底稿'!B$2:B$97,B86)+SUMIFS('月度底稿'!S$2:S$97,'月度底稿'!A$2:A$97,A86,'月度底稿'!B$2:B$97,B86)+SUMIFS('月度底稿'!T$2:T$97,'月度底稿'!A$2:A$97,A86,'月度底稿'!B$2:B$97,B86)</f>
        <v/>
      </c>
      <c r="F86" s="2">
        <f>D86-E86</f>
        <v/>
      </c>
      <c r="G86" s="2">
        <f>SUMIFS('月度底稿'!W$2:W$97,'月度底稿'!A$2:A$97,A86,'月度底稿'!B$2:B$97,B86)</f>
        <v/>
      </c>
      <c r="H86" s="2">
        <f>F86-G86</f>
        <v/>
      </c>
      <c r="I86" s="2">
        <f>SUMIFS('月度底稿'!O$2:O$97,'月度底稿'!A$2:A$97,A86,'月度底稿'!B$2:B$97,B86)-D86</f>
        <v/>
      </c>
      <c r="J86" s="2">
        <f>SUMIFS('月度底稿'!U$2:U$97,'月度底稿'!A$2:A$97,A86,'月度底稿'!B$2:B$97,B86)-E86</f>
        <v/>
      </c>
      <c r="K86" s="2">
        <f>SUMIFS('月度底稿'!V$2:V$97,'月度底稿'!A$2:A$97,A86,'月度底稿'!B$2:B$97,B86)-(D86-E86)</f>
        <v/>
      </c>
      <c r="L86" s="2">
        <f>SUMIFS('月度底稿'!W$2:W$97,'月度底稿'!A$2:A$97,A86,'月度底稿'!B$2:B$97,B86)-(SUMIFS('月度底稿'!V$2:V$97,'月度底稿'!A$2:A$97,A86,'月度底稿'!B$2:B$97,B86)-SUMIFS('月度底稿'!T$2:T$97,'月度底稿'!A$2:A$97,A86,'月度底稿'!B$2:B$97,B86))</f>
        <v/>
      </c>
    </row>
    <row r="87">
      <c r="A87" s="2" t="n">
        <v>11</v>
      </c>
      <c r="B87" s="2" t="n">
        <v>6</v>
      </c>
      <c r="C87" s="3" t="inlineStr">
        <is>
          <t>周八</t>
        </is>
      </c>
      <c r="D87" s="2">
        <f>SUMIFS('月度底稿'!H$2:H$97,'月度底稿'!A$2:A$97,A87,'月度底稿'!B$2:B$97,B87)+SUMIFS('月度底稿'!I$2:I$97,'月度底稿'!A$2:A$97,A87,'月度底稿'!B$2:B$97,B87)+SUMIFS('月度底稿'!J$2:J$97,'月度底稿'!A$2:A$97,A87,'月度底稿'!B$2:B$97,B87)+SUMIFS('月度底稿'!K$2:K$97,'月度底稿'!A$2:A$97,A87,'月度底稿'!B$2:B$97,B87)+SUMIFS('月度底稿'!L$2:L$97,'月度底稿'!A$2:A$97,A87,'月度底稿'!B$2:B$97,B87)+SUMIFS('月度底稿'!M$2:M$97,'月度底稿'!A$2:A$97,A87,'月度底稿'!B$2:B$97,B87)+SUMIFS('月度底稿'!N$2:N$97,'月度底稿'!A$2:A$97,A87,'月度底稿'!B$2:B$97,B87)</f>
        <v/>
      </c>
      <c r="E87" s="2">
        <f>SUMIFS('月度底稿'!P$2:P$97,'月度底稿'!A$2:A$97,A87,'月度底稿'!B$2:B$97,B87)+SUMIFS('月度底稿'!Q$2:Q$97,'月度底稿'!A$2:A$97,A87,'月度底稿'!B$2:B$97,B87)+SUMIFS('月度底稿'!R$2:R$97,'月度底稿'!A$2:A$97,A87,'月度底稿'!B$2:B$97,B87)+SUMIFS('月度底稿'!S$2:S$97,'月度底稿'!A$2:A$97,A87,'月度底稿'!B$2:B$97,B87)+SUMIFS('月度底稿'!T$2:T$97,'月度底稿'!A$2:A$97,A87,'月度底稿'!B$2:B$97,B87)</f>
        <v/>
      </c>
      <c r="F87" s="2">
        <f>D87-E87</f>
        <v/>
      </c>
      <c r="G87" s="2">
        <f>SUMIFS('月度底稿'!W$2:W$97,'月度底稿'!A$2:A$97,A87,'月度底稿'!B$2:B$97,B87)</f>
        <v/>
      </c>
      <c r="H87" s="2">
        <f>F87-G87</f>
        <v/>
      </c>
      <c r="I87" s="2">
        <f>SUMIFS('月度底稿'!O$2:O$97,'月度底稿'!A$2:A$97,A87,'月度底稿'!B$2:B$97,B87)-D87</f>
        <v/>
      </c>
      <c r="J87" s="2">
        <f>SUMIFS('月度底稿'!U$2:U$97,'月度底稿'!A$2:A$97,A87,'月度底稿'!B$2:B$97,B87)-E87</f>
        <v/>
      </c>
      <c r="K87" s="2">
        <f>SUMIFS('月度底稿'!V$2:V$97,'月度底稿'!A$2:A$97,A87,'月度底稿'!B$2:B$97,B87)-(D87-E87)</f>
        <v/>
      </c>
      <c r="L87" s="2">
        <f>SUMIFS('月度底稿'!W$2:W$97,'月度底稿'!A$2:A$97,A87,'月度底稿'!B$2:B$97,B87)-(SUMIFS('月度底稿'!V$2:V$97,'月度底稿'!A$2:A$97,A87,'月度底稿'!B$2:B$97,B87)-SUMIFS('月度底稿'!T$2:T$97,'月度底稿'!A$2:A$97,A87,'月度底稿'!B$2:B$97,B87))</f>
        <v/>
      </c>
    </row>
    <row r="88">
      <c r="A88" s="2" t="n">
        <v>11</v>
      </c>
      <c r="B88" s="2" t="n">
        <v>7</v>
      </c>
      <c r="C88" s="3" t="inlineStr">
        <is>
          <t>吴九</t>
        </is>
      </c>
      <c r="D88" s="2">
        <f>SUMIFS('月度底稿'!H$2:H$97,'月度底稿'!A$2:A$97,A88,'月度底稿'!B$2:B$97,B88)+SUMIFS('月度底稿'!I$2:I$97,'月度底稿'!A$2:A$97,A88,'月度底稿'!B$2:B$97,B88)+SUMIFS('月度底稿'!J$2:J$97,'月度底稿'!A$2:A$97,A88,'月度底稿'!B$2:B$97,B88)+SUMIFS('月度底稿'!K$2:K$97,'月度底稿'!A$2:A$97,A88,'月度底稿'!B$2:B$97,B88)+SUMIFS('月度底稿'!L$2:L$97,'月度底稿'!A$2:A$97,A88,'月度底稿'!B$2:B$97,B88)+SUMIFS('月度底稿'!M$2:M$97,'月度底稿'!A$2:A$97,A88,'月度底稿'!B$2:B$97,B88)+SUMIFS('月度底稿'!N$2:N$97,'月度底稿'!A$2:A$97,A88,'月度底稿'!B$2:B$97,B88)</f>
        <v/>
      </c>
      <c r="E88" s="2">
        <f>SUMIFS('月度底稿'!P$2:P$97,'月度底稿'!A$2:A$97,A88,'月度底稿'!B$2:B$97,B88)+SUMIFS('月度底稿'!Q$2:Q$97,'月度底稿'!A$2:A$97,A88,'月度底稿'!B$2:B$97,B88)+SUMIFS('月度底稿'!R$2:R$97,'月度底稿'!A$2:A$97,A88,'月度底稿'!B$2:B$97,B88)+SUMIFS('月度底稿'!S$2:S$97,'月度底稿'!A$2:A$97,A88,'月度底稿'!B$2:B$97,B88)+SUMIFS('月度底稿'!T$2:T$97,'月度底稿'!A$2:A$97,A88,'月度底稿'!B$2:B$97,B88)</f>
        <v/>
      </c>
      <c r="F88" s="2">
        <f>D88-E88</f>
        <v/>
      </c>
      <c r="G88" s="2">
        <f>SUMIFS('月度底稿'!W$2:W$97,'月度底稿'!A$2:A$97,A88,'月度底稿'!B$2:B$97,B88)</f>
        <v/>
      </c>
      <c r="H88" s="2">
        <f>F88-G88</f>
        <v/>
      </c>
      <c r="I88" s="2">
        <f>SUMIFS('月度底稿'!O$2:O$97,'月度底稿'!A$2:A$97,A88,'月度底稿'!B$2:B$97,B88)-D88</f>
        <v/>
      </c>
      <c r="J88" s="2">
        <f>SUMIFS('月度底稿'!U$2:U$97,'月度底稿'!A$2:A$97,A88,'月度底稿'!B$2:B$97,B88)-E88</f>
        <v/>
      </c>
      <c r="K88" s="2">
        <f>SUMIFS('月度底稿'!V$2:V$97,'月度底稿'!A$2:A$97,A88,'月度底稿'!B$2:B$97,B88)-(D88-E88)</f>
        <v/>
      </c>
      <c r="L88" s="2">
        <f>SUMIFS('月度底稿'!W$2:W$97,'月度底稿'!A$2:A$97,A88,'月度底稿'!B$2:B$97,B88)-(SUMIFS('月度底稿'!V$2:V$97,'月度底稿'!A$2:A$97,A88,'月度底稿'!B$2:B$97,B88)-SUMIFS('月度底稿'!T$2:T$97,'月度底稿'!A$2:A$97,A88,'月度底稿'!B$2:B$97,B88))</f>
        <v/>
      </c>
    </row>
    <row r="89">
      <c r="A89" s="2" t="n">
        <v>11</v>
      </c>
      <c r="B89" s="2" t="n">
        <v>8</v>
      </c>
      <c r="C89" s="3" t="inlineStr">
        <is>
          <t>郑十</t>
        </is>
      </c>
      <c r="D89" s="2">
        <f>SUMIFS('月度底稿'!H$2:H$97,'月度底稿'!A$2:A$97,A89,'月度底稿'!B$2:B$97,B89)+SUMIFS('月度底稿'!I$2:I$97,'月度底稿'!A$2:A$97,A89,'月度底稿'!B$2:B$97,B89)+SUMIFS('月度底稿'!J$2:J$97,'月度底稿'!A$2:A$97,A89,'月度底稿'!B$2:B$97,B89)+SUMIFS('月度底稿'!K$2:K$97,'月度底稿'!A$2:A$97,A89,'月度底稿'!B$2:B$97,B89)+SUMIFS('月度底稿'!L$2:L$97,'月度底稿'!A$2:A$97,A89,'月度底稿'!B$2:B$97,B89)+SUMIFS('月度底稿'!M$2:M$97,'月度底稿'!A$2:A$97,A89,'月度底稿'!B$2:B$97,B89)+SUMIFS('月度底稿'!N$2:N$97,'月度底稿'!A$2:A$97,A89,'月度底稿'!B$2:B$97,B89)</f>
        <v/>
      </c>
      <c r="E89" s="2">
        <f>SUMIFS('月度底稿'!P$2:P$97,'月度底稿'!A$2:A$97,A89,'月度底稿'!B$2:B$97,B89)+SUMIFS('月度底稿'!Q$2:Q$97,'月度底稿'!A$2:A$97,A89,'月度底稿'!B$2:B$97,B89)+SUMIFS('月度底稿'!R$2:R$97,'月度底稿'!A$2:A$97,A89,'月度底稿'!B$2:B$97,B89)+SUMIFS('月度底稿'!S$2:S$97,'月度底稿'!A$2:A$97,A89,'月度底稿'!B$2:B$97,B89)+SUMIFS('月度底稿'!T$2:T$97,'月度底稿'!A$2:A$97,A89,'月度底稿'!B$2:B$97,B89)</f>
        <v/>
      </c>
      <c r="F89" s="2">
        <f>D89-E89</f>
        <v/>
      </c>
      <c r="G89" s="2">
        <f>SUMIFS('月度底稿'!W$2:W$97,'月度底稿'!A$2:A$97,A89,'月度底稿'!B$2:B$97,B89)</f>
        <v/>
      </c>
      <c r="H89" s="2">
        <f>F89-G89</f>
        <v/>
      </c>
      <c r="I89" s="2">
        <f>SUMIFS('月度底稿'!O$2:O$97,'月度底稿'!A$2:A$97,A89,'月度底稿'!B$2:B$97,B89)-D89</f>
        <v/>
      </c>
      <c r="J89" s="2">
        <f>SUMIFS('月度底稿'!U$2:U$97,'月度底稿'!A$2:A$97,A89,'月度底稿'!B$2:B$97,B89)-E89</f>
        <v/>
      </c>
      <c r="K89" s="2">
        <f>SUMIFS('月度底稿'!V$2:V$97,'月度底稿'!A$2:A$97,A89,'月度底稿'!B$2:B$97,B89)-(D89-E89)</f>
        <v/>
      </c>
      <c r="L89" s="2">
        <f>SUMIFS('月度底稿'!W$2:W$97,'月度底稿'!A$2:A$97,A89,'月度底稿'!B$2:B$97,B89)-(SUMIFS('月度底稿'!V$2:V$97,'月度底稿'!A$2:A$97,A89,'月度底稿'!B$2:B$97,B89)-SUMIFS('月度底稿'!T$2:T$97,'月度底稿'!A$2:A$97,A89,'月度底稿'!B$2:B$97,B89))</f>
        <v/>
      </c>
    </row>
    <row r="90">
      <c r="A90" s="2" t="n">
        <v>12</v>
      </c>
      <c r="B90" s="2" t="n">
        <v>1</v>
      </c>
      <c r="C90" s="3" t="inlineStr">
        <is>
          <t>张三</t>
        </is>
      </c>
      <c r="D90" s="2">
        <f>SUMIFS('月度底稿'!H$2:H$97,'月度底稿'!A$2:A$97,A90,'月度底稿'!B$2:B$97,B90)+SUMIFS('月度底稿'!I$2:I$97,'月度底稿'!A$2:A$97,A90,'月度底稿'!B$2:B$97,B90)+SUMIFS('月度底稿'!J$2:J$97,'月度底稿'!A$2:A$97,A90,'月度底稿'!B$2:B$97,B90)+SUMIFS('月度底稿'!K$2:K$97,'月度底稿'!A$2:A$97,A90,'月度底稿'!B$2:B$97,B90)+SUMIFS('月度底稿'!L$2:L$97,'月度底稿'!A$2:A$97,A90,'月度底稿'!B$2:B$97,B90)+SUMIFS('月度底稿'!M$2:M$97,'月度底稿'!A$2:A$97,A90,'月度底稿'!B$2:B$97,B90)+SUMIFS('月度底稿'!N$2:N$97,'月度底稿'!A$2:A$97,A90,'月度底稿'!B$2:B$97,B90)</f>
        <v/>
      </c>
      <c r="E90" s="2">
        <f>SUMIFS('月度底稿'!P$2:P$97,'月度底稿'!A$2:A$97,A90,'月度底稿'!B$2:B$97,B90)+SUMIFS('月度底稿'!Q$2:Q$97,'月度底稿'!A$2:A$97,A90,'月度底稿'!B$2:B$97,B90)+SUMIFS('月度底稿'!R$2:R$97,'月度底稿'!A$2:A$97,A90,'月度底稿'!B$2:B$97,B90)+SUMIFS('月度底稿'!S$2:S$97,'月度底稿'!A$2:A$97,A90,'月度底稿'!B$2:B$97,B90)+SUMIFS('月度底稿'!T$2:T$97,'月度底稿'!A$2:A$97,A90,'月度底稿'!B$2:B$97,B90)</f>
        <v/>
      </c>
      <c r="F90" s="2">
        <f>D90-E90</f>
        <v/>
      </c>
      <c r="G90" s="2">
        <f>SUMIFS('月度底稿'!W$2:W$97,'月度底稿'!A$2:A$97,A90,'月度底稿'!B$2:B$97,B90)</f>
        <v/>
      </c>
      <c r="H90" s="2">
        <f>F90-G90</f>
        <v/>
      </c>
      <c r="I90" s="2">
        <f>SUMIFS('月度底稿'!O$2:O$97,'月度底稿'!A$2:A$97,A90,'月度底稿'!B$2:B$97,B90)-D90</f>
        <v/>
      </c>
      <c r="J90" s="2">
        <f>SUMIFS('月度底稿'!U$2:U$97,'月度底稿'!A$2:A$97,A90,'月度底稿'!B$2:B$97,B90)-E90</f>
        <v/>
      </c>
      <c r="K90" s="2">
        <f>SUMIFS('月度底稿'!V$2:V$97,'月度底稿'!A$2:A$97,A90,'月度底稿'!B$2:B$97,B90)-(D90-E90)</f>
        <v/>
      </c>
      <c r="L90" s="2">
        <f>SUMIFS('月度底稿'!W$2:W$97,'月度底稿'!A$2:A$97,A90,'月度底稿'!B$2:B$97,B90)-(SUMIFS('月度底稿'!V$2:V$97,'月度底稿'!A$2:A$97,A90,'月度底稿'!B$2:B$97,B90)-SUMIFS('月度底稿'!T$2:T$97,'月度底稿'!A$2:A$97,A90,'月度底稿'!B$2:B$97,B90))</f>
        <v/>
      </c>
    </row>
    <row r="91">
      <c r="A91" s="2" t="n">
        <v>12</v>
      </c>
      <c r="B91" s="2" t="n">
        <v>2</v>
      </c>
      <c r="C91" s="3" t="inlineStr">
        <is>
          <t>李四</t>
        </is>
      </c>
      <c r="D91" s="2">
        <f>SUMIFS('月度底稿'!H$2:H$97,'月度底稿'!A$2:A$97,A91,'月度底稿'!B$2:B$97,B91)+SUMIFS('月度底稿'!I$2:I$97,'月度底稿'!A$2:A$97,A91,'月度底稿'!B$2:B$97,B91)+SUMIFS('月度底稿'!J$2:J$97,'月度底稿'!A$2:A$97,A91,'月度底稿'!B$2:B$97,B91)+SUMIFS('月度底稿'!K$2:K$97,'月度底稿'!A$2:A$97,A91,'月度底稿'!B$2:B$97,B91)+SUMIFS('月度底稿'!L$2:L$97,'月度底稿'!A$2:A$97,A91,'月度底稿'!B$2:B$97,B91)+SUMIFS('月度底稿'!M$2:M$97,'月度底稿'!A$2:A$97,A91,'月度底稿'!B$2:B$97,B91)+SUMIFS('月度底稿'!N$2:N$97,'月度底稿'!A$2:A$97,A91,'月度底稿'!B$2:B$97,B91)</f>
        <v/>
      </c>
      <c r="E91" s="2">
        <f>SUMIFS('月度底稿'!P$2:P$97,'月度底稿'!A$2:A$97,A91,'月度底稿'!B$2:B$97,B91)+SUMIFS('月度底稿'!Q$2:Q$97,'月度底稿'!A$2:A$97,A91,'月度底稿'!B$2:B$97,B91)+SUMIFS('月度底稿'!R$2:R$97,'月度底稿'!A$2:A$97,A91,'月度底稿'!B$2:B$97,B91)+SUMIFS('月度底稿'!S$2:S$97,'月度底稿'!A$2:A$97,A91,'月度底稿'!B$2:B$97,B91)+SUMIFS('月度底稿'!T$2:T$97,'月度底稿'!A$2:A$97,A91,'月度底稿'!B$2:B$97,B91)</f>
        <v/>
      </c>
      <c r="F91" s="2">
        <f>D91-E91</f>
        <v/>
      </c>
      <c r="G91" s="2">
        <f>SUMIFS('月度底稿'!W$2:W$97,'月度底稿'!A$2:A$97,A91,'月度底稿'!B$2:B$97,B91)</f>
        <v/>
      </c>
      <c r="H91" s="2">
        <f>F91-G91</f>
        <v/>
      </c>
      <c r="I91" s="2">
        <f>SUMIFS('月度底稿'!O$2:O$97,'月度底稿'!A$2:A$97,A91,'月度底稿'!B$2:B$97,B91)-D91</f>
        <v/>
      </c>
      <c r="J91" s="2">
        <f>SUMIFS('月度底稿'!U$2:U$97,'月度底稿'!A$2:A$97,A91,'月度底稿'!B$2:B$97,B91)-E91</f>
        <v/>
      </c>
      <c r="K91" s="2">
        <f>SUMIFS('月度底稿'!V$2:V$97,'月度底稿'!A$2:A$97,A91,'月度底稿'!B$2:B$97,B91)-(D91-E91)</f>
        <v/>
      </c>
      <c r="L91" s="2">
        <f>SUMIFS('月度底稿'!W$2:W$97,'月度底稿'!A$2:A$97,A91,'月度底稿'!B$2:B$97,B91)-(SUMIFS('月度底稿'!V$2:V$97,'月度底稿'!A$2:A$97,A91,'月度底稿'!B$2:B$97,B91)-SUMIFS('月度底稿'!T$2:T$97,'月度底稿'!A$2:A$97,A91,'月度底稿'!B$2:B$97,B91))</f>
        <v/>
      </c>
    </row>
    <row r="92">
      <c r="A92" s="2" t="n">
        <v>12</v>
      </c>
      <c r="B92" s="2" t="n">
        <v>3</v>
      </c>
      <c r="C92" s="3" t="inlineStr">
        <is>
          <t>王五</t>
        </is>
      </c>
      <c r="D92" s="2">
        <f>SUMIFS('月度底稿'!H$2:H$97,'月度底稿'!A$2:A$97,A92,'月度底稿'!B$2:B$97,B92)+SUMIFS('月度底稿'!I$2:I$97,'月度底稿'!A$2:A$97,A92,'月度底稿'!B$2:B$97,B92)+SUMIFS('月度底稿'!J$2:J$97,'月度底稿'!A$2:A$97,A92,'月度底稿'!B$2:B$97,B92)+SUMIFS('月度底稿'!K$2:K$97,'月度底稿'!A$2:A$97,A92,'月度底稿'!B$2:B$97,B92)+SUMIFS('月度底稿'!L$2:L$97,'月度底稿'!A$2:A$97,A92,'月度底稿'!B$2:B$97,B92)+SUMIFS('月度底稿'!M$2:M$97,'月度底稿'!A$2:A$97,A92,'月度底稿'!B$2:B$97,B92)+SUMIFS('月度底稿'!N$2:N$97,'月度底稿'!A$2:A$97,A92,'月度底稿'!B$2:B$97,B92)</f>
        <v/>
      </c>
      <c r="E92" s="2">
        <f>SUMIFS('月度底稿'!P$2:P$97,'月度底稿'!A$2:A$97,A92,'月度底稿'!B$2:B$97,B92)+SUMIFS('月度底稿'!Q$2:Q$97,'月度底稿'!A$2:A$97,A92,'月度底稿'!B$2:B$97,B92)+SUMIFS('月度底稿'!R$2:R$97,'月度底稿'!A$2:A$97,A92,'月度底稿'!B$2:B$97,B92)+SUMIFS('月度底稿'!S$2:S$97,'月度底稿'!A$2:A$97,A92,'月度底稿'!B$2:B$97,B92)+SUMIFS('月度底稿'!T$2:T$97,'月度底稿'!A$2:A$97,A92,'月度底稿'!B$2:B$97,B92)</f>
        <v/>
      </c>
      <c r="F92" s="2">
        <f>D92-E92</f>
        <v/>
      </c>
      <c r="G92" s="2">
        <f>SUMIFS('月度底稿'!W$2:W$97,'月度底稿'!A$2:A$97,A92,'月度底稿'!B$2:B$97,B92)</f>
        <v/>
      </c>
      <c r="H92" s="2">
        <f>F92-G92</f>
        <v/>
      </c>
      <c r="I92" s="2">
        <f>SUMIFS('月度底稿'!O$2:O$97,'月度底稿'!A$2:A$97,A92,'月度底稿'!B$2:B$97,B92)-D92</f>
        <v/>
      </c>
      <c r="J92" s="2">
        <f>SUMIFS('月度底稿'!U$2:U$97,'月度底稿'!A$2:A$97,A92,'月度底稿'!B$2:B$97,B92)-E92</f>
        <v/>
      </c>
      <c r="K92" s="2">
        <f>SUMIFS('月度底稿'!V$2:V$97,'月度底稿'!A$2:A$97,A92,'月度底稿'!B$2:B$97,B92)-(D92-E92)</f>
        <v/>
      </c>
      <c r="L92" s="2">
        <f>SUMIFS('月度底稿'!W$2:W$97,'月度底稿'!A$2:A$97,A92,'月度底稿'!B$2:B$97,B92)-(SUMIFS('月度底稿'!V$2:V$97,'月度底稿'!A$2:A$97,A92,'月度底稿'!B$2:B$97,B92)-SUMIFS('月度底稿'!T$2:T$97,'月度底稿'!A$2:A$97,A92,'月度底稿'!B$2:B$97,B92))</f>
        <v/>
      </c>
    </row>
    <row r="93">
      <c r="A93" s="2" t="n">
        <v>12</v>
      </c>
      <c r="B93" s="2" t="n">
        <v>4</v>
      </c>
      <c r="C93" s="3" t="inlineStr">
        <is>
          <t>赵六</t>
        </is>
      </c>
      <c r="D93" s="2">
        <f>SUMIFS('月度底稿'!H$2:H$97,'月度底稿'!A$2:A$97,A93,'月度底稿'!B$2:B$97,B93)+SUMIFS('月度底稿'!I$2:I$97,'月度底稿'!A$2:A$97,A93,'月度底稿'!B$2:B$97,B93)+SUMIFS('月度底稿'!J$2:J$97,'月度底稿'!A$2:A$97,A93,'月度底稿'!B$2:B$97,B93)+SUMIFS('月度底稿'!K$2:K$97,'月度底稿'!A$2:A$97,A93,'月度底稿'!B$2:B$97,B93)+SUMIFS('月度底稿'!L$2:L$97,'月度底稿'!A$2:A$97,A93,'月度底稿'!B$2:B$97,B93)+SUMIFS('月度底稿'!M$2:M$97,'月度底稿'!A$2:A$97,A93,'月度底稿'!B$2:B$97,B93)+SUMIFS('月度底稿'!N$2:N$97,'月度底稿'!A$2:A$97,A93,'月度底稿'!B$2:B$97,B93)</f>
        <v/>
      </c>
      <c r="E93" s="2">
        <f>SUMIFS('月度底稿'!P$2:P$97,'月度底稿'!A$2:A$97,A93,'月度底稿'!B$2:B$97,B93)+SUMIFS('月度底稿'!Q$2:Q$97,'月度底稿'!A$2:A$97,A93,'月度底稿'!B$2:B$97,B93)+SUMIFS('月度底稿'!R$2:R$97,'月度底稿'!A$2:A$97,A93,'月度底稿'!B$2:B$97,B93)+SUMIFS('月度底稿'!S$2:S$97,'月度底稿'!A$2:A$97,A93,'月度底稿'!B$2:B$97,B93)+SUMIFS('月度底稿'!T$2:T$97,'月度底稿'!A$2:A$97,A93,'月度底稿'!B$2:B$97,B93)</f>
        <v/>
      </c>
      <c r="F93" s="2">
        <f>D93-E93</f>
        <v/>
      </c>
      <c r="G93" s="2">
        <f>SUMIFS('月度底稿'!W$2:W$97,'月度底稿'!A$2:A$97,A93,'月度底稿'!B$2:B$97,B93)</f>
        <v/>
      </c>
      <c r="H93" s="2">
        <f>F93-G93</f>
        <v/>
      </c>
      <c r="I93" s="2">
        <f>SUMIFS('月度底稿'!O$2:O$97,'月度底稿'!A$2:A$97,A93,'月度底稿'!B$2:B$97,B93)-D93</f>
        <v/>
      </c>
      <c r="J93" s="2">
        <f>SUMIFS('月度底稿'!U$2:U$97,'月度底稿'!A$2:A$97,A93,'月度底稿'!B$2:B$97,B93)-E93</f>
        <v/>
      </c>
      <c r="K93" s="2">
        <f>SUMIFS('月度底稿'!V$2:V$97,'月度底稿'!A$2:A$97,A93,'月度底稿'!B$2:B$97,B93)-(D93-E93)</f>
        <v/>
      </c>
      <c r="L93" s="2">
        <f>SUMIFS('月度底稿'!W$2:W$97,'月度底稿'!A$2:A$97,A93,'月度底稿'!B$2:B$97,B93)-(SUMIFS('月度底稿'!V$2:V$97,'月度底稿'!A$2:A$97,A93,'月度底稿'!B$2:B$97,B93)-SUMIFS('月度底稿'!T$2:T$97,'月度底稿'!A$2:A$97,A93,'月度底稿'!B$2:B$97,B93))</f>
        <v/>
      </c>
    </row>
    <row r="94">
      <c r="A94" s="2" t="n">
        <v>12</v>
      </c>
      <c r="B94" s="2" t="n">
        <v>5</v>
      </c>
      <c r="C94" s="3" t="inlineStr">
        <is>
          <t>孙七</t>
        </is>
      </c>
      <c r="D94" s="2">
        <f>SUMIFS('月度底稿'!H$2:H$97,'月度底稿'!A$2:A$97,A94,'月度底稿'!B$2:B$97,B94)+SUMIFS('月度底稿'!I$2:I$97,'月度底稿'!A$2:A$97,A94,'月度底稿'!B$2:B$97,B94)+SUMIFS('月度底稿'!J$2:J$97,'月度底稿'!A$2:A$97,A94,'月度底稿'!B$2:B$97,B94)+SUMIFS('月度底稿'!K$2:K$97,'月度底稿'!A$2:A$97,A94,'月度底稿'!B$2:B$97,B94)+SUMIFS('月度底稿'!L$2:L$97,'月度底稿'!A$2:A$97,A94,'月度底稿'!B$2:B$97,B94)+SUMIFS('月度底稿'!M$2:M$97,'月度底稿'!A$2:A$97,A94,'月度底稿'!B$2:B$97,B94)+SUMIFS('月度底稿'!N$2:N$97,'月度底稿'!A$2:A$97,A94,'月度底稿'!B$2:B$97,B94)</f>
        <v/>
      </c>
      <c r="E94" s="2">
        <f>SUMIFS('月度底稿'!P$2:P$97,'月度底稿'!A$2:A$97,A94,'月度底稿'!B$2:B$97,B94)+SUMIFS('月度底稿'!Q$2:Q$97,'月度底稿'!A$2:A$97,A94,'月度底稿'!B$2:B$97,B94)+SUMIFS('月度底稿'!R$2:R$97,'月度底稿'!A$2:A$97,A94,'月度底稿'!B$2:B$97,B94)+SUMIFS('月度底稿'!S$2:S$97,'月度底稿'!A$2:A$97,A94,'月度底稿'!B$2:B$97,B94)+SUMIFS('月度底稿'!T$2:T$97,'月度底稿'!A$2:A$97,A94,'月度底稿'!B$2:B$97,B94)</f>
        <v/>
      </c>
      <c r="F94" s="2">
        <f>D94-E94</f>
        <v/>
      </c>
      <c r="G94" s="2">
        <f>SUMIFS('月度底稿'!W$2:W$97,'月度底稿'!A$2:A$97,A94,'月度底稿'!B$2:B$97,B94)</f>
        <v/>
      </c>
      <c r="H94" s="2">
        <f>F94-G94</f>
        <v/>
      </c>
      <c r="I94" s="2">
        <f>SUMIFS('月度底稿'!O$2:O$97,'月度底稿'!A$2:A$97,A94,'月度底稿'!B$2:B$97,B94)-D94</f>
        <v/>
      </c>
      <c r="J94" s="2">
        <f>SUMIFS('月度底稿'!U$2:U$97,'月度底稿'!A$2:A$97,A94,'月度底稿'!B$2:B$97,B94)-E94</f>
        <v/>
      </c>
      <c r="K94" s="2">
        <f>SUMIFS('月度底稿'!V$2:V$97,'月度底稿'!A$2:A$97,A94,'月度底稿'!B$2:B$97,B94)-(D94-E94)</f>
        <v/>
      </c>
      <c r="L94" s="2">
        <f>SUMIFS('月度底稿'!W$2:W$97,'月度底稿'!A$2:A$97,A94,'月度底稿'!B$2:B$97,B94)-(SUMIFS('月度底稿'!V$2:V$97,'月度底稿'!A$2:A$97,A94,'月度底稿'!B$2:B$97,B94)-SUMIFS('月度底稿'!T$2:T$97,'月度底稿'!A$2:A$97,A94,'月度底稿'!B$2:B$97,B94))</f>
        <v/>
      </c>
    </row>
    <row r="95">
      <c r="A95" s="2" t="n">
        <v>12</v>
      </c>
      <c r="B95" s="2" t="n">
        <v>6</v>
      </c>
      <c r="C95" s="3" t="inlineStr">
        <is>
          <t>周八</t>
        </is>
      </c>
      <c r="D95" s="2">
        <f>SUMIFS('月度底稿'!H$2:H$97,'月度底稿'!A$2:A$97,A95,'月度底稿'!B$2:B$97,B95)+SUMIFS('月度底稿'!I$2:I$97,'月度底稿'!A$2:A$97,A95,'月度底稿'!B$2:B$97,B95)+SUMIFS('月度底稿'!J$2:J$97,'月度底稿'!A$2:A$97,A95,'月度底稿'!B$2:B$97,B95)+SUMIFS('月度底稿'!K$2:K$97,'月度底稿'!A$2:A$97,A95,'月度底稿'!B$2:B$97,B95)+SUMIFS('月度底稿'!L$2:L$97,'月度底稿'!A$2:A$97,A95,'月度底稿'!B$2:B$97,B95)+SUMIFS('月度底稿'!M$2:M$97,'月度底稿'!A$2:A$97,A95,'月度底稿'!B$2:B$97,B95)+SUMIFS('月度底稿'!N$2:N$97,'月度底稿'!A$2:A$97,A95,'月度底稿'!B$2:B$97,B95)</f>
        <v/>
      </c>
      <c r="E95" s="2">
        <f>SUMIFS('月度底稿'!P$2:P$97,'月度底稿'!A$2:A$97,A95,'月度底稿'!B$2:B$97,B95)+SUMIFS('月度底稿'!Q$2:Q$97,'月度底稿'!A$2:A$97,A95,'月度底稿'!B$2:B$97,B95)+SUMIFS('月度底稿'!R$2:R$97,'月度底稿'!A$2:A$97,A95,'月度底稿'!B$2:B$97,B95)+SUMIFS('月度底稿'!S$2:S$97,'月度底稿'!A$2:A$97,A95,'月度底稿'!B$2:B$97,B95)+SUMIFS('月度底稿'!T$2:T$97,'月度底稿'!A$2:A$97,A95,'月度底稿'!B$2:B$97,B95)</f>
        <v/>
      </c>
      <c r="F95" s="2">
        <f>D95-E95</f>
        <v/>
      </c>
      <c r="G95" s="2">
        <f>SUMIFS('月度底稿'!W$2:W$97,'月度底稿'!A$2:A$97,A95,'月度底稿'!B$2:B$97,B95)</f>
        <v/>
      </c>
      <c r="H95" s="2">
        <f>F95-G95</f>
        <v/>
      </c>
      <c r="I95" s="2">
        <f>SUMIFS('月度底稿'!O$2:O$97,'月度底稿'!A$2:A$97,A95,'月度底稿'!B$2:B$97,B95)-D95</f>
        <v/>
      </c>
      <c r="J95" s="2">
        <f>SUMIFS('月度底稿'!U$2:U$97,'月度底稿'!A$2:A$97,A95,'月度底稿'!B$2:B$97,B95)-E95</f>
        <v/>
      </c>
      <c r="K95" s="2">
        <f>SUMIFS('月度底稿'!V$2:V$97,'月度底稿'!A$2:A$97,A95,'月度底稿'!B$2:B$97,B95)-(D95-E95)</f>
        <v/>
      </c>
      <c r="L95" s="2">
        <f>SUMIFS('月度底稿'!W$2:W$97,'月度底稿'!A$2:A$97,A95,'月度底稿'!B$2:B$97,B95)-(SUMIFS('月度底稿'!V$2:V$97,'月度底稿'!A$2:A$97,A95,'月度底稿'!B$2:B$97,B95)-SUMIFS('月度底稿'!T$2:T$97,'月度底稿'!A$2:A$97,A95,'月度底稿'!B$2:B$97,B95))</f>
        <v/>
      </c>
    </row>
    <row r="96">
      <c r="A96" s="2" t="n">
        <v>12</v>
      </c>
      <c r="B96" s="2" t="n">
        <v>7</v>
      </c>
      <c r="C96" s="3" t="inlineStr">
        <is>
          <t>吴九</t>
        </is>
      </c>
      <c r="D96" s="2">
        <f>SUMIFS('月度底稿'!H$2:H$97,'月度底稿'!A$2:A$97,A96,'月度底稿'!B$2:B$97,B96)+SUMIFS('月度底稿'!I$2:I$97,'月度底稿'!A$2:A$97,A96,'月度底稿'!B$2:B$97,B96)+SUMIFS('月度底稿'!J$2:J$97,'月度底稿'!A$2:A$97,A96,'月度底稿'!B$2:B$97,B96)+SUMIFS('月度底稿'!K$2:K$97,'月度底稿'!A$2:A$97,A96,'月度底稿'!B$2:B$97,B96)+SUMIFS('月度底稿'!L$2:L$97,'月度底稿'!A$2:A$97,A96,'月度底稿'!B$2:B$97,B96)+SUMIFS('月度底稿'!M$2:M$97,'月度底稿'!A$2:A$97,A96,'月度底稿'!B$2:B$97,B96)+SUMIFS('月度底稿'!N$2:N$97,'月度底稿'!A$2:A$97,A96,'月度底稿'!B$2:B$97,B96)</f>
        <v/>
      </c>
      <c r="E96" s="2">
        <f>SUMIFS('月度底稿'!P$2:P$97,'月度底稿'!A$2:A$97,A96,'月度底稿'!B$2:B$97,B96)+SUMIFS('月度底稿'!Q$2:Q$97,'月度底稿'!A$2:A$97,A96,'月度底稿'!B$2:B$97,B96)+SUMIFS('月度底稿'!R$2:R$97,'月度底稿'!A$2:A$97,A96,'月度底稿'!B$2:B$97,B96)+SUMIFS('月度底稿'!S$2:S$97,'月度底稿'!A$2:A$97,A96,'月度底稿'!B$2:B$97,B96)+SUMIFS('月度底稿'!T$2:T$97,'月度底稿'!A$2:A$97,A96,'月度底稿'!B$2:B$97,B96)</f>
        <v/>
      </c>
      <c r="F96" s="2">
        <f>D96-E96</f>
        <v/>
      </c>
      <c r="G96" s="2">
        <f>SUMIFS('月度底稿'!W$2:W$97,'月度底稿'!A$2:A$97,A96,'月度底稿'!B$2:B$97,B96)</f>
        <v/>
      </c>
      <c r="H96" s="2">
        <f>F96-G96</f>
        <v/>
      </c>
      <c r="I96" s="2">
        <f>SUMIFS('月度底稿'!O$2:O$97,'月度底稿'!A$2:A$97,A96,'月度底稿'!B$2:B$97,B96)-D96</f>
        <v/>
      </c>
      <c r="J96" s="2">
        <f>SUMIFS('月度底稿'!U$2:U$97,'月度底稿'!A$2:A$97,A96,'月度底稿'!B$2:B$97,B96)-E96</f>
        <v/>
      </c>
      <c r="K96" s="2">
        <f>SUMIFS('月度底稿'!V$2:V$97,'月度底稿'!A$2:A$97,A96,'月度底稿'!B$2:B$97,B96)-(D96-E96)</f>
        <v/>
      </c>
      <c r="L96" s="2">
        <f>SUMIFS('月度底稿'!W$2:W$97,'月度底稿'!A$2:A$97,A96,'月度底稿'!B$2:B$97,B96)-(SUMIFS('月度底稿'!V$2:V$97,'月度底稿'!A$2:A$97,A96,'月度底稿'!B$2:B$97,B96)-SUMIFS('月度底稿'!T$2:T$97,'月度底稿'!A$2:A$97,A96,'月度底稿'!B$2:B$97,B96))</f>
        <v/>
      </c>
    </row>
    <row r="97">
      <c r="A97" s="2" t="n">
        <v>12</v>
      </c>
      <c r="B97" s="2" t="n">
        <v>8</v>
      </c>
      <c r="C97" s="3" t="inlineStr">
        <is>
          <t>郑十</t>
        </is>
      </c>
      <c r="D97" s="2">
        <f>SUMIFS('月度底稿'!H$2:H$97,'月度底稿'!A$2:A$97,A97,'月度底稿'!B$2:B$97,B97)+SUMIFS('月度底稿'!I$2:I$97,'月度底稿'!A$2:A$97,A97,'月度底稿'!B$2:B$97,B97)+SUMIFS('月度底稿'!J$2:J$97,'月度底稿'!A$2:A$97,A97,'月度底稿'!B$2:B$97,B97)+SUMIFS('月度底稿'!K$2:K$97,'月度底稿'!A$2:A$97,A97,'月度底稿'!B$2:B$97,B97)+SUMIFS('月度底稿'!L$2:L$97,'月度底稿'!A$2:A$97,A97,'月度底稿'!B$2:B$97,B97)+SUMIFS('月度底稿'!M$2:M$97,'月度底稿'!A$2:A$97,A97,'月度底稿'!B$2:B$97,B97)+SUMIFS('月度底稿'!N$2:N$97,'月度底稿'!A$2:A$97,A97,'月度底稿'!B$2:B$97,B97)</f>
        <v/>
      </c>
      <c r="E97" s="2">
        <f>SUMIFS('月度底稿'!P$2:P$97,'月度底稿'!A$2:A$97,A97,'月度底稿'!B$2:B$97,B97)+SUMIFS('月度底稿'!Q$2:Q$97,'月度底稿'!A$2:A$97,A97,'月度底稿'!B$2:B$97,B97)+SUMIFS('月度底稿'!R$2:R$97,'月度底稿'!A$2:A$97,A97,'月度底稿'!B$2:B$97,B97)+SUMIFS('月度底稿'!S$2:S$97,'月度底稿'!A$2:A$97,A97,'月度底稿'!B$2:B$97,B97)+SUMIFS('月度底稿'!T$2:T$97,'月度底稿'!A$2:A$97,A97,'月度底稿'!B$2:B$97,B97)</f>
        <v/>
      </c>
      <c r="F97" s="2">
        <f>D97-E97</f>
        <v/>
      </c>
      <c r="G97" s="2">
        <f>SUMIFS('月度底稿'!W$2:W$97,'月度底稿'!A$2:A$97,A97,'月度底稿'!B$2:B$97,B97)</f>
        <v/>
      </c>
      <c r="H97" s="2">
        <f>F97-G97</f>
        <v/>
      </c>
      <c r="I97" s="2">
        <f>SUMIFS('月度底稿'!O$2:O$97,'月度底稿'!A$2:A$97,A97,'月度底稿'!B$2:B$97,B97)-D97</f>
        <v/>
      </c>
      <c r="J97" s="2">
        <f>SUMIFS('月度底稿'!U$2:U$97,'月度底稿'!A$2:A$97,A97,'月度底稿'!B$2:B$97,B97)-E97</f>
        <v/>
      </c>
      <c r="K97" s="2">
        <f>SUMIFS('月度底稿'!V$2:V$97,'月度底稿'!A$2:A$97,A97,'月度底稿'!B$2:B$97,B97)-(D97-E97)</f>
        <v/>
      </c>
      <c r="L97" s="2">
        <f>SUMIFS('月度底稿'!W$2:W$97,'月度底稿'!A$2:A$97,A97,'月度底稿'!B$2:B$97,B97)-(SUMIFS('月度底稿'!V$2:V$97,'月度底稿'!A$2:A$97,A97,'月度底稿'!B$2:B$97,B97)-SUMIFS('月度底稿'!T$2:T$97,'月度底稿'!A$2:A$97,A97,'月度底稿'!B$2:B$97,B97))</f>
        <v/>
      </c>
    </row>
  </sheetData>
  <autoFilter ref="A1:L97"/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序号</t>
        </is>
      </c>
      <c r="B1" s="1" t="inlineStr">
        <is>
          <t>姓名</t>
        </is>
      </c>
      <c r="C1" s="1" t="inlineStr">
        <is>
          <t>部门</t>
        </is>
      </c>
      <c r="D1" s="1" t="inlineStr">
        <is>
          <t>原实发合计</t>
        </is>
      </c>
      <c r="E1" s="1" t="inlineStr">
        <is>
          <t>源年度Q</t>
        </is>
      </c>
      <c r="F1" s="1" t="inlineStr">
        <is>
          <t>勾稽差额</t>
        </is>
      </c>
      <c r="G1" s="1" t="inlineStr">
        <is>
          <t>重算应发</t>
        </is>
      </c>
      <c r="H1" s="1" t="inlineStr">
        <is>
          <t>单次扣款情景</t>
        </is>
      </c>
      <c r="I1" s="1" t="inlineStr">
        <is>
          <t>情景增额</t>
        </is>
      </c>
      <c r="J1" s="1" t="inlineStr">
        <is>
          <t>月均实发</t>
        </is>
      </c>
      <c r="K1" s="1" t="inlineStr">
        <is>
          <t>最低月实发</t>
        </is>
      </c>
      <c r="L1" s="1" t="inlineStr">
        <is>
          <t>最高月实发</t>
        </is>
      </c>
      <c r="M1" s="1" t="inlineStr">
        <is>
          <t>极差</t>
        </is>
      </c>
      <c r="N1" s="1" t="inlineStr">
        <is>
          <t>总体标准差</t>
        </is>
      </c>
      <c r="O1" s="1" t="inlineStr">
        <is>
          <t>变异系数</t>
        </is>
      </c>
    </row>
    <row r="2">
      <c r="A2" s="2" t="n">
        <v>1</v>
      </c>
      <c r="B2" s="3" t="inlineStr">
        <is>
          <t>张三</t>
        </is>
      </c>
      <c r="C2" s="3" t="inlineStr">
        <is>
          <t>技术部</t>
        </is>
      </c>
      <c r="D2" s="2">
        <f>SUMIF('月度勾稽'!B$2:B$97,A2,'月度勾稽'!G$2:G$97)</f>
        <v/>
      </c>
      <c r="E2" s="2">
        <f>SUMIF('年度底稿'!A$2:A$9,A2,'年度底稿'!Q$2:Q$9)</f>
        <v/>
      </c>
      <c r="F2" s="2">
        <f>D2-E2</f>
        <v/>
      </c>
      <c r="G2" s="2">
        <f>SUMIF('月度勾稽'!B$2:B$97,A2,'月度勾稽'!D$2:D$97)</f>
        <v/>
      </c>
      <c r="H2" s="2">
        <f>SUMIF('月度勾稽'!B$2:B$97,A2,'月度勾稽'!F$2:F$97)</f>
        <v/>
      </c>
      <c r="I2" s="2">
        <f>H2-D2</f>
        <v/>
      </c>
      <c r="J2" s="2">
        <f>D2/12</f>
        <v/>
      </c>
      <c r="K2" s="2">
        <f>MIN(SUMIFS('月度勾稽'!G$2:G$97,'月度勾稽'!B$2:B$97,A2,'月度勾稽'!A$2:A$97,1),SUMIFS('月度勾稽'!G$2:G$97,'月度勾稽'!B$2:B$97,A2,'月度勾稽'!A$2:A$97,2),SUMIFS('月度勾稽'!G$2:G$97,'月度勾稽'!B$2:B$97,A2,'月度勾稽'!A$2:A$97,3),SUMIFS('月度勾稽'!G$2:G$97,'月度勾稽'!B$2:B$97,A2,'月度勾稽'!A$2:A$97,4),SUMIFS('月度勾稽'!G$2:G$97,'月度勾稽'!B$2:B$97,A2,'月度勾稽'!A$2:A$97,5),SUMIFS('月度勾稽'!G$2:G$97,'月度勾稽'!B$2:B$97,A2,'月度勾稽'!A$2:A$97,6),SUMIFS('月度勾稽'!G$2:G$97,'月度勾稽'!B$2:B$97,A2,'月度勾稽'!A$2:A$97,7),SUMIFS('月度勾稽'!G$2:G$97,'月度勾稽'!B$2:B$97,A2,'月度勾稽'!A$2:A$97,8),SUMIFS('月度勾稽'!G$2:G$97,'月度勾稽'!B$2:B$97,A2,'月度勾稽'!A$2:A$97,9),SUMIFS('月度勾稽'!G$2:G$97,'月度勾稽'!B$2:B$97,A2,'月度勾稽'!A$2:A$97,10),SUMIFS('月度勾稽'!G$2:G$97,'月度勾稽'!B$2:B$97,A2,'月度勾稽'!A$2:A$97,11),SUMIFS('月度勾稽'!G$2:G$97,'月度勾稽'!B$2:B$97,A2,'月度勾稽'!A$2:A$97,12))</f>
        <v/>
      </c>
      <c r="L2" s="2">
        <f>MAX(SUMIFS('月度勾稽'!G$2:G$97,'月度勾稽'!B$2:B$97,A2,'月度勾稽'!A$2:A$97,1),SUMIFS('月度勾稽'!G$2:G$97,'月度勾稽'!B$2:B$97,A2,'月度勾稽'!A$2:A$97,2),SUMIFS('月度勾稽'!G$2:G$97,'月度勾稽'!B$2:B$97,A2,'月度勾稽'!A$2:A$97,3),SUMIFS('月度勾稽'!G$2:G$97,'月度勾稽'!B$2:B$97,A2,'月度勾稽'!A$2:A$97,4),SUMIFS('月度勾稽'!G$2:G$97,'月度勾稽'!B$2:B$97,A2,'月度勾稽'!A$2:A$97,5),SUMIFS('月度勾稽'!G$2:G$97,'月度勾稽'!B$2:B$97,A2,'月度勾稽'!A$2:A$97,6),SUMIFS('月度勾稽'!G$2:G$97,'月度勾稽'!B$2:B$97,A2,'月度勾稽'!A$2:A$97,7),SUMIFS('月度勾稽'!G$2:G$97,'月度勾稽'!B$2:B$97,A2,'月度勾稽'!A$2:A$97,8),SUMIFS('月度勾稽'!G$2:G$97,'月度勾稽'!B$2:B$97,A2,'月度勾稽'!A$2:A$97,9),SUMIFS('月度勾稽'!G$2:G$97,'月度勾稽'!B$2:B$97,A2,'月度勾稽'!A$2:A$97,10),SUMIFS('月度勾稽'!G$2:G$97,'月度勾稽'!B$2:B$97,A2,'月度勾稽'!A$2:A$97,11),SUMIFS('月度勾稽'!G$2:G$97,'月度勾稽'!B$2:B$97,A2,'月度勾稽'!A$2:A$97,12))</f>
        <v/>
      </c>
      <c r="M2" s="2">
        <f>L2-K2</f>
        <v/>
      </c>
      <c r="N2" s="2">
        <f>STDEVP(SUMIFS('月度勾稽'!G$2:G$97,'月度勾稽'!B$2:B$97,A2,'月度勾稽'!A$2:A$97,1),SUMIFS('月度勾稽'!G$2:G$97,'月度勾稽'!B$2:B$97,A2,'月度勾稽'!A$2:A$97,2),SUMIFS('月度勾稽'!G$2:G$97,'月度勾稽'!B$2:B$97,A2,'月度勾稽'!A$2:A$97,3),SUMIFS('月度勾稽'!G$2:G$97,'月度勾稽'!B$2:B$97,A2,'月度勾稽'!A$2:A$97,4),SUMIFS('月度勾稽'!G$2:G$97,'月度勾稽'!B$2:B$97,A2,'月度勾稽'!A$2:A$97,5),SUMIFS('月度勾稽'!G$2:G$97,'月度勾稽'!B$2:B$97,A2,'月度勾稽'!A$2:A$97,6),SUMIFS('月度勾稽'!G$2:G$97,'月度勾稽'!B$2:B$97,A2,'月度勾稽'!A$2:A$97,7),SUMIFS('月度勾稽'!G$2:G$97,'月度勾稽'!B$2:B$97,A2,'月度勾稽'!A$2:A$97,8),SUMIFS('月度勾稽'!G$2:G$97,'月度勾稽'!B$2:B$97,A2,'月度勾稽'!A$2:A$97,9),SUMIFS('月度勾稽'!G$2:G$97,'月度勾稽'!B$2:B$97,A2,'月度勾稽'!A$2:A$97,10),SUMIFS('月度勾稽'!G$2:G$97,'月度勾稽'!B$2:B$97,A2,'月度勾稽'!A$2:A$97,11),SUMIFS('月度勾稽'!G$2:G$97,'月度勾稽'!B$2:B$97,A2,'月度勾稽'!A$2:A$97,12))</f>
        <v/>
      </c>
      <c r="O2" s="2">
        <f>N2/J2</f>
        <v/>
      </c>
    </row>
    <row r="3">
      <c r="A3" s="2" t="n">
        <v>2</v>
      </c>
      <c r="B3" s="3" t="inlineStr">
        <is>
          <t>李四</t>
        </is>
      </c>
      <c r="C3" s="3" t="inlineStr">
        <is>
          <t>财务部</t>
        </is>
      </c>
      <c r="D3" s="2">
        <f>SUMIF('月度勾稽'!B$2:B$97,A3,'月度勾稽'!G$2:G$97)</f>
        <v/>
      </c>
      <c r="E3" s="2">
        <f>SUMIF('年度底稿'!A$2:A$9,A3,'年度底稿'!Q$2:Q$9)</f>
        <v/>
      </c>
      <c r="F3" s="2">
        <f>D3-E3</f>
        <v/>
      </c>
      <c r="G3" s="2">
        <f>SUMIF('月度勾稽'!B$2:B$97,A3,'月度勾稽'!D$2:D$97)</f>
        <v/>
      </c>
      <c r="H3" s="2">
        <f>SUMIF('月度勾稽'!B$2:B$97,A3,'月度勾稽'!F$2:F$97)</f>
        <v/>
      </c>
      <c r="I3" s="2">
        <f>H3-D3</f>
        <v/>
      </c>
      <c r="J3" s="2">
        <f>D3/12</f>
        <v/>
      </c>
      <c r="K3" s="2">
        <f>MIN(SUMIFS('月度勾稽'!G$2:G$97,'月度勾稽'!B$2:B$97,A3,'月度勾稽'!A$2:A$97,1),SUMIFS('月度勾稽'!G$2:G$97,'月度勾稽'!B$2:B$97,A3,'月度勾稽'!A$2:A$97,2),SUMIFS('月度勾稽'!G$2:G$97,'月度勾稽'!B$2:B$97,A3,'月度勾稽'!A$2:A$97,3),SUMIFS('月度勾稽'!G$2:G$97,'月度勾稽'!B$2:B$97,A3,'月度勾稽'!A$2:A$97,4),SUMIFS('月度勾稽'!G$2:G$97,'月度勾稽'!B$2:B$97,A3,'月度勾稽'!A$2:A$97,5),SUMIFS('月度勾稽'!G$2:G$97,'月度勾稽'!B$2:B$97,A3,'月度勾稽'!A$2:A$97,6),SUMIFS('月度勾稽'!G$2:G$97,'月度勾稽'!B$2:B$97,A3,'月度勾稽'!A$2:A$97,7),SUMIFS('月度勾稽'!G$2:G$97,'月度勾稽'!B$2:B$97,A3,'月度勾稽'!A$2:A$97,8),SUMIFS('月度勾稽'!G$2:G$97,'月度勾稽'!B$2:B$97,A3,'月度勾稽'!A$2:A$97,9),SUMIFS('月度勾稽'!G$2:G$97,'月度勾稽'!B$2:B$97,A3,'月度勾稽'!A$2:A$97,10),SUMIFS('月度勾稽'!G$2:G$97,'月度勾稽'!B$2:B$97,A3,'月度勾稽'!A$2:A$97,11),SUMIFS('月度勾稽'!G$2:G$97,'月度勾稽'!B$2:B$97,A3,'月度勾稽'!A$2:A$97,12))</f>
        <v/>
      </c>
      <c r="L3" s="2">
        <f>MAX(SUMIFS('月度勾稽'!G$2:G$97,'月度勾稽'!B$2:B$97,A3,'月度勾稽'!A$2:A$97,1),SUMIFS('月度勾稽'!G$2:G$97,'月度勾稽'!B$2:B$97,A3,'月度勾稽'!A$2:A$97,2),SUMIFS('月度勾稽'!G$2:G$97,'月度勾稽'!B$2:B$97,A3,'月度勾稽'!A$2:A$97,3),SUMIFS('月度勾稽'!G$2:G$97,'月度勾稽'!B$2:B$97,A3,'月度勾稽'!A$2:A$97,4),SUMIFS('月度勾稽'!G$2:G$97,'月度勾稽'!B$2:B$97,A3,'月度勾稽'!A$2:A$97,5),SUMIFS('月度勾稽'!G$2:G$97,'月度勾稽'!B$2:B$97,A3,'月度勾稽'!A$2:A$97,6),SUMIFS('月度勾稽'!G$2:G$97,'月度勾稽'!B$2:B$97,A3,'月度勾稽'!A$2:A$97,7),SUMIFS('月度勾稽'!G$2:G$97,'月度勾稽'!B$2:B$97,A3,'月度勾稽'!A$2:A$97,8),SUMIFS('月度勾稽'!G$2:G$97,'月度勾稽'!B$2:B$97,A3,'月度勾稽'!A$2:A$97,9),SUMIFS('月度勾稽'!G$2:G$97,'月度勾稽'!B$2:B$97,A3,'月度勾稽'!A$2:A$97,10),SUMIFS('月度勾稽'!G$2:G$97,'月度勾稽'!B$2:B$97,A3,'月度勾稽'!A$2:A$97,11),SUMIFS('月度勾稽'!G$2:G$97,'月度勾稽'!B$2:B$97,A3,'月度勾稽'!A$2:A$97,12))</f>
        <v/>
      </c>
      <c r="M3" s="2">
        <f>L3-K3</f>
        <v/>
      </c>
      <c r="N3" s="2">
        <f>STDEVP(SUMIFS('月度勾稽'!G$2:G$97,'月度勾稽'!B$2:B$97,A3,'月度勾稽'!A$2:A$97,1),SUMIFS('月度勾稽'!G$2:G$97,'月度勾稽'!B$2:B$97,A3,'月度勾稽'!A$2:A$97,2),SUMIFS('月度勾稽'!G$2:G$97,'月度勾稽'!B$2:B$97,A3,'月度勾稽'!A$2:A$97,3),SUMIFS('月度勾稽'!G$2:G$97,'月度勾稽'!B$2:B$97,A3,'月度勾稽'!A$2:A$97,4),SUMIFS('月度勾稽'!G$2:G$97,'月度勾稽'!B$2:B$97,A3,'月度勾稽'!A$2:A$97,5),SUMIFS('月度勾稽'!G$2:G$97,'月度勾稽'!B$2:B$97,A3,'月度勾稽'!A$2:A$97,6),SUMIFS('月度勾稽'!G$2:G$97,'月度勾稽'!B$2:B$97,A3,'月度勾稽'!A$2:A$97,7),SUMIFS('月度勾稽'!G$2:G$97,'月度勾稽'!B$2:B$97,A3,'月度勾稽'!A$2:A$97,8),SUMIFS('月度勾稽'!G$2:G$97,'月度勾稽'!B$2:B$97,A3,'月度勾稽'!A$2:A$97,9),SUMIFS('月度勾稽'!G$2:G$97,'月度勾稽'!B$2:B$97,A3,'月度勾稽'!A$2:A$97,10),SUMIFS('月度勾稽'!G$2:G$97,'月度勾稽'!B$2:B$97,A3,'月度勾稽'!A$2:A$97,11),SUMIFS('月度勾稽'!G$2:G$97,'月度勾稽'!B$2:B$97,A3,'月度勾稽'!A$2:A$97,12))</f>
        <v/>
      </c>
      <c r="O3" s="2">
        <f>N3/J3</f>
        <v/>
      </c>
    </row>
    <row r="4">
      <c r="A4" s="2" t="n">
        <v>3</v>
      </c>
      <c r="B4" s="3" t="inlineStr">
        <is>
          <t>王五</t>
        </is>
      </c>
      <c r="C4" s="3" t="inlineStr">
        <is>
          <t>销售部</t>
        </is>
      </c>
      <c r="D4" s="2">
        <f>SUMIF('月度勾稽'!B$2:B$97,A4,'月度勾稽'!G$2:G$97)</f>
        <v/>
      </c>
      <c r="E4" s="2">
        <f>SUMIF('年度底稿'!A$2:A$9,A4,'年度底稿'!Q$2:Q$9)</f>
        <v/>
      </c>
      <c r="F4" s="2">
        <f>D4-E4</f>
        <v/>
      </c>
      <c r="G4" s="2">
        <f>SUMIF('月度勾稽'!B$2:B$97,A4,'月度勾稽'!D$2:D$97)</f>
        <v/>
      </c>
      <c r="H4" s="2">
        <f>SUMIF('月度勾稽'!B$2:B$97,A4,'月度勾稽'!F$2:F$97)</f>
        <v/>
      </c>
      <c r="I4" s="2">
        <f>H4-D4</f>
        <v/>
      </c>
      <c r="J4" s="2">
        <f>D4/12</f>
        <v/>
      </c>
      <c r="K4" s="2">
        <f>MIN(SUMIFS('月度勾稽'!G$2:G$97,'月度勾稽'!B$2:B$97,A4,'月度勾稽'!A$2:A$97,1),SUMIFS('月度勾稽'!G$2:G$97,'月度勾稽'!B$2:B$97,A4,'月度勾稽'!A$2:A$97,2),SUMIFS('月度勾稽'!G$2:G$97,'月度勾稽'!B$2:B$97,A4,'月度勾稽'!A$2:A$97,3),SUMIFS('月度勾稽'!G$2:G$97,'月度勾稽'!B$2:B$97,A4,'月度勾稽'!A$2:A$97,4),SUMIFS('月度勾稽'!G$2:G$97,'月度勾稽'!B$2:B$97,A4,'月度勾稽'!A$2:A$97,5),SUMIFS('月度勾稽'!G$2:G$97,'月度勾稽'!B$2:B$97,A4,'月度勾稽'!A$2:A$97,6),SUMIFS('月度勾稽'!G$2:G$97,'月度勾稽'!B$2:B$97,A4,'月度勾稽'!A$2:A$97,7),SUMIFS('月度勾稽'!G$2:G$97,'月度勾稽'!B$2:B$97,A4,'月度勾稽'!A$2:A$97,8),SUMIFS('月度勾稽'!G$2:G$97,'月度勾稽'!B$2:B$97,A4,'月度勾稽'!A$2:A$97,9),SUMIFS('月度勾稽'!G$2:G$97,'月度勾稽'!B$2:B$97,A4,'月度勾稽'!A$2:A$97,10),SUMIFS('月度勾稽'!G$2:G$97,'月度勾稽'!B$2:B$97,A4,'月度勾稽'!A$2:A$97,11),SUMIFS('月度勾稽'!G$2:G$97,'月度勾稽'!B$2:B$97,A4,'月度勾稽'!A$2:A$97,12))</f>
        <v/>
      </c>
      <c r="L4" s="2">
        <f>MAX(SUMIFS('月度勾稽'!G$2:G$97,'月度勾稽'!B$2:B$97,A4,'月度勾稽'!A$2:A$97,1),SUMIFS('月度勾稽'!G$2:G$97,'月度勾稽'!B$2:B$97,A4,'月度勾稽'!A$2:A$97,2),SUMIFS('月度勾稽'!G$2:G$97,'月度勾稽'!B$2:B$97,A4,'月度勾稽'!A$2:A$97,3),SUMIFS('月度勾稽'!G$2:G$97,'月度勾稽'!B$2:B$97,A4,'月度勾稽'!A$2:A$97,4),SUMIFS('月度勾稽'!G$2:G$97,'月度勾稽'!B$2:B$97,A4,'月度勾稽'!A$2:A$97,5),SUMIFS('月度勾稽'!G$2:G$97,'月度勾稽'!B$2:B$97,A4,'月度勾稽'!A$2:A$97,6),SUMIFS('月度勾稽'!G$2:G$97,'月度勾稽'!B$2:B$97,A4,'月度勾稽'!A$2:A$97,7),SUMIFS('月度勾稽'!G$2:G$97,'月度勾稽'!B$2:B$97,A4,'月度勾稽'!A$2:A$97,8),SUMIFS('月度勾稽'!G$2:G$97,'月度勾稽'!B$2:B$97,A4,'月度勾稽'!A$2:A$97,9),SUMIFS('月度勾稽'!G$2:G$97,'月度勾稽'!B$2:B$97,A4,'月度勾稽'!A$2:A$97,10),SUMIFS('月度勾稽'!G$2:G$97,'月度勾稽'!B$2:B$97,A4,'月度勾稽'!A$2:A$97,11),SUMIFS('月度勾稽'!G$2:G$97,'月度勾稽'!B$2:B$97,A4,'月度勾稽'!A$2:A$97,12))</f>
        <v/>
      </c>
      <c r="M4" s="2">
        <f>L4-K4</f>
        <v/>
      </c>
      <c r="N4" s="2">
        <f>STDEVP(SUMIFS('月度勾稽'!G$2:G$97,'月度勾稽'!B$2:B$97,A4,'月度勾稽'!A$2:A$97,1),SUMIFS('月度勾稽'!G$2:G$97,'月度勾稽'!B$2:B$97,A4,'月度勾稽'!A$2:A$97,2),SUMIFS('月度勾稽'!G$2:G$97,'月度勾稽'!B$2:B$97,A4,'月度勾稽'!A$2:A$97,3),SUMIFS('月度勾稽'!G$2:G$97,'月度勾稽'!B$2:B$97,A4,'月度勾稽'!A$2:A$97,4),SUMIFS('月度勾稽'!G$2:G$97,'月度勾稽'!B$2:B$97,A4,'月度勾稽'!A$2:A$97,5),SUMIFS('月度勾稽'!G$2:G$97,'月度勾稽'!B$2:B$97,A4,'月度勾稽'!A$2:A$97,6),SUMIFS('月度勾稽'!G$2:G$97,'月度勾稽'!B$2:B$97,A4,'月度勾稽'!A$2:A$97,7),SUMIFS('月度勾稽'!G$2:G$97,'月度勾稽'!B$2:B$97,A4,'月度勾稽'!A$2:A$97,8),SUMIFS('月度勾稽'!G$2:G$97,'月度勾稽'!B$2:B$97,A4,'月度勾稽'!A$2:A$97,9),SUMIFS('月度勾稽'!G$2:G$97,'月度勾稽'!B$2:B$97,A4,'月度勾稽'!A$2:A$97,10),SUMIFS('月度勾稽'!G$2:G$97,'月度勾稽'!B$2:B$97,A4,'月度勾稽'!A$2:A$97,11),SUMIFS('月度勾稽'!G$2:G$97,'月度勾稽'!B$2:B$97,A4,'月度勾稽'!A$2:A$97,12))</f>
        <v/>
      </c>
      <c r="O4" s="2">
        <f>N4/J4</f>
        <v/>
      </c>
    </row>
    <row r="5">
      <c r="A5" s="2" t="n">
        <v>4</v>
      </c>
      <c r="B5" s="3" t="inlineStr">
        <is>
          <t>赵六</t>
        </is>
      </c>
      <c r="C5" s="3" t="inlineStr">
        <is>
          <t>人事部</t>
        </is>
      </c>
      <c r="D5" s="2">
        <f>SUMIF('月度勾稽'!B$2:B$97,A5,'月度勾稽'!G$2:G$97)</f>
        <v/>
      </c>
      <c r="E5" s="2">
        <f>SUMIF('年度底稿'!A$2:A$9,A5,'年度底稿'!Q$2:Q$9)</f>
        <v/>
      </c>
      <c r="F5" s="2">
        <f>D5-E5</f>
        <v/>
      </c>
      <c r="G5" s="2">
        <f>SUMIF('月度勾稽'!B$2:B$97,A5,'月度勾稽'!D$2:D$97)</f>
        <v/>
      </c>
      <c r="H5" s="2">
        <f>SUMIF('月度勾稽'!B$2:B$97,A5,'月度勾稽'!F$2:F$97)</f>
        <v/>
      </c>
      <c r="I5" s="2">
        <f>H5-D5</f>
        <v/>
      </c>
      <c r="J5" s="2">
        <f>D5/12</f>
        <v/>
      </c>
      <c r="K5" s="2">
        <f>MIN(SUMIFS('月度勾稽'!G$2:G$97,'月度勾稽'!B$2:B$97,A5,'月度勾稽'!A$2:A$97,1),SUMIFS('月度勾稽'!G$2:G$97,'月度勾稽'!B$2:B$97,A5,'月度勾稽'!A$2:A$97,2),SUMIFS('月度勾稽'!G$2:G$97,'月度勾稽'!B$2:B$97,A5,'月度勾稽'!A$2:A$97,3),SUMIFS('月度勾稽'!G$2:G$97,'月度勾稽'!B$2:B$97,A5,'月度勾稽'!A$2:A$97,4),SUMIFS('月度勾稽'!G$2:G$97,'月度勾稽'!B$2:B$97,A5,'月度勾稽'!A$2:A$97,5),SUMIFS('月度勾稽'!G$2:G$97,'月度勾稽'!B$2:B$97,A5,'月度勾稽'!A$2:A$97,6),SUMIFS('月度勾稽'!G$2:G$97,'月度勾稽'!B$2:B$97,A5,'月度勾稽'!A$2:A$97,7),SUMIFS('月度勾稽'!G$2:G$97,'月度勾稽'!B$2:B$97,A5,'月度勾稽'!A$2:A$97,8),SUMIFS('月度勾稽'!G$2:G$97,'月度勾稽'!B$2:B$97,A5,'月度勾稽'!A$2:A$97,9),SUMIFS('月度勾稽'!G$2:G$97,'月度勾稽'!B$2:B$97,A5,'月度勾稽'!A$2:A$97,10),SUMIFS('月度勾稽'!G$2:G$97,'月度勾稽'!B$2:B$97,A5,'月度勾稽'!A$2:A$97,11),SUMIFS('月度勾稽'!G$2:G$97,'月度勾稽'!B$2:B$97,A5,'月度勾稽'!A$2:A$97,12))</f>
        <v/>
      </c>
      <c r="L5" s="2">
        <f>MAX(SUMIFS('月度勾稽'!G$2:G$97,'月度勾稽'!B$2:B$97,A5,'月度勾稽'!A$2:A$97,1),SUMIFS('月度勾稽'!G$2:G$97,'月度勾稽'!B$2:B$97,A5,'月度勾稽'!A$2:A$97,2),SUMIFS('月度勾稽'!G$2:G$97,'月度勾稽'!B$2:B$97,A5,'月度勾稽'!A$2:A$97,3),SUMIFS('月度勾稽'!G$2:G$97,'月度勾稽'!B$2:B$97,A5,'月度勾稽'!A$2:A$97,4),SUMIFS('月度勾稽'!G$2:G$97,'月度勾稽'!B$2:B$97,A5,'月度勾稽'!A$2:A$97,5),SUMIFS('月度勾稽'!G$2:G$97,'月度勾稽'!B$2:B$97,A5,'月度勾稽'!A$2:A$97,6),SUMIFS('月度勾稽'!G$2:G$97,'月度勾稽'!B$2:B$97,A5,'月度勾稽'!A$2:A$97,7),SUMIFS('月度勾稽'!G$2:G$97,'月度勾稽'!B$2:B$97,A5,'月度勾稽'!A$2:A$97,8),SUMIFS('月度勾稽'!G$2:G$97,'月度勾稽'!B$2:B$97,A5,'月度勾稽'!A$2:A$97,9),SUMIFS('月度勾稽'!G$2:G$97,'月度勾稽'!B$2:B$97,A5,'月度勾稽'!A$2:A$97,10),SUMIFS('月度勾稽'!G$2:G$97,'月度勾稽'!B$2:B$97,A5,'月度勾稽'!A$2:A$97,11),SUMIFS('月度勾稽'!G$2:G$97,'月度勾稽'!B$2:B$97,A5,'月度勾稽'!A$2:A$97,12))</f>
        <v/>
      </c>
      <c r="M5" s="2">
        <f>L5-K5</f>
        <v/>
      </c>
      <c r="N5" s="2">
        <f>STDEVP(SUMIFS('月度勾稽'!G$2:G$97,'月度勾稽'!B$2:B$97,A5,'月度勾稽'!A$2:A$97,1),SUMIFS('月度勾稽'!G$2:G$97,'月度勾稽'!B$2:B$97,A5,'月度勾稽'!A$2:A$97,2),SUMIFS('月度勾稽'!G$2:G$97,'月度勾稽'!B$2:B$97,A5,'月度勾稽'!A$2:A$97,3),SUMIFS('月度勾稽'!G$2:G$97,'月度勾稽'!B$2:B$97,A5,'月度勾稽'!A$2:A$97,4),SUMIFS('月度勾稽'!G$2:G$97,'月度勾稽'!B$2:B$97,A5,'月度勾稽'!A$2:A$97,5),SUMIFS('月度勾稽'!G$2:G$97,'月度勾稽'!B$2:B$97,A5,'月度勾稽'!A$2:A$97,6),SUMIFS('月度勾稽'!G$2:G$97,'月度勾稽'!B$2:B$97,A5,'月度勾稽'!A$2:A$97,7),SUMIFS('月度勾稽'!G$2:G$97,'月度勾稽'!B$2:B$97,A5,'月度勾稽'!A$2:A$97,8),SUMIFS('月度勾稽'!G$2:G$97,'月度勾稽'!B$2:B$97,A5,'月度勾稽'!A$2:A$97,9),SUMIFS('月度勾稽'!G$2:G$97,'月度勾稽'!B$2:B$97,A5,'月度勾稽'!A$2:A$97,10),SUMIFS('月度勾稽'!G$2:G$97,'月度勾稽'!B$2:B$97,A5,'月度勾稽'!A$2:A$97,11),SUMIFS('月度勾稽'!G$2:G$97,'月度勾稽'!B$2:B$97,A5,'月度勾稽'!A$2:A$97,12))</f>
        <v/>
      </c>
      <c r="O5" s="2">
        <f>N5/J5</f>
        <v/>
      </c>
    </row>
    <row r="6">
      <c r="A6" s="2" t="n">
        <v>5</v>
      </c>
      <c r="B6" s="3" t="inlineStr">
        <is>
          <t>孙七</t>
        </is>
      </c>
      <c r="C6" s="3" t="inlineStr">
        <is>
          <t>行政部</t>
        </is>
      </c>
      <c r="D6" s="2">
        <f>SUMIF('月度勾稽'!B$2:B$97,A6,'月度勾稽'!G$2:G$97)</f>
        <v/>
      </c>
      <c r="E6" s="2">
        <f>SUMIF('年度底稿'!A$2:A$9,A6,'年度底稿'!Q$2:Q$9)</f>
        <v/>
      </c>
      <c r="F6" s="2">
        <f>D6-E6</f>
        <v/>
      </c>
      <c r="G6" s="2">
        <f>SUMIF('月度勾稽'!B$2:B$97,A6,'月度勾稽'!D$2:D$97)</f>
        <v/>
      </c>
      <c r="H6" s="2">
        <f>SUMIF('月度勾稽'!B$2:B$97,A6,'月度勾稽'!F$2:F$97)</f>
        <v/>
      </c>
      <c r="I6" s="2">
        <f>H6-D6</f>
        <v/>
      </c>
      <c r="J6" s="2">
        <f>D6/12</f>
        <v/>
      </c>
      <c r="K6" s="2">
        <f>MIN(SUMIFS('月度勾稽'!G$2:G$97,'月度勾稽'!B$2:B$97,A6,'月度勾稽'!A$2:A$97,1),SUMIFS('月度勾稽'!G$2:G$97,'月度勾稽'!B$2:B$97,A6,'月度勾稽'!A$2:A$97,2),SUMIFS('月度勾稽'!G$2:G$97,'月度勾稽'!B$2:B$97,A6,'月度勾稽'!A$2:A$97,3),SUMIFS('月度勾稽'!G$2:G$97,'月度勾稽'!B$2:B$97,A6,'月度勾稽'!A$2:A$97,4),SUMIFS('月度勾稽'!G$2:G$97,'月度勾稽'!B$2:B$97,A6,'月度勾稽'!A$2:A$97,5),SUMIFS('月度勾稽'!G$2:G$97,'月度勾稽'!B$2:B$97,A6,'月度勾稽'!A$2:A$97,6),SUMIFS('月度勾稽'!G$2:G$97,'月度勾稽'!B$2:B$97,A6,'月度勾稽'!A$2:A$97,7),SUMIFS('月度勾稽'!G$2:G$97,'月度勾稽'!B$2:B$97,A6,'月度勾稽'!A$2:A$97,8),SUMIFS('月度勾稽'!G$2:G$97,'月度勾稽'!B$2:B$97,A6,'月度勾稽'!A$2:A$97,9),SUMIFS('月度勾稽'!G$2:G$97,'月度勾稽'!B$2:B$97,A6,'月度勾稽'!A$2:A$97,10),SUMIFS('月度勾稽'!G$2:G$97,'月度勾稽'!B$2:B$97,A6,'月度勾稽'!A$2:A$97,11),SUMIFS('月度勾稽'!G$2:G$97,'月度勾稽'!B$2:B$97,A6,'月度勾稽'!A$2:A$97,12))</f>
        <v/>
      </c>
      <c r="L6" s="2">
        <f>MAX(SUMIFS('月度勾稽'!G$2:G$97,'月度勾稽'!B$2:B$97,A6,'月度勾稽'!A$2:A$97,1),SUMIFS('月度勾稽'!G$2:G$97,'月度勾稽'!B$2:B$97,A6,'月度勾稽'!A$2:A$97,2),SUMIFS('月度勾稽'!G$2:G$97,'月度勾稽'!B$2:B$97,A6,'月度勾稽'!A$2:A$97,3),SUMIFS('月度勾稽'!G$2:G$97,'月度勾稽'!B$2:B$97,A6,'月度勾稽'!A$2:A$97,4),SUMIFS('月度勾稽'!G$2:G$97,'月度勾稽'!B$2:B$97,A6,'月度勾稽'!A$2:A$97,5),SUMIFS('月度勾稽'!G$2:G$97,'月度勾稽'!B$2:B$97,A6,'月度勾稽'!A$2:A$97,6),SUMIFS('月度勾稽'!G$2:G$97,'月度勾稽'!B$2:B$97,A6,'月度勾稽'!A$2:A$97,7),SUMIFS('月度勾稽'!G$2:G$97,'月度勾稽'!B$2:B$97,A6,'月度勾稽'!A$2:A$97,8),SUMIFS('月度勾稽'!G$2:G$97,'月度勾稽'!B$2:B$97,A6,'月度勾稽'!A$2:A$97,9),SUMIFS('月度勾稽'!G$2:G$97,'月度勾稽'!B$2:B$97,A6,'月度勾稽'!A$2:A$97,10),SUMIFS('月度勾稽'!G$2:G$97,'月度勾稽'!B$2:B$97,A6,'月度勾稽'!A$2:A$97,11),SUMIFS('月度勾稽'!G$2:G$97,'月度勾稽'!B$2:B$97,A6,'月度勾稽'!A$2:A$97,12))</f>
        <v/>
      </c>
      <c r="M6" s="2">
        <f>L6-K6</f>
        <v/>
      </c>
      <c r="N6" s="2">
        <f>STDEVP(SUMIFS('月度勾稽'!G$2:G$97,'月度勾稽'!B$2:B$97,A6,'月度勾稽'!A$2:A$97,1),SUMIFS('月度勾稽'!G$2:G$97,'月度勾稽'!B$2:B$97,A6,'月度勾稽'!A$2:A$97,2),SUMIFS('月度勾稽'!G$2:G$97,'月度勾稽'!B$2:B$97,A6,'月度勾稽'!A$2:A$97,3),SUMIFS('月度勾稽'!G$2:G$97,'月度勾稽'!B$2:B$97,A6,'月度勾稽'!A$2:A$97,4),SUMIFS('月度勾稽'!G$2:G$97,'月度勾稽'!B$2:B$97,A6,'月度勾稽'!A$2:A$97,5),SUMIFS('月度勾稽'!G$2:G$97,'月度勾稽'!B$2:B$97,A6,'月度勾稽'!A$2:A$97,6),SUMIFS('月度勾稽'!G$2:G$97,'月度勾稽'!B$2:B$97,A6,'月度勾稽'!A$2:A$97,7),SUMIFS('月度勾稽'!G$2:G$97,'月度勾稽'!B$2:B$97,A6,'月度勾稽'!A$2:A$97,8),SUMIFS('月度勾稽'!G$2:G$97,'月度勾稽'!B$2:B$97,A6,'月度勾稽'!A$2:A$97,9),SUMIFS('月度勾稽'!G$2:G$97,'月度勾稽'!B$2:B$97,A6,'月度勾稽'!A$2:A$97,10),SUMIFS('月度勾稽'!G$2:G$97,'月度勾稽'!B$2:B$97,A6,'月度勾稽'!A$2:A$97,11),SUMIFS('月度勾稽'!G$2:G$97,'月度勾稽'!B$2:B$97,A6,'月度勾稽'!A$2:A$97,12))</f>
        <v/>
      </c>
      <c r="O6" s="2">
        <f>N6/J6</f>
        <v/>
      </c>
    </row>
    <row r="7">
      <c r="A7" s="2" t="n">
        <v>6</v>
      </c>
      <c r="B7" s="3" t="inlineStr">
        <is>
          <t>周八</t>
        </is>
      </c>
      <c r="C7" s="3" t="inlineStr">
        <is>
          <t>技术部</t>
        </is>
      </c>
      <c r="D7" s="2">
        <f>SUMIF('月度勾稽'!B$2:B$97,A7,'月度勾稽'!G$2:G$97)</f>
        <v/>
      </c>
      <c r="E7" s="2">
        <f>SUMIF('年度底稿'!A$2:A$9,A7,'年度底稿'!Q$2:Q$9)</f>
        <v/>
      </c>
      <c r="F7" s="2">
        <f>D7-E7</f>
        <v/>
      </c>
      <c r="G7" s="2">
        <f>SUMIF('月度勾稽'!B$2:B$97,A7,'月度勾稽'!D$2:D$97)</f>
        <v/>
      </c>
      <c r="H7" s="2">
        <f>SUMIF('月度勾稽'!B$2:B$97,A7,'月度勾稽'!F$2:F$97)</f>
        <v/>
      </c>
      <c r="I7" s="2">
        <f>H7-D7</f>
        <v/>
      </c>
      <c r="J7" s="2">
        <f>D7/12</f>
        <v/>
      </c>
      <c r="K7" s="2">
        <f>MIN(SUMIFS('月度勾稽'!G$2:G$97,'月度勾稽'!B$2:B$97,A7,'月度勾稽'!A$2:A$97,1),SUMIFS('月度勾稽'!G$2:G$97,'月度勾稽'!B$2:B$97,A7,'月度勾稽'!A$2:A$97,2),SUMIFS('月度勾稽'!G$2:G$97,'月度勾稽'!B$2:B$97,A7,'月度勾稽'!A$2:A$97,3),SUMIFS('月度勾稽'!G$2:G$97,'月度勾稽'!B$2:B$97,A7,'月度勾稽'!A$2:A$97,4),SUMIFS('月度勾稽'!G$2:G$97,'月度勾稽'!B$2:B$97,A7,'月度勾稽'!A$2:A$97,5),SUMIFS('月度勾稽'!G$2:G$97,'月度勾稽'!B$2:B$97,A7,'月度勾稽'!A$2:A$97,6),SUMIFS('月度勾稽'!G$2:G$97,'月度勾稽'!B$2:B$97,A7,'月度勾稽'!A$2:A$97,7),SUMIFS('月度勾稽'!G$2:G$97,'月度勾稽'!B$2:B$97,A7,'月度勾稽'!A$2:A$97,8),SUMIFS('月度勾稽'!G$2:G$97,'月度勾稽'!B$2:B$97,A7,'月度勾稽'!A$2:A$97,9),SUMIFS('月度勾稽'!G$2:G$97,'月度勾稽'!B$2:B$97,A7,'月度勾稽'!A$2:A$97,10),SUMIFS('月度勾稽'!G$2:G$97,'月度勾稽'!B$2:B$97,A7,'月度勾稽'!A$2:A$97,11),SUMIFS('月度勾稽'!G$2:G$97,'月度勾稽'!B$2:B$97,A7,'月度勾稽'!A$2:A$97,12))</f>
        <v/>
      </c>
      <c r="L7" s="2">
        <f>MAX(SUMIFS('月度勾稽'!G$2:G$97,'月度勾稽'!B$2:B$97,A7,'月度勾稽'!A$2:A$97,1),SUMIFS('月度勾稽'!G$2:G$97,'月度勾稽'!B$2:B$97,A7,'月度勾稽'!A$2:A$97,2),SUMIFS('月度勾稽'!G$2:G$97,'月度勾稽'!B$2:B$97,A7,'月度勾稽'!A$2:A$97,3),SUMIFS('月度勾稽'!G$2:G$97,'月度勾稽'!B$2:B$97,A7,'月度勾稽'!A$2:A$97,4),SUMIFS('月度勾稽'!G$2:G$97,'月度勾稽'!B$2:B$97,A7,'月度勾稽'!A$2:A$97,5),SUMIFS('月度勾稽'!G$2:G$97,'月度勾稽'!B$2:B$97,A7,'月度勾稽'!A$2:A$97,6),SUMIFS('月度勾稽'!G$2:G$97,'月度勾稽'!B$2:B$97,A7,'月度勾稽'!A$2:A$97,7),SUMIFS('月度勾稽'!G$2:G$97,'月度勾稽'!B$2:B$97,A7,'月度勾稽'!A$2:A$97,8),SUMIFS('月度勾稽'!G$2:G$97,'月度勾稽'!B$2:B$97,A7,'月度勾稽'!A$2:A$97,9),SUMIFS('月度勾稽'!G$2:G$97,'月度勾稽'!B$2:B$97,A7,'月度勾稽'!A$2:A$97,10),SUMIFS('月度勾稽'!G$2:G$97,'月度勾稽'!B$2:B$97,A7,'月度勾稽'!A$2:A$97,11),SUMIFS('月度勾稽'!G$2:G$97,'月度勾稽'!B$2:B$97,A7,'月度勾稽'!A$2:A$97,12))</f>
        <v/>
      </c>
      <c r="M7" s="2">
        <f>L7-K7</f>
        <v/>
      </c>
      <c r="N7" s="2">
        <f>STDEVP(SUMIFS('月度勾稽'!G$2:G$97,'月度勾稽'!B$2:B$97,A7,'月度勾稽'!A$2:A$97,1),SUMIFS('月度勾稽'!G$2:G$97,'月度勾稽'!B$2:B$97,A7,'月度勾稽'!A$2:A$97,2),SUMIFS('月度勾稽'!G$2:G$97,'月度勾稽'!B$2:B$97,A7,'月度勾稽'!A$2:A$97,3),SUMIFS('月度勾稽'!G$2:G$97,'月度勾稽'!B$2:B$97,A7,'月度勾稽'!A$2:A$97,4),SUMIFS('月度勾稽'!G$2:G$97,'月度勾稽'!B$2:B$97,A7,'月度勾稽'!A$2:A$97,5),SUMIFS('月度勾稽'!G$2:G$97,'月度勾稽'!B$2:B$97,A7,'月度勾稽'!A$2:A$97,6),SUMIFS('月度勾稽'!G$2:G$97,'月度勾稽'!B$2:B$97,A7,'月度勾稽'!A$2:A$97,7),SUMIFS('月度勾稽'!G$2:G$97,'月度勾稽'!B$2:B$97,A7,'月度勾稽'!A$2:A$97,8),SUMIFS('月度勾稽'!G$2:G$97,'月度勾稽'!B$2:B$97,A7,'月度勾稽'!A$2:A$97,9),SUMIFS('月度勾稽'!G$2:G$97,'月度勾稽'!B$2:B$97,A7,'月度勾稽'!A$2:A$97,10),SUMIFS('月度勾稽'!G$2:G$97,'月度勾稽'!B$2:B$97,A7,'月度勾稽'!A$2:A$97,11),SUMIFS('月度勾稽'!G$2:G$97,'月度勾稽'!B$2:B$97,A7,'月度勾稽'!A$2:A$97,12))</f>
        <v/>
      </c>
      <c r="O7" s="2">
        <f>N7/J7</f>
        <v/>
      </c>
    </row>
    <row r="8">
      <c r="A8" s="2" t="n">
        <v>7</v>
      </c>
      <c r="B8" s="3" t="inlineStr">
        <is>
          <t>吴九</t>
        </is>
      </c>
      <c r="C8" s="3" t="inlineStr">
        <is>
          <t>财务部</t>
        </is>
      </c>
      <c r="D8" s="2">
        <f>SUMIF('月度勾稽'!B$2:B$97,A8,'月度勾稽'!G$2:G$97)</f>
        <v/>
      </c>
      <c r="E8" s="2">
        <f>SUMIF('年度底稿'!A$2:A$9,A8,'年度底稿'!Q$2:Q$9)</f>
        <v/>
      </c>
      <c r="F8" s="2">
        <f>D8-E8</f>
        <v/>
      </c>
      <c r="G8" s="2">
        <f>SUMIF('月度勾稽'!B$2:B$97,A8,'月度勾稽'!D$2:D$97)</f>
        <v/>
      </c>
      <c r="H8" s="2">
        <f>SUMIF('月度勾稽'!B$2:B$97,A8,'月度勾稽'!F$2:F$97)</f>
        <v/>
      </c>
      <c r="I8" s="2">
        <f>H8-D8</f>
        <v/>
      </c>
      <c r="J8" s="2">
        <f>D8/12</f>
        <v/>
      </c>
      <c r="K8" s="2">
        <f>MIN(SUMIFS('月度勾稽'!G$2:G$97,'月度勾稽'!B$2:B$97,A8,'月度勾稽'!A$2:A$97,1),SUMIFS('月度勾稽'!G$2:G$97,'月度勾稽'!B$2:B$97,A8,'月度勾稽'!A$2:A$97,2),SUMIFS('月度勾稽'!G$2:G$97,'月度勾稽'!B$2:B$97,A8,'月度勾稽'!A$2:A$97,3),SUMIFS('月度勾稽'!G$2:G$97,'月度勾稽'!B$2:B$97,A8,'月度勾稽'!A$2:A$97,4),SUMIFS('月度勾稽'!G$2:G$97,'月度勾稽'!B$2:B$97,A8,'月度勾稽'!A$2:A$97,5),SUMIFS('月度勾稽'!G$2:G$97,'月度勾稽'!B$2:B$97,A8,'月度勾稽'!A$2:A$97,6),SUMIFS('月度勾稽'!G$2:G$97,'月度勾稽'!B$2:B$97,A8,'月度勾稽'!A$2:A$97,7),SUMIFS('月度勾稽'!G$2:G$97,'月度勾稽'!B$2:B$97,A8,'月度勾稽'!A$2:A$97,8),SUMIFS('月度勾稽'!G$2:G$97,'月度勾稽'!B$2:B$97,A8,'月度勾稽'!A$2:A$97,9),SUMIFS('月度勾稽'!G$2:G$97,'月度勾稽'!B$2:B$97,A8,'月度勾稽'!A$2:A$97,10),SUMIFS('月度勾稽'!G$2:G$97,'月度勾稽'!B$2:B$97,A8,'月度勾稽'!A$2:A$97,11),SUMIFS('月度勾稽'!G$2:G$97,'月度勾稽'!B$2:B$97,A8,'月度勾稽'!A$2:A$97,12))</f>
        <v/>
      </c>
      <c r="L8" s="2">
        <f>MAX(SUMIFS('月度勾稽'!G$2:G$97,'月度勾稽'!B$2:B$97,A8,'月度勾稽'!A$2:A$97,1),SUMIFS('月度勾稽'!G$2:G$97,'月度勾稽'!B$2:B$97,A8,'月度勾稽'!A$2:A$97,2),SUMIFS('月度勾稽'!G$2:G$97,'月度勾稽'!B$2:B$97,A8,'月度勾稽'!A$2:A$97,3),SUMIFS('月度勾稽'!G$2:G$97,'月度勾稽'!B$2:B$97,A8,'月度勾稽'!A$2:A$97,4),SUMIFS('月度勾稽'!G$2:G$97,'月度勾稽'!B$2:B$97,A8,'月度勾稽'!A$2:A$97,5),SUMIFS('月度勾稽'!G$2:G$97,'月度勾稽'!B$2:B$97,A8,'月度勾稽'!A$2:A$97,6),SUMIFS('月度勾稽'!G$2:G$97,'月度勾稽'!B$2:B$97,A8,'月度勾稽'!A$2:A$97,7),SUMIFS('月度勾稽'!G$2:G$97,'月度勾稽'!B$2:B$97,A8,'月度勾稽'!A$2:A$97,8),SUMIFS('月度勾稽'!G$2:G$97,'月度勾稽'!B$2:B$97,A8,'月度勾稽'!A$2:A$97,9),SUMIFS('月度勾稽'!G$2:G$97,'月度勾稽'!B$2:B$97,A8,'月度勾稽'!A$2:A$97,10),SUMIFS('月度勾稽'!G$2:G$97,'月度勾稽'!B$2:B$97,A8,'月度勾稽'!A$2:A$97,11),SUMIFS('月度勾稽'!G$2:G$97,'月度勾稽'!B$2:B$97,A8,'月度勾稽'!A$2:A$97,12))</f>
        <v/>
      </c>
      <c r="M8" s="2">
        <f>L8-K8</f>
        <v/>
      </c>
      <c r="N8" s="2">
        <f>STDEVP(SUMIFS('月度勾稽'!G$2:G$97,'月度勾稽'!B$2:B$97,A8,'月度勾稽'!A$2:A$97,1),SUMIFS('月度勾稽'!G$2:G$97,'月度勾稽'!B$2:B$97,A8,'月度勾稽'!A$2:A$97,2),SUMIFS('月度勾稽'!G$2:G$97,'月度勾稽'!B$2:B$97,A8,'月度勾稽'!A$2:A$97,3),SUMIFS('月度勾稽'!G$2:G$97,'月度勾稽'!B$2:B$97,A8,'月度勾稽'!A$2:A$97,4),SUMIFS('月度勾稽'!G$2:G$97,'月度勾稽'!B$2:B$97,A8,'月度勾稽'!A$2:A$97,5),SUMIFS('月度勾稽'!G$2:G$97,'月度勾稽'!B$2:B$97,A8,'月度勾稽'!A$2:A$97,6),SUMIFS('月度勾稽'!G$2:G$97,'月度勾稽'!B$2:B$97,A8,'月度勾稽'!A$2:A$97,7),SUMIFS('月度勾稽'!G$2:G$97,'月度勾稽'!B$2:B$97,A8,'月度勾稽'!A$2:A$97,8),SUMIFS('月度勾稽'!G$2:G$97,'月度勾稽'!B$2:B$97,A8,'月度勾稽'!A$2:A$97,9),SUMIFS('月度勾稽'!G$2:G$97,'月度勾稽'!B$2:B$97,A8,'月度勾稽'!A$2:A$97,10),SUMIFS('月度勾稽'!G$2:G$97,'月度勾稽'!B$2:B$97,A8,'月度勾稽'!A$2:A$97,11),SUMIFS('月度勾稽'!G$2:G$97,'月度勾稽'!B$2:B$97,A8,'月度勾稽'!A$2:A$97,12))</f>
        <v/>
      </c>
      <c r="O8" s="2">
        <f>N8/J8</f>
        <v/>
      </c>
    </row>
    <row r="9">
      <c r="A9" s="2" t="n">
        <v>8</v>
      </c>
      <c r="B9" s="3" t="inlineStr">
        <is>
          <t>郑十</t>
        </is>
      </c>
      <c r="C9" s="3" t="inlineStr">
        <is>
          <t>销售部</t>
        </is>
      </c>
      <c r="D9" s="2">
        <f>SUMIF('月度勾稽'!B$2:B$97,A9,'月度勾稽'!G$2:G$97)</f>
        <v/>
      </c>
      <c r="E9" s="2">
        <f>SUMIF('年度底稿'!A$2:A$9,A9,'年度底稿'!Q$2:Q$9)</f>
        <v/>
      </c>
      <c r="F9" s="2">
        <f>D9-E9</f>
        <v/>
      </c>
      <c r="G9" s="2">
        <f>SUMIF('月度勾稽'!B$2:B$97,A9,'月度勾稽'!D$2:D$97)</f>
        <v/>
      </c>
      <c r="H9" s="2">
        <f>SUMIF('月度勾稽'!B$2:B$97,A9,'月度勾稽'!F$2:F$97)</f>
        <v/>
      </c>
      <c r="I9" s="2">
        <f>H9-D9</f>
        <v/>
      </c>
      <c r="J9" s="2">
        <f>D9/12</f>
        <v/>
      </c>
      <c r="K9" s="2">
        <f>MIN(SUMIFS('月度勾稽'!G$2:G$97,'月度勾稽'!B$2:B$97,A9,'月度勾稽'!A$2:A$97,1),SUMIFS('月度勾稽'!G$2:G$97,'月度勾稽'!B$2:B$97,A9,'月度勾稽'!A$2:A$97,2),SUMIFS('月度勾稽'!G$2:G$97,'月度勾稽'!B$2:B$97,A9,'月度勾稽'!A$2:A$97,3),SUMIFS('月度勾稽'!G$2:G$97,'月度勾稽'!B$2:B$97,A9,'月度勾稽'!A$2:A$97,4),SUMIFS('月度勾稽'!G$2:G$97,'月度勾稽'!B$2:B$97,A9,'月度勾稽'!A$2:A$97,5),SUMIFS('月度勾稽'!G$2:G$97,'月度勾稽'!B$2:B$97,A9,'月度勾稽'!A$2:A$97,6),SUMIFS('月度勾稽'!G$2:G$97,'月度勾稽'!B$2:B$97,A9,'月度勾稽'!A$2:A$97,7),SUMIFS('月度勾稽'!G$2:G$97,'月度勾稽'!B$2:B$97,A9,'月度勾稽'!A$2:A$97,8),SUMIFS('月度勾稽'!G$2:G$97,'月度勾稽'!B$2:B$97,A9,'月度勾稽'!A$2:A$97,9),SUMIFS('月度勾稽'!G$2:G$97,'月度勾稽'!B$2:B$97,A9,'月度勾稽'!A$2:A$97,10),SUMIFS('月度勾稽'!G$2:G$97,'月度勾稽'!B$2:B$97,A9,'月度勾稽'!A$2:A$97,11),SUMIFS('月度勾稽'!G$2:G$97,'月度勾稽'!B$2:B$97,A9,'月度勾稽'!A$2:A$97,12))</f>
        <v/>
      </c>
      <c r="L9" s="2">
        <f>MAX(SUMIFS('月度勾稽'!G$2:G$97,'月度勾稽'!B$2:B$97,A9,'月度勾稽'!A$2:A$97,1),SUMIFS('月度勾稽'!G$2:G$97,'月度勾稽'!B$2:B$97,A9,'月度勾稽'!A$2:A$97,2),SUMIFS('月度勾稽'!G$2:G$97,'月度勾稽'!B$2:B$97,A9,'月度勾稽'!A$2:A$97,3),SUMIFS('月度勾稽'!G$2:G$97,'月度勾稽'!B$2:B$97,A9,'月度勾稽'!A$2:A$97,4),SUMIFS('月度勾稽'!G$2:G$97,'月度勾稽'!B$2:B$97,A9,'月度勾稽'!A$2:A$97,5),SUMIFS('月度勾稽'!G$2:G$97,'月度勾稽'!B$2:B$97,A9,'月度勾稽'!A$2:A$97,6),SUMIFS('月度勾稽'!G$2:G$97,'月度勾稽'!B$2:B$97,A9,'月度勾稽'!A$2:A$97,7),SUMIFS('月度勾稽'!G$2:G$97,'月度勾稽'!B$2:B$97,A9,'月度勾稽'!A$2:A$97,8),SUMIFS('月度勾稽'!G$2:G$97,'月度勾稽'!B$2:B$97,A9,'月度勾稽'!A$2:A$97,9),SUMIFS('月度勾稽'!G$2:G$97,'月度勾稽'!B$2:B$97,A9,'月度勾稽'!A$2:A$97,10),SUMIFS('月度勾稽'!G$2:G$97,'月度勾稽'!B$2:B$97,A9,'月度勾稽'!A$2:A$97,11),SUMIFS('月度勾稽'!G$2:G$97,'月度勾稽'!B$2:B$97,A9,'月度勾稽'!A$2:A$97,12))</f>
        <v/>
      </c>
      <c r="M9" s="2">
        <f>L9-K9</f>
        <v/>
      </c>
      <c r="N9" s="2">
        <f>STDEVP(SUMIFS('月度勾稽'!G$2:G$97,'月度勾稽'!B$2:B$97,A9,'月度勾稽'!A$2:A$97,1),SUMIFS('月度勾稽'!G$2:G$97,'月度勾稽'!B$2:B$97,A9,'月度勾稽'!A$2:A$97,2),SUMIFS('月度勾稽'!G$2:G$97,'月度勾稽'!B$2:B$97,A9,'月度勾稽'!A$2:A$97,3),SUMIFS('月度勾稽'!G$2:G$97,'月度勾稽'!B$2:B$97,A9,'月度勾稽'!A$2:A$97,4),SUMIFS('月度勾稽'!G$2:G$97,'月度勾稽'!B$2:B$97,A9,'月度勾稽'!A$2:A$97,5),SUMIFS('月度勾稽'!G$2:G$97,'月度勾稽'!B$2:B$97,A9,'月度勾稽'!A$2:A$97,6),SUMIFS('月度勾稽'!G$2:G$97,'月度勾稽'!B$2:B$97,A9,'月度勾稽'!A$2:A$97,7),SUMIFS('月度勾稽'!G$2:G$97,'月度勾稽'!B$2:B$97,A9,'月度勾稽'!A$2:A$97,8),SUMIFS('月度勾稽'!G$2:G$97,'月度勾稽'!B$2:B$97,A9,'月度勾稽'!A$2:A$97,9),SUMIFS('月度勾稽'!G$2:G$97,'月度勾稽'!B$2:B$97,A9,'月度勾稽'!A$2:A$97,10),SUMIFS('月度勾稽'!G$2:G$97,'月度勾稽'!B$2:B$97,A9,'月度勾稽'!A$2:A$97,11),SUMIFS('月度勾稽'!G$2:G$97,'月度勾稽'!B$2:B$97,A9,'月度勾稽'!A$2:A$97,12))</f>
        <v/>
      </c>
      <c r="O9" s="2">
        <f>N9/J9</f>
        <v/>
      </c>
    </row>
  </sheetData>
  <autoFilter ref="A1:O9"/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部门</t>
        </is>
      </c>
      <c r="B1" s="1" t="inlineStr">
        <is>
          <t>人数</t>
        </is>
      </c>
      <c r="C1" s="1" t="inlineStr">
        <is>
          <t>原实发合计</t>
        </is>
      </c>
      <c r="D1" s="1" t="inlineStr">
        <is>
          <t>人均原实发年度</t>
        </is>
      </c>
      <c r="E1" s="1" t="inlineStr">
        <is>
          <t>员工年度中位数</t>
        </is>
      </c>
      <c r="F1" s="1" t="inlineStr">
        <is>
          <t>情景总额</t>
        </is>
      </c>
      <c r="G1" s="1" t="inlineStr">
        <is>
          <t>情景增额</t>
        </is>
      </c>
      <c r="H1" s="1" t="inlineStr">
        <is>
          <t>重算应发</t>
        </is>
      </c>
    </row>
    <row r="2">
      <c r="A2" s="3" t="inlineStr">
        <is>
          <t>技术部</t>
        </is>
      </c>
      <c r="B2" s="2">
        <f>COUNTIF('员工年度'!C$2:C$9,A2)</f>
        <v/>
      </c>
      <c r="C2" s="2">
        <f>SUMIF('员工年度'!C$2:C$9,A2,'员工年度'!D$2:D$9)</f>
        <v/>
      </c>
      <c r="D2" s="2">
        <f>C2/B2</f>
        <v/>
      </c>
      <c r="E2" s="2">
        <f>MEDIAN(SUMIF('员工年度'!A$2:A$9,1,'员工年度'!D$2:D$9),SUMIF('员工年度'!A$2:A$9,6,'员工年度'!D$2:D$9))</f>
        <v/>
      </c>
      <c r="F2" s="2">
        <f>SUMIF('员工年度'!C$2:C$9,A2,'员工年度'!H$2:H$9)</f>
        <v/>
      </c>
      <c r="G2" s="2">
        <f>F2-C2</f>
        <v/>
      </c>
      <c r="H2" s="2">
        <f>SUMIF('员工年度'!C$2:C$9,A2,'员工年度'!G$2:G$9)</f>
        <v/>
      </c>
    </row>
    <row r="3">
      <c r="A3" s="3" t="inlineStr">
        <is>
          <t>财务部</t>
        </is>
      </c>
      <c r="B3" s="2">
        <f>COUNTIF('员工年度'!C$2:C$9,A3)</f>
        <v/>
      </c>
      <c r="C3" s="2">
        <f>SUMIF('员工年度'!C$2:C$9,A3,'员工年度'!D$2:D$9)</f>
        <v/>
      </c>
      <c r="D3" s="2">
        <f>C3/B3</f>
        <v/>
      </c>
      <c r="E3" s="2">
        <f>MEDIAN(SUMIF('员工年度'!A$2:A$9,2,'员工年度'!D$2:D$9),SUMIF('员工年度'!A$2:A$9,7,'员工年度'!D$2:D$9))</f>
        <v/>
      </c>
      <c r="F3" s="2">
        <f>SUMIF('员工年度'!C$2:C$9,A3,'员工年度'!H$2:H$9)</f>
        <v/>
      </c>
      <c r="G3" s="2">
        <f>F3-C3</f>
        <v/>
      </c>
      <c r="H3" s="2">
        <f>SUMIF('员工年度'!C$2:C$9,A3,'员工年度'!G$2:G$9)</f>
        <v/>
      </c>
    </row>
    <row r="4">
      <c r="A4" s="3" t="inlineStr">
        <is>
          <t>销售部</t>
        </is>
      </c>
      <c r="B4" s="2">
        <f>COUNTIF('员工年度'!C$2:C$9,A4)</f>
        <v/>
      </c>
      <c r="C4" s="2">
        <f>SUMIF('员工年度'!C$2:C$9,A4,'员工年度'!D$2:D$9)</f>
        <v/>
      </c>
      <c r="D4" s="2">
        <f>C4/B4</f>
        <v/>
      </c>
      <c r="E4" s="2">
        <f>MEDIAN(SUMIF('员工年度'!A$2:A$9,3,'员工年度'!D$2:D$9),SUMIF('员工年度'!A$2:A$9,8,'员工年度'!D$2:D$9))</f>
        <v/>
      </c>
      <c r="F4" s="2">
        <f>SUMIF('员工年度'!C$2:C$9,A4,'员工年度'!H$2:H$9)</f>
        <v/>
      </c>
      <c r="G4" s="2">
        <f>F4-C4</f>
        <v/>
      </c>
      <c r="H4" s="2">
        <f>SUMIF('员工年度'!C$2:C$9,A4,'员工年度'!G$2:G$9)</f>
        <v/>
      </c>
    </row>
    <row r="5">
      <c r="A5" s="3" t="inlineStr">
        <is>
          <t>人事部</t>
        </is>
      </c>
      <c r="B5" s="2">
        <f>COUNTIF('员工年度'!C$2:C$9,A5)</f>
        <v/>
      </c>
      <c r="C5" s="2">
        <f>SUMIF('员工年度'!C$2:C$9,A5,'员工年度'!D$2:D$9)</f>
        <v/>
      </c>
      <c r="D5" s="2">
        <f>C5/B5</f>
        <v/>
      </c>
      <c r="E5" s="2">
        <f>MEDIAN(SUMIF('员工年度'!A$2:A$9,4,'员工年度'!D$2:D$9))</f>
        <v/>
      </c>
      <c r="F5" s="2">
        <f>SUMIF('员工年度'!C$2:C$9,A5,'员工年度'!H$2:H$9)</f>
        <v/>
      </c>
      <c r="G5" s="2">
        <f>F5-C5</f>
        <v/>
      </c>
      <c r="H5" s="2">
        <f>SUMIF('员工年度'!C$2:C$9,A5,'员工年度'!G$2:G$9)</f>
        <v/>
      </c>
    </row>
    <row r="6">
      <c r="A6" s="3" t="inlineStr">
        <is>
          <t>行政部</t>
        </is>
      </c>
      <c r="B6" s="2">
        <f>COUNTIF('员工年度'!C$2:C$9,A6)</f>
        <v/>
      </c>
      <c r="C6" s="2">
        <f>SUMIF('员工年度'!C$2:C$9,A6,'员工年度'!D$2:D$9)</f>
        <v/>
      </c>
      <c r="D6" s="2">
        <f>C6/B6</f>
        <v/>
      </c>
      <c r="E6" s="2">
        <f>MEDIAN(SUMIF('员工年度'!A$2:A$9,5,'员工年度'!D$2:D$9))</f>
        <v/>
      </c>
      <c r="F6" s="2">
        <f>SUMIF('员工年度'!C$2:C$9,A6,'员工年度'!H$2:H$9)</f>
        <v/>
      </c>
      <c r="G6" s="2">
        <f>F6-C6</f>
        <v/>
      </c>
      <c r="H6" s="2">
        <f>SUMIF('员工年度'!C$2:C$9,A6,'员工年度'!G$2:G$9)</f>
        <v/>
      </c>
    </row>
  </sheetData>
  <autoFilter ref="A1:H6"/>
  <pageMargins left="0.75" right="0.75" top="1" bottom="1" header="0.5" footer="0.5"/>
  <pageSetup orientation="landscape" paperSize="8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指标</t>
        </is>
      </c>
      <c r="B1" s="1" t="inlineStr">
        <is>
          <t>数值</t>
        </is>
      </c>
    </row>
    <row r="2">
      <c r="A2" s="3" t="inlineStr">
        <is>
          <t>员工数</t>
        </is>
      </c>
      <c r="B2" s="2">
        <f>COUNTA('员工年度'!A2:A9)</f>
        <v/>
      </c>
    </row>
    <row r="3">
      <c r="A3" s="3" t="inlineStr">
        <is>
          <t>月度记录数</t>
        </is>
      </c>
      <c r="B3" s="2">
        <f>COUNTA('月度底稿'!B2:B97)</f>
        <v/>
      </c>
    </row>
    <row r="4">
      <c r="A4" s="3" t="inlineStr">
        <is>
          <t>原实发年度总额</t>
        </is>
      </c>
      <c r="B4" s="2">
        <f>SUM('员工年度'!D2:D9)</f>
        <v/>
      </c>
    </row>
    <row r="5">
      <c r="A5" s="3" t="inlineStr">
        <is>
          <t>重算应发年度总额</t>
        </is>
      </c>
      <c r="B5" s="2">
        <f>SUM('员工年度'!G2:G9)</f>
        <v/>
      </c>
    </row>
    <row r="6">
      <c r="A6" s="3" t="inlineStr">
        <is>
          <t>个税列年度合计</t>
        </is>
      </c>
      <c r="B6" s="2">
        <f>SUM('月度底稿'!T2:T97)</f>
        <v/>
      </c>
    </row>
    <row r="7">
      <c r="A7" s="3" t="inlineStr">
        <is>
          <t>单次扣款情景年度总额</t>
        </is>
      </c>
      <c r="B7" s="2">
        <f>SUM('员工年度'!H2:H9)</f>
        <v/>
      </c>
    </row>
    <row r="8">
      <c r="A8" s="3" t="inlineStr">
        <is>
          <t>情景差额</t>
        </is>
      </c>
      <c r="B8" s="2">
        <f>SUM('员工年度'!I2:I9)</f>
        <v/>
      </c>
    </row>
    <row r="9">
      <c r="A9" s="3" t="inlineStr">
        <is>
          <t>年度勾稽不一致人数</t>
        </is>
      </c>
      <c r="B9" s="2">
        <f>COUNTIF('员工年度'!F2:F9,"&gt;0.005")+COUNTIF('员工年度'!F2:F9,"&lt;-0.005")</f>
        <v/>
      </c>
    </row>
    <row r="10">
      <c r="A10" s="3" t="inlineStr">
        <is>
          <t>正情景差额记录数</t>
        </is>
      </c>
      <c r="B10" s="2">
        <f>COUNTIF('月度勾稽'!H2:H97,"&gt;0.005")</f>
        <v/>
      </c>
    </row>
  </sheetData>
  <autoFilter ref="A1:B10"/>
  <pageMargins left="0.75" right="0.75" top="1" bottom="1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2" customWidth="1" min="2" max="2"/>
    <col width="52" customWidth="1" min="3" max="3"/>
    <col width="52" customWidth="1" min="4" max="4"/>
  </cols>
  <sheetData>
    <row r="1">
      <c r="A1" s="1" t="inlineStr">
        <is>
          <t>主题</t>
        </is>
      </c>
      <c r="B1" s="1" t="inlineStr">
        <is>
          <t>源证据</t>
        </is>
      </c>
      <c r="C1" s="1" t="inlineStr">
        <is>
          <t>数值影响</t>
        </is>
      </c>
      <c r="D1" s="1" t="inlineStr">
        <is>
          <t>核实动作</t>
        </is>
      </c>
    </row>
    <row r="2" ht="70" customHeight="1">
      <c r="A2" s="3" t="inlineStr">
        <is>
          <t>年度勾稽</t>
        </is>
      </c>
      <c r="B2" s="3" t="inlineStr">
        <is>
          <t>年度应发工资汇总E:P与各月V，8人12个月</t>
        </is>
      </c>
      <c r="C2" s="3" t="inlineStr">
        <is>
          <t>8人原年度Q均等于月表V累计，1231227元</t>
        </is>
      </c>
      <c r="D2" s="3" t="inlineStr">
        <is>
          <t>年度表与月表一致不代表工资算法无误</t>
        </is>
      </c>
    </row>
    <row r="3" ht="70" customHeight="1">
      <c r="A3" s="3" t="inlineStr">
        <is>
          <t>命名口径</t>
        </is>
      </c>
      <c r="B3" s="3" t="inlineStr">
        <is>
          <t>年度应发工资汇总实际取月表税后实发列</t>
        </is>
      </c>
      <c r="C3" s="3" t="inlineStr">
        <is>
          <t>重算应发1556364元，与源年度所谓应发1231227不同</t>
        </is>
      </c>
      <c r="D3" s="3" t="inlineStr">
        <is>
          <t>分别报告应发/原实发，不改写源表标题充当业务审批</t>
        </is>
      </c>
    </row>
    <row r="4" ht="70" customHeight="1">
      <c r="A4" s="3" t="inlineStr">
        <is>
          <t>个税重复迹象</t>
        </is>
      </c>
      <c r="B4" s="3" t="inlineStr">
        <is>
          <t>每月T扣款含S个税；U=N-T；V=U-S</t>
        </is>
      </c>
      <c r="C4" s="3" t="inlineStr">
        <is>
          <t>96条情景差额合计78197元，等于列示个税总和</t>
        </is>
      </c>
      <c r="D4" s="3" t="inlineStr">
        <is>
          <t>按所有扣款只扣一次的情景复核；不重估税率，不断言真实税法错误或已批准补发</t>
        </is>
      </c>
    </row>
    <row r="5" ht="70" customHeight="1">
      <c r="A5" s="3" t="inlineStr">
        <is>
          <t>付款状态边界</t>
        </is>
      </c>
      <c r="B5" s="3" t="inlineStr">
        <is>
          <t>源表W写已发放</t>
        </is>
      </c>
      <c r="C5" s="3" t="inlineStr">
        <is>
          <t>仅源记录文字，缺银行凭证</t>
        </is>
      </c>
      <c r="D5" s="3" t="inlineStr">
        <is>
          <t>需要财务核对真实付款与审批，不能视作已补发证据</t>
        </is>
      </c>
    </row>
  </sheetData>
  <autoFilter ref="A1:D5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2026-09-08T16:56:58Z</dcterms:created>
  <dcterms:modified xmlns:dcterms="http://purl.org/dc/terms/" xmlns:xsi="http://www.w3.org/2001/XMLSchema-instance" xsi:type="dcterms:W3CDTF">2026-09-08T16:56:58Z</dcterms:modified>
</cp:coreProperties>
</file>