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月度资金趋势" sheetId="1" state="visible" r:id="rId2"/>
    <sheet name="年度收支汇总" sheetId="2" state="visible" r:id="rId3"/>
    <sheet name="账户基础信息" sheetId="3" state="visible" r:id="rId4"/>
    <sheet name="高频交易对手" sheetId="4" state="visible" r:id="rId5"/>
    <sheet name="分析报告" sheetId="5" state="visible" r:id="rId6"/>
    <sheet name="Source Notes" sheetId="6" state="visible" r:id="rId7"/>
  </sheets>
  <definedNames>
    <definedName function="false" hidden="true" localSheetId="5" name="_xlnm._FilterDatabase" vbProcedure="false">'Source Notes'!$A$1:$B$4</definedName>
    <definedName function="false" hidden="true" localSheetId="4" name="_xlnm._FilterDatabase" vbProcedure="false">分析报告!$A$1:$B$6</definedName>
    <definedName function="false" hidden="true" localSheetId="1" name="_xlnm._FilterDatabase" vbProcedure="false">年度收支汇总!$A$1:$B$7</definedName>
    <definedName function="false" hidden="true" localSheetId="0" name="_xlnm._FilterDatabase" vbProcedure="false">月度资金趋势!$A$1:$G$13</definedName>
    <definedName function="false" hidden="true" localSheetId="2" name="_xlnm._FilterDatabase" vbProcedure="false">账户基础信息!$A$1:$B$6</definedName>
    <definedName function="false" hidden="true" localSheetId="3" name="_xlnm._FilterDatabase" vbProcedure="false">高频交易对手!$A$1:$F$25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<sst xmlns="http://schemas.openxmlformats.org/spreadsheetml/2006/main" count="89" uniqueCount="87">
  <si>
    <t xml:space="preserve">月份</t>
  </si>
  <si>
    <t xml:space="preserve">期初余额</t>
  </si>
  <si>
    <t xml:space="preserve">本月借方</t>
  </si>
  <si>
    <t xml:space="preserve">本月贷方</t>
  </si>
  <si>
    <t xml:space="preserve">月末结存</t>
  </si>
  <si>
    <t xml:space="preserve">本年累计借方</t>
  </si>
  <si>
    <t xml:space="preserve">本年累计贷方</t>
  </si>
  <si>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</si>
  <si>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</si>
  <si>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</si>
  <si>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</si>
  <si>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</si>
  <si>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</si>
  <si>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</si>
  <si>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</si>
  <si>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</si>
  <si>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</si>
  <si>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CJK SC"/>
        <family val="2"/>
      </rPr>
      <t xml:space="preserve">月</t>
    </r>
  </si>
  <si>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月</t>
    </r>
  </si>
  <si>
    <t xml:space="preserve">指标</t>
  </si>
  <si>
    <t xml:space="preserve">数值</t>
  </si>
  <si>
    <t xml:space="preserve">年度累计借方</t>
  </si>
  <si>
    <t xml:space="preserve">年度累计贷方</t>
  </si>
  <si>
    <t xml:space="preserve">年度收支净额</t>
  </si>
  <si>
    <t xml:space="preserve">年末结存余额</t>
  </si>
  <si>
    <t xml:space="preserve">年度目标余额</t>
  </si>
  <si>
    <t xml:space="preserve">年度目标完成率</t>
  </si>
  <si>
    <t xml:space="preserve">项目</t>
  </si>
  <si>
    <t xml:space="preserve">详情</t>
  </si>
  <si>
    <t xml:space="preserve">开户银行</t>
  </si>
  <si>
    <t xml:space="preserve">工商银行</t>
  </si>
  <si>
    <t xml:space="preserve">银行账号</t>
  </si>
  <si>
    <t xml:space="preserve">6222081202001234567</t>
  </si>
  <si>
    <t xml:space="preserve">启用日期</t>
  </si>
  <si>
    <r>
      <rPr>
        <sz val="11"/>
        <color rgb="FF000000"/>
        <rFont val="Calibri"/>
        <family val="2"/>
        <charset val="1"/>
      </rPr>
      <t xml:space="preserve">2019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日</t>
    </r>
  </si>
  <si>
    <t xml:space="preserve">初始余额</t>
  </si>
  <si>
    <r>
      <rPr>
        <sz val="11"/>
        <color rgb="FF000000"/>
        <rFont val="Calibri"/>
        <family val="2"/>
        <charset val="1"/>
      </rPr>
      <t xml:space="preserve">50,000.00</t>
    </r>
    <r>
      <rPr>
        <sz val="11"/>
        <color rgb="FF000000"/>
        <rFont val="Noto Sans CJK SC"/>
        <family val="2"/>
      </rPr>
      <t xml:space="preserve">元</t>
    </r>
  </si>
  <si>
    <r>
      <rPr>
        <sz val="11"/>
        <color rgb="FF000000"/>
        <rFont val="Calibri"/>
        <family val="2"/>
        <charset val="1"/>
      </rPr>
      <t xml:space="preserve">150,000.00</t>
    </r>
    <r>
      <rPr>
        <sz val="11"/>
        <color rgb="FF000000"/>
        <rFont val="Noto Sans CJK SC"/>
        <family val="2"/>
      </rPr>
      <t xml:space="preserve">元</t>
    </r>
  </si>
  <si>
    <t xml:space="preserve">排名</t>
  </si>
  <si>
    <t xml:space="preserve">交易对手</t>
  </si>
  <si>
    <t xml:space="preserve">交易次数</t>
  </si>
  <si>
    <t xml:space="preserve">借方合计</t>
  </si>
  <si>
    <t xml:space="preserve">贷方合计</t>
  </si>
  <si>
    <t xml:space="preserve">交易总额</t>
  </si>
  <si>
    <t xml:space="preserve">税务局</t>
  </si>
  <si>
    <t xml:space="preserve">应付职工薪酬</t>
  </si>
  <si>
    <r>
      <rPr>
        <sz val="11"/>
        <color rgb="FF000000"/>
        <rFont val="Noto Sans CJK SC"/>
        <family val="2"/>
      </rPr>
      <t xml:space="preserve">武汉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建材有限公司</t>
    </r>
  </si>
  <si>
    <r>
      <rPr>
        <sz val="11"/>
        <color rgb="FF000000"/>
        <rFont val="Noto Sans CJK SC"/>
        <family val="2"/>
      </rPr>
      <t xml:space="preserve">杭州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服装有限公司</t>
    </r>
  </si>
  <si>
    <r>
      <rPr>
        <sz val="11"/>
        <color rgb="FF000000"/>
        <rFont val="Noto Sans CJK SC"/>
        <family val="2"/>
      </rPr>
      <t xml:space="preserve">上海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贸易有限公司</t>
    </r>
  </si>
  <si>
    <r>
      <rPr>
        <sz val="11"/>
        <color rgb="FF000000"/>
        <rFont val="Noto Sans CJK SC"/>
        <family val="2"/>
      </rPr>
      <t xml:space="preserve">厦门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印刷厂</t>
    </r>
  </si>
  <si>
    <r>
      <rPr>
        <sz val="11"/>
        <color rgb="FF000000"/>
        <rFont val="Noto Sans CJK SC"/>
        <family val="2"/>
      </rPr>
      <t xml:space="preserve">苏州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机械有限公司</t>
    </r>
  </si>
  <si>
    <r>
      <rPr>
        <sz val="11"/>
        <color rgb="FF000000"/>
        <rFont val="Noto Sans CJK SC"/>
        <family val="2"/>
      </rPr>
      <t xml:space="preserve">西安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化工厂</t>
    </r>
  </si>
  <si>
    <r>
      <rPr>
        <sz val="11"/>
        <color rgb="FF000000"/>
        <rFont val="Noto Sans CJK SC"/>
        <family val="2"/>
      </rPr>
      <t xml:space="preserve">广州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实业有限公司</t>
    </r>
  </si>
  <si>
    <r>
      <rPr>
        <sz val="11"/>
        <color rgb="FF000000"/>
        <rFont val="Noto Sans CJK SC"/>
        <family val="2"/>
      </rPr>
      <t xml:space="preserve">深圳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电子有限公司</t>
    </r>
  </si>
  <si>
    <r>
      <rPr>
        <sz val="11"/>
        <color rgb="FF000000"/>
        <rFont val="Noto Sans CJK SC"/>
        <family val="2"/>
      </rPr>
      <t xml:space="preserve">天津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原材料厂</t>
    </r>
  </si>
  <si>
    <r>
      <rPr>
        <sz val="11"/>
        <color rgb="FF000000"/>
        <rFont val="Noto Sans CJK SC"/>
        <family val="2"/>
      </rPr>
      <t xml:space="preserve">重庆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包装厂</t>
    </r>
  </si>
  <si>
    <r>
      <rPr>
        <sz val="11"/>
        <color rgb="FF000000"/>
        <rFont val="Noto Sans CJK SC"/>
        <family val="2"/>
      </rPr>
      <t xml:space="preserve">成都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食品有限公司</t>
    </r>
  </si>
  <si>
    <r>
      <rPr>
        <sz val="11"/>
        <color rgb="FF000000"/>
        <rFont val="Noto Sans CJK SC"/>
        <family val="2"/>
      </rPr>
      <t xml:space="preserve">北京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科技有限公司</t>
    </r>
  </si>
  <si>
    <r>
      <rPr>
        <sz val="11"/>
        <color rgb="FF000000"/>
        <rFont val="Noto Sans CJK SC"/>
        <family val="2"/>
      </rPr>
      <t xml:space="preserve">长沙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纺织厂</t>
    </r>
  </si>
  <si>
    <r>
      <rPr>
        <sz val="11"/>
        <color rgb="FF000000"/>
        <rFont val="Noto Sans CJK SC"/>
        <family val="2"/>
      </rPr>
      <t xml:space="preserve">大连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塑料厂</t>
    </r>
  </si>
  <si>
    <t xml:space="preserve">王五</t>
  </si>
  <si>
    <t xml:space="preserve">李四</t>
  </si>
  <si>
    <r>
      <rPr>
        <sz val="11"/>
        <color rgb="FF000000"/>
        <rFont val="Noto Sans CJK SC"/>
        <family val="2"/>
      </rPr>
      <t xml:space="preserve">南京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零部件厂</t>
    </r>
  </si>
  <si>
    <r>
      <rPr>
        <sz val="11"/>
        <color rgb="FF000000"/>
        <rFont val="Noto Sans CJK SC"/>
        <family val="2"/>
      </rPr>
      <t xml:space="preserve">青岛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五金厂</t>
    </r>
  </si>
  <si>
    <t xml:space="preserve">钱七</t>
  </si>
  <si>
    <t xml:space="preserve">赵六</t>
  </si>
  <si>
    <t xml:space="preserve">张三</t>
  </si>
  <si>
    <t xml:space="preserve">孙八</t>
  </si>
  <si>
    <t xml:space="preserve">章节</t>
  </si>
  <si>
    <t xml:space="preserve">分析内容</t>
  </si>
  <si>
    <t xml:space="preserve">账户基础信息</t>
  </si>
  <si>
    <r>
      <rPr>
        <sz val="11"/>
        <color rgb="FF000000"/>
        <rFont val="Noto Sans CJK SC"/>
        <family val="2"/>
      </rPr>
      <t xml:space="preserve">开户银行：工商银行；银行账号：</t>
    </r>
    <r>
      <rPr>
        <sz val="11"/>
        <color rgb="FF000000"/>
        <rFont val="Calibri"/>
        <family val="2"/>
        <charset val="1"/>
      </rPr>
      <t xml:space="preserve">6222081202001234567</t>
    </r>
    <r>
      <rPr>
        <sz val="11"/>
        <color rgb="FF000000"/>
        <rFont val="Noto Sans CJK SC"/>
        <family val="2"/>
      </rPr>
      <t xml:space="preserve">；启用日期：</t>
    </r>
    <r>
      <rPr>
        <sz val="11"/>
        <color rgb="FF000000"/>
        <rFont val="Calibri"/>
        <family val="2"/>
        <charset val="1"/>
      </rPr>
      <t xml:space="preserve">2019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1</t>
    </r>
    <r>
      <rPr>
        <sz val="11"/>
        <color rgb="FF000000"/>
        <rFont val="Noto Sans CJK SC"/>
        <family val="2"/>
      </rPr>
      <t xml:space="preserve">日；初始余额：</t>
    </r>
    <r>
      <rPr>
        <sz val="11"/>
        <color rgb="FF000000"/>
        <rFont val="Calibri"/>
        <family val="2"/>
        <charset val="1"/>
      </rPr>
      <t xml:space="preserve">50,000.00</t>
    </r>
    <r>
      <rPr>
        <sz val="11"/>
        <color rgb="FF000000"/>
        <rFont val="Noto Sans CJK SC"/>
        <family val="2"/>
      </rPr>
      <t xml:space="preserve">元；年度目标余额：</t>
    </r>
    <r>
      <rPr>
        <sz val="11"/>
        <color rgb="FF000000"/>
        <rFont val="Calibri"/>
        <family val="2"/>
        <charset val="1"/>
      </rPr>
      <t xml:space="preserve">150,000.00</t>
    </r>
    <r>
      <rPr>
        <sz val="11"/>
        <color rgb="FF000000"/>
        <rFont val="Noto Sans CJK SC"/>
        <family val="2"/>
      </rPr>
      <t xml:space="preserve">元。</t>
    </r>
  </si>
  <si>
    <t xml:space="preserve">年度收支汇总</t>
  </si>
  <si>
    <r>
      <rPr>
        <sz val="11"/>
        <color rgb="FF000000"/>
        <rFont val="Noto Sans CJK SC"/>
        <family val="2"/>
      </rPr>
      <t xml:space="preserve">全年借方 </t>
    </r>
    <r>
      <rPr>
        <sz val="11"/>
        <color rgb="FF000000"/>
        <rFont val="Calibri"/>
        <family val="2"/>
        <charset val="1"/>
      </rPr>
      <t xml:space="preserve">2,517,952.91 </t>
    </r>
    <r>
      <rPr>
        <sz val="11"/>
        <color rgb="FF000000"/>
        <rFont val="Noto Sans CJK SC"/>
        <family val="2"/>
      </rPr>
      <t xml:space="preserve">元，贷方 </t>
    </r>
    <r>
      <rPr>
        <sz val="11"/>
        <color rgb="FF000000"/>
        <rFont val="Calibri"/>
        <family val="2"/>
        <charset val="1"/>
      </rPr>
      <t xml:space="preserve">2,140,338.61 </t>
    </r>
    <r>
      <rPr>
        <sz val="11"/>
        <color rgb="FF000000"/>
        <rFont val="Noto Sans CJK SC"/>
        <family val="2"/>
      </rPr>
      <t xml:space="preserve">元，净额 </t>
    </r>
    <r>
      <rPr>
        <sz val="11"/>
        <color rgb="FF000000"/>
        <rFont val="Calibri"/>
        <family val="2"/>
        <charset val="1"/>
      </rPr>
      <t xml:space="preserve">377,614.30 </t>
    </r>
    <r>
      <rPr>
        <sz val="11"/>
        <color rgb="FF000000"/>
        <rFont val="Noto Sans CJK SC"/>
        <family val="2"/>
      </rPr>
      <t xml:space="preserve">元，年末结存 </t>
    </r>
    <r>
      <rPr>
        <sz val="11"/>
        <color rgb="FF000000"/>
        <rFont val="Calibri"/>
        <family val="2"/>
        <charset val="1"/>
      </rPr>
      <t xml:space="preserve">427,614.30 </t>
    </r>
    <r>
      <rPr>
        <sz val="11"/>
        <color rgb="FF000000"/>
        <rFont val="Noto Sans CJK SC"/>
        <family val="2"/>
      </rPr>
      <t xml:space="preserve">元，目标完成率 </t>
    </r>
    <r>
      <rPr>
        <sz val="11"/>
        <color rgb="FF000000"/>
        <rFont val="Calibri"/>
        <family val="2"/>
        <charset val="1"/>
      </rPr>
      <t xml:space="preserve">285.08%</t>
    </r>
    <r>
      <rPr>
        <sz val="11"/>
        <color rgb="FF000000"/>
        <rFont val="Noto Sans CJK SC"/>
        <family val="2"/>
      </rPr>
      <t xml:space="preserve">。</t>
    </r>
  </si>
  <si>
    <t xml:space="preserve">月度余额变化分析</t>
  </si>
  <si>
    <r>
      <rPr>
        <sz val="11"/>
        <color rgb="FF000000"/>
        <rFont val="Noto Sans CJK SC"/>
        <family val="2"/>
      </rPr>
      <t xml:space="preserve">借方最高为 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CJK SC"/>
        <family val="2"/>
      </rPr>
      <t xml:space="preserve">月（</t>
    </r>
    <r>
      <rPr>
        <sz val="11"/>
        <color rgb="FF000000"/>
        <rFont val="Calibri"/>
        <family val="2"/>
        <charset val="1"/>
      </rPr>
      <t xml:space="preserve">344,528.02 </t>
    </r>
    <r>
      <rPr>
        <sz val="11"/>
        <color rgb="FF000000"/>
        <rFont val="Noto Sans CJK SC"/>
        <family val="2"/>
      </rPr>
      <t xml:space="preserve">元），贷方最高为 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CJK SC"/>
        <family val="2"/>
      </rPr>
      <t xml:space="preserve">月（</t>
    </r>
    <r>
      <rPr>
        <sz val="11"/>
        <color rgb="FF000000"/>
        <rFont val="Calibri"/>
        <family val="2"/>
        <charset val="1"/>
      </rPr>
      <t xml:space="preserve">318,533.64 </t>
    </r>
    <r>
      <rPr>
        <sz val="11"/>
        <color rgb="FF000000"/>
        <rFont val="Noto Sans CJK SC"/>
        <family val="2"/>
      </rPr>
      <t xml:space="preserve">元）；最低余额为 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CJK SC"/>
        <family val="2"/>
      </rPr>
      <t xml:space="preserve">月（</t>
    </r>
    <r>
      <rPr>
        <sz val="11"/>
        <color rgb="FF000000"/>
        <rFont val="Calibri"/>
        <family val="2"/>
        <charset val="1"/>
      </rPr>
      <t xml:space="preserve">-88,845.19 </t>
    </r>
    <r>
      <rPr>
        <sz val="11"/>
        <color rgb="FF000000"/>
        <rFont val="Noto Sans CJK SC"/>
        <family val="2"/>
      </rPr>
      <t xml:space="preserve">元），最高余额为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月（</t>
    </r>
    <r>
      <rPr>
        <sz val="11"/>
        <color rgb="FF000000"/>
        <rFont val="Calibri"/>
        <family val="2"/>
        <charset val="1"/>
      </rPr>
      <t xml:space="preserve">427,614.30 </t>
    </r>
    <r>
      <rPr>
        <sz val="11"/>
        <color rgb="FF000000"/>
        <rFont val="Noto Sans CJK SC"/>
        <family val="2"/>
      </rPr>
      <t xml:space="preserve">元）。上半年净变动 </t>
    </r>
    <r>
      <rPr>
        <sz val="11"/>
        <color rgb="FF000000"/>
        <rFont val="Calibri"/>
        <family val="2"/>
        <charset val="1"/>
      </rPr>
      <t xml:space="preserve">-66,324.32 </t>
    </r>
    <r>
      <rPr>
        <sz val="11"/>
        <color rgb="FF000000"/>
        <rFont val="Noto Sans CJK SC"/>
        <family val="2"/>
      </rPr>
      <t xml:space="preserve">元，下半年净变动 </t>
    </r>
    <r>
      <rPr>
        <sz val="11"/>
        <color rgb="FF000000"/>
        <rFont val="Calibri"/>
        <family val="2"/>
        <charset val="1"/>
      </rPr>
      <t xml:space="preserve">443,938.62 </t>
    </r>
    <r>
      <rPr>
        <sz val="11"/>
        <color rgb="FF000000"/>
        <rFont val="Noto Sans CJK SC"/>
        <family val="2"/>
      </rPr>
      <t xml:space="preserve">元。</t>
    </r>
  </si>
  <si>
    <t xml:space="preserve">高频交易对手方统计</t>
  </si>
  <si>
    <r>
      <rPr>
        <sz val="11"/>
        <color rgb="FF000000"/>
        <rFont val="Noto Sans CJK SC"/>
        <family val="2"/>
      </rPr>
      <t xml:space="preserve">税务局（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CJK SC"/>
        <family val="2"/>
      </rPr>
      <t xml:space="preserve">次）、应付职工薪酬（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CJK SC"/>
        <family val="2"/>
      </rPr>
      <t xml:space="preserve">次）、武汉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建材有限公司（</t>
    </r>
    <r>
      <rPr>
        <sz val="11"/>
        <color rgb="FF000000"/>
        <rFont val="Calibri"/>
        <family val="2"/>
        <charset val="1"/>
      </rPr>
      <t xml:space="preserve">17</t>
    </r>
    <r>
      <rPr>
        <sz val="11"/>
        <color rgb="FF000000"/>
        <rFont val="Noto Sans CJK SC"/>
        <family val="2"/>
      </rPr>
      <t xml:space="preserve">次）、杭州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服装有限公司（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Noto Sans CJK SC"/>
        <family val="2"/>
      </rPr>
      <t xml:space="preserve">次）、上海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贸易有限公司（</t>
    </r>
    <r>
      <rPr>
        <sz val="11"/>
        <color rgb="FF000000"/>
        <rFont val="Calibri"/>
        <family val="2"/>
        <charset val="1"/>
      </rPr>
      <t xml:space="preserve">13</t>
    </r>
    <r>
      <rPr>
        <sz val="11"/>
        <color rgb="FF000000"/>
        <rFont val="Noto Sans CJK SC"/>
        <family val="2"/>
      </rPr>
      <t xml:space="preserve">次）、厦门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印刷厂（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次）、苏州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机械有限公司（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次）、西安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化工厂（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次）、广州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实业有限公司（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次）、深圳</t>
    </r>
    <r>
      <rPr>
        <sz val="11"/>
        <color rgb="FF000000"/>
        <rFont val="Calibri"/>
        <family val="2"/>
        <charset val="1"/>
      </rPr>
      <t xml:space="preserve">XX</t>
    </r>
    <r>
      <rPr>
        <sz val="11"/>
        <color rgb="FF000000"/>
        <rFont val="Noto Sans CJK SC"/>
        <family val="2"/>
      </rPr>
      <t xml:space="preserve">电子有限公司（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CJK SC"/>
        <family val="2"/>
      </rPr>
      <t xml:space="preserve">次）</t>
    </r>
  </si>
  <si>
    <t xml:space="preserve">结论与优化建议</t>
  </si>
  <si>
    <r>
      <rPr>
        <sz val="11"/>
        <color rgb="FF000000"/>
        <rFont val="Calibri"/>
        <family val="2"/>
        <charset val="1"/>
      </rPr>
      <t xml:space="preserve">1. </t>
    </r>
    <r>
      <rPr>
        <sz val="11"/>
        <color rgb="FF000000"/>
        <rFont val="Noto Sans CJK SC"/>
        <family val="2"/>
      </rPr>
      <t xml:space="preserve">对负余额月份设置阶段性流动性预警和最低现金缓冲；</t>
    </r>
    <r>
      <rPr>
        <sz val="11"/>
        <color rgb="FF000000"/>
        <rFont val="Calibri"/>
        <family val="2"/>
        <charset val="1"/>
      </rPr>
      <t xml:space="preserve">2. </t>
    </r>
    <r>
      <rPr>
        <sz val="11"/>
        <color rgb="FF000000"/>
        <rFont val="Noto Sans CJK SC"/>
        <family val="2"/>
      </rPr>
      <t xml:space="preserve">对高频交易对手按月核对并维护付款计划；</t>
    </r>
    <r>
      <rPr>
        <sz val="11"/>
        <color rgb="FF000000"/>
        <rFont val="Calibri"/>
        <family val="2"/>
        <charset val="1"/>
      </rPr>
      <t xml:space="preserve">3. </t>
    </r>
    <r>
      <rPr>
        <sz val="11"/>
        <color rgb="FF000000"/>
        <rFont val="Noto Sans CJK SC"/>
        <family val="2"/>
      </rPr>
      <t xml:space="preserve">将可用余额与短期支出预测联动，减少资金闲置；</t>
    </r>
    <r>
      <rPr>
        <sz val="11"/>
        <color rgb="FF000000"/>
        <rFont val="Calibri"/>
        <family val="2"/>
        <charset val="1"/>
      </rPr>
      <t xml:space="preserve">4. </t>
    </r>
    <r>
      <rPr>
        <sz val="11"/>
        <color rgb="FF000000"/>
        <rFont val="Noto Sans CJK SC"/>
        <family val="2"/>
      </rPr>
      <t xml:space="preserve">每月复核借贷方向、余额和异常交易。</t>
    </r>
  </si>
  <si>
    <t xml:space="preserve">内容</t>
  </si>
  <si>
    <t xml:space="preserve">来源</t>
  </si>
  <si>
    <r>
      <rPr>
        <sz val="11"/>
        <color rgb="FF000000"/>
        <rFont val="Calibri"/>
        <family val="2"/>
        <charset val="1"/>
      </rPr>
      <t xml:space="preserve">Workspace-Bench-Lite task 255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Workspace-Bench-Workspaces revision e245d63bfa20cfdb708cd8e78145ffb087155857</t>
    </r>
  </si>
  <si>
    <t xml:space="preserve">口径</t>
  </si>
  <si>
    <r>
      <rPr>
        <sz val="11"/>
        <color rgb="FF000000"/>
        <rFont val="Noto Sans CJK SC"/>
        <family val="2"/>
      </rPr>
      <t xml:space="preserve">月度及年度金额由可见交易明细重新求和；</t>
    </r>
    <r>
      <rPr>
        <sz val="11"/>
        <color rgb="FF000000"/>
        <rFont val="Calibri"/>
        <family val="2"/>
        <charset val="1"/>
      </rPr>
      <t xml:space="preserve">metadata rubric </t>
    </r>
    <r>
      <rPr>
        <sz val="11"/>
        <color rgb="FF000000"/>
        <rFont val="Noto Sans CJK SC"/>
        <family val="2"/>
      </rPr>
      <t xml:space="preserve">与可见输入数值不一致时以输入为准</t>
    </r>
  </si>
  <si>
    <t xml:space="preserve">状态</t>
  </si>
  <si>
    <t xml:space="preserve">pending_human_review / uncalibrated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</si>
</sst>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0.00%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color rgb="FF00000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ccountInfoTable" displayName="AccountInfoTable" ref="A1:B6" headerRowCount="1" totalsRowCount="0" totalsRowShown="0">
  <autoFilter ref="A1:B6"/>
  <tableColumns count="2">
    <tableColumn id="1" name="项目"/>
    <tableColumn id="2" name="详情"/>
  </tableColumns>
</table>
</file>

<file path=xl/tables/table2.xml><?xml version="1.0" encoding="utf-8"?>
<table xmlns="http://schemas.openxmlformats.org/spreadsheetml/2006/main" id="2" name="AnalysisReportTable" displayName="AnalysisReportTable" ref="A1:B6" headerRowCount="1" totalsRowCount="0" totalsRowShown="0">
  <autoFilter ref="A1:B6"/>
  <tableColumns count="2">
    <tableColumn id="1" name="章节"/>
    <tableColumn id="2" name="分析内容"/>
  </tableColumns>
</table>
</file>

<file path=xl/tables/table3.xml><?xml version="1.0" encoding="utf-8"?>
<table xmlns="http://schemas.openxmlformats.org/spreadsheetml/2006/main" id="3" name="AnnualSummaryTable" displayName="AnnualSummaryTable" ref="A1:B7" headerRowCount="1" totalsRowCount="0" totalsRowShown="0">
  <autoFilter ref="A1:B7"/>
  <tableColumns count="2">
    <tableColumn id="1" name="指标"/>
    <tableColumn id="2" name="数值"/>
  </tableColumns>
</table>
</file>

<file path=xl/tables/table4.xml><?xml version="1.0" encoding="utf-8"?>
<table xmlns="http://schemas.openxmlformats.org/spreadsheetml/2006/main" id="4" name="CounterpartyTable" displayName="CounterpartyTable" ref="A1:F25" headerRowCount="1" totalsRowCount="0" totalsRowShown="0">
  <autoFilter ref="A1:F25"/>
  <tableColumns count="6">
    <tableColumn id="1" name="排名"/>
    <tableColumn id="2" name="交易对手"/>
    <tableColumn id="3" name="交易次数"/>
    <tableColumn id="4" name="借方合计"/>
    <tableColumn id="5" name="贷方合计"/>
    <tableColumn id="6" name="交易总额"/>
  </tableColumns>
</table>
</file>

<file path=xl/tables/table5.xml><?xml version="1.0" encoding="utf-8"?>
<table xmlns="http://schemas.openxmlformats.org/spreadsheetml/2006/main" id="5" name="MonthlyTrendTable" displayName="MonthlyTrendTable" ref="A1:G13" headerRowCount="1" totalsRowCount="0" totalsRowShown="0">
  <autoFilter ref="A1:G13"/>
  <tableColumns count="7">
    <tableColumn id="1" name="月份"/>
    <tableColumn id="2" name="期初余额"/>
    <tableColumn id="3" name="本月借方"/>
    <tableColumn id="4" name="本月贷方"/>
    <tableColumn id="5" name="月末结存"/>
    <tableColumn id="6" name="本年累计借方"/>
    <tableColumn id="7" name="本年累计贷方"/>
  </tableColumns>
</table>
</file>

<file path=xl/tables/table6.xml><?xml version="1.0" encoding="utf-8"?>
<table xmlns="http://schemas.openxmlformats.org/spreadsheetml/2006/main" id="6" name="SourceNotesTable" displayName="SourceNotesTable" ref="A1:B4" headerRowCount="1" totalsRowCount="0" totalsRowShown="0">
  <autoFilter ref="A1:B4"/>
  <tableColumns count="2">
    <tableColumn id="1" name="项目"/>
    <tableColumn id="2" name="内容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6"/>
    <col collapsed="false" customWidth="true" hidden="false" outlineLevel="0" max="7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2" t="n">
        <v>50000</v>
      </c>
      <c r="C2" s="2" t="n">
        <v>234862.64</v>
      </c>
      <c r="D2" s="2" t="n">
        <v>131668.38</v>
      </c>
      <c r="E2" s="2" t="n">
        <v>153194.26</v>
      </c>
      <c r="F2" s="2" t="n">
        <f aca="false">SUM($C$2:C2)</f>
        <v>234862.64</v>
      </c>
      <c r="G2" s="2" t="n">
        <f aca="false">SUM($D$2:D2)</f>
        <v>131668.38</v>
      </c>
    </row>
    <row r="3" customFormat="false" ht="15" hidden="false" customHeight="false" outlineLevel="0" collapsed="false">
      <c r="A3" s="0" t="s">
        <v>8</v>
      </c>
      <c r="B3" s="2" t="n">
        <v>153194.26</v>
      </c>
      <c r="C3" s="2" t="n">
        <v>128925.59</v>
      </c>
      <c r="D3" s="2" t="n">
        <v>312330.34</v>
      </c>
      <c r="E3" s="2" t="n">
        <v>-30210.49</v>
      </c>
      <c r="F3" s="2" t="n">
        <f aca="false">SUM($C$2:C3)</f>
        <v>363788.23</v>
      </c>
      <c r="G3" s="2" t="n">
        <f aca="false">SUM($D$2:D3)</f>
        <v>443998.72</v>
      </c>
    </row>
    <row r="4" customFormat="false" ht="15" hidden="false" customHeight="false" outlineLevel="0" collapsed="false">
      <c r="A4" s="0" t="s">
        <v>9</v>
      </c>
      <c r="B4" s="2" t="n">
        <v>-30210.49</v>
      </c>
      <c r="C4" s="2" t="n">
        <v>192861.25</v>
      </c>
      <c r="D4" s="2" t="n">
        <v>111802.96</v>
      </c>
      <c r="E4" s="2" t="n">
        <v>50847.8</v>
      </c>
      <c r="F4" s="2" t="n">
        <f aca="false">SUM($C$2:C4)</f>
        <v>556649.48</v>
      </c>
      <c r="G4" s="2" t="n">
        <f aca="false">SUM($D$2:D4)</f>
        <v>555801.68</v>
      </c>
    </row>
    <row r="5" customFormat="false" ht="15" hidden="false" customHeight="false" outlineLevel="0" collapsed="false">
      <c r="A5" s="0" t="s">
        <v>10</v>
      </c>
      <c r="B5" s="2" t="n">
        <v>50847.8</v>
      </c>
      <c r="C5" s="2" t="n">
        <v>150770.69</v>
      </c>
      <c r="D5" s="2" t="n">
        <v>158749.42</v>
      </c>
      <c r="E5" s="2" t="n">
        <v>42869.07</v>
      </c>
      <c r="F5" s="2" t="n">
        <f aca="false">SUM($C$2:C5)</f>
        <v>707420.17</v>
      </c>
      <c r="G5" s="2" t="n">
        <f aca="false">SUM($D$2:D5)</f>
        <v>714551.1</v>
      </c>
    </row>
    <row r="6" customFormat="false" ht="15" hidden="false" customHeight="false" outlineLevel="0" collapsed="false">
      <c r="A6" s="0" t="s">
        <v>11</v>
      </c>
      <c r="B6" s="2" t="n">
        <v>42869.07</v>
      </c>
      <c r="C6" s="2" t="n">
        <v>169237.3</v>
      </c>
      <c r="D6" s="2" t="n">
        <v>156329.33</v>
      </c>
      <c r="E6" s="2" t="n">
        <v>55777.04</v>
      </c>
      <c r="F6" s="2" t="n">
        <f aca="false">SUM($C$2:C6)</f>
        <v>876657.47</v>
      </c>
      <c r="G6" s="2" t="n">
        <f aca="false">SUM($D$2:D6)</f>
        <v>870880.43</v>
      </c>
    </row>
    <row r="7" customFormat="false" ht="15" hidden="false" customHeight="false" outlineLevel="0" collapsed="false">
      <c r="A7" s="0" t="s">
        <v>12</v>
      </c>
      <c r="B7" s="2" t="n">
        <v>55777.04</v>
      </c>
      <c r="C7" s="2" t="n">
        <v>246432.28</v>
      </c>
      <c r="D7" s="2" t="n">
        <v>318533.64</v>
      </c>
      <c r="E7" s="2" t="n">
        <v>-16324.32</v>
      </c>
      <c r="F7" s="2" t="n">
        <f aca="false">SUM($C$2:C7)</f>
        <v>1123089.75</v>
      </c>
      <c r="G7" s="2" t="n">
        <f aca="false">SUM($D$2:D7)</f>
        <v>1189414.07</v>
      </c>
    </row>
    <row r="8" customFormat="false" ht="15" hidden="false" customHeight="false" outlineLevel="0" collapsed="false">
      <c r="A8" s="0" t="s">
        <v>13</v>
      </c>
      <c r="B8" s="2" t="n">
        <v>-16324.32</v>
      </c>
      <c r="C8" s="2" t="n">
        <v>128124.07</v>
      </c>
      <c r="D8" s="2" t="n">
        <v>200644.94</v>
      </c>
      <c r="E8" s="2" t="n">
        <v>-88845.19</v>
      </c>
      <c r="F8" s="2" t="n">
        <f aca="false">SUM($C$2:C8)</f>
        <v>1251213.82</v>
      </c>
      <c r="G8" s="2" t="n">
        <f aca="false">SUM($D$2:D8)</f>
        <v>1390059.01</v>
      </c>
    </row>
    <row r="9" customFormat="false" ht="15" hidden="false" customHeight="false" outlineLevel="0" collapsed="false">
      <c r="A9" s="0" t="s">
        <v>14</v>
      </c>
      <c r="B9" s="2" t="n">
        <v>-88845.19</v>
      </c>
      <c r="C9" s="2" t="n">
        <v>234087.85</v>
      </c>
      <c r="D9" s="2" t="n">
        <v>164661.98</v>
      </c>
      <c r="E9" s="2" t="n">
        <v>-19419.32</v>
      </c>
      <c r="F9" s="2" t="n">
        <f aca="false">SUM($C$2:C9)</f>
        <v>1485301.67</v>
      </c>
      <c r="G9" s="2" t="n">
        <f aca="false">SUM($D$2:D9)</f>
        <v>1554720.99</v>
      </c>
    </row>
    <row r="10" customFormat="false" ht="15" hidden="false" customHeight="false" outlineLevel="0" collapsed="false">
      <c r="A10" s="0" t="s">
        <v>15</v>
      </c>
      <c r="B10" s="2" t="n">
        <v>-19419.32</v>
      </c>
      <c r="C10" s="2" t="n">
        <v>223874.14</v>
      </c>
      <c r="D10" s="2" t="n">
        <v>240341.68</v>
      </c>
      <c r="E10" s="2" t="n">
        <v>-35886.86</v>
      </c>
      <c r="F10" s="2" t="n">
        <f aca="false">SUM($C$2:C10)</f>
        <v>1709175.81</v>
      </c>
      <c r="G10" s="2" t="n">
        <f aca="false">SUM($D$2:D10)</f>
        <v>1795062.67</v>
      </c>
    </row>
    <row r="11" customFormat="false" ht="15" hidden="false" customHeight="false" outlineLevel="0" collapsed="false">
      <c r="A11" s="0" t="s">
        <v>16</v>
      </c>
      <c r="B11" s="2" t="n">
        <v>-35886.86</v>
      </c>
      <c r="C11" s="2" t="n">
        <v>221434.06</v>
      </c>
      <c r="D11" s="2" t="n">
        <v>106986.8</v>
      </c>
      <c r="E11" s="2" t="n">
        <v>78560.4</v>
      </c>
      <c r="F11" s="2" t="n">
        <f aca="false">SUM($C$2:C11)</f>
        <v>1930609.87</v>
      </c>
      <c r="G11" s="2" t="n">
        <f aca="false">SUM($D$2:D11)</f>
        <v>1902049.47</v>
      </c>
    </row>
    <row r="12" customFormat="false" ht="15" hidden="false" customHeight="false" outlineLevel="0" collapsed="false">
      <c r="A12" s="0" t="s">
        <v>17</v>
      </c>
      <c r="B12" s="2" t="n">
        <v>78560.4</v>
      </c>
      <c r="C12" s="2" t="n">
        <v>344528.02</v>
      </c>
      <c r="D12" s="2" t="n">
        <v>92789.61</v>
      </c>
      <c r="E12" s="2" t="n">
        <v>330298.81</v>
      </c>
      <c r="F12" s="2" t="n">
        <f aca="false">SUM($C$2:C12)</f>
        <v>2275137.89</v>
      </c>
      <c r="G12" s="2" t="n">
        <f aca="false">SUM($D$2:D12)</f>
        <v>1994839.08</v>
      </c>
    </row>
    <row r="13" customFormat="false" ht="15" hidden="false" customHeight="false" outlineLevel="0" collapsed="false">
      <c r="A13" s="0" t="s">
        <v>18</v>
      </c>
      <c r="B13" s="2" t="n">
        <v>330298.81</v>
      </c>
      <c r="C13" s="2" t="n">
        <v>242815.02</v>
      </c>
      <c r="D13" s="2" t="n">
        <v>145499.53</v>
      </c>
      <c r="E13" s="2" t="n">
        <v>427614.3</v>
      </c>
      <c r="F13" s="2" t="n">
        <f aca="false">SUM($C$2:C13)</f>
        <v>2517952.91</v>
      </c>
      <c r="G13" s="2" t="n">
        <f aca="false">SUM($D$2:D13)</f>
        <v>2140338.61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19</v>
      </c>
      <c r="B1" s="1" t="s">
        <v>20</v>
      </c>
    </row>
    <row r="2" customFormat="false" ht="15" hidden="false" customHeight="false" outlineLevel="0" collapsed="false">
      <c r="A2" s="3" t="s">
        <v>21</v>
      </c>
      <c r="B2" s="2" t="n">
        <v>2517952.91</v>
      </c>
    </row>
    <row r="3" customFormat="false" ht="15" hidden="false" customHeight="false" outlineLevel="0" collapsed="false">
      <c r="A3" s="3" t="s">
        <v>22</v>
      </c>
      <c r="B3" s="2" t="n">
        <v>2140338.61</v>
      </c>
    </row>
    <row r="4" customFormat="false" ht="15" hidden="false" customHeight="false" outlineLevel="0" collapsed="false">
      <c r="A4" s="3" t="s">
        <v>23</v>
      </c>
      <c r="B4" s="2" t="n">
        <v>377614.3</v>
      </c>
    </row>
    <row r="5" customFormat="false" ht="15" hidden="false" customHeight="false" outlineLevel="0" collapsed="false">
      <c r="A5" s="3" t="s">
        <v>24</v>
      </c>
      <c r="B5" s="2" t="n">
        <v>427614.3</v>
      </c>
    </row>
    <row r="6" customFormat="false" ht="15" hidden="false" customHeight="false" outlineLevel="0" collapsed="false">
      <c r="A6" s="3" t="s">
        <v>25</v>
      </c>
      <c r="B6" s="2" t="n">
        <v>150000</v>
      </c>
    </row>
    <row r="7" customFormat="false" ht="15" hidden="false" customHeight="false" outlineLevel="0" collapsed="false">
      <c r="A7" s="3" t="s">
        <v>26</v>
      </c>
      <c r="B7" s="4" t="n">
        <v>2.850762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1" t="s">
        <v>27</v>
      </c>
      <c r="B1" s="1" t="s">
        <v>28</v>
      </c>
    </row>
    <row r="2" customFormat="false" ht="15" hidden="false" customHeight="false" outlineLevel="0" collapsed="false">
      <c r="A2" s="3" t="s">
        <v>29</v>
      </c>
      <c r="B2" s="3" t="s">
        <v>30</v>
      </c>
    </row>
    <row r="3" customFormat="false" ht="15" hidden="false" customHeight="false" outlineLevel="0" collapsed="false">
      <c r="A3" s="3" t="s">
        <v>31</v>
      </c>
      <c r="B3" s="0" t="s">
        <v>32</v>
      </c>
    </row>
    <row r="4" customFormat="false" ht="15" hidden="false" customHeight="false" outlineLevel="0" collapsed="false">
      <c r="A4" s="3" t="s">
        <v>33</v>
      </c>
      <c r="B4" s="0" t="s">
        <v>34</v>
      </c>
    </row>
    <row r="5" customFormat="false" ht="15" hidden="false" customHeight="false" outlineLevel="0" collapsed="false">
      <c r="A5" s="3" t="s">
        <v>35</v>
      </c>
      <c r="B5" s="0" t="s">
        <v>36</v>
      </c>
    </row>
    <row r="6" customFormat="false" ht="15" hidden="false" customHeight="false" outlineLevel="0" collapsed="false">
      <c r="A6" s="3" t="s">
        <v>25</v>
      </c>
      <c r="B6" s="0" t="s">
        <v>37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6" min="4" style="0" width="16"/>
  </cols>
  <sheetData>
    <row r="1" customFormat="false" ht="15" hidden="false" customHeight="fals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customFormat="false" ht="15" hidden="false" customHeight="false" outlineLevel="0" collapsed="false">
      <c r="A2" s="0" t="n">
        <v>1</v>
      </c>
      <c r="B2" s="3" t="s">
        <v>44</v>
      </c>
      <c r="C2" s="0" t="n">
        <v>19</v>
      </c>
      <c r="D2" s="2" t="n">
        <v>0</v>
      </c>
      <c r="E2" s="2" t="n">
        <v>188061.1</v>
      </c>
      <c r="F2" s="2" t="n">
        <f aca="false">D2+E2</f>
        <v>188061.1</v>
      </c>
    </row>
    <row r="3" customFormat="false" ht="15" hidden="false" customHeight="false" outlineLevel="0" collapsed="false">
      <c r="A3" s="0" t="n">
        <v>2</v>
      </c>
      <c r="B3" s="3" t="s">
        <v>45</v>
      </c>
      <c r="C3" s="0" t="n">
        <v>18</v>
      </c>
      <c r="D3" s="2" t="n">
        <v>0</v>
      </c>
      <c r="E3" s="2" t="n">
        <v>491554.79</v>
      </c>
      <c r="F3" s="2" t="n">
        <f aca="false">D3+E3</f>
        <v>491554.79</v>
      </c>
    </row>
    <row r="4" customFormat="false" ht="15" hidden="false" customHeight="false" outlineLevel="0" collapsed="false">
      <c r="A4" s="0" t="n">
        <v>3</v>
      </c>
      <c r="B4" s="3" t="s">
        <v>46</v>
      </c>
      <c r="C4" s="0" t="n">
        <v>17</v>
      </c>
      <c r="D4" s="2" t="n">
        <v>425397.96</v>
      </c>
      <c r="E4" s="2" t="n">
        <v>0</v>
      </c>
      <c r="F4" s="2" t="n">
        <f aca="false">D4+E4</f>
        <v>425397.96</v>
      </c>
    </row>
    <row r="5" customFormat="false" ht="15" hidden="false" customHeight="false" outlineLevel="0" collapsed="false">
      <c r="A5" s="0" t="n">
        <v>4</v>
      </c>
      <c r="B5" s="3" t="s">
        <v>47</v>
      </c>
      <c r="C5" s="0" t="n">
        <v>13</v>
      </c>
      <c r="D5" s="2" t="n">
        <v>400049.89</v>
      </c>
      <c r="E5" s="2" t="n">
        <v>0</v>
      </c>
      <c r="F5" s="2" t="n">
        <f aca="false">D5+E5</f>
        <v>400049.89</v>
      </c>
    </row>
    <row r="6" customFormat="false" ht="15" hidden="false" customHeight="false" outlineLevel="0" collapsed="false">
      <c r="A6" s="0" t="n">
        <v>5</v>
      </c>
      <c r="B6" s="3" t="s">
        <v>48</v>
      </c>
      <c r="C6" s="0" t="n">
        <v>13</v>
      </c>
      <c r="D6" s="2" t="n">
        <v>391206.59</v>
      </c>
      <c r="E6" s="2" t="n">
        <v>0</v>
      </c>
      <c r="F6" s="2" t="n">
        <f aca="false">D6+E6</f>
        <v>391206.59</v>
      </c>
    </row>
    <row r="7" customFormat="false" ht="15" hidden="false" customHeight="false" outlineLevel="0" collapsed="false">
      <c r="A7" s="0" t="n">
        <v>6</v>
      </c>
      <c r="B7" s="3" t="s">
        <v>49</v>
      </c>
      <c r="C7" s="0" t="n">
        <v>12</v>
      </c>
      <c r="D7" s="2" t="n">
        <v>0</v>
      </c>
      <c r="E7" s="2" t="n">
        <v>251862.49</v>
      </c>
      <c r="F7" s="2" t="n">
        <f aca="false">D7+E7</f>
        <v>251862.49</v>
      </c>
    </row>
    <row r="8" customFormat="false" ht="15" hidden="false" customHeight="false" outlineLevel="0" collapsed="false">
      <c r="A8" s="0" t="n">
        <v>7</v>
      </c>
      <c r="B8" s="3" t="s">
        <v>50</v>
      </c>
      <c r="C8" s="0" t="n">
        <v>12</v>
      </c>
      <c r="D8" s="2" t="n">
        <v>263163.2</v>
      </c>
      <c r="E8" s="2" t="n">
        <v>0</v>
      </c>
      <c r="F8" s="2" t="n">
        <f aca="false">D8+E8</f>
        <v>263163.2</v>
      </c>
    </row>
    <row r="9" customFormat="false" ht="15" hidden="false" customHeight="false" outlineLevel="0" collapsed="false">
      <c r="A9" s="0" t="n">
        <v>8</v>
      </c>
      <c r="B9" s="3" t="s">
        <v>51</v>
      </c>
      <c r="C9" s="0" t="n">
        <v>12</v>
      </c>
      <c r="D9" s="2" t="n">
        <v>0</v>
      </c>
      <c r="E9" s="2" t="n">
        <v>258466.01</v>
      </c>
      <c r="F9" s="2" t="n">
        <f aca="false">D9+E9</f>
        <v>258466.01</v>
      </c>
    </row>
    <row r="10" customFormat="false" ht="15" hidden="false" customHeight="false" outlineLevel="0" collapsed="false">
      <c r="A10" s="0" t="n">
        <v>9</v>
      </c>
      <c r="B10" s="3" t="s">
        <v>52</v>
      </c>
      <c r="C10" s="0" t="n">
        <v>12</v>
      </c>
      <c r="D10" s="2" t="n">
        <v>243740.88</v>
      </c>
      <c r="E10" s="2" t="n">
        <v>0</v>
      </c>
      <c r="F10" s="2" t="n">
        <f aca="false">D10+E10</f>
        <v>243740.88</v>
      </c>
    </row>
    <row r="11" customFormat="false" ht="15" hidden="false" customHeight="false" outlineLevel="0" collapsed="false">
      <c r="A11" s="0" t="n">
        <v>10</v>
      </c>
      <c r="B11" s="3" t="s">
        <v>53</v>
      </c>
      <c r="C11" s="0" t="n">
        <v>11</v>
      </c>
      <c r="D11" s="2" t="n">
        <v>286502.39</v>
      </c>
      <c r="E11" s="2" t="n">
        <v>0</v>
      </c>
      <c r="F11" s="2" t="n">
        <f aca="false">D11+E11</f>
        <v>286502.39</v>
      </c>
    </row>
    <row r="12" customFormat="false" ht="15" hidden="false" customHeight="false" outlineLevel="0" collapsed="false">
      <c r="A12" s="0" t="n">
        <v>11</v>
      </c>
      <c r="B12" s="3" t="s">
        <v>54</v>
      </c>
      <c r="C12" s="0" t="n">
        <v>10</v>
      </c>
      <c r="D12" s="2" t="n">
        <v>0</v>
      </c>
      <c r="E12" s="2" t="n">
        <v>191392.27</v>
      </c>
      <c r="F12" s="2" t="n">
        <f aca="false">D12+E12</f>
        <v>191392.27</v>
      </c>
    </row>
    <row r="13" customFormat="false" ht="15" hidden="false" customHeight="false" outlineLevel="0" collapsed="false">
      <c r="A13" s="0" t="n">
        <v>12</v>
      </c>
      <c r="B13" s="3" t="s">
        <v>55</v>
      </c>
      <c r="C13" s="0" t="n">
        <v>10</v>
      </c>
      <c r="D13" s="2" t="n">
        <v>0</v>
      </c>
      <c r="E13" s="2" t="n">
        <v>182010.24</v>
      </c>
      <c r="F13" s="2" t="n">
        <f aca="false">D13+E13</f>
        <v>182010.24</v>
      </c>
    </row>
    <row r="14" customFormat="false" ht="15" hidden="false" customHeight="false" outlineLevel="0" collapsed="false">
      <c r="A14" s="0" t="n">
        <v>13</v>
      </c>
      <c r="B14" s="3" t="s">
        <v>56</v>
      </c>
      <c r="C14" s="0" t="n">
        <v>10</v>
      </c>
      <c r="D14" s="2" t="n">
        <v>234407.39</v>
      </c>
      <c r="E14" s="2" t="n">
        <v>0</v>
      </c>
      <c r="F14" s="2" t="n">
        <f aca="false">D14+E14</f>
        <v>234407.39</v>
      </c>
    </row>
    <row r="15" customFormat="false" ht="15" hidden="false" customHeight="false" outlineLevel="0" collapsed="false">
      <c r="A15" s="0" t="n">
        <v>14</v>
      </c>
      <c r="B15" s="3" t="s">
        <v>57</v>
      </c>
      <c r="C15" s="0" t="n">
        <v>9</v>
      </c>
      <c r="D15" s="2" t="n">
        <v>273484.61</v>
      </c>
      <c r="E15" s="2" t="n">
        <v>0</v>
      </c>
      <c r="F15" s="2" t="n">
        <f aca="false">D15+E15</f>
        <v>273484.61</v>
      </c>
    </row>
    <row r="16" customFormat="false" ht="15" hidden="false" customHeight="false" outlineLevel="0" collapsed="false">
      <c r="A16" s="0" t="n">
        <v>15</v>
      </c>
      <c r="B16" s="3" t="s">
        <v>58</v>
      </c>
      <c r="C16" s="0" t="n">
        <v>8</v>
      </c>
      <c r="D16" s="2" t="n">
        <v>0</v>
      </c>
      <c r="E16" s="2" t="n">
        <v>126203.03</v>
      </c>
      <c r="F16" s="2" t="n">
        <f aca="false">D16+E16</f>
        <v>126203.03</v>
      </c>
    </row>
    <row r="17" customFormat="false" ht="15" hidden="false" customHeight="false" outlineLevel="0" collapsed="false">
      <c r="A17" s="0" t="n">
        <v>16</v>
      </c>
      <c r="B17" s="3" t="s">
        <v>59</v>
      </c>
      <c r="C17" s="0" t="n">
        <v>8</v>
      </c>
      <c r="D17" s="2" t="n">
        <v>0</v>
      </c>
      <c r="E17" s="2" t="n">
        <v>136956.49</v>
      </c>
      <c r="F17" s="2" t="n">
        <f aca="false">D17+E17</f>
        <v>136956.49</v>
      </c>
    </row>
    <row r="18" customFormat="false" ht="15" hidden="false" customHeight="false" outlineLevel="0" collapsed="false">
      <c r="A18" s="0" t="n">
        <v>17</v>
      </c>
      <c r="B18" s="3" t="s">
        <v>60</v>
      </c>
      <c r="C18" s="0" t="n">
        <v>8</v>
      </c>
      <c r="D18" s="2" t="n">
        <v>0</v>
      </c>
      <c r="E18" s="2" t="n">
        <v>17460.92</v>
      </c>
      <c r="F18" s="2" t="n">
        <f aca="false">D18+E18</f>
        <v>17460.92</v>
      </c>
    </row>
    <row r="19" customFormat="false" ht="15" hidden="false" customHeight="false" outlineLevel="0" collapsed="false">
      <c r="A19" s="0" t="n">
        <v>18</v>
      </c>
      <c r="B19" s="3" t="s">
        <v>61</v>
      </c>
      <c r="C19" s="0" t="n">
        <v>7</v>
      </c>
      <c r="D19" s="2" t="n">
        <v>0</v>
      </c>
      <c r="E19" s="2" t="n">
        <v>16278.18</v>
      </c>
      <c r="F19" s="2" t="n">
        <f aca="false">D19+E19</f>
        <v>16278.18</v>
      </c>
    </row>
    <row r="20" customFormat="false" ht="15" hidden="false" customHeight="false" outlineLevel="0" collapsed="false">
      <c r="A20" s="0" t="n">
        <v>19</v>
      </c>
      <c r="B20" s="3" t="s">
        <v>62</v>
      </c>
      <c r="C20" s="0" t="n">
        <v>6</v>
      </c>
      <c r="D20" s="2" t="n">
        <v>0</v>
      </c>
      <c r="E20" s="2" t="n">
        <v>124949.23</v>
      </c>
      <c r="F20" s="2" t="n">
        <f aca="false">D20+E20</f>
        <v>124949.23</v>
      </c>
    </row>
    <row r="21" customFormat="false" ht="15" hidden="false" customHeight="false" outlineLevel="0" collapsed="false">
      <c r="A21" s="0" t="n">
        <v>20</v>
      </c>
      <c r="B21" s="3" t="s">
        <v>63</v>
      </c>
      <c r="C21" s="0" t="n">
        <v>6</v>
      </c>
      <c r="D21" s="2" t="n">
        <v>0</v>
      </c>
      <c r="E21" s="2" t="n">
        <v>114281.32</v>
      </c>
      <c r="F21" s="2" t="n">
        <f aca="false">D21+E21</f>
        <v>114281.32</v>
      </c>
    </row>
    <row r="22" customFormat="false" ht="15" hidden="false" customHeight="false" outlineLevel="0" collapsed="false">
      <c r="A22" s="0" t="n">
        <v>21</v>
      </c>
      <c r="B22" s="3" t="s">
        <v>64</v>
      </c>
      <c r="C22" s="0" t="n">
        <v>5</v>
      </c>
      <c r="D22" s="2" t="n">
        <v>0</v>
      </c>
      <c r="E22" s="2" t="n">
        <v>15356.9</v>
      </c>
      <c r="F22" s="2" t="n">
        <f aca="false">D22+E22</f>
        <v>15356.9</v>
      </c>
    </row>
    <row r="23" customFormat="false" ht="15" hidden="false" customHeight="false" outlineLevel="0" collapsed="false">
      <c r="A23" s="0" t="n">
        <v>22</v>
      </c>
      <c r="B23" s="3" t="s">
        <v>65</v>
      </c>
      <c r="C23" s="0" t="n">
        <v>4</v>
      </c>
      <c r="D23" s="2" t="n">
        <v>0</v>
      </c>
      <c r="E23" s="2" t="n">
        <v>12414.88</v>
      </c>
      <c r="F23" s="2" t="n">
        <f aca="false">D23+E23</f>
        <v>12414.88</v>
      </c>
    </row>
    <row r="24" customFormat="false" ht="15" hidden="false" customHeight="false" outlineLevel="0" collapsed="false">
      <c r="A24" s="0" t="n">
        <v>23</v>
      </c>
      <c r="B24" s="3" t="s">
        <v>66</v>
      </c>
      <c r="C24" s="0" t="n">
        <v>3</v>
      </c>
      <c r="D24" s="2" t="n">
        <v>0</v>
      </c>
      <c r="E24" s="2" t="n">
        <v>9331.78</v>
      </c>
      <c r="F24" s="2" t="n">
        <f aca="false">D24+E24</f>
        <v>9331.78</v>
      </c>
    </row>
    <row r="25" customFormat="false" ht="15" hidden="false" customHeight="false" outlineLevel="0" collapsed="false">
      <c r="A25" s="0" t="n">
        <v>24</v>
      </c>
      <c r="B25" s="3" t="s">
        <v>67</v>
      </c>
      <c r="C25" s="0" t="n">
        <v>1</v>
      </c>
      <c r="D25" s="2" t="n">
        <v>0</v>
      </c>
      <c r="E25" s="2" t="n">
        <v>3758.98</v>
      </c>
      <c r="F25" s="2" t="n">
        <f aca="false">D25+E25</f>
        <v>3758.98</v>
      </c>
    </row>
  </sheetData>
  <autoFilter ref="A1:F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68</v>
      </c>
      <c r="B1" s="1" t="s">
        <v>69</v>
      </c>
    </row>
    <row r="2" customFormat="false" ht="15" hidden="false" customHeight="false" outlineLevel="0" collapsed="false">
      <c r="A2" s="3" t="s">
        <v>70</v>
      </c>
      <c r="B2" s="3" t="s">
        <v>71</v>
      </c>
    </row>
    <row r="3" customFormat="false" ht="15" hidden="false" customHeight="false" outlineLevel="0" collapsed="false">
      <c r="A3" s="3" t="s">
        <v>72</v>
      </c>
      <c r="B3" s="3" t="s">
        <v>73</v>
      </c>
    </row>
    <row r="4" customFormat="false" ht="15" hidden="false" customHeight="false" outlineLevel="0" collapsed="false">
      <c r="A4" s="3" t="s">
        <v>74</v>
      </c>
      <c r="B4" s="3" t="s">
        <v>75</v>
      </c>
    </row>
    <row r="5" customFormat="false" ht="15" hidden="false" customHeight="false" outlineLevel="0" collapsed="false">
      <c r="A5" s="3" t="s">
        <v>76</v>
      </c>
      <c r="B5" s="3" t="s">
        <v>77</v>
      </c>
    </row>
    <row r="6" customFormat="false" ht="15" hidden="false" customHeight="false" outlineLevel="0" collapsed="false">
      <c r="A6" s="3" t="s">
        <v>78</v>
      </c>
      <c r="B6" s="0" t="s">
        <v>79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27</v>
      </c>
      <c r="B1" s="1" t="s">
        <v>80</v>
      </c>
    </row>
    <row r="2" customFormat="false" ht="15" hidden="false" customHeight="false" outlineLevel="0" collapsed="false">
      <c r="A2" s="3" t="s">
        <v>81</v>
      </c>
      <c r="B2" s="0" t="s">
        <v>82</v>
      </c>
    </row>
    <row r="3" customFormat="false" ht="15" hidden="false" customHeight="false" outlineLevel="0" collapsed="false">
      <c r="A3" s="3" t="s">
        <v>83</v>
      </c>
      <c r="B3" s="3" t="s">
        <v>84</v>
      </c>
    </row>
    <row r="4" customFormat="false" ht="15" hidden="false" customHeight="false" outlineLevel="0" collapsed="false">
      <c r="A4" s="3" t="s">
        <v>85</v>
      </c>
      <c r="B4" s="0" t="s">
        <v>86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2026-03-23T06:54:27Z</dcterms:created>
  <dc:creator>openpyxl</dc:creator>
  <dc:description/>
  <dc:language>en-US</dc:language>
  <cp:lastModifiedBy/>
  <dcterms:modified xsi:type="dcterms:W3CDTF">2026-09-03T19:30:30Z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