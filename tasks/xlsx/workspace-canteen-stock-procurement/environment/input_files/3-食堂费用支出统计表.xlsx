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0480"/>
  </bookViews>
  <sheets>
    <sheet name="Sheet1" sheetId="1" r:id="rId1"/>
  </sheets>
  <definedNames>
    <definedName name="房租设备">Sheet1!$M$7:$M$37</definedName>
    <definedName name="人工成本">Sheet1!$N$7:$N$37</definedName>
    <definedName name="食品支出">Sheet1!$K$7:$K$37</definedName>
    <definedName name="调味品">Sheet1!$L$7:$L$37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<sst xmlns="http://schemas.openxmlformats.org/spreadsheetml/2006/main" count="85" uniqueCount="67">
  <si>
    <t>食堂费用支出统计表</t>
  </si>
  <si>
    <t>统计</t>
  </si>
  <si>
    <t>食品支出合计</t>
  </si>
  <si>
    <t>调味品合计</t>
  </si>
  <si>
    <t>房租设备合计</t>
  </si>
  <si>
    <t>人工成本合计</t>
  </si>
  <si>
    <t>月支出合计</t>
  </si>
  <si>
    <t>序号</t>
  </si>
  <si>
    <t>日期</t>
  </si>
  <si>
    <t>费用类型</t>
  </si>
  <si>
    <t>费用细项</t>
  </si>
  <si>
    <t>单位</t>
  </si>
  <si>
    <t>数量</t>
  </si>
  <si>
    <t>单价</t>
  </si>
  <si>
    <t>费用金额</t>
  </si>
  <si>
    <t>食品支出</t>
  </si>
  <si>
    <t>调味品</t>
  </si>
  <si>
    <t>房租设备</t>
  </si>
  <si>
    <t>人工成本</t>
  </si>
  <si>
    <t>大米</t>
  </si>
  <si>
    <t>Kg</t>
  </si>
  <si>
    <t>酱油</t>
  </si>
  <si>
    <t>电费</t>
  </si>
  <si>
    <t>工资</t>
  </si>
  <si>
    <t>瓶</t>
  </si>
  <si>
    <t>植物油</t>
  </si>
  <si>
    <t>醋</t>
  </si>
  <si>
    <t>气费</t>
  </si>
  <si>
    <t>社会保险</t>
  </si>
  <si>
    <r>
      <rPr>
        <sz val="12"/>
        <color theme="1"/>
        <rFont val="黑体"/>
        <charset val="134"/>
      </rPr>
      <t>m</t>
    </r>
    <r>
      <rPr>
        <sz val="12"/>
        <color theme="1"/>
        <rFont val="Malgun Gothic"/>
        <charset val="129"/>
      </rPr>
      <t>³</t>
    </r>
  </si>
  <si>
    <t>猪肉</t>
  </si>
  <si>
    <t>蒸鱼油</t>
  </si>
  <si>
    <t>水费</t>
  </si>
  <si>
    <t>福利费</t>
  </si>
  <si>
    <t>兼职人员费用</t>
  </si>
  <si>
    <t>个</t>
  </si>
  <si>
    <t>鸡肉</t>
  </si>
  <si>
    <t>辣椒面</t>
  </si>
  <si>
    <t>锅</t>
  </si>
  <si>
    <t>鱼肉</t>
  </si>
  <si>
    <t>公斤</t>
  </si>
  <si>
    <t>鸭肉</t>
  </si>
  <si>
    <t>花椒</t>
  </si>
  <si>
    <t>铲子</t>
  </si>
  <si>
    <t>其他费用</t>
  </si>
  <si>
    <t>芝麻油</t>
  </si>
  <si>
    <t>食盘</t>
  </si>
  <si>
    <t>鸡蛋</t>
  </si>
  <si>
    <t>飘香油</t>
  </si>
  <si>
    <t>桌椅</t>
  </si>
  <si>
    <t>人</t>
  </si>
  <si>
    <t>白菜</t>
  </si>
  <si>
    <t>料酒</t>
  </si>
  <si>
    <t>餐盘</t>
  </si>
  <si>
    <t>南瓜</t>
  </si>
  <si>
    <t>老抽</t>
  </si>
  <si>
    <t>房租</t>
  </si>
  <si>
    <t>土豆</t>
  </si>
  <si>
    <t>海带</t>
  </si>
  <si>
    <t>大葱</t>
  </si>
  <si>
    <t>小葱</t>
  </si>
  <si>
    <t>西红柿</t>
  </si>
  <si>
    <t>水白菜</t>
  </si>
  <si>
    <t>软江菜</t>
  </si>
  <si>
    <t>茄子</t>
  </si>
  <si>
    <t>冬瓜</t>
  </si>
  <si>
    <t>大蒜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</si>
</sst>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 \¥* #,##0.00_ ;_ \¥* \-#,##0.00_ ;_ \¥* &quot;-&quot;??_ ;_ @_ "/>
    <numFmt numFmtId="177" formatCode="\¥#,##0.00_);[Red]\(\¥#,##0.00\)"/>
  </numFmts>
  <fonts count="26">
    <font>
      <sz val="11"/>
      <color theme="1"/>
      <name val="等线"/>
      <charset val="134"/>
      <scheme val="minor"/>
    </font>
    <font>
      <sz val="12"/>
      <color theme="1"/>
      <name val="黑体"/>
      <charset val="134"/>
    </font>
    <font>
      <b/>
      <sz val="26"/>
      <color theme="1" tint="0.249977111117893"/>
      <name val="黑体"/>
      <charset val="134"/>
    </font>
    <font>
      <b/>
      <sz val="12"/>
      <color rgb="FF0070C0"/>
      <name val="黑体"/>
      <charset val="134"/>
    </font>
    <font>
      <sz val="12"/>
      <color theme="0"/>
      <name val="黑体"/>
      <charset val="134"/>
    </font>
    <font>
      <sz val="10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color theme="1"/>
      <name val="Malgun Gothic"/>
      <charset val="129"/>
    </font>
  </fonts>
  <fills count="3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4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7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1" fillId="3" borderId="0" xfId="0" applyNumberFormat="1" applyFont="1" applyFill="1" applyBorder="1" applyAlignment="1">
      <alignment horizontal="center" vertical="center"/>
    </xf>
    <xf numFmtId="177" fontId="3" fillId="3" borderId="0" xfId="0" applyNumberFormat="1" applyFont="1" applyFill="1" applyBorder="1" applyAlignment="1">
      <alignment horizontal="center" vertical="center"/>
    </xf>
    <xf numFmtId="58" fontId="1" fillId="0" borderId="0" xfId="0" applyNumberFormat="1" applyFont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3">
    <dxf>
      <fill>
        <patternFill patternType="none"/>
      </fill>
    </dxf>
    <dxf>
      <fill>
        <patternFill patternType="solid">
          <bgColor rgb="FFFFFFFF"/>
        </patternFill>
      </fill>
    </dxf>
    <dxf>
      <fill>
        <patternFill patternType="solid">
          <bgColor rgb="FFDDF0FF"/>
        </patternFill>
      </fill>
    </dxf>
  </dxfs>
  <tableStyles count="0" defaultTableStyle="TableStyleMedium2" defaultPivotStyle="PivotStyleLight16"/>
  <colors>
    <mruColors>
      <color rgb="00FFFFFF"/>
      <color rgb="00DDF0FF"/>
      <color rgb="003FADFF"/>
      <color rgb="00008AF2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0237441808079291"/>
          <c:y val="0.0600233304170312"/>
          <c:w val="0.962293701500039"/>
          <c:h val="0.7066513560804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黑体" panose="02010609060101010101" pitchFamily="49" charset="-122"/>
                    <a:ea typeface="黑体" panose="02010609060101010101" pitchFamily="49" charset="-122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Sheet1!$C$3:$F$3</c:f>
              <c:strCache>
                <c:ptCount val="4"/>
                <c:pt idx="0">
                  <c:v>食品支出合计</c:v>
                </c:pt>
                <c:pt idx="1">
                  <c:v>调味品合计</c:v>
                </c:pt>
                <c:pt idx="2">
                  <c:v>房租设备合计</c:v>
                </c:pt>
                <c:pt idx="3">
                  <c:v>人工成本合计</c:v>
                </c:pt>
              </c:strCache>
            </c:strRef>
          </c:cat>
          <c:val>
            <c:numRef>
              <c:f>Sheet1!$C$4:$F$4</c:f>
              <c:numCache>
                <c:formatCode>General</c:formatCode>
                <c:ptCount val="4"/>
                <c:pt idx="0">
                  <c:v>319.6</c:v>
                </c:pt>
                <c:pt idx="1">
                  <c:v>484.31</c:v>
                </c:pt>
                <c:pt idx="2">
                  <c:v>590.85</c:v>
                </c:pt>
                <c:pt idx="3">
                  <c:v>800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1"/>
        <c:overlap val="-27"/>
        <c:axId val="406838416"/>
        <c:axId val="406845488"/>
      </c:barChart>
      <c:catAx>
        <c:axId val="406838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黑体" panose="02010609060101010101" pitchFamily="49" charset="-122"/>
                <a:ea typeface="黑体" panose="02010609060101010101" pitchFamily="49" charset="-122"/>
                <a:cs typeface="+mn-cs"/>
              </a:defRPr>
            </a:pPr>
          </a:p>
        </c:txPr>
        <c:crossAx val="406845488"/>
        <c:crosses val="autoZero"/>
        <c:auto val="1"/>
        <c:lblAlgn val="ctr"/>
        <c:lblOffset val="100"/>
        <c:noMultiLvlLbl val="0"/>
      </c:catAx>
      <c:valAx>
        <c:axId val="40684548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068384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bcd3c6ea-30b6-4103-a79f-b177d8f92183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23811</xdr:colOff>
      <xdr:row>0</xdr:row>
      <xdr:rowOff>714374</xdr:rowOff>
    </xdr:from>
    <xdr:to>
      <xdr:col>14</xdr:col>
      <xdr:colOff>38100</xdr:colOff>
      <xdr:row>4</xdr:row>
      <xdr:rowOff>200025</xdr:rowOff>
    </xdr:to>
    <xdr:graphicFrame>
      <xdr:nvGraphicFramePr>
        <xdr:cNvPr id="6" name="图表 5"/>
        <xdr:cNvGraphicFramePr/>
      </xdr:nvGraphicFramePr>
      <xdr:xfrm>
        <a:off x="6776720" y="713740"/>
        <a:ext cx="3634105" cy="13722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N37"/>
  <sheetViews>
    <sheetView showGridLines="0" tabSelected="1" zoomScale="85" zoomScaleNormal="85" workbookViewId="0">
      <selection activeCell="S9" sqref="S9"/>
    </sheetView>
  </sheetViews>
  <sheetFormatPr defaultColWidth="9" defaultRowHeight="33" customHeight="1"/>
  <cols>
    <col min="1" max="1" width="0.375" style="1" customWidth="1"/>
    <col min="2" max="2" width="7.25" style="1" customWidth="1"/>
    <col min="3" max="3" width="14" style="1" customWidth="1"/>
    <col min="4" max="4" width="13.125" style="1" customWidth="1"/>
    <col min="5" max="5" width="15.5" style="1" customWidth="1"/>
    <col min="6" max="6" width="7.5" style="1" customWidth="1"/>
    <col min="7" max="7" width="8.375" style="1" customWidth="1"/>
    <col min="8" max="8" width="9" style="1" customWidth="1"/>
    <col min="9" max="9" width="12.875" style="2" customWidth="1"/>
    <col min="10" max="10" width="0.625" style="1" customWidth="1"/>
    <col min="11" max="13" width="11.5" style="1" customWidth="1"/>
    <col min="14" max="14" width="13" style="1" customWidth="1"/>
    <col min="15" max="18" width="12" style="1" customWidth="1"/>
    <col min="19" max="20" width="9" style="1"/>
    <col min="21" max="21" width="12.75" style="1" customWidth="1"/>
    <col min="22" max="16384" width="9" style="1"/>
  </cols>
  <sheetData>
    <row r="1" ht="57.75" customHeight="1" spans="2:14">
      <c r="B1" s="3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ht="19.5" customHeight="1" spans="9:9">
      <c r="I2" s="1"/>
    </row>
    <row r="3" ht="36.75" customHeight="1" spans="2:9">
      <c r="B3" s="4" t="s">
        <v>1</v>
      </c>
      <c r="C3" s="5" t="s">
        <v>2</v>
      </c>
      <c r="D3" s="6" t="s">
        <v>3</v>
      </c>
      <c r="E3" s="6" t="s">
        <v>4</v>
      </c>
      <c r="F3" s="6" t="s">
        <v>5</v>
      </c>
      <c r="G3" s="6"/>
      <c r="H3" s="6" t="s">
        <v>6</v>
      </c>
      <c r="I3" s="10"/>
    </row>
    <row r="4" ht="34.5" customHeight="1" spans="2:9">
      <c r="B4" s="4"/>
      <c r="C4" s="7">
        <f>SUMIF($D$7:$D$999999,K6,$I$7:$I$999999)</f>
        <v>319.6</v>
      </c>
      <c r="D4" s="7">
        <f>SUMIF($D$7:$D$999999,L6,$I$7:$I$999999)</f>
        <v>484.31</v>
      </c>
      <c r="E4" s="7">
        <f>SUMIF($D$7:$D$999999,M6,$I$7:$I$999999)</f>
        <v>590.85</v>
      </c>
      <c r="F4" s="7">
        <f>SUMIF($D$7:$D$999999,N6,$I$7:$I$999999)</f>
        <v>800</v>
      </c>
      <c r="G4" s="7"/>
      <c r="H4" s="8">
        <f>SUM(C4:G4)</f>
        <v>2194.76</v>
      </c>
      <c r="I4" s="8"/>
    </row>
    <row r="5" ht="20.25" customHeight="1" spans="9:9">
      <c r="I5" s="1"/>
    </row>
    <row r="6" ht="36.75" customHeight="1" spans="2:14">
      <c r="B6" s="5" t="s">
        <v>7</v>
      </c>
      <c r="C6" s="6" t="s">
        <v>8</v>
      </c>
      <c r="D6" s="6" t="s">
        <v>9</v>
      </c>
      <c r="E6" s="6" t="s">
        <v>10</v>
      </c>
      <c r="F6" s="6" t="s">
        <v>11</v>
      </c>
      <c r="G6" s="6" t="s">
        <v>12</v>
      </c>
      <c r="H6" s="6" t="s">
        <v>13</v>
      </c>
      <c r="I6" s="10" t="s">
        <v>14</v>
      </c>
      <c r="K6" s="5" t="s">
        <v>15</v>
      </c>
      <c r="L6" s="6" t="s">
        <v>16</v>
      </c>
      <c r="M6" s="6" t="s">
        <v>17</v>
      </c>
      <c r="N6" s="10" t="s">
        <v>18</v>
      </c>
    </row>
    <row r="7" customHeight="1" spans="2:14">
      <c r="B7" s="1">
        <v>1</v>
      </c>
      <c r="C7" s="9">
        <v>44562</v>
      </c>
      <c r="D7" s="1" t="s">
        <v>15</v>
      </c>
      <c r="E7" s="1" t="s">
        <v>19</v>
      </c>
      <c r="F7" s="1" t="s">
        <v>20</v>
      </c>
      <c r="G7" s="1">
        <v>20</v>
      </c>
      <c r="H7" s="1">
        <v>7.98</v>
      </c>
      <c r="I7" s="2">
        <f>IF(G7="","",PRODUCT(G7,H7))</f>
        <v>159.6</v>
      </c>
      <c r="K7" s="1" t="s">
        <v>19</v>
      </c>
      <c r="L7" s="1" t="s">
        <v>21</v>
      </c>
      <c r="M7" s="1" t="s">
        <v>22</v>
      </c>
      <c r="N7" s="1" t="s">
        <v>23</v>
      </c>
    </row>
    <row r="8" customHeight="1" spans="2:14">
      <c r="B8" s="1">
        <v>2</v>
      </c>
      <c r="C8" s="9">
        <v>44563</v>
      </c>
      <c r="D8" s="1" t="s">
        <v>16</v>
      </c>
      <c r="E8" s="1" t="s">
        <v>21</v>
      </c>
      <c r="F8" s="1" t="s">
        <v>24</v>
      </c>
      <c r="G8" s="1">
        <v>9</v>
      </c>
      <c r="H8" s="1">
        <v>29.99</v>
      </c>
      <c r="I8" s="2">
        <f t="shared" ref="I8:I37" si="0">IF(G8="","",PRODUCT(G8,H8))</f>
        <v>269.91</v>
      </c>
      <c r="K8" s="1" t="s">
        <v>25</v>
      </c>
      <c r="L8" s="1" t="s">
        <v>26</v>
      </c>
      <c r="M8" s="1" t="s">
        <v>27</v>
      </c>
      <c r="N8" s="1" t="s">
        <v>28</v>
      </c>
    </row>
    <row r="9" customHeight="1" spans="2:14">
      <c r="B9" s="1">
        <v>3</v>
      </c>
      <c r="C9" s="9">
        <v>44564</v>
      </c>
      <c r="D9" s="1" t="s">
        <v>17</v>
      </c>
      <c r="E9" s="1" t="s">
        <v>27</v>
      </c>
      <c r="F9" s="1" t="s">
        <v>29</v>
      </c>
      <c r="G9" s="1">
        <v>53</v>
      </c>
      <c r="H9" s="1">
        <v>3.95</v>
      </c>
      <c r="I9" s="2">
        <f t="shared" si="0"/>
        <v>209.35</v>
      </c>
      <c r="K9" s="1" t="s">
        <v>30</v>
      </c>
      <c r="L9" s="1" t="s">
        <v>31</v>
      </c>
      <c r="M9" s="1" t="s">
        <v>32</v>
      </c>
      <c r="N9" s="1" t="s">
        <v>33</v>
      </c>
    </row>
    <row r="10" customHeight="1" spans="2:14">
      <c r="B10" s="1">
        <v>4</v>
      </c>
      <c r="C10" s="9">
        <v>44565</v>
      </c>
      <c r="D10" s="1" t="s">
        <v>18</v>
      </c>
      <c r="E10" s="1" t="s">
        <v>34</v>
      </c>
      <c r="F10" s="1" t="s">
        <v>35</v>
      </c>
      <c r="G10" s="1">
        <v>3</v>
      </c>
      <c r="H10" s="1">
        <v>100</v>
      </c>
      <c r="I10" s="2">
        <f t="shared" si="0"/>
        <v>300</v>
      </c>
      <c r="K10" s="1" t="s">
        <v>36</v>
      </c>
      <c r="L10" s="1" t="s">
        <v>37</v>
      </c>
      <c r="M10" s="1" t="s">
        <v>38</v>
      </c>
      <c r="N10" s="1" t="s">
        <v>34</v>
      </c>
    </row>
    <row r="11" customHeight="1" spans="2:14">
      <c r="B11" s="1">
        <v>5</v>
      </c>
      <c r="C11" s="9">
        <v>44566</v>
      </c>
      <c r="D11" s="1" t="s">
        <v>15</v>
      </c>
      <c r="E11" s="1" t="s">
        <v>39</v>
      </c>
      <c r="F11" s="1" t="s">
        <v>40</v>
      </c>
      <c r="G11" s="1">
        <v>8</v>
      </c>
      <c r="H11" s="1">
        <v>20</v>
      </c>
      <c r="I11" s="2">
        <f t="shared" si="0"/>
        <v>160</v>
      </c>
      <c r="K11" s="1" t="s">
        <v>41</v>
      </c>
      <c r="L11" s="1" t="s">
        <v>42</v>
      </c>
      <c r="M11" s="1" t="s">
        <v>43</v>
      </c>
      <c r="N11" s="1" t="s">
        <v>44</v>
      </c>
    </row>
    <row r="12" customHeight="1" spans="2:13">
      <c r="B12" s="1">
        <v>6</v>
      </c>
      <c r="C12" s="9">
        <v>44567</v>
      </c>
      <c r="D12" s="1" t="s">
        <v>17</v>
      </c>
      <c r="E12" s="1" t="s">
        <v>22</v>
      </c>
      <c r="F12" s="1" t="s">
        <v>40</v>
      </c>
      <c r="G12" s="1">
        <v>109</v>
      </c>
      <c r="H12" s="1">
        <v>3.5</v>
      </c>
      <c r="I12" s="2">
        <f t="shared" si="0"/>
        <v>381.5</v>
      </c>
      <c r="K12" s="1" t="s">
        <v>39</v>
      </c>
      <c r="L12" s="1" t="s">
        <v>45</v>
      </c>
      <c r="M12" s="1" t="s">
        <v>46</v>
      </c>
    </row>
    <row r="13" customHeight="1" spans="2:13">
      <c r="B13" s="1">
        <v>7</v>
      </c>
      <c r="C13" s="9">
        <v>44568</v>
      </c>
      <c r="D13" s="1" t="s">
        <v>16</v>
      </c>
      <c r="E13" s="1" t="s">
        <v>45</v>
      </c>
      <c r="F13" s="1" t="s">
        <v>24</v>
      </c>
      <c r="G13" s="1">
        <v>8</v>
      </c>
      <c r="H13" s="1">
        <v>26.8</v>
      </c>
      <c r="I13" s="2">
        <f t="shared" si="0"/>
        <v>214.4</v>
      </c>
      <c r="K13" s="1" t="s">
        <v>47</v>
      </c>
      <c r="L13" s="1" t="s">
        <v>48</v>
      </c>
      <c r="M13" s="1" t="s">
        <v>49</v>
      </c>
    </row>
    <row r="14" customHeight="1" spans="2:13">
      <c r="B14" s="1">
        <v>8</v>
      </c>
      <c r="C14" s="9">
        <v>44569</v>
      </c>
      <c r="D14" s="1" t="s">
        <v>18</v>
      </c>
      <c r="E14" s="1" t="s">
        <v>34</v>
      </c>
      <c r="F14" s="1" t="s">
        <v>50</v>
      </c>
      <c r="G14" s="1">
        <v>5</v>
      </c>
      <c r="H14" s="1">
        <v>100</v>
      </c>
      <c r="I14" s="2">
        <f t="shared" si="0"/>
        <v>500</v>
      </c>
      <c r="K14" s="1" t="s">
        <v>51</v>
      </c>
      <c r="L14" s="1" t="s">
        <v>52</v>
      </c>
      <c r="M14" s="1" t="s">
        <v>53</v>
      </c>
    </row>
    <row r="15" customHeight="1" spans="2:13">
      <c r="B15" s="1">
        <v>9</v>
      </c>
      <c r="I15" s="2" t="str">
        <f t="shared" si="0"/>
        <v/>
      </c>
      <c r="K15" s="1" t="s">
        <v>54</v>
      </c>
      <c r="L15" s="1" t="s">
        <v>55</v>
      </c>
      <c r="M15" s="1" t="s">
        <v>56</v>
      </c>
    </row>
    <row r="16" customHeight="1" spans="2:11">
      <c r="B16" s="1">
        <v>10</v>
      </c>
      <c r="I16" s="2" t="str">
        <f t="shared" si="0"/>
        <v/>
      </c>
      <c r="K16" s="1" t="s">
        <v>57</v>
      </c>
    </row>
    <row r="17" customHeight="1" spans="2:11">
      <c r="B17" s="1">
        <v>11</v>
      </c>
      <c r="I17" s="2" t="str">
        <f t="shared" si="0"/>
        <v/>
      </c>
      <c r="K17" s="1" t="s">
        <v>58</v>
      </c>
    </row>
    <row r="18" customHeight="1" spans="2:11">
      <c r="B18" s="1">
        <v>12</v>
      </c>
      <c r="I18" s="2" t="str">
        <f t="shared" si="0"/>
        <v/>
      </c>
      <c r="K18" s="1" t="s">
        <v>59</v>
      </c>
    </row>
    <row r="19" customHeight="1" spans="2:11">
      <c r="B19" s="1">
        <v>13</v>
      </c>
      <c r="I19" s="2" t="str">
        <f t="shared" si="0"/>
        <v/>
      </c>
      <c r="K19" s="1" t="s">
        <v>60</v>
      </c>
    </row>
    <row r="20" customHeight="1" spans="2:11">
      <c r="B20" s="1">
        <v>14</v>
      </c>
      <c r="I20" s="2" t="str">
        <f t="shared" si="0"/>
        <v/>
      </c>
      <c r="K20" s="1" t="s">
        <v>61</v>
      </c>
    </row>
    <row r="21" customHeight="1" spans="2:11">
      <c r="B21" s="1">
        <v>15</v>
      </c>
      <c r="I21" s="2" t="str">
        <f t="shared" si="0"/>
        <v/>
      </c>
      <c r="K21" s="1" t="s">
        <v>62</v>
      </c>
    </row>
    <row r="22" customHeight="1" spans="2:11">
      <c r="B22" s="1">
        <v>16</v>
      </c>
      <c r="I22" s="2" t="str">
        <f t="shared" si="0"/>
        <v/>
      </c>
      <c r="K22" s="1" t="s">
        <v>63</v>
      </c>
    </row>
    <row r="23" customHeight="1" spans="2:11">
      <c r="B23" s="1">
        <v>17</v>
      </c>
      <c r="I23" s="2" t="str">
        <f t="shared" si="0"/>
        <v/>
      </c>
      <c r="K23" s="1" t="s">
        <v>64</v>
      </c>
    </row>
    <row r="24" customHeight="1" spans="2:11">
      <c r="B24" s="1">
        <v>18</v>
      </c>
      <c r="I24" s="2" t="str">
        <f t="shared" si="0"/>
        <v/>
      </c>
      <c r="K24" s="1" t="s">
        <v>65</v>
      </c>
    </row>
    <row r="25" customHeight="1" spans="2:11">
      <c r="B25" s="1">
        <v>19</v>
      </c>
      <c r="I25" s="2" t="str">
        <f t="shared" si="0"/>
        <v/>
      </c>
      <c r="K25" s="1" t="s">
        <v>66</v>
      </c>
    </row>
    <row r="26" customHeight="1" spans="2:9">
      <c r="B26" s="1">
        <v>20</v>
      </c>
      <c r="I26" s="2" t="str">
        <f t="shared" si="0"/>
        <v/>
      </c>
    </row>
    <row r="27" customHeight="1" spans="2:9">
      <c r="B27" s="1">
        <v>21</v>
      </c>
      <c r="I27" s="2" t="str">
        <f t="shared" si="0"/>
        <v/>
      </c>
    </row>
    <row r="28" customHeight="1" spans="2:9">
      <c r="B28" s="1">
        <v>22</v>
      </c>
      <c r="I28" s="2" t="str">
        <f t="shared" si="0"/>
        <v/>
      </c>
    </row>
    <row r="29" customHeight="1" spans="2:9">
      <c r="B29" s="1">
        <v>23</v>
      </c>
      <c r="I29" s="2" t="str">
        <f t="shared" si="0"/>
        <v/>
      </c>
    </row>
    <row r="30" customHeight="1" spans="2:9">
      <c r="B30" s="1">
        <v>24</v>
      </c>
      <c r="I30" s="2" t="str">
        <f t="shared" si="0"/>
        <v/>
      </c>
    </row>
    <row r="31" customHeight="1" spans="2:9">
      <c r="B31" s="1">
        <v>25</v>
      </c>
      <c r="I31" s="2" t="str">
        <f t="shared" si="0"/>
        <v/>
      </c>
    </row>
    <row r="32" customHeight="1" spans="2:9">
      <c r="B32" s="1">
        <v>26</v>
      </c>
      <c r="I32" s="2" t="str">
        <f t="shared" si="0"/>
        <v/>
      </c>
    </row>
    <row r="33" customHeight="1" spans="2:9">
      <c r="B33" s="1">
        <v>27</v>
      </c>
      <c r="I33" s="2" t="str">
        <f t="shared" si="0"/>
        <v/>
      </c>
    </row>
    <row r="34" customHeight="1" spans="2:9">
      <c r="B34" s="1">
        <v>28</v>
      </c>
      <c r="I34" s="2" t="str">
        <f t="shared" si="0"/>
        <v/>
      </c>
    </row>
    <row r="35" customHeight="1" spans="2:9">
      <c r="B35" s="1">
        <v>29</v>
      </c>
      <c r="I35" s="2" t="str">
        <f t="shared" si="0"/>
        <v/>
      </c>
    </row>
    <row r="36" customHeight="1" spans="2:9">
      <c r="B36" s="1">
        <v>30</v>
      </c>
      <c r="I36" s="2" t="str">
        <f t="shared" si="0"/>
        <v/>
      </c>
    </row>
    <row r="37" customHeight="1" spans="2:9">
      <c r="B37" s="1">
        <v>31</v>
      </c>
      <c r="I37" s="2" t="str">
        <f t="shared" si="0"/>
        <v/>
      </c>
    </row>
  </sheetData>
  <mergeCells count="6">
    <mergeCell ref="B1:N1"/>
    <mergeCell ref="F3:G3"/>
    <mergeCell ref="H3:I3"/>
    <mergeCell ref="F4:G4"/>
    <mergeCell ref="H4:I4"/>
    <mergeCell ref="B3:B4"/>
  </mergeCells>
  <conditionalFormatting sqref="K7:N1000001 B7:I1000001">
    <cfRule type="expression" dxfId="0" priority="1">
      <formula>$B7=""</formula>
    </cfRule>
    <cfRule type="expression" dxfId="1" priority="2">
      <formula>MOD(ROW(),2)=1</formula>
    </cfRule>
    <cfRule type="expression" dxfId="2" priority="3">
      <formula>MOD(ROW(),2)=0</formula>
    </cfRule>
  </conditionalFormatting>
  <dataValidations count="2">
    <dataValidation type="list" allowBlank="1" showInputMessage="1" showErrorMessage="1" sqref="D7:D1048576">
      <formula1>$K$6:$N$6</formula1>
    </dataValidation>
    <dataValidation type="list" allowBlank="1" showInputMessage="1" showErrorMessage="1" sqref="E7:E1048576">
      <formula1>INDIRECT($D7)</formula1>
    </dataValidation>
  </dataValidations>
  <pageMargins left="0" right="0" top="0" bottom="0" header="0.31496062992126" footer="0.31496062992126"/>
  <pageSetup paperSize="9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莫菲</cp:lastModifiedBy>
  <dcterms:created xsi:type="dcterms:W3CDTF">2022-06-17T02:30:00Z</dcterms:created>
  <cp:lastPrinted>2022-06-17T07:11:00Z</cp:lastPrinted>
  <dcterms:modified xsi:type="dcterms:W3CDTF">2024-11-27T11:27:38Z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84AF4F4D1F874A7DA9CF45B6B1A6F7E9_11</vt:lpwstr>
  </property>
  <property fmtid="{D5CDD505-2E9C-101B-9397-08002B2CF9AE}" pid="3" name="KSOProductBuildVer">
    <vt:lpwstr>2052-12.1.0.18912</vt:lpwstr>
  </property>
  <property fmtid="{D5CDD505-2E9C-101B-9397-08002B2CF9AE}" pid="4" name="KSOTemplateUUID">
    <vt:lpwstr>v1.0_mb_aaiPZGAsNCWUm4TgWjISeQ==</vt:lpwstr>
  </property>
</Properties>
</file>