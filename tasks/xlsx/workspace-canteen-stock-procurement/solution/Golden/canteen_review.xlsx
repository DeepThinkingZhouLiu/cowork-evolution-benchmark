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底稿" sheetId="1" state="visible" r:id="rId1"/>
    <sheet xmlns:r="http://schemas.openxmlformats.org/officeDocument/2006/relationships" name="库存底稿" sheetId="2" state="visible" r:id="rId2"/>
    <sheet xmlns:r="http://schemas.openxmlformats.org/officeDocument/2006/relationships" name="参数" sheetId="3" state="visible" r:id="rId3"/>
    <sheet xmlns:r="http://schemas.openxmlformats.org/officeDocument/2006/relationships" name="采购计划" sheetId="4" state="visible" r:id="rId4"/>
    <sheet xmlns:r="http://schemas.openxmlformats.org/officeDocument/2006/relationships" name="成本情景" sheetId="5" state="visible" r:id="rId5"/>
    <sheet xmlns:r="http://schemas.openxmlformats.org/officeDocument/2006/relationships" name="证据审查" sheetId="6" state="visible" r:id="rId6"/>
    <sheet xmlns:r="http://schemas.openxmlformats.org/officeDocument/2006/relationships" name="7S检查计划" sheetId="7" state="visible" r:id="rId7"/>
  </sheets>
  <definedNames>
    <definedName name="_xlnm._FilterDatabase" localSheetId="0" hidden="1">'费用底稿'!$A$1:$I$9</definedName>
    <definedName name="_xlnm.Print_Titles" localSheetId="0">'费用底稿'!$1:$1</definedName>
    <definedName name="_xlnm._FilterDatabase" localSheetId="1" hidden="1">'库存底稿'!$A$1:$N$9</definedName>
    <definedName name="_xlnm.Print_Titles" localSheetId="1">'库存底稿'!$1:$1</definedName>
    <definedName name="_xlnm._FilterDatabase" localSheetId="2" hidden="1">'参数'!$A$1:$B$4</definedName>
    <definedName name="_xlnm.Print_Titles" localSheetId="2">'参数'!$1:$1</definedName>
    <definedName name="_xlnm._FilterDatabase" localSheetId="3" hidden="1">'采购计划'!$A$1:$I$9</definedName>
    <definedName name="_xlnm.Print_Titles" localSheetId="3">'采购计划'!$1:$1</definedName>
    <definedName name="_xlnm._FilterDatabase" localSheetId="4" hidden="1">'成本情景'!$A$1:$G$14</definedName>
    <definedName name="_xlnm.Print_Titles" localSheetId="4">'成本情景'!$1:$1</definedName>
    <definedName name="_xlnm._FilterDatabase" localSheetId="5" hidden="1">'证据审查'!$A$1:$D$7</definedName>
    <definedName name="_xlnm.Print_Titles" localSheetId="5">'证据审查'!$1:$1</definedName>
    <definedName name="_xlnm._FilterDatabase" localSheetId="6" hidden="1">'7S检查计划'!$A$1:$E$8</definedName>
    <definedName name="_xlnm.Print_Titles" localSheetId="6">'7S检查计划'!$1:$1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情景采购金额（元）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'采购计划'!H1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'采购计划'!$A$2:$A$9</f>
            </numRef>
          </cat>
          <val>
            <numRef>
              <f>'采购计划'!$H$2:$H$9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细项</t>
        </is>
      </c>
      <c r="D1" s="1" t="inlineStr">
        <is>
          <t>原单位</t>
        </is>
      </c>
      <c r="E1" s="1" t="inlineStr">
        <is>
          <t>数量</t>
        </is>
      </c>
      <c r="F1" s="1" t="inlineStr">
        <is>
          <t>单价元</t>
        </is>
      </c>
      <c r="G1" s="1" t="inlineStr">
        <is>
          <t>原金额元</t>
        </is>
      </c>
      <c r="H1" s="1" t="inlineStr">
        <is>
          <t>重算金额元</t>
        </is>
      </c>
      <c r="I1" s="1" t="inlineStr">
        <is>
          <t>来源</t>
        </is>
      </c>
    </row>
    <row r="2">
      <c r="A2" s="2" t="n">
        <v>44562</v>
      </c>
      <c r="B2" s="3" t="inlineStr">
        <is>
          <t>食品支出</t>
        </is>
      </c>
      <c r="C2" s="3" t="inlineStr">
        <is>
          <t>大米</t>
        </is>
      </c>
      <c r="D2" s="3" t="inlineStr">
        <is>
          <t>Kg</t>
        </is>
      </c>
      <c r="E2" s="4" t="n">
        <v>20</v>
      </c>
      <c r="F2" s="4" t="n">
        <v>7.98</v>
      </c>
      <c r="G2" s="4" t="n">
        <v>159.6</v>
      </c>
      <c r="H2" s="4">
        <f>E2*F2</f>
        <v/>
      </c>
      <c r="I2" s="3" t="inlineStr">
        <is>
          <t>3-食堂费用支出统计表.xlsx!Sheet1!C7:I7</t>
        </is>
      </c>
    </row>
    <row r="3">
      <c r="A3" s="2" t="n">
        <v>44563</v>
      </c>
      <c r="B3" s="3" t="inlineStr">
        <is>
          <t>调味品</t>
        </is>
      </c>
      <c r="C3" s="3" t="inlineStr">
        <is>
          <t>酱油</t>
        </is>
      </c>
      <c r="D3" s="3" t="inlineStr">
        <is>
          <t>瓶</t>
        </is>
      </c>
      <c r="E3" s="4" t="n">
        <v>9</v>
      </c>
      <c r="F3" s="4" t="n">
        <v>29.99</v>
      </c>
      <c r="G3" s="4" t="n">
        <v>269.91</v>
      </c>
      <c r="H3" s="4">
        <f>E3*F3</f>
        <v/>
      </c>
      <c r="I3" s="3" t="inlineStr">
        <is>
          <t>3-食堂费用支出统计表.xlsx!Sheet1!C8:I8</t>
        </is>
      </c>
    </row>
    <row r="4">
      <c r="A4" s="2" t="n">
        <v>44564</v>
      </c>
      <c r="B4" s="3" t="inlineStr">
        <is>
          <t>房租设备</t>
        </is>
      </c>
      <c r="C4" s="3" t="inlineStr">
        <is>
          <t>气费</t>
        </is>
      </c>
      <c r="D4" s="3" t="inlineStr">
        <is>
          <t>m³</t>
        </is>
      </c>
      <c r="E4" s="4" t="n">
        <v>53</v>
      </c>
      <c r="F4" s="4" t="n">
        <v>3.95</v>
      </c>
      <c r="G4" s="4" t="n">
        <v>209.35</v>
      </c>
      <c r="H4" s="4">
        <f>E4*F4</f>
        <v/>
      </c>
      <c r="I4" s="3" t="inlineStr">
        <is>
          <t>3-食堂费用支出统计表.xlsx!Sheet1!C9:I9</t>
        </is>
      </c>
    </row>
    <row r="5">
      <c r="A5" s="2" t="n">
        <v>44565</v>
      </c>
      <c r="B5" s="3" t="inlineStr">
        <is>
          <t>人工成本</t>
        </is>
      </c>
      <c r="C5" s="3" t="inlineStr">
        <is>
          <t>兼职人员费用</t>
        </is>
      </c>
      <c r="D5" s="3" t="inlineStr">
        <is>
          <t>个</t>
        </is>
      </c>
      <c r="E5" s="4" t="n">
        <v>3</v>
      </c>
      <c r="F5" s="4" t="n">
        <v>100</v>
      </c>
      <c r="G5" s="4" t="n">
        <v>300</v>
      </c>
      <c r="H5" s="4">
        <f>E5*F5</f>
        <v/>
      </c>
      <c r="I5" s="3" t="inlineStr">
        <is>
          <t>3-食堂费用支出统计表.xlsx!Sheet1!C10:I10</t>
        </is>
      </c>
    </row>
    <row r="6">
      <c r="A6" s="2" t="n">
        <v>44566</v>
      </c>
      <c r="B6" s="3" t="inlineStr">
        <is>
          <t>食品支出</t>
        </is>
      </c>
      <c r="C6" s="3" t="inlineStr">
        <is>
          <t>鱼肉</t>
        </is>
      </c>
      <c r="D6" s="3" t="inlineStr">
        <is>
          <t>公斤</t>
        </is>
      </c>
      <c r="E6" s="4" t="n">
        <v>8</v>
      </c>
      <c r="F6" s="4" t="n">
        <v>20</v>
      </c>
      <c r="G6" s="4" t="n">
        <v>160</v>
      </c>
      <c r="H6" s="4">
        <f>E6*F6</f>
        <v/>
      </c>
      <c r="I6" s="3" t="inlineStr">
        <is>
          <t>3-食堂费用支出统计表.xlsx!Sheet1!C11:I11</t>
        </is>
      </c>
    </row>
    <row r="7">
      <c r="A7" s="2" t="n">
        <v>44567</v>
      </c>
      <c r="B7" s="3" t="inlineStr">
        <is>
          <t>房租设备</t>
        </is>
      </c>
      <c r="C7" s="3" t="inlineStr">
        <is>
          <t>电费</t>
        </is>
      </c>
      <c r="D7" s="3" t="inlineStr">
        <is>
          <t>公斤</t>
        </is>
      </c>
      <c r="E7" s="4" t="n">
        <v>109</v>
      </c>
      <c r="F7" s="4" t="n">
        <v>3.5</v>
      </c>
      <c r="G7" s="4" t="n">
        <v>381.5</v>
      </c>
      <c r="H7" s="4">
        <f>E7*F7</f>
        <v/>
      </c>
      <c r="I7" s="3" t="inlineStr">
        <is>
          <t>3-食堂费用支出统计表.xlsx!Sheet1!C12:I12</t>
        </is>
      </c>
    </row>
    <row r="8">
      <c r="A8" s="2" t="n">
        <v>44568</v>
      </c>
      <c r="B8" s="3" t="inlineStr">
        <is>
          <t>调味品</t>
        </is>
      </c>
      <c r="C8" s="3" t="inlineStr">
        <is>
          <t>芝麻油</t>
        </is>
      </c>
      <c r="D8" s="3" t="inlineStr">
        <is>
          <t>瓶</t>
        </is>
      </c>
      <c r="E8" s="4" t="n">
        <v>8</v>
      </c>
      <c r="F8" s="4" t="n">
        <v>26.8</v>
      </c>
      <c r="G8" s="4" t="n">
        <v>214.4</v>
      </c>
      <c r="H8" s="4">
        <f>E8*F8</f>
        <v/>
      </c>
      <c r="I8" s="3" t="inlineStr">
        <is>
          <t>3-食堂费用支出统计表.xlsx!Sheet1!C13:I13</t>
        </is>
      </c>
    </row>
    <row r="9">
      <c r="A9" s="2" t="n">
        <v>44569</v>
      </c>
      <c r="B9" s="3" t="inlineStr">
        <is>
          <t>人工成本</t>
        </is>
      </c>
      <c r="C9" s="3" t="inlineStr">
        <is>
          <t>兼职人员费用</t>
        </is>
      </c>
      <c r="D9" s="3" t="inlineStr">
        <is>
          <t>人</t>
        </is>
      </c>
      <c r="E9" s="4" t="n">
        <v>5</v>
      </c>
      <c r="F9" s="4" t="n">
        <v>100</v>
      </c>
      <c r="G9" s="4" t="n">
        <v>500</v>
      </c>
      <c r="H9" s="4">
        <f>E9*F9</f>
        <v/>
      </c>
      <c r="I9" s="3" t="inlineStr">
        <is>
          <t>3-食堂费用支出统计表.xlsx!Sheet1!C14:I14</t>
        </is>
      </c>
    </row>
  </sheetData>
  <autoFilter ref="A1:I9"/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菜品</t>
        </is>
      </c>
      <c r="B1" s="1" t="inlineStr">
        <is>
          <t>到货kg</t>
        </is>
      </c>
      <c r="C1" s="1" t="inlineStr">
        <is>
          <t>到货单价</t>
        </is>
      </c>
      <c r="D1" s="1" t="inlineStr">
        <is>
          <t>出货kg</t>
        </is>
      </c>
      <c r="E1" s="1" t="inlineStr">
        <is>
          <t>出货单价</t>
        </is>
      </c>
      <c r="F1" s="1" t="inlineStr">
        <is>
          <t>原到货元</t>
        </is>
      </c>
      <c r="G1" s="1" t="inlineStr">
        <is>
          <t>原出货元</t>
        </is>
      </c>
      <c r="H1" s="1" t="inlineStr">
        <is>
          <t>原结存kg</t>
        </is>
      </c>
      <c r="I1" s="1" t="inlineStr">
        <is>
          <t>原结存元</t>
        </is>
      </c>
      <c r="J1" s="1" t="inlineStr">
        <is>
          <t>重算到货元</t>
        </is>
      </c>
      <c r="K1" s="1" t="inlineStr">
        <is>
          <t>重算出货元</t>
        </is>
      </c>
      <c r="L1" s="1" t="inlineStr">
        <is>
          <t>重算结存kg</t>
        </is>
      </c>
      <c r="M1" s="1" t="inlineStr">
        <is>
          <t>重算结存元</t>
        </is>
      </c>
      <c r="N1" s="1" t="inlineStr">
        <is>
          <t>来源</t>
        </is>
      </c>
    </row>
    <row r="2">
      <c r="A2" s="3" t="inlineStr">
        <is>
          <t>黄瓜</t>
        </is>
      </c>
      <c r="B2" s="4" t="n">
        <v>30</v>
      </c>
      <c r="C2" s="4" t="n">
        <v>1.8</v>
      </c>
      <c r="D2" s="4" t="n">
        <v>20</v>
      </c>
      <c r="E2" s="4" t="n">
        <v>1.8</v>
      </c>
      <c r="F2" s="4" t="n">
        <v>54</v>
      </c>
      <c r="G2" s="4" t="n">
        <v>36</v>
      </c>
      <c r="H2" s="4" t="n">
        <v>10</v>
      </c>
      <c r="I2" s="4" t="n">
        <v>18</v>
      </c>
      <c r="J2" s="4">
        <f>B2*C2</f>
        <v/>
      </c>
      <c r="K2" s="4">
        <f>D2*E2</f>
        <v/>
      </c>
      <c r="L2" s="4">
        <f>B2-D2</f>
        <v/>
      </c>
      <c r="M2" s="4">
        <f>J2-K2</f>
        <v/>
      </c>
      <c r="N2" s="3" t="inlineStr">
        <is>
          <t>2-食堂菜品出入库表.xlsx!食堂菜品出入库表!F10:Q10</t>
        </is>
      </c>
    </row>
    <row r="3">
      <c r="A3" s="3" t="inlineStr">
        <is>
          <t>土豆</t>
        </is>
      </c>
      <c r="B3" s="4" t="n">
        <v>30</v>
      </c>
      <c r="C3" s="4" t="n">
        <v>2.2</v>
      </c>
      <c r="D3" s="4" t="n">
        <v>20</v>
      </c>
      <c r="E3" s="4" t="n">
        <v>2.2</v>
      </c>
      <c r="F3" s="4" t="n">
        <v>66</v>
      </c>
      <c r="G3" s="4" t="n">
        <v>44</v>
      </c>
      <c r="H3" s="4" t="n">
        <v>10</v>
      </c>
      <c r="I3" s="4" t="n">
        <v>22</v>
      </c>
      <c r="J3" s="4">
        <f>B3*C3</f>
        <v/>
      </c>
      <c r="K3" s="4">
        <f>D3*E3</f>
        <v/>
      </c>
      <c r="L3" s="4">
        <f>B3-D3</f>
        <v/>
      </c>
      <c r="M3" s="4">
        <f>J3-K3</f>
        <v/>
      </c>
      <c r="N3" s="3" t="inlineStr">
        <is>
          <t>2-食堂菜品出入库表.xlsx!食堂菜品出入库表!F11:Q11</t>
        </is>
      </c>
    </row>
    <row r="4">
      <c r="A4" s="3" t="inlineStr">
        <is>
          <t>豆芽</t>
        </is>
      </c>
      <c r="B4" s="4" t="n">
        <v>30</v>
      </c>
      <c r="C4" s="4" t="n">
        <v>1.2</v>
      </c>
      <c r="D4" s="4" t="n">
        <v>20</v>
      </c>
      <c r="E4" s="4" t="n">
        <v>1.2</v>
      </c>
      <c r="F4" s="4" t="n">
        <v>36</v>
      </c>
      <c r="G4" s="4" t="n">
        <v>24</v>
      </c>
      <c r="H4" s="4" t="n">
        <v>10</v>
      </c>
      <c r="I4" s="4" t="n">
        <v>12</v>
      </c>
      <c r="J4" s="4">
        <f>B4*C4</f>
        <v/>
      </c>
      <c r="K4" s="4">
        <f>D4*E4</f>
        <v/>
      </c>
      <c r="L4" s="4">
        <f>B4-D4</f>
        <v/>
      </c>
      <c r="M4" s="4">
        <f>J4-K4</f>
        <v/>
      </c>
      <c r="N4" s="3" t="inlineStr">
        <is>
          <t>2-食堂菜品出入库表.xlsx!食堂菜品出入库表!F12:Q12</t>
        </is>
      </c>
    </row>
    <row r="5">
      <c r="A5" s="3" t="inlineStr">
        <is>
          <t>甘兰</t>
        </is>
      </c>
      <c r="B5" s="4" t="n">
        <v>25</v>
      </c>
      <c r="C5" s="4" t="n">
        <v>1.9</v>
      </c>
      <c r="D5" s="4" t="n">
        <v>20</v>
      </c>
      <c r="E5" s="4" t="n">
        <v>1.9</v>
      </c>
      <c r="F5" s="4" t="n">
        <v>47.5</v>
      </c>
      <c r="G5" s="4" t="n">
        <v>38</v>
      </c>
      <c r="H5" s="4" t="n">
        <v>5</v>
      </c>
      <c r="I5" s="4" t="n">
        <v>9.5</v>
      </c>
      <c r="J5" s="4">
        <f>B5*C5</f>
        <v/>
      </c>
      <c r="K5" s="4">
        <f>D5*E5</f>
        <v/>
      </c>
      <c r="L5" s="4">
        <f>B5-D5</f>
        <v/>
      </c>
      <c r="M5" s="4">
        <f>J5-K5</f>
        <v/>
      </c>
      <c r="N5" s="3" t="inlineStr">
        <is>
          <t>2-食堂菜品出入库表.xlsx!食堂菜品出入库表!F13:Q13</t>
        </is>
      </c>
    </row>
    <row r="6">
      <c r="A6" s="3" t="inlineStr">
        <is>
          <t>莴笋</t>
        </is>
      </c>
      <c r="B6" s="4" t="n">
        <v>28</v>
      </c>
      <c r="C6" s="4" t="n">
        <v>2.6</v>
      </c>
      <c r="D6" s="4" t="n">
        <v>20</v>
      </c>
      <c r="E6" s="4" t="n">
        <v>2.6</v>
      </c>
      <c r="F6" s="4" t="n">
        <v>72.8</v>
      </c>
      <c r="G6" s="4" t="n">
        <v>52</v>
      </c>
      <c r="H6" s="4" t="n">
        <v>8</v>
      </c>
      <c r="I6" s="4" t="n">
        <v>20.8</v>
      </c>
      <c r="J6" s="4">
        <f>B6*C6</f>
        <v/>
      </c>
      <c r="K6" s="4">
        <f>D6*E6</f>
        <v/>
      </c>
      <c r="L6" s="4">
        <f>B6-D6</f>
        <v/>
      </c>
      <c r="M6" s="4">
        <f>J6-K6</f>
        <v/>
      </c>
      <c r="N6" s="3" t="inlineStr">
        <is>
          <t>2-食堂菜品出入库表.xlsx!食堂菜品出入库表!F14:Q14</t>
        </is>
      </c>
    </row>
    <row r="7">
      <c r="A7" s="3" t="inlineStr">
        <is>
          <t>芽菜</t>
        </is>
      </c>
      <c r="B7" s="4" t="n">
        <v>30</v>
      </c>
      <c r="C7" s="4" t="n">
        <v>3.5</v>
      </c>
      <c r="D7" s="4" t="n">
        <v>20</v>
      </c>
      <c r="E7" s="4" t="n">
        <v>3.5</v>
      </c>
      <c r="F7" s="4" t="n">
        <v>105</v>
      </c>
      <c r="G7" s="4" t="n">
        <v>70</v>
      </c>
      <c r="H7" s="4" t="n">
        <v>10</v>
      </c>
      <c r="I7" s="4" t="n">
        <v>35</v>
      </c>
      <c r="J7" s="4">
        <f>B7*C7</f>
        <v/>
      </c>
      <c r="K7" s="4">
        <f>D7*E7</f>
        <v/>
      </c>
      <c r="L7" s="4">
        <f>B7-D7</f>
        <v/>
      </c>
      <c r="M7" s="4">
        <f>J7-K7</f>
        <v/>
      </c>
      <c r="N7" s="3" t="inlineStr">
        <is>
          <t>2-食堂菜品出入库表.xlsx!食堂菜品出入库表!F15:Q15</t>
        </is>
      </c>
    </row>
    <row r="8">
      <c r="A8" s="3" t="inlineStr">
        <is>
          <t>苦瓜</t>
        </is>
      </c>
      <c r="B8" s="4" t="n">
        <v>20</v>
      </c>
      <c r="C8" s="4" t="n">
        <v>2.7</v>
      </c>
      <c r="D8" s="4" t="n">
        <v>20</v>
      </c>
      <c r="E8" s="4" t="n">
        <v>2.7</v>
      </c>
      <c r="F8" s="4" t="n">
        <v>54</v>
      </c>
      <c r="G8" s="4" t="n">
        <v>54</v>
      </c>
      <c r="H8" s="4" t="n">
        <v>0</v>
      </c>
      <c r="I8" s="4" t="n">
        <v>0</v>
      </c>
      <c r="J8" s="4">
        <f>B8*C8</f>
        <v/>
      </c>
      <c r="K8" s="4">
        <f>D8*E8</f>
        <v/>
      </c>
      <c r="L8" s="4">
        <f>B8-D8</f>
        <v/>
      </c>
      <c r="M8" s="4">
        <f>J8-K8</f>
        <v/>
      </c>
      <c r="N8" s="3" t="inlineStr">
        <is>
          <t>2-食堂菜品出入库表.xlsx!食堂菜品出入库表!F16:Q16</t>
        </is>
      </c>
    </row>
    <row r="9">
      <c r="A9" s="3" t="inlineStr">
        <is>
          <t>西红柿</t>
        </is>
      </c>
      <c r="B9" s="4" t="n">
        <v>30</v>
      </c>
      <c r="C9" s="4" t="n">
        <v>2.3</v>
      </c>
      <c r="D9" s="4" t="n">
        <v>20</v>
      </c>
      <c r="E9" s="4" t="n">
        <v>2.3</v>
      </c>
      <c r="F9" s="4" t="n">
        <v>69</v>
      </c>
      <c r="G9" s="4" t="n">
        <v>46</v>
      </c>
      <c r="H9" s="4" t="n">
        <v>10</v>
      </c>
      <c r="I9" s="4" t="n">
        <v>23</v>
      </c>
      <c r="J9" s="4">
        <f>B9*C9</f>
        <v/>
      </c>
      <c r="K9" s="4">
        <f>D9*E9</f>
        <v/>
      </c>
      <c r="L9" s="4">
        <f>B9-D9</f>
        <v/>
      </c>
      <c r="M9" s="4">
        <f>J9-K9</f>
        <v/>
      </c>
      <c r="N9" s="3" t="inlineStr">
        <is>
          <t>2-食堂菜品出入库表.xlsx!食堂菜品出入库表!F17:Q17</t>
        </is>
      </c>
    </row>
  </sheetData>
  <autoFilter ref="A1:N9"/>
  <pageMargins left="0.75" right="0.75" top="1" bottom="1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情景假设</t>
        </is>
      </c>
      <c r="B1" s="1" t="inlineStr">
        <is>
          <t>值</t>
        </is>
      </c>
    </row>
    <row r="2">
      <c r="A2" s="3" t="inlineStr">
        <is>
          <t>需求倍数</t>
        </is>
      </c>
      <c r="B2" s="4" t="n">
        <v>1.2</v>
      </c>
    </row>
    <row r="3">
      <c r="A3" s="3" t="inlineStr">
        <is>
          <t>安全库存率</t>
        </is>
      </c>
      <c r="B3" s="4" t="n">
        <v>0.1</v>
      </c>
    </row>
    <row r="4">
      <c r="A4" s="3" t="inlineStr">
        <is>
          <t>调味品单价涨幅</t>
        </is>
      </c>
      <c r="B4" s="4" t="n">
        <v>0.15</v>
      </c>
    </row>
  </sheetData>
  <autoFilter ref="A1:B4"/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菜品</t>
        </is>
      </c>
      <c r="B1" s="1" t="inlineStr">
        <is>
          <t>基期出货kg</t>
        </is>
      </c>
      <c r="C1" s="1" t="inlineStr">
        <is>
          <t>现存kg</t>
        </is>
      </c>
      <c r="D1" s="1" t="inlineStr">
        <is>
          <t>情景消耗kg</t>
        </is>
      </c>
      <c r="E1" s="1" t="inlineStr">
        <is>
          <t>安全库存kg</t>
        </is>
      </c>
      <c r="F1" s="1" t="inlineStr">
        <is>
          <t>需采购整kg</t>
        </is>
      </c>
      <c r="G1" s="1" t="inlineStr">
        <is>
          <t>采购单价</t>
        </is>
      </c>
      <c r="H1" s="1" t="inlineStr">
        <is>
          <t>采购金额元</t>
        </is>
      </c>
      <c r="I1" s="1" t="inlineStr">
        <is>
          <t>预计期末kg</t>
        </is>
      </c>
    </row>
    <row r="2">
      <c r="A2" s="3" t="inlineStr">
        <is>
          <t>黄瓜</t>
        </is>
      </c>
      <c r="B2" s="4">
        <f>SUMIF('库存底稿'!A$2:A$9,A2,'库存底稿'!D$2:D$9)</f>
        <v/>
      </c>
      <c r="C2" s="4">
        <f>SUMIF('库存底稿'!A$2:A$9,A2,'库存底稿'!L$2:L$9)</f>
        <v/>
      </c>
      <c r="D2" s="4">
        <f>B2*'参数'!B$2</f>
        <v/>
      </c>
      <c r="E2" s="4">
        <f>D2*'参数'!B$3</f>
        <v/>
      </c>
      <c r="F2" s="4">
        <f>MAX(0,ROUNDUP(D2+E2-C2,0))</f>
        <v/>
      </c>
      <c r="G2" s="4">
        <f>SUMIF('库存底稿'!A$2:A$9,A2,'库存底稿'!C$2:C$9)</f>
        <v/>
      </c>
      <c r="H2" s="4">
        <f>F2*G2</f>
        <v/>
      </c>
      <c r="I2" s="4">
        <f>C2+F2-D2</f>
        <v/>
      </c>
    </row>
    <row r="3">
      <c r="A3" s="3" t="inlineStr">
        <is>
          <t>土豆</t>
        </is>
      </c>
      <c r="B3" s="4">
        <f>SUMIF('库存底稿'!A$2:A$9,A3,'库存底稿'!D$2:D$9)</f>
        <v/>
      </c>
      <c r="C3" s="4">
        <f>SUMIF('库存底稿'!A$2:A$9,A3,'库存底稿'!L$2:L$9)</f>
        <v/>
      </c>
      <c r="D3" s="4">
        <f>B3*'参数'!B$2</f>
        <v/>
      </c>
      <c r="E3" s="4">
        <f>D3*'参数'!B$3</f>
        <v/>
      </c>
      <c r="F3" s="4">
        <f>MAX(0,ROUNDUP(D3+E3-C3,0))</f>
        <v/>
      </c>
      <c r="G3" s="4">
        <f>SUMIF('库存底稿'!A$2:A$9,A3,'库存底稿'!C$2:C$9)</f>
        <v/>
      </c>
      <c r="H3" s="4">
        <f>F3*G3</f>
        <v/>
      </c>
      <c r="I3" s="4">
        <f>C3+F3-D3</f>
        <v/>
      </c>
    </row>
    <row r="4">
      <c r="A4" s="3" t="inlineStr">
        <is>
          <t>豆芽</t>
        </is>
      </c>
      <c r="B4" s="4">
        <f>SUMIF('库存底稿'!A$2:A$9,A4,'库存底稿'!D$2:D$9)</f>
        <v/>
      </c>
      <c r="C4" s="4">
        <f>SUMIF('库存底稿'!A$2:A$9,A4,'库存底稿'!L$2:L$9)</f>
        <v/>
      </c>
      <c r="D4" s="4">
        <f>B4*'参数'!B$2</f>
        <v/>
      </c>
      <c r="E4" s="4">
        <f>D4*'参数'!B$3</f>
        <v/>
      </c>
      <c r="F4" s="4">
        <f>MAX(0,ROUNDUP(D4+E4-C4,0))</f>
        <v/>
      </c>
      <c r="G4" s="4">
        <f>SUMIF('库存底稿'!A$2:A$9,A4,'库存底稿'!C$2:C$9)</f>
        <v/>
      </c>
      <c r="H4" s="4">
        <f>F4*G4</f>
        <v/>
      </c>
      <c r="I4" s="4">
        <f>C4+F4-D4</f>
        <v/>
      </c>
    </row>
    <row r="5">
      <c r="A5" s="3" t="inlineStr">
        <is>
          <t>甘兰</t>
        </is>
      </c>
      <c r="B5" s="4">
        <f>SUMIF('库存底稿'!A$2:A$9,A5,'库存底稿'!D$2:D$9)</f>
        <v/>
      </c>
      <c r="C5" s="4">
        <f>SUMIF('库存底稿'!A$2:A$9,A5,'库存底稿'!L$2:L$9)</f>
        <v/>
      </c>
      <c r="D5" s="4">
        <f>B5*'参数'!B$2</f>
        <v/>
      </c>
      <c r="E5" s="4">
        <f>D5*'参数'!B$3</f>
        <v/>
      </c>
      <c r="F5" s="4">
        <f>MAX(0,ROUNDUP(D5+E5-C5,0))</f>
        <v/>
      </c>
      <c r="G5" s="4">
        <f>SUMIF('库存底稿'!A$2:A$9,A5,'库存底稿'!C$2:C$9)</f>
        <v/>
      </c>
      <c r="H5" s="4">
        <f>F5*G5</f>
        <v/>
      </c>
      <c r="I5" s="4">
        <f>C5+F5-D5</f>
        <v/>
      </c>
    </row>
    <row r="6">
      <c r="A6" s="3" t="inlineStr">
        <is>
          <t>莴笋</t>
        </is>
      </c>
      <c r="B6" s="4">
        <f>SUMIF('库存底稿'!A$2:A$9,A6,'库存底稿'!D$2:D$9)</f>
        <v/>
      </c>
      <c r="C6" s="4">
        <f>SUMIF('库存底稿'!A$2:A$9,A6,'库存底稿'!L$2:L$9)</f>
        <v/>
      </c>
      <c r="D6" s="4">
        <f>B6*'参数'!B$2</f>
        <v/>
      </c>
      <c r="E6" s="4">
        <f>D6*'参数'!B$3</f>
        <v/>
      </c>
      <c r="F6" s="4">
        <f>MAX(0,ROUNDUP(D6+E6-C6,0))</f>
        <v/>
      </c>
      <c r="G6" s="4">
        <f>SUMIF('库存底稿'!A$2:A$9,A6,'库存底稿'!C$2:C$9)</f>
        <v/>
      </c>
      <c r="H6" s="4">
        <f>F6*G6</f>
        <v/>
      </c>
      <c r="I6" s="4">
        <f>C6+F6-D6</f>
        <v/>
      </c>
    </row>
    <row r="7">
      <c r="A7" s="3" t="inlineStr">
        <is>
          <t>芽菜</t>
        </is>
      </c>
      <c r="B7" s="4">
        <f>SUMIF('库存底稿'!A$2:A$9,A7,'库存底稿'!D$2:D$9)</f>
        <v/>
      </c>
      <c r="C7" s="4">
        <f>SUMIF('库存底稿'!A$2:A$9,A7,'库存底稿'!L$2:L$9)</f>
        <v/>
      </c>
      <c r="D7" s="4">
        <f>B7*'参数'!B$2</f>
        <v/>
      </c>
      <c r="E7" s="4">
        <f>D7*'参数'!B$3</f>
        <v/>
      </c>
      <c r="F7" s="4">
        <f>MAX(0,ROUNDUP(D7+E7-C7,0))</f>
        <v/>
      </c>
      <c r="G7" s="4">
        <f>SUMIF('库存底稿'!A$2:A$9,A7,'库存底稿'!C$2:C$9)</f>
        <v/>
      </c>
      <c r="H7" s="4">
        <f>F7*G7</f>
        <v/>
      </c>
      <c r="I7" s="4">
        <f>C7+F7-D7</f>
        <v/>
      </c>
    </row>
    <row r="8">
      <c r="A8" s="3" t="inlineStr">
        <is>
          <t>苦瓜</t>
        </is>
      </c>
      <c r="B8" s="4">
        <f>SUMIF('库存底稿'!A$2:A$9,A8,'库存底稿'!D$2:D$9)</f>
        <v/>
      </c>
      <c r="C8" s="4">
        <f>SUMIF('库存底稿'!A$2:A$9,A8,'库存底稿'!L$2:L$9)</f>
        <v/>
      </c>
      <c r="D8" s="4">
        <f>B8*'参数'!B$2</f>
        <v/>
      </c>
      <c r="E8" s="4">
        <f>D8*'参数'!B$3</f>
        <v/>
      </c>
      <c r="F8" s="4">
        <f>MAX(0,ROUNDUP(D8+E8-C8,0))</f>
        <v/>
      </c>
      <c r="G8" s="4">
        <f>SUMIF('库存底稿'!A$2:A$9,A8,'库存底稿'!C$2:C$9)</f>
        <v/>
      </c>
      <c r="H8" s="4">
        <f>F8*G8</f>
        <v/>
      </c>
      <c r="I8" s="4">
        <f>C8+F8-D8</f>
        <v/>
      </c>
    </row>
    <row r="9">
      <c r="A9" s="3" t="inlineStr">
        <is>
          <t>西红柿</t>
        </is>
      </c>
      <c r="B9" s="4">
        <f>SUMIF('库存底稿'!A$2:A$9,A9,'库存底稿'!D$2:D$9)</f>
        <v/>
      </c>
      <c r="C9" s="4">
        <f>SUMIF('库存底稿'!A$2:A$9,A9,'库存底稿'!L$2:L$9)</f>
        <v/>
      </c>
      <c r="D9" s="4">
        <f>B9*'参数'!B$2</f>
        <v/>
      </c>
      <c r="E9" s="4">
        <f>D9*'参数'!B$3</f>
        <v/>
      </c>
      <c r="F9" s="4">
        <f>MAX(0,ROUNDUP(D9+E9-C9,0))</f>
        <v/>
      </c>
      <c r="G9" s="4">
        <f>SUMIF('库存底稿'!A$2:A$9,A9,'库存底稿'!C$2:C$9)</f>
        <v/>
      </c>
      <c r="H9" s="4">
        <f>F9*G9</f>
        <v/>
      </c>
      <c r="I9" s="4">
        <f>C9+F9-D9</f>
        <v/>
      </c>
    </row>
  </sheetData>
  <autoFilter ref="A1:I9"/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费用类型</t>
        </is>
      </c>
      <c r="B1" s="1" t="inlineStr">
        <is>
          <t>基期元</t>
        </is>
      </c>
      <c r="C1" s="1" t="inlineStr">
        <is>
          <t>情景元</t>
        </is>
      </c>
      <c r="D1" s="1" t="inlineStr">
        <is>
          <t>增加元</t>
        </is>
      </c>
      <c r="E1" s="1" t="n"/>
      <c r="F1" s="1" t="inlineStr">
        <is>
          <t>指标</t>
        </is>
      </c>
      <c r="G1" s="1" t="inlineStr">
        <is>
          <t>结果</t>
        </is>
      </c>
    </row>
    <row r="2">
      <c r="A2" s="3" t="inlineStr">
        <is>
          <t>食品支出</t>
        </is>
      </c>
      <c r="B2" s="4">
        <f>SUMIF('费用底稿'!B$2:B$9,A2,'费用底稿'!H$2:H$9)</f>
        <v/>
      </c>
      <c r="C2" s="4">
        <f>IF(A2="调味品",B2*(1+'参数'!B$4),B2)</f>
        <v/>
      </c>
      <c r="D2" s="4">
        <f>C2-B2</f>
        <v/>
      </c>
      <c r="E2" s="3" t="n"/>
      <c r="F2" s="3" t="inlineStr">
        <is>
          <t>费用合计</t>
        </is>
      </c>
      <c r="G2" s="4">
        <f>SUM(B2:B5)</f>
        <v/>
      </c>
    </row>
    <row r="3">
      <c r="A3" s="3" t="inlineStr">
        <is>
          <t>调味品</t>
        </is>
      </c>
      <c r="B3" s="4">
        <f>SUMIF('费用底稿'!B$2:B$9,A3,'费用底稿'!H$2:H$9)</f>
        <v/>
      </c>
      <c r="C3" s="4">
        <f>IF(A3="调味品",B3*(1+'参数'!B$4),B3)</f>
        <v/>
      </c>
      <c r="D3" s="4">
        <f>C3-B3</f>
        <v/>
      </c>
      <c r="E3" s="3" t="n"/>
      <c r="F3" s="3" t="inlineStr">
        <is>
          <t>调价后合计</t>
        </is>
      </c>
      <c r="G3" s="4">
        <f>SUM(C2:C5)</f>
        <v/>
      </c>
    </row>
    <row r="4">
      <c r="A4" s="3" t="inlineStr">
        <is>
          <t>房租设备</t>
        </is>
      </c>
      <c r="B4" s="4">
        <f>SUMIF('费用底稿'!B$2:B$9,A4,'费用底稿'!H$2:H$9)</f>
        <v/>
      </c>
      <c r="C4" s="4">
        <f>IF(A4="调味品",B4*(1+'参数'!B$4),B4)</f>
        <v/>
      </c>
      <c r="D4" s="4">
        <f>C4-B4</f>
        <v/>
      </c>
      <c r="E4" s="3" t="n"/>
      <c r="F4" s="3" t="inlineStr">
        <is>
          <t>增加额</t>
        </is>
      </c>
      <c r="G4" s="4">
        <f>SUM(D2:D5)</f>
        <v/>
      </c>
    </row>
    <row r="5">
      <c r="A5" s="3" t="inlineStr">
        <is>
          <t>人工成本</t>
        </is>
      </c>
      <c r="B5" s="4">
        <f>SUMIF('费用底稿'!B$2:B$9,A5,'费用底稿'!H$2:H$9)</f>
        <v/>
      </c>
      <c r="C5" s="4">
        <f>IF(A5="调味品",B5*(1+'参数'!B$4),B5)</f>
        <v/>
      </c>
      <c r="D5" s="4">
        <f>C5-B5</f>
        <v/>
      </c>
      <c r="E5" s="3" t="n"/>
      <c r="F5" s="3" t="inlineStr">
        <is>
          <t>库存到货金额</t>
        </is>
      </c>
      <c r="G5" s="4">
        <f>SUM('库存底稿'!J2:J9)</f>
        <v/>
      </c>
    </row>
    <row r="6">
      <c r="A6" s="3" t="n"/>
      <c r="B6" s="3" t="n"/>
      <c r="C6" s="3" t="n"/>
      <c r="D6" s="3" t="n"/>
      <c r="E6" s="3" t="n"/>
      <c r="F6" s="3" t="inlineStr">
        <is>
          <t>出货金额</t>
        </is>
      </c>
      <c r="G6" s="4">
        <f>SUM('库存底稿'!K2:K9)</f>
        <v/>
      </c>
    </row>
    <row r="7">
      <c r="A7" s="3" t="n"/>
      <c r="B7" s="3" t="n"/>
      <c r="C7" s="3" t="n"/>
      <c r="D7" s="3" t="n"/>
      <c r="E7" s="3" t="n"/>
      <c r="F7" s="3" t="inlineStr">
        <is>
          <t>结存金额</t>
        </is>
      </c>
      <c r="G7" s="4">
        <f>SUM('库存底稿'!M2:M9)</f>
        <v/>
      </c>
    </row>
    <row r="8">
      <c r="A8" s="3" t="n"/>
      <c r="B8" s="3" t="n"/>
      <c r="C8" s="3" t="n"/>
      <c r="D8" s="3" t="n"/>
      <c r="E8" s="3" t="n"/>
      <c r="F8" s="3" t="inlineStr">
        <is>
          <t>结存金额占到货比例</t>
        </is>
      </c>
      <c r="G8" s="5">
        <f>G7/G5</f>
        <v/>
      </c>
    </row>
    <row r="9">
      <c r="A9" s="3" t="n"/>
      <c r="B9" s="3" t="n"/>
      <c r="C9" s="3" t="n"/>
      <c r="D9" s="3" t="n"/>
      <c r="E9" s="3" t="n"/>
      <c r="F9" s="3" t="inlineStr">
        <is>
          <t>到货kg</t>
        </is>
      </c>
      <c r="G9" s="4">
        <f>SUM('库存底稿'!B2:B9)</f>
        <v/>
      </c>
    </row>
    <row r="10">
      <c r="A10" s="3" t="n"/>
      <c r="B10" s="3" t="n"/>
      <c r="C10" s="3" t="n"/>
      <c r="D10" s="3" t="n"/>
      <c r="E10" s="3" t="n"/>
      <c r="F10" s="3" t="inlineStr">
        <is>
          <t>出货kg</t>
        </is>
      </c>
      <c r="G10" s="4">
        <f>SUM('库存底稿'!D2:D9)</f>
        <v/>
      </c>
    </row>
    <row r="11">
      <c r="A11" s="3" t="n"/>
      <c r="B11" s="3" t="n"/>
      <c r="C11" s="3" t="n"/>
      <c r="D11" s="3" t="n"/>
      <c r="E11" s="3" t="n"/>
      <c r="F11" s="3" t="inlineStr">
        <is>
          <t>结存kg</t>
        </is>
      </c>
      <c r="G11" s="4">
        <f>SUM('库存底稿'!L2:L9)</f>
        <v/>
      </c>
    </row>
    <row r="12">
      <c r="A12" s="3" t="n"/>
      <c r="B12" s="3" t="n"/>
      <c r="C12" s="3" t="n"/>
      <c r="D12" s="3" t="n"/>
      <c r="E12" s="3" t="n"/>
      <c r="F12" s="3" t="inlineStr">
        <is>
          <t>采购kg</t>
        </is>
      </c>
      <c r="G12" s="4">
        <f>SUM('采购计划'!F2:F9)</f>
        <v/>
      </c>
    </row>
    <row r="13">
      <c r="A13" s="3" t="n"/>
      <c r="B13" s="3" t="n"/>
      <c r="C13" s="3" t="n"/>
      <c r="D13" s="3" t="n"/>
      <c r="E13" s="3" t="n"/>
      <c r="F13" s="3" t="inlineStr">
        <is>
          <t>采购金额</t>
        </is>
      </c>
      <c r="G13" s="4">
        <f>SUM('采购计划'!H2:H9)</f>
        <v/>
      </c>
    </row>
    <row r="14">
      <c r="A14" s="3" t="n"/>
      <c r="B14" s="3" t="n"/>
      <c r="C14" s="3" t="n"/>
      <c r="D14" s="3" t="n"/>
      <c r="E14" s="3" t="n"/>
      <c r="F14" s="3" t="inlineStr">
        <is>
          <t>预计期末kg</t>
        </is>
      </c>
      <c r="G14" s="4">
        <f>SUM('采购计划'!I2:I9)</f>
        <v/>
      </c>
    </row>
  </sheetData>
  <autoFilter ref="A1:G14"/>
  <pageMargins left="0.75" right="0.75" top="1" bottom="1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主题</t>
        </is>
      </c>
      <c r="B1" s="1" t="inlineStr">
        <is>
          <t>判断</t>
        </is>
      </c>
      <c r="C1" s="1" t="inlineStr">
        <is>
          <t>现有证据</t>
        </is>
      </c>
      <c r="D1" s="1" t="inlineStr">
        <is>
          <t>尚缺材料/下一步</t>
        </is>
      </c>
    </row>
    <row r="2" ht="65" customHeight="1">
      <c r="A2" s="3" t="inlineStr">
        <is>
          <t>期间</t>
        </is>
      </c>
      <c r="B2" s="3" t="inlineStr">
        <is>
          <t>不可合并同月成本</t>
        </is>
      </c>
      <c r="C2" s="3" t="inlineStr">
        <is>
          <t>费用序号44562起为2022-01；库存20xx年11月</t>
        </is>
      </c>
      <c r="D2" s="3" t="inlineStr">
        <is>
          <t>需要完整年份和相同期间；当前分别核算</t>
        </is>
      </c>
    </row>
    <row r="3" ht="65" customHeight="1">
      <c r="A3" s="3" t="inlineStr">
        <is>
          <t>单位</t>
        </is>
      </c>
      <c r="B3" s="3" t="inlineStr">
        <is>
          <t>保留异常待核实</t>
        </is>
      </c>
      <c r="C3" s="3" t="inlineStr">
        <is>
          <t>电费单位写公斤；兼职费用出现个/人</t>
        </is>
      </c>
      <c r="D3" s="3" t="inlineStr">
        <is>
          <t>不得直接当作电量或人数；取账单与计量定义核验</t>
        </is>
      </c>
    </row>
    <row r="4" ht="65" customHeight="1">
      <c r="A4" s="3" t="inlineStr">
        <is>
          <t>人均餐费</t>
        </is>
      </c>
      <c r="B4" s="3" t="inlineStr">
        <is>
          <t>无法确定</t>
        </is>
      </c>
      <c r="C4" s="3" t="inlineStr">
        <is>
          <t>套表的中晚夜宵人数为空，费用表未给就餐人数</t>
        </is>
      </c>
      <c r="D4" s="3" t="inlineStr">
        <is>
          <t>补真实用餐人数与同期费用，不能编造实际人均</t>
        </is>
      </c>
    </row>
    <row r="5" ht="65" customHeight="1">
      <c r="A5" s="3" t="inlineStr">
        <is>
          <t>健康证明</t>
        </is>
      </c>
      <c r="B5" s="3" t="inlineStr">
        <is>
          <t>证据不足</t>
        </is>
      </c>
      <c r="C5" s="3" t="inlineStr">
        <is>
          <t>指南要求持健康合格证和每年体检，未附证书/体检记录</t>
        </is>
      </c>
      <c r="D5" s="3" t="inlineStr">
        <is>
          <t>索取工作人员有效证书及体检日期，不填全部合格</t>
        </is>
      </c>
    </row>
    <row r="6" ht="65" customHeight="1">
      <c r="A6" s="3" t="inlineStr">
        <is>
          <t>培训</t>
        </is>
      </c>
      <c r="B6" s="3" t="inlineStr">
        <is>
          <t>证据不足</t>
        </is>
      </c>
      <c r="C6" s="3" t="inlineStr">
        <is>
          <t>7S要求入职不少于2小时、月度参与率不低于90%；无签到成绩</t>
        </is>
      </c>
      <c r="D6" s="3" t="inlineStr">
        <is>
          <t>索取培训计划、签到和成绩，不填完成率</t>
        </is>
      </c>
    </row>
    <row r="7" ht="65" customHeight="1">
      <c r="A7" s="3" t="inlineStr">
        <is>
          <t>保质期</t>
        </is>
      </c>
      <c r="B7" s="3" t="inlineStr">
        <is>
          <t>证据不足</t>
        </is>
      </c>
      <c r="C7" s="3" t="inlineStr">
        <is>
          <t>库存只有数量价格与领取人，无批次/有效期</t>
        </is>
      </c>
      <c r="D7" s="3" t="inlineStr">
        <is>
          <t>索取批次保质期和处理记录，不能由结存正数断言未过期</t>
        </is>
      </c>
    </row>
  </sheetData>
  <autoFilter ref="A1:D7"/>
  <pageMargins left="0.75" right="0.75" top="1" bottom="1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45" customWidth="1" min="4" max="4"/>
    <col width="21" customWidth="1" min="5" max="5"/>
  </cols>
  <sheetData>
    <row r="1">
      <c r="A1" s="1" t="inlineStr">
        <is>
          <t>维度</t>
        </is>
      </c>
      <c r="B1" s="1" t="inlineStr">
        <is>
          <t>标准控制</t>
        </is>
      </c>
      <c r="C1" s="1" t="inlineStr">
        <is>
          <t>频率/阈值</t>
        </is>
      </c>
      <c r="D1" s="1" t="inlineStr">
        <is>
          <t>需查证据</t>
        </is>
      </c>
      <c r="E1" s="1" t="inlineStr">
        <is>
          <t>状态</t>
        </is>
      </c>
    </row>
    <row r="2" ht="65" customHeight="1">
      <c r="A2" s="3" t="inlineStr">
        <is>
          <t>整理</t>
        </is>
      </c>
      <c r="B2" s="3" t="inlineStr">
        <is>
          <t>清查过期/变质食材与调料</t>
        </is>
      </c>
      <c r="C2" s="3" t="inlineStr">
        <is>
          <t>每周一次</t>
        </is>
      </c>
      <c r="D2" s="3" t="inlineStr">
        <is>
          <t>保质期记录、处置日期数量方式责任人</t>
        </is>
      </c>
      <c r="E2" s="3" t="inlineStr">
        <is>
          <t>待核验</t>
        </is>
      </c>
    </row>
    <row r="3" ht="65" customHeight="1">
      <c r="A3" s="3" t="inlineStr">
        <is>
          <t>整顿</t>
        </is>
      </c>
      <c r="B3" s="3" t="inlineStr">
        <is>
          <t>按类别和生熟分开存放并标识</t>
        </is>
      </c>
      <c r="C3" s="3" t="inlineStr">
        <is>
          <t>现场检查</t>
        </is>
      </c>
      <c r="D3" s="3" t="inlineStr">
        <is>
          <t>货架标签、生熟区域和存放实况</t>
        </is>
      </c>
      <c r="E3" s="3" t="inlineStr">
        <is>
          <t>待核验</t>
        </is>
      </c>
    </row>
    <row r="4" ht="65" customHeight="1">
      <c r="A4" s="3" t="inlineStr">
        <is>
          <t>清扫</t>
        </is>
      </c>
      <c r="B4" s="3" t="inlineStr">
        <is>
          <t>厨房餐后清洁、下班深度消毒</t>
        </is>
      </c>
      <c r="C4" s="3" t="inlineStr">
        <is>
          <t>每餐及每日</t>
        </is>
      </c>
      <c r="D4" s="3" t="inlineStr">
        <is>
          <t>清洁消毒记录与现场检查</t>
        </is>
      </c>
      <c r="E4" s="3" t="inlineStr">
        <is>
          <t>待核验</t>
        </is>
      </c>
    </row>
    <row r="5" ht="65" customHeight="1">
      <c r="A5" s="3" t="inlineStr">
        <is>
          <t>清洁</t>
        </is>
      </c>
      <c r="B5" s="3" t="inlineStr">
        <is>
          <t>内部审核并跟踪整改</t>
        </is>
      </c>
      <c r="C5" s="3" t="inlineStr">
        <is>
          <t>每周一次</t>
        </is>
      </c>
      <c r="D5" s="3" t="inlineStr">
        <is>
          <t>审核报告、不符合项和整改闭环证据</t>
        </is>
      </c>
      <c r="E5" s="3" t="inlineStr">
        <is>
          <t>待核验</t>
        </is>
      </c>
    </row>
    <row r="6" ht="65" customHeight="1">
      <c r="A6" s="3" t="inlineStr">
        <is>
          <t>素养</t>
        </is>
      </c>
      <c r="B6" s="3" t="inlineStr">
        <is>
          <t>入职7S培训和考核</t>
        </is>
      </c>
      <c r="C6" s="3" t="inlineStr">
        <is>
          <t>不少于2小时</t>
        </is>
      </c>
      <c r="D6" s="3" t="inlineStr">
        <is>
          <t>培训计划、签到、教材、试卷成绩</t>
        </is>
      </c>
      <c r="E6" s="3" t="inlineStr">
        <is>
          <t>待核验</t>
        </is>
      </c>
    </row>
    <row r="7" ht="65" customHeight="1">
      <c r="A7" s="3" t="inlineStr">
        <is>
          <t>安全</t>
        </is>
      </c>
      <c r="B7" s="3" t="inlineStr">
        <is>
          <t>燃气泄漏安全检查</t>
        </is>
      </c>
      <c r="C7" s="3" t="inlineStr">
        <is>
          <t>每月不少于一次</t>
        </is>
      </c>
      <c r="D7" s="3" t="inlineStr">
        <is>
          <t>安检记录、检测数据、检查人日期</t>
        </is>
      </c>
      <c r="E7" s="3" t="inlineStr">
        <is>
          <t>待核验</t>
        </is>
      </c>
    </row>
    <row r="8" ht="65" customHeight="1">
      <c r="A8" s="3" t="inlineStr">
        <is>
          <t>节约</t>
        </is>
      </c>
      <c r="B8" s="3" t="inlineStr">
        <is>
          <t>依据消耗分析调整采购</t>
        </is>
      </c>
      <c r="C8" s="3" t="inlineStr">
        <is>
          <t>每周分析</t>
        </is>
      </c>
      <c r="D8" s="3" t="inlineStr">
        <is>
          <t>采购计划、实际采购、库存和消耗分析</t>
        </is>
      </c>
      <c r="E8" s="3" t="inlineStr">
        <is>
          <t>待核验</t>
        </is>
      </c>
    </row>
  </sheetData>
  <autoFilter ref="A1:E8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2026-09-08T16:36:54Z</dcterms:created>
  <dcterms:modified xmlns:dcterms="http://purl.org/dc/terms/" xmlns:xsi="http://www.w3.org/2001/XMLSchema-instance" xsi:type="dcterms:W3CDTF">2026-09-08T16:36:54Z</dcterms:modified>
</cp:coreProperties>
</file>