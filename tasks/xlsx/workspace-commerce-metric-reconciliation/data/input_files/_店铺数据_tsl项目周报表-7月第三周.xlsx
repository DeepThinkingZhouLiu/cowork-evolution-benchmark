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290"/>
  </bookViews>
  <sheets>
    <sheet name="tmall 周报" sheetId="1" r:id="rId1"/>
    <sheet name="Sheet3" sheetId="2" r:id="rId2"/>
  </sheets>
  <calcPr calcId="144525" concurrentCalc="0"/>
</workbook>
</file>

<file path=xl/sharedStrings.xml><?xml version="1.0" encoding="utf-8"?>
<sst xmlns="http://schemas.openxmlformats.org/spreadsheetml/2006/main" count="63">
  <si>
    <t>TSL TMALL</t>
  </si>
  <si>
    <t>类别</t>
  </si>
  <si>
    <t>本月已完成</t>
  </si>
  <si>
    <t>一</t>
  </si>
  <si>
    <t>二</t>
  </si>
  <si>
    <t>三</t>
  </si>
  <si>
    <t>四</t>
  </si>
  <si>
    <t>五</t>
  </si>
  <si>
    <t>六</t>
  </si>
  <si>
    <t>日</t>
  </si>
  <si>
    <t>销售额</t>
  </si>
  <si>
    <t>全店</t>
  </si>
  <si>
    <t>pc端</t>
  </si>
  <si>
    <t>移动端</t>
  </si>
  <si>
    <t>流量</t>
  </si>
  <si>
    <t>转化率</t>
  </si>
  <si>
    <t>客单价</t>
  </si>
  <si>
    <t>直通车</t>
  </si>
  <si>
    <t>直通车UV</t>
  </si>
  <si>
    <t>点击率</t>
  </si>
  <si>
    <t>花费</t>
  </si>
  <si>
    <t>ROI</t>
  </si>
  <si>
    <t>1:0.71</t>
  </si>
  <si>
    <t>1:2.42</t>
  </si>
  <si>
    <t>0</t>
  </si>
  <si>
    <t>1:0.4</t>
  </si>
  <si>
    <t>1:0.86</t>
  </si>
  <si>
    <t>1:1.24</t>
  </si>
  <si>
    <t>1:0.48</t>
  </si>
  <si>
    <t>1:5.77</t>
  </si>
  <si>
    <t>1:1.41</t>
  </si>
  <si>
    <t>1:1.43</t>
  </si>
  <si>
    <t>1:0.33</t>
  </si>
  <si>
    <t>钻展</t>
  </si>
  <si>
    <t>钻展UV</t>
  </si>
  <si>
    <t>1:0.96</t>
  </si>
  <si>
    <t>1:0.74</t>
  </si>
  <si>
    <t>1:1.75</t>
  </si>
  <si>
    <t>1:2.67</t>
  </si>
  <si>
    <t>淘宝客</t>
  </si>
  <si>
    <t>淘宝客UV</t>
  </si>
  <si>
    <t>视觉数据</t>
  </si>
  <si>
    <t>跳失率</t>
  </si>
  <si>
    <t>平均访问深度</t>
  </si>
  <si>
    <t>店铺</t>
  </si>
  <si>
    <t>京东TSL</t>
  </si>
  <si>
    <t>全店销售额</t>
  </si>
  <si>
    <t>pc端销售额</t>
  </si>
  <si>
    <t>移动端销售额</t>
  </si>
  <si>
    <t>流量情况</t>
  </si>
  <si>
    <t>全店流量</t>
  </si>
  <si>
    <t>pc端流量</t>
  </si>
  <si>
    <t>移动端流量</t>
  </si>
  <si>
    <t>全店转化</t>
  </si>
  <si>
    <t>pc端转化</t>
  </si>
  <si>
    <t>移动端转化</t>
  </si>
  <si>
    <t>pc端客单价</t>
  </si>
  <si>
    <t>移动端客单价</t>
  </si>
  <si>
    <t>PC端访问深度</t>
  </si>
  <si>
    <t>PC端跳失率</t>
  </si>
  <si>
    <t>服务方面</t>
  </si>
  <si>
    <t>客服销售额</t>
  </si>
  <si>
    <t>投诉维权（新增x起，完结x件）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</si>
</sst>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);\(0.00\)"/>
    <numFmt numFmtId="178" formatCode="0.00_ "/>
    <numFmt numFmtId="179" formatCode="0_ "/>
  </numFmts>
  <fonts count="3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indexed="8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1"/>
      <color indexed="8"/>
      <name val="Tahoma"/>
      <charset val="134"/>
    </font>
    <font>
      <sz val="11"/>
      <color indexed="8"/>
      <name val="宋体"/>
      <charset val="134"/>
    </font>
    <font>
      <sz val="11"/>
      <color indexed="8"/>
      <name val="微软雅黑"/>
      <charset val="134"/>
    </font>
    <font>
      <b/>
      <sz val="10"/>
      <color indexed="63"/>
      <name val="微软雅黑"/>
      <charset val="134"/>
    </font>
    <font>
      <b/>
      <sz val="11"/>
      <color indexed="63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26" fillId="29" borderId="28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21" borderId="25" applyNumberFormat="0" applyFont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3" fillId="0" borderId="27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0" borderId="24" applyNumberFormat="0" applyAlignment="0" applyProtection="0">
      <alignment vertical="center"/>
    </xf>
    <xf numFmtId="0" fontId="27" fillId="20" borderId="28" applyNumberFormat="0" applyAlignment="0" applyProtection="0">
      <alignment vertical="center"/>
    </xf>
    <xf numFmtId="0" fontId="16" fillId="15" borderId="22" applyNumberFormat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0" borderId="0"/>
    <xf numFmtId="0" fontId="6" fillId="0" borderId="0">
      <alignment vertical="center"/>
    </xf>
    <xf numFmtId="0" fontId="30" fillId="0" borderId="0">
      <alignment vertical="center"/>
    </xf>
    <xf numFmtId="0" fontId="6" fillId="0" borderId="0" applyProtection="0">
      <alignment vertical="center"/>
    </xf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3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4" xfId="49" applyNumberFormat="1" applyFont="1" applyFill="1" applyBorder="1" applyAlignment="1">
      <alignment horizontal="center" vertical="center" wrapText="1"/>
    </xf>
    <xf numFmtId="0" fontId="4" fillId="4" borderId="5" xfId="49" applyFont="1" applyFill="1" applyBorder="1" applyAlignment="1">
      <alignment horizontal="center" vertical="center"/>
    </xf>
    <xf numFmtId="0" fontId="4" fillId="4" borderId="6" xfId="49" applyFont="1" applyFill="1" applyBorder="1" applyAlignment="1">
      <alignment horizontal="center" vertical="center"/>
    </xf>
    <xf numFmtId="4" fontId="4" fillId="4" borderId="7" xfId="49" applyNumberFormat="1" applyFont="1" applyFill="1" applyBorder="1" applyAlignment="1">
      <alignment horizontal="center" vertical="center"/>
    </xf>
    <xf numFmtId="4" fontId="0" fillId="0" borderId="5" xfId="0" applyNumberFormat="1" applyBorder="1" applyAlignment="1">
      <alignment horizontal="right"/>
    </xf>
    <xf numFmtId="4" fontId="0" fillId="0" borderId="7" xfId="0" applyNumberFormat="1" applyBorder="1"/>
    <xf numFmtId="0" fontId="4" fillId="4" borderId="8" xfId="49" applyFont="1" applyFill="1" applyBorder="1" applyAlignment="1">
      <alignment horizontal="center" vertical="center"/>
    </xf>
    <xf numFmtId="0" fontId="4" fillId="4" borderId="9" xfId="49" applyFont="1" applyFill="1" applyBorder="1" applyAlignment="1">
      <alignment horizontal="center" vertical="center"/>
    </xf>
    <xf numFmtId="4" fontId="4" fillId="4" borderId="2" xfId="49" applyNumberFormat="1" applyFont="1" applyFill="1" applyBorder="1" applyAlignment="1">
      <alignment horizontal="center" vertical="center"/>
    </xf>
    <xf numFmtId="4" fontId="0" fillId="0" borderId="8" xfId="0" applyNumberFormat="1" applyBorder="1" applyAlignment="1">
      <alignment horizontal="right"/>
    </xf>
    <xf numFmtId="4" fontId="0" fillId="0" borderId="2" xfId="0" applyNumberFormat="1" applyBorder="1"/>
    <xf numFmtId="0" fontId="0" fillId="0" borderId="2" xfId="0" applyBorder="1"/>
    <xf numFmtId="0" fontId="4" fillId="4" borderId="10" xfId="49" applyFont="1" applyFill="1" applyBorder="1" applyAlignment="1">
      <alignment horizontal="center" vertical="center"/>
    </xf>
    <xf numFmtId="0" fontId="4" fillId="4" borderId="11" xfId="49" applyFont="1" applyFill="1" applyBorder="1" applyAlignment="1">
      <alignment horizontal="center" vertical="center"/>
    </xf>
    <xf numFmtId="4" fontId="4" fillId="4" borderId="1" xfId="49" applyNumberFormat="1" applyFont="1" applyFill="1" applyBorder="1" applyAlignment="1">
      <alignment horizontal="center" vertical="center"/>
    </xf>
    <xf numFmtId="4" fontId="0" fillId="0" borderId="10" xfId="0" applyNumberFormat="1" applyBorder="1" applyAlignment="1">
      <alignment horizontal="right"/>
    </xf>
    <xf numFmtId="4" fontId="0" fillId="0" borderId="12" xfId="0" applyNumberFormat="1" applyBorder="1"/>
    <xf numFmtId="3" fontId="0" fillId="0" borderId="5" xfId="0" applyNumberFormat="1" applyBorder="1" applyAlignment="1">
      <alignment horizontal="right"/>
    </xf>
    <xf numFmtId="3" fontId="0" fillId="0" borderId="7" xfId="0" applyNumberFormat="1" applyBorder="1"/>
    <xf numFmtId="3" fontId="0" fillId="0" borderId="8" xfId="0" applyNumberFormat="1" applyBorder="1" applyAlignment="1">
      <alignment horizontal="right"/>
    </xf>
    <xf numFmtId="3" fontId="0" fillId="0" borderId="2" xfId="0" applyNumberFormat="1" applyBorder="1"/>
    <xf numFmtId="3" fontId="0" fillId="0" borderId="10" xfId="0" applyNumberFormat="1" applyBorder="1" applyAlignment="1">
      <alignment horizontal="right"/>
    </xf>
    <xf numFmtId="3" fontId="0" fillId="0" borderId="12" xfId="0" applyNumberFormat="1" applyBorder="1"/>
    <xf numFmtId="10" fontId="4" fillId="4" borderId="7" xfId="49" applyNumberFormat="1" applyFont="1" applyFill="1" applyBorder="1" applyAlignment="1">
      <alignment horizontal="center" vertical="center"/>
    </xf>
    <xf numFmtId="10" fontId="0" fillId="0" borderId="5" xfId="0" applyNumberFormat="1" applyBorder="1" applyAlignment="1">
      <alignment horizontal="right"/>
    </xf>
    <xf numFmtId="10" fontId="0" fillId="0" borderId="7" xfId="0" applyNumberFormat="1" applyBorder="1"/>
    <xf numFmtId="10" fontId="4" fillId="4" borderId="2" xfId="49" applyNumberFormat="1" applyFont="1" applyFill="1" applyBorder="1" applyAlignment="1">
      <alignment horizontal="center" vertical="center"/>
    </xf>
    <xf numFmtId="10" fontId="0" fillId="0" borderId="8" xfId="0" applyNumberFormat="1" applyBorder="1" applyAlignment="1">
      <alignment horizontal="right"/>
    </xf>
    <xf numFmtId="10" fontId="0" fillId="0" borderId="2" xfId="0" applyNumberFormat="1" applyBorder="1"/>
    <xf numFmtId="9" fontId="0" fillId="0" borderId="2" xfId="0" applyNumberFormat="1" applyBorder="1"/>
    <xf numFmtId="10" fontId="4" fillId="4" borderId="12" xfId="49" applyNumberFormat="1" applyFont="1" applyFill="1" applyBorder="1" applyAlignment="1">
      <alignment horizontal="center" vertical="center"/>
    </xf>
    <xf numFmtId="10" fontId="0" fillId="0" borderId="10" xfId="0" applyNumberFormat="1" applyBorder="1" applyAlignment="1">
      <alignment horizontal="right"/>
    </xf>
    <xf numFmtId="10" fontId="0" fillId="0" borderId="12" xfId="0" applyNumberFormat="1" applyBorder="1"/>
    <xf numFmtId="0" fontId="4" fillId="4" borderId="13" xfId="49" applyFont="1" applyFill="1" applyBorder="1" applyAlignment="1">
      <alignment horizontal="center" vertical="center"/>
    </xf>
    <xf numFmtId="0" fontId="4" fillId="4" borderId="14" xfId="49" applyFont="1" applyFill="1" applyBorder="1" applyAlignment="1">
      <alignment horizontal="center" vertical="center"/>
    </xf>
    <xf numFmtId="176" fontId="4" fillId="4" borderId="3" xfId="49" applyNumberFormat="1" applyFont="1" applyFill="1" applyBorder="1" applyAlignment="1">
      <alignment horizontal="center" vertical="center"/>
    </xf>
    <xf numFmtId="4" fontId="0" fillId="0" borderId="13" xfId="0" applyNumberFormat="1" applyBorder="1" applyAlignment="1">
      <alignment horizontal="right"/>
    </xf>
    <xf numFmtId="0" fontId="0" fillId="0" borderId="15" xfId="0" applyBorder="1"/>
    <xf numFmtId="4" fontId="0" fillId="0" borderId="15" xfId="0" applyNumberFormat="1" applyBorder="1"/>
    <xf numFmtId="0" fontId="4" fillId="4" borderId="5" xfId="49" applyNumberFormat="1" applyFont="1" applyFill="1" applyBorder="1" applyAlignment="1">
      <alignment horizontal="center" vertical="center"/>
    </xf>
    <xf numFmtId="0" fontId="4" fillId="4" borderId="6" xfId="52" applyNumberFormat="1" applyFont="1" applyFill="1" applyBorder="1" applyAlignment="1">
      <alignment horizontal="center" vertical="center"/>
    </xf>
    <xf numFmtId="177" fontId="4" fillId="4" borderId="7" xfId="49" applyNumberFormat="1" applyFont="1" applyFill="1" applyBorder="1" applyAlignment="1" applyProtection="1">
      <alignment horizontal="center" vertical="center"/>
      <protection locked="0"/>
    </xf>
    <xf numFmtId="3" fontId="0" fillId="0" borderId="16" xfId="0" applyNumberFormat="1" applyBorder="1" applyAlignment="1">
      <alignment horizontal="right"/>
    </xf>
    <xf numFmtId="0" fontId="4" fillId="2" borderId="17" xfId="0" applyFont="1" applyFill="1" applyBorder="1"/>
    <xf numFmtId="0" fontId="4" fillId="4" borderId="8" xfId="49" applyNumberFormat="1" applyFont="1" applyFill="1" applyBorder="1" applyAlignment="1">
      <alignment horizontal="center" vertical="center"/>
    </xf>
    <xf numFmtId="10" fontId="4" fillId="4" borderId="2" xfId="49" applyNumberFormat="1" applyFont="1" applyFill="1" applyBorder="1" applyAlignment="1" applyProtection="1">
      <alignment horizontal="center" vertical="center"/>
      <protection locked="0"/>
    </xf>
    <xf numFmtId="10" fontId="4" fillId="2" borderId="18" xfId="0" applyNumberFormat="1" applyFont="1" applyFill="1" applyBorder="1" applyAlignment="1">
      <alignment horizontal="right"/>
    </xf>
    <xf numFmtId="10" fontId="4" fillId="2" borderId="2" xfId="0" applyNumberFormat="1" applyFont="1" applyFill="1" applyBorder="1"/>
    <xf numFmtId="0" fontId="4" fillId="4" borderId="9" xfId="52" applyNumberFormat="1" applyFont="1" applyFill="1" applyBorder="1" applyAlignment="1">
      <alignment horizontal="center" vertical="center"/>
    </xf>
    <xf numFmtId="177" fontId="4" fillId="4" borderId="2" xfId="49" applyNumberFormat="1" applyFont="1" applyFill="1" applyBorder="1" applyAlignment="1" applyProtection="1">
      <alignment horizontal="center" vertical="center"/>
      <protection locked="0"/>
    </xf>
    <xf numFmtId="4" fontId="4" fillId="2" borderId="18" xfId="0" applyNumberFormat="1" applyFont="1" applyFill="1" applyBorder="1" applyAlignment="1">
      <alignment horizontal="right"/>
    </xf>
    <xf numFmtId="4" fontId="4" fillId="2" borderId="2" xfId="0" applyNumberFormat="1" applyFont="1" applyFill="1" applyBorder="1"/>
    <xf numFmtId="0" fontId="4" fillId="4" borderId="10" xfId="49" applyNumberFormat="1" applyFont="1" applyFill="1" applyBorder="1" applyAlignment="1">
      <alignment horizontal="center" vertical="center"/>
    </xf>
    <xf numFmtId="0" fontId="4" fillId="4" borderId="11" xfId="52" applyNumberFormat="1" applyFont="1" applyFill="1" applyBorder="1" applyAlignment="1">
      <alignment horizontal="center" vertical="center"/>
    </xf>
    <xf numFmtId="49" fontId="4" fillId="4" borderId="1" xfId="49" applyNumberFormat="1" applyFont="1" applyFill="1" applyBorder="1" applyAlignment="1" applyProtection="1">
      <alignment horizontal="center" vertical="center"/>
      <protection locked="0"/>
    </xf>
    <xf numFmtId="49" fontId="4" fillId="2" borderId="19" xfId="0" applyNumberFormat="1" applyFont="1" applyFill="1" applyBorder="1" applyAlignment="1">
      <alignment horizontal="right"/>
    </xf>
    <xf numFmtId="49" fontId="4" fillId="2" borderId="12" xfId="0" applyNumberFormat="1" applyFont="1" applyFill="1" applyBorder="1"/>
    <xf numFmtId="49" fontId="4" fillId="2" borderId="12" xfId="0" applyNumberFormat="1" applyFont="1" applyFill="1" applyBorder="1" applyAlignment="1">
      <alignment horizontal="right"/>
    </xf>
    <xf numFmtId="0" fontId="4" fillId="2" borderId="20" xfId="0" applyFont="1" applyFill="1" applyBorder="1" applyAlignment="1">
      <alignment horizontal="right"/>
    </xf>
    <xf numFmtId="0" fontId="4" fillId="2" borderId="7" xfId="0" applyFont="1" applyFill="1" applyBorder="1"/>
    <xf numFmtId="0" fontId="4" fillId="2" borderId="18" xfId="0" applyFont="1" applyFill="1" applyBorder="1" applyAlignment="1">
      <alignment horizontal="right"/>
    </xf>
    <xf numFmtId="0" fontId="4" fillId="2" borderId="2" xfId="0" applyFont="1" applyFill="1" applyBorder="1"/>
    <xf numFmtId="177" fontId="4" fillId="4" borderId="12" xfId="49" applyNumberFormat="1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>
      <alignment horizontal="right"/>
    </xf>
    <xf numFmtId="0" fontId="4" fillId="2" borderId="12" xfId="0" applyFont="1" applyFill="1" applyBorder="1"/>
    <xf numFmtId="0" fontId="4" fillId="4" borderId="13" xfId="49" applyNumberFormat="1" applyFont="1" applyFill="1" applyBorder="1" applyAlignment="1">
      <alignment horizontal="center" vertical="center"/>
    </xf>
    <xf numFmtId="0" fontId="4" fillId="4" borderId="14" xfId="52" applyNumberFormat="1" applyFont="1" applyFill="1" applyBorder="1" applyAlignment="1">
      <alignment horizontal="center" vertical="center"/>
    </xf>
    <xf numFmtId="177" fontId="4" fillId="4" borderId="3" xfId="49" applyNumberFormat="1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>
      <alignment horizontal="right"/>
    </xf>
    <xf numFmtId="0" fontId="4" fillId="2" borderId="15" xfId="0" applyFont="1" applyFill="1" applyBorder="1"/>
    <xf numFmtId="10" fontId="4" fillId="4" borderId="6" xfId="49" applyNumberFormat="1" applyFont="1" applyFill="1" applyBorder="1" applyAlignment="1">
      <alignment horizontal="center" vertical="center"/>
    </xf>
    <xf numFmtId="10" fontId="4" fillId="2" borderId="20" xfId="0" applyNumberFormat="1" applyFont="1" applyFill="1" applyBorder="1" applyAlignment="1">
      <alignment horizontal="right"/>
    </xf>
    <xf numFmtId="10" fontId="4" fillId="2" borderId="7" xfId="0" applyNumberFormat="1" applyFont="1" applyFill="1" applyBorder="1"/>
    <xf numFmtId="178" fontId="4" fillId="4" borderId="2" xfId="49" applyNumberFormat="1" applyFont="1" applyFill="1" applyBorder="1" applyAlignment="1">
      <alignment horizontal="center" vertical="center"/>
    </xf>
    <xf numFmtId="0" fontId="5" fillId="0" borderId="2" xfId="0" applyFont="1" applyBorder="1" applyAlignment="1"/>
    <xf numFmtId="0" fontId="6" fillId="5" borderId="2" xfId="0" applyFont="1" applyFill="1" applyBorder="1" applyAlignment="1"/>
    <xf numFmtId="0" fontId="7" fillId="0" borderId="2" xfId="50" applyFont="1" applyBorder="1" applyAlignment="1"/>
    <xf numFmtId="57" fontId="7" fillId="0" borderId="2" xfId="50" applyNumberFormat="1" applyFont="1" applyBorder="1" applyAlignment="1"/>
    <xf numFmtId="0" fontId="8" fillId="6" borderId="2" xfId="5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/>
    <xf numFmtId="0" fontId="7" fillId="0" borderId="2" xfId="50" applyFont="1" applyBorder="1" applyAlignment="1">
      <alignment horizontal="center" vertical="center"/>
    </xf>
    <xf numFmtId="0" fontId="9" fillId="7" borderId="2" xfId="50" applyNumberFormat="1" applyFont="1" applyFill="1" applyBorder="1" applyAlignment="1">
      <alignment horizontal="center" vertical="center"/>
    </xf>
    <xf numFmtId="4" fontId="5" fillId="0" borderId="2" xfId="0" applyNumberFormat="1" applyFont="1" applyBorder="1" applyAlignment="1"/>
    <xf numFmtId="3" fontId="5" fillId="0" borderId="2" xfId="0" applyNumberFormat="1" applyFont="1" applyBorder="1" applyAlignment="1"/>
    <xf numFmtId="10" fontId="7" fillId="7" borderId="2" xfId="50" applyNumberFormat="1" applyFont="1" applyFill="1" applyBorder="1" applyAlignment="1"/>
    <xf numFmtId="10" fontId="5" fillId="0" borderId="2" xfId="0" applyNumberFormat="1" applyFont="1" applyBorder="1" applyAlignment="1"/>
    <xf numFmtId="179" fontId="7" fillId="7" borderId="2" xfId="50" applyNumberFormat="1" applyFont="1" applyFill="1" applyBorder="1" applyAlignment="1"/>
    <xf numFmtId="0" fontId="7" fillId="8" borderId="2" xfId="50" applyFont="1" applyFill="1" applyBorder="1" applyAlignment="1">
      <alignment horizontal="center" vertical="center"/>
    </xf>
    <xf numFmtId="0" fontId="7" fillId="8" borderId="2" xfId="50" applyFont="1" applyFill="1" applyBorder="1" applyAlignment="1"/>
    <xf numFmtId="179" fontId="7" fillId="8" borderId="2" xfId="50" applyNumberFormat="1" applyFont="1" applyFill="1" applyBorder="1" applyAlignment="1"/>
    <xf numFmtId="9" fontId="7" fillId="8" borderId="2" xfId="50" applyNumberFormat="1" applyFont="1" applyFill="1" applyBorder="1" applyAlignment="1"/>
    <xf numFmtId="9" fontId="5" fillId="0" borderId="2" xfId="0" applyNumberFormat="1" applyFont="1" applyBorder="1" applyAlignment="1"/>
    <xf numFmtId="0" fontId="7" fillId="7" borderId="2" xfId="50" applyFont="1" applyFill="1" applyBorder="1" applyAlignment="1"/>
    <xf numFmtId="4" fontId="7" fillId="7" borderId="2" xfId="50" applyNumberFormat="1" applyFont="1" applyFill="1" applyBorder="1" applyAlignment="1"/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2 2 2 2 2" xfId="50"/>
    <cellStyle name="常规 3" xfId="51"/>
    <cellStyle name="常规 9 3" xf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U43"/>
  <sheetViews>
    <sheetView tabSelected="1" zoomScale="80" zoomScaleNormal="80" topLeftCell="B1" workbookViewId="0">
      <selection activeCell="P15" sqref="P15"/>
    </sheetView>
  </sheetViews>
  <sheetFormatPr defaultColWidth="9" defaultRowHeight="14.25"/>
  <cols>
    <col min="1" max="2" width="9" style="1"/>
    <col min="3" max="3" width="13.875" style="1" customWidth="1"/>
    <col min="4" max="4" width="11.25" style="1" customWidth="1"/>
    <col min="5" max="21" width="10.75" style="1" customWidth="1"/>
    <col min="22" max="16384" width="9" style="1"/>
  </cols>
  <sheetData>
    <row r="1" ht="20.1" customHeight="1" spans="1:21">
      <c r="A1" s="2" t="s">
        <v>0</v>
      </c>
      <c r="B1" s="3" t="s">
        <v>1</v>
      </c>
      <c r="C1" s="3"/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3</v>
      </c>
      <c r="M1" s="5" t="s">
        <v>4</v>
      </c>
      <c r="N1" s="5" t="s">
        <v>5</v>
      </c>
      <c r="O1" s="5" t="s">
        <v>6</v>
      </c>
      <c r="P1" s="5" t="s">
        <v>7</v>
      </c>
      <c r="Q1" s="5" t="s">
        <v>8</v>
      </c>
      <c r="R1" s="5" t="s">
        <v>9</v>
      </c>
      <c r="S1" s="5" t="s">
        <v>3</v>
      </c>
      <c r="T1" s="5" t="s">
        <v>4</v>
      </c>
      <c r="U1" s="1" t="s">
        <v>5</v>
      </c>
    </row>
    <row r="2" ht="20.1" customHeight="1" spans="1:20">
      <c r="A2" s="6"/>
      <c r="B2" s="7"/>
      <c r="C2" s="7"/>
      <c r="D2" s="7"/>
      <c r="E2" s="8">
        <v>1</v>
      </c>
      <c r="F2" s="9">
        <v>2</v>
      </c>
      <c r="G2" s="9">
        <v>3</v>
      </c>
      <c r="H2" s="9">
        <v>4</v>
      </c>
      <c r="I2" s="9">
        <v>5</v>
      </c>
      <c r="J2" s="9">
        <v>6</v>
      </c>
      <c r="K2" s="9">
        <v>7</v>
      </c>
      <c r="L2" s="9">
        <v>8</v>
      </c>
      <c r="M2" s="9">
        <v>9</v>
      </c>
      <c r="N2" s="9">
        <v>10</v>
      </c>
      <c r="O2" s="9">
        <v>11</v>
      </c>
      <c r="P2" s="9">
        <v>12</v>
      </c>
      <c r="Q2" s="9">
        <v>13</v>
      </c>
      <c r="R2" s="9">
        <v>14</v>
      </c>
      <c r="S2" s="9">
        <v>15</v>
      </c>
      <c r="T2" s="9">
        <v>16</v>
      </c>
    </row>
    <row r="3" ht="20.1" customHeight="1" spans="1:20">
      <c r="A3" s="10"/>
      <c r="B3" s="11" t="s">
        <v>10</v>
      </c>
      <c r="C3" s="12" t="s">
        <v>11</v>
      </c>
      <c r="D3" s="13">
        <f>SUM(E3:AI3)</f>
        <v>324838.01</v>
      </c>
      <c r="E3" s="14">
        <v>14280.28</v>
      </c>
      <c r="F3" s="15">
        <v>7169.85</v>
      </c>
      <c r="G3" s="15">
        <v>14882.18</v>
      </c>
      <c r="H3" s="15">
        <v>12450.76</v>
      </c>
      <c r="I3" s="15">
        <v>5336.5</v>
      </c>
      <c r="J3" s="15">
        <v>3867.67</v>
      </c>
      <c r="K3" s="15">
        <v>79947.17</v>
      </c>
      <c r="L3" s="15">
        <v>18912.48</v>
      </c>
      <c r="M3" s="15">
        <v>34945.42</v>
      </c>
      <c r="N3" s="15">
        <v>21079.47</v>
      </c>
      <c r="O3" s="15">
        <v>19547.5</v>
      </c>
      <c r="P3" s="15">
        <v>9994.45</v>
      </c>
      <c r="Q3" s="15">
        <v>13694.7</v>
      </c>
      <c r="R3" s="15">
        <v>18586.56</v>
      </c>
      <c r="S3" s="15">
        <v>7578.96</v>
      </c>
      <c r="T3" s="15">
        <v>42564.06</v>
      </c>
    </row>
    <row r="4" ht="20.1" customHeight="1" spans="1:20">
      <c r="A4" s="10"/>
      <c r="B4" s="16"/>
      <c r="C4" s="17" t="s">
        <v>12</v>
      </c>
      <c r="D4" s="18">
        <f t="shared" ref="D4:D8" si="0">SUM(E4:AI4)</f>
        <v>92415.19</v>
      </c>
      <c r="E4" s="19">
        <v>7401.88</v>
      </c>
      <c r="F4" s="20">
        <v>5665.81</v>
      </c>
      <c r="G4" s="21">
        <v>0</v>
      </c>
      <c r="H4" s="20">
        <v>2490</v>
      </c>
      <c r="I4" s="20">
        <v>1376.3</v>
      </c>
      <c r="J4" s="21">
        <v>300</v>
      </c>
      <c r="K4" s="20">
        <v>15585.97</v>
      </c>
      <c r="L4" s="20">
        <v>7429.98</v>
      </c>
      <c r="M4" s="20">
        <v>11701.89</v>
      </c>
      <c r="N4" s="20">
        <v>7186.26</v>
      </c>
      <c r="O4" s="21">
        <v>0</v>
      </c>
      <c r="P4" s="21">
        <v>0</v>
      </c>
      <c r="Q4" s="20">
        <v>4289</v>
      </c>
      <c r="R4" s="21">
        <v>891</v>
      </c>
      <c r="S4" s="20">
        <v>3440</v>
      </c>
      <c r="T4" s="20">
        <v>24657.1</v>
      </c>
    </row>
    <row r="5" ht="20.1" customHeight="1" spans="1:20">
      <c r="A5" s="10"/>
      <c r="B5" s="22"/>
      <c r="C5" s="23" t="s">
        <v>13</v>
      </c>
      <c r="D5" s="24">
        <f t="shared" si="0"/>
        <v>232422.82</v>
      </c>
      <c r="E5" s="25">
        <v>6878.4</v>
      </c>
      <c r="F5" s="26">
        <v>1504.04</v>
      </c>
      <c r="G5" s="26">
        <v>14882.18</v>
      </c>
      <c r="H5" s="26">
        <v>9960.76</v>
      </c>
      <c r="I5" s="26">
        <v>3960.2</v>
      </c>
      <c r="J5" s="26">
        <v>3567.67</v>
      </c>
      <c r="K5" s="26">
        <v>64361.2</v>
      </c>
      <c r="L5" s="26">
        <v>11482.5</v>
      </c>
      <c r="M5" s="26">
        <v>23243.53</v>
      </c>
      <c r="N5" s="26">
        <v>13893.21</v>
      </c>
      <c r="O5" s="26">
        <v>19547.5</v>
      </c>
      <c r="P5" s="26">
        <v>9994.45</v>
      </c>
      <c r="Q5" s="26">
        <v>9405.7</v>
      </c>
      <c r="R5" s="26">
        <v>17695.56</v>
      </c>
      <c r="S5" s="26">
        <v>4138.96</v>
      </c>
      <c r="T5" s="26">
        <v>17906.96</v>
      </c>
    </row>
    <row r="6" ht="20.1" customHeight="1" spans="1:20">
      <c r="A6" s="10"/>
      <c r="B6" s="11" t="s">
        <v>14</v>
      </c>
      <c r="C6" s="12" t="s">
        <v>11</v>
      </c>
      <c r="D6" s="13">
        <f t="shared" si="0"/>
        <v>142872</v>
      </c>
      <c r="E6" s="27">
        <v>4099</v>
      </c>
      <c r="F6" s="28">
        <v>7059</v>
      </c>
      <c r="G6" s="28">
        <v>12775</v>
      </c>
      <c r="H6" s="28">
        <v>13412</v>
      </c>
      <c r="I6" s="28">
        <v>14476</v>
      </c>
      <c r="J6" s="28">
        <v>16204</v>
      </c>
      <c r="K6" s="28">
        <v>16749</v>
      </c>
      <c r="L6" s="28">
        <v>7103</v>
      </c>
      <c r="M6" s="28">
        <v>8932</v>
      </c>
      <c r="N6" s="28">
        <v>7298</v>
      </c>
      <c r="O6" s="28">
        <v>5372</v>
      </c>
      <c r="P6" s="28">
        <v>5037</v>
      </c>
      <c r="Q6" s="28">
        <v>5561</v>
      </c>
      <c r="R6" s="28">
        <v>6215</v>
      </c>
      <c r="S6" s="28">
        <v>6234</v>
      </c>
      <c r="T6" s="28">
        <v>6346</v>
      </c>
    </row>
    <row r="7" ht="20.1" customHeight="1" spans="1:20">
      <c r="A7" s="10"/>
      <c r="B7" s="16"/>
      <c r="C7" s="17" t="s">
        <v>12</v>
      </c>
      <c r="D7" s="18">
        <f t="shared" si="0"/>
        <v>45846</v>
      </c>
      <c r="E7" s="29">
        <v>1356</v>
      </c>
      <c r="F7" s="30">
        <v>1269</v>
      </c>
      <c r="G7" s="30">
        <v>1333</v>
      </c>
      <c r="H7" s="30">
        <v>1248</v>
      </c>
      <c r="I7" s="30">
        <v>1305</v>
      </c>
      <c r="J7" s="30">
        <v>8727</v>
      </c>
      <c r="K7" s="30">
        <v>7250</v>
      </c>
      <c r="L7" s="30">
        <v>3687</v>
      </c>
      <c r="M7" s="30">
        <v>5398</v>
      </c>
      <c r="N7" s="30">
        <v>3696</v>
      </c>
      <c r="O7" s="30">
        <v>1576</v>
      </c>
      <c r="P7" s="30">
        <v>1067</v>
      </c>
      <c r="Q7" s="30">
        <v>1963</v>
      </c>
      <c r="R7" s="30">
        <v>2037</v>
      </c>
      <c r="S7" s="30">
        <v>1908</v>
      </c>
      <c r="T7" s="30">
        <v>2026</v>
      </c>
    </row>
    <row r="8" ht="20.1" customHeight="1" spans="1:20">
      <c r="A8" s="10"/>
      <c r="B8" s="22"/>
      <c r="C8" s="23" t="s">
        <v>13</v>
      </c>
      <c r="D8" s="24">
        <f t="shared" si="0"/>
        <v>98424</v>
      </c>
      <c r="E8" s="31">
        <v>2767</v>
      </c>
      <c r="F8" s="32">
        <v>5818</v>
      </c>
      <c r="G8" s="32">
        <v>11526</v>
      </c>
      <c r="H8" s="32">
        <v>12441</v>
      </c>
      <c r="I8" s="32">
        <v>13434</v>
      </c>
      <c r="J8" s="32">
        <v>7668</v>
      </c>
      <c r="K8" s="32">
        <v>9682</v>
      </c>
      <c r="L8" s="32">
        <v>3455</v>
      </c>
      <c r="M8" s="32">
        <v>3571</v>
      </c>
      <c r="N8" s="32">
        <v>3636</v>
      </c>
      <c r="O8" s="32">
        <v>3823</v>
      </c>
      <c r="P8" s="32">
        <v>3999</v>
      </c>
      <c r="Q8" s="32">
        <v>3639</v>
      </c>
      <c r="R8" s="32">
        <v>4228</v>
      </c>
      <c r="S8" s="32">
        <v>4369</v>
      </c>
      <c r="T8" s="32">
        <v>4368</v>
      </c>
    </row>
    <row r="9" ht="20.1" customHeight="1" spans="1:20">
      <c r="A9" s="10"/>
      <c r="B9" s="11" t="s">
        <v>15</v>
      </c>
      <c r="C9" s="12" t="s">
        <v>11</v>
      </c>
      <c r="D9" s="33">
        <f t="shared" ref="D9:D14" si="1">AVERAGE(E9:AI9)</f>
        <v>0.001825</v>
      </c>
      <c r="E9" s="34">
        <v>0.0027</v>
      </c>
      <c r="F9" s="35">
        <v>0.0011</v>
      </c>
      <c r="G9" s="35">
        <v>0.0008</v>
      </c>
      <c r="H9" s="35">
        <v>0.0007</v>
      </c>
      <c r="I9" s="35">
        <v>0.0006</v>
      </c>
      <c r="J9" s="35">
        <v>0.0004</v>
      </c>
      <c r="K9" s="35">
        <v>0.0033</v>
      </c>
      <c r="L9" s="35">
        <v>0.0027</v>
      </c>
      <c r="M9" s="35">
        <v>0.0027</v>
      </c>
      <c r="N9" s="35">
        <v>0.0019</v>
      </c>
      <c r="O9" s="35">
        <v>0.0009</v>
      </c>
      <c r="P9" s="35">
        <v>0.002</v>
      </c>
      <c r="Q9" s="35">
        <v>0.0022</v>
      </c>
      <c r="R9" s="35">
        <v>0.0027</v>
      </c>
      <c r="S9" s="35">
        <v>0.0013</v>
      </c>
      <c r="T9" s="35">
        <v>0.0032</v>
      </c>
    </row>
    <row r="10" ht="20.1" customHeight="1" spans="1:20">
      <c r="A10" s="10"/>
      <c r="B10" s="16"/>
      <c r="C10" s="17" t="s">
        <v>12</v>
      </c>
      <c r="D10" s="36">
        <f t="shared" si="1"/>
        <v>0.001325</v>
      </c>
      <c r="E10" s="37">
        <v>0.0029</v>
      </c>
      <c r="F10" s="38">
        <v>0.0039</v>
      </c>
      <c r="G10" s="39">
        <v>0</v>
      </c>
      <c r="H10" s="38">
        <v>0.0008</v>
      </c>
      <c r="I10" s="38">
        <v>0.0015</v>
      </c>
      <c r="J10" s="38">
        <v>0.0001</v>
      </c>
      <c r="K10" s="38">
        <v>0.0015</v>
      </c>
      <c r="L10" s="38">
        <v>0.0022</v>
      </c>
      <c r="M10" s="38">
        <v>0.0017</v>
      </c>
      <c r="N10" s="38">
        <v>0.0011</v>
      </c>
      <c r="O10" s="39">
        <v>0</v>
      </c>
      <c r="P10" s="39">
        <v>0</v>
      </c>
      <c r="Q10" s="38">
        <v>0.0005</v>
      </c>
      <c r="R10" s="38">
        <v>0.001</v>
      </c>
      <c r="S10" s="38">
        <v>0.0005</v>
      </c>
      <c r="T10" s="38">
        <v>0.0035</v>
      </c>
    </row>
    <row r="11" ht="20.1" customHeight="1" spans="1:20">
      <c r="A11" s="10"/>
      <c r="B11" s="22"/>
      <c r="C11" s="23" t="s">
        <v>13</v>
      </c>
      <c r="D11" s="40">
        <f t="shared" ref="D10:D12" si="2">AVERAGE(E11:AI11)</f>
        <v>0.00220625</v>
      </c>
      <c r="E11" s="41">
        <v>0.0025</v>
      </c>
      <c r="F11" s="42">
        <v>0.0005</v>
      </c>
      <c r="G11" s="42">
        <v>0.0009</v>
      </c>
      <c r="H11" s="42">
        <v>0.0006</v>
      </c>
      <c r="I11" s="42">
        <v>0.0004</v>
      </c>
      <c r="J11" s="42">
        <v>0.0008</v>
      </c>
      <c r="K11" s="42">
        <v>0.0045</v>
      </c>
      <c r="L11" s="42">
        <v>0.0032</v>
      </c>
      <c r="M11" s="42">
        <v>0.0042</v>
      </c>
      <c r="N11" s="42">
        <v>0.0028</v>
      </c>
      <c r="O11" s="42">
        <v>0.0013</v>
      </c>
      <c r="P11" s="42">
        <v>0.0025</v>
      </c>
      <c r="Q11" s="42">
        <v>0.003</v>
      </c>
      <c r="R11" s="42">
        <v>0.0035</v>
      </c>
      <c r="S11" s="42">
        <v>0.0016</v>
      </c>
      <c r="T11" s="42">
        <v>0.003</v>
      </c>
    </row>
    <row r="12" ht="20.1" customHeight="1" spans="1:20">
      <c r="A12" s="10"/>
      <c r="B12" s="43" t="s">
        <v>16</v>
      </c>
      <c r="C12" s="44" t="s">
        <v>11</v>
      </c>
      <c r="D12" s="45">
        <f t="shared" si="2"/>
        <v>1369.71625</v>
      </c>
      <c r="E12" s="46">
        <v>1298.21</v>
      </c>
      <c r="F12" s="47">
        <v>896.23</v>
      </c>
      <c r="G12" s="48">
        <v>1488.22</v>
      </c>
      <c r="H12" s="48">
        <v>1383.42</v>
      </c>
      <c r="I12" s="47">
        <v>667.06</v>
      </c>
      <c r="J12" s="47">
        <v>552.52</v>
      </c>
      <c r="K12" s="48">
        <v>1453.59</v>
      </c>
      <c r="L12" s="47">
        <v>995.39</v>
      </c>
      <c r="M12" s="48">
        <v>1456.06</v>
      </c>
      <c r="N12" s="48">
        <v>1505.68</v>
      </c>
      <c r="O12" s="48">
        <v>3909.5</v>
      </c>
      <c r="P12" s="47">
        <v>999.45</v>
      </c>
      <c r="Q12" s="48">
        <v>1141.23</v>
      </c>
      <c r="R12" s="48">
        <v>1093.33</v>
      </c>
      <c r="S12" s="47">
        <v>947.37</v>
      </c>
      <c r="T12" s="48">
        <v>2128.2</v>
      </c>
    </row>
    <row r="13" ht="20.1" customHeight="1" spans="1:20">
      <c r="A13" s="10"/>
      <c r="B13" s="49" t="s">
        <v>17</v>
      </c>
      <c r="C13" s="50" t="s">
        <v>18</v>
      </c>
      <c r="D13" s="51">
        <f>SUM(E13:AI13)</f>
        <v>15819</v>
      </c>
      <c r="E13" s="52">
        <v>937</v>
      </c>
      <c r="F13" s="53">
        <v>811</v>
      </c>
      <c r="G13" s="53">
        <v>701</v>
      </c>
      <c r="H13" s="53">
        <v>639</v>
      </c>
      <c r="I13" s="53">
        <v>694</v>
      </c>
      <c r="J13" s="53">
        <v>656</v>
      </c>
      <c r="K13" s="53">
        <v>630</v>
      </c>
      <c r="L13" s="53">
        <v>972</v>
      </c>
      <c r="M13" s="53">
        <v>1006</v>
      </c>
      <c r="N13" s="53">
        <v>1043</v>
      </c>
      <c r="O13" s="53">
        <v>1243</v>
      </c>
      <c r="P13" s="53">
        <v>1348</v>
      </c>
      <c r="Q13" s="53">
        <v>1329</v>
      </c>
      <c r="R13" s="53">
        <v>1273</v>
      </c>
      <c r="S13" s="53">
        <v>1145</v>
      </c>
      <c r="T13" s="53">
        <v>1392</v>
      </c>
    </row>
    <row r="14" ht="20.1" customHeight="1" spans="1:20">
      <c r="A14" s="10"/>
      <c r="B14" s="54"/>
      <c r="C14" s="17" t="s">
        <v>19</v>
      </c>
      <c r="D14" s="55">
        <f t="shared" si="1"/>
        <v>0.00260625</v>
      </c>
      <c r="E14" s="56">
        <v>0.0025</v>
      </c>
      <c r="F14" s="57">
        <v>0.0024</v>
      </c>
      <c r="G14" s="57">
        <v>0.0021</v>
      </c>
      <c r="H14" s="57">
        <v>0.0024</v>
      </c>
      <c r="I14" s="57">
        <v>0.0024</v>
      </c>
      <c r="J14" s="57">
        <v>0.0022</v>
      </c>
      <c r="K14" s="57">
        <v>0.0024</v>
      </c>
      <c r="L14" s="57">
        <v>0.0022</v>
      </c>
      <c r="M14" s="57">
        <v>0.0024</v>
      </c>
      <c r="N14" s="57">
        <v>0.0024</v>
      </c>
      <c r="O14" s="57">
        <v>0.0034</v>
      </c>
      <c r="P14" s="57">
        <v>0.0042</v>
      </c>
      <c r="Q14" s="57">
        <v>0.003</v>
      </c>
      <c r="R14" s="57">
        <v>0.0027</v>
      </c>
      <c r="S14" s="57">
        <v>0.0024</v>
      </c>
      <c r="T14" s="57">
        <v>0.0026</v>
      </c>
    </row>
    <row r="15" ht="20.1" customHeight="1" spans="1:20">
      <c r="A15" s="10"/>
      <c r="B15" s="54"/>
      <c r="C15" s="58" t="s">
        <v>20</v>
      </c>
      <c r="D15" s="59"/>
      <c r="E15" s="60">
        <v>1383.57</v>
      </c>
      <c r="F15" s="61">
        <v>1299.3</v>
      </c>
      <c r="G15" s="61">
        <v>1154.45</v>
      </c>
      <c r="H15" s="61">
        <v>1063.36</v>
      </c>
      <c r="I15" s="61">
        <v>1061.99</v>
      </c>
      <c r="J15" s="61">
        <v>1116.03</v>
      </c>
      <c r="K15" s="61">
        <v>1097.76</v>
      </c>
      <c r="L15" s="61">
        <v>1653.49</v>
      </c>
      <c r="M15" s="61">
        <v>1731.36</v>
      </c>
      <c r="N15" s="61">
        <v>1586.21</v>
      </c>
      <c r="O15" s="61">
        <v>1727.34</v>
      </c>
      <c r="P15" s="61">
        <v>1714.52</v>
      </c>
      <c r="Q15" s="61">
        <v>1971.71</v>
      </c>
      <c r="R15" s="61">
        <v>2028.36</v>
      </c>
      <c r="S15" s="61">
        <v>1834.2</v>
      </c>
      <c r="T15" s="61">
        <v>2169.82</v>
      </c>
    </row>
    <row r="16" ht="20.1" customHeight="1" spans="1:20">
      <c r="A16" s="10"/>
      <c r="B16" s="62"/>
      <c r="C16" s="63" t="s">
        <v>21</v>
      </c>
      <c r="D16" s="64"/>
      <c r="E16" s="65" t="s">
        <v>22</v>
      </c>
      <c r="F16" s="66">
        <v>0</v>
      </c>
      <c r="G16" s="67" t="s">
        <v>22</v>
      </c>
      <c r="H16" s="66" t="s">
        <v>23</v>
      </c>
      <c r="I16" s="66" t="s">
        <v>24</v>
      </c>
      <c r="J16" s="66" t="s">
        <v>24</v>
      </c>
      <c r="K16" s="66" t="s">
        <v>25</v>
      </c>
      <c r="L16" s="66" t="s">
        <v>26</v>
      </c>
      <c r="M16" s="66" t="s">
        <v>27</v>
      </c>
      <c r="N16" s="66" t="s">
        <v>28</v>
      </c>
      <c r="O16" s="66" t="s">
        <v>29</v>
      </c>
      <c r="P16" s="66" t="s">
        <v>30</v>
      </c>
      <c r="Q16" s="66" t="s">
        <v>31</v>
      </c>
      <c r="R16" s="66" t="s">
        <v>32</v>
      </c>
      <c r="S16" s="66" t="s">
        <v>24</v>
      </c>
      <c r="T16" s="66" t="s">
        <v>24</v>
      </c>
    </row>
    <row r="17" ht="20.1" customHeight="1" spans="1:20">
      <c r="A17" s="10"/>
      <c r="B17" s="49" t="s">
        <v>33</v>
      </c>
      <c r="C17" s="50" t="s">
        <v>34</v>
      </c>
      <c r="D17" s="51">
        <f>SUM(E17:AI17)</f>
        <v>10757</v>
      </c>
      <c r="E17" s="68">
        <v>645</v>
      </c>
      <c r="F17" s="69">
        <v>720</v>
      </c>
      <c r="G17" s="69">
        <v>727</v>
      </c>
      <c r="H17" s="69">
        <v>732</v>
      </c>
      <c r="I17" s="69">
        <v>841</v>
      </c>
      <c r="J17" s="69">
        <v>850</v>
      </c>
      <c r="K17" s="69">
        <v>882</v>
      </c>
      <c r="L17" s="69">
        <v>823</v>
      </c>
      <c r="M17" s="69">
        <v>923</v>
      </c>
      <c r="N17" s="69">
        <v>846</v>
      </c>
      <c r="O17" s="69">
        <v>209</v>
      </c>
      <c r="P17" s="69">
        <v>71</v>
      </c>
      <c r="Q17" s="69">
        <v>0</v>
      </c>
      <c r="R17" s="69">
        <v>720</v>
      </c>
      <c r="S17" s="69">
        <v>889</v>
      </c>
      <c r="T17" s="69">
        <v>879</v>
      </c>
    </row>
    <row r="18" ht="20.1" customHeight="1" spans="1:20">
      <c r="A18" s="10"/>
      <c r="B18" s="54"/>
      <c r="C18" s="17" t="s">
        <v>19</v>
      </c>
      <c r="D18" s="55">
        <f t="shared" ref="D18:D23" si="3">AVERAGE(E18:AI18)</f>
        <v>0.08034375</v>
      </c>
      <c r="E18" s="56">
        <v>0.0436</v>
      </c>
      <c r="F18" s="57">
        <v>0.0593</v>
      </c>
      <c r="G18" s="57">
        <v>0.0566</v>
      </c>
      <c r="H18" s="57">
        <v>0.0581</v>
      </c>
      <c r="I18" s="57">
        <v>0.0658</v>
      </c>
      <c r="J18" s="57">
        <v>0.0692</v>
      </c>
      <c r="K18" s="57">
        <v>0.0737</v>
      </c>
      <c r="L18" s="57">
        <v>0.0707</v>
      </c>
      <c r="M18" s="57">
        <v>0.0819</v>
      </c>
      <c r="N18" s="57">
        <v>0.0756</v>
      </c>
      <c r="O18" s="57">
        <v>0.0576</v>
      </c>
      <c r="P18" s="57">
        <v>0.0336</v>
      </c>
      <c r="Q18" s="57">
        <v>0.3333</v>
      </c>
      <c r="R18" s="57">
        <v>0.0583</v>
      </c>
      <c r="S18" s="57">
        <v>0.0719</v>
      </c>
      <c r="T18" s="57">
        <v>0.0763</v>
      </c>
    </row>
    <row r="19" ht="20.1" customHeight="1" spans="1:20">
      <c r="A19" s="10"/>
      <c r="B19" s="54"/>
      <c r="C19" s="58" t="s">
        <v>20</v>
      </c>
      <c r="D19" s="59"/>
      <c r="E19" s="70">
        <v>779.49</v>
      </c>
      <c r="F19" s="71">
        <v>836.74</v>
      </c>
      <c r="G19" s="71">
        <v>836.39</v>
      </c>
      <c r="H19" s="71">
        <v>915.96</v>
      </c>
      <c r="I19" s="71">
        <v>932.52</v>
      </c>
      <c r="J19" s="71">
        <v>901.99</v>
      </c>
      <c r="K19" s="71">
        <v>905.99</v>
      </c>
      <c r="L19" s="71">
        <v>867.37</v>
      </c>
      <c r="M19" s="71">
        <v>913.34</v>
      </c>
      <c r="N19" s="71">
        <v>863.28</v>
      </c>
      <c r="O19" s="71">
        <v>200.97</v>
      </c>
      <c r="P19" s="71">
        <v>5.13</v>
      </c>
      <c r="Q19" s="71">
        <v>0.36</v>
      </c>
      <c r="R19" s="71">
        <v>750.12</v>
      </c>
      <c r="S19" s="71">
        <v>901.54</v>
      </c>
      <c r="T19" s="71">
        <v>912.85</v>
      </c>
    </row>
    <row r="20" ht="20.1" customHeight="1" spans="1:20">
      <c r="A20" s="10"/>
      <c r="B20" s="62"/>
      <c r="C20" s="63" t="s">
        <v>21</v>
      </c>
      <c r="D20" s="72"/>
      <c r="E20" s="73">
        <v>0</v>
      </c>
      <c r="F20" s="74">
        <v>0</v>
      </c>
      <c r="G20" s="66" t="s">
        <v>24</v>
      </c>
      <c r="H20" s="66" t="s">
        <v>24</v>
      </c>
      <c r="I20" s="66" t="s">
        <v>35</v>
      </c>
      <c r="J20" s="74">
        <v>0</v>
      </c>
      <c r="K20" s="66" t="s">
        <v>36</v>
      </c>
      <c r="L20" s="74">
        <v>0</v>
      </c>
      <c r="M20" s="74">
        <v>0</v>
      </c>
      <c r="N20" s="66" t="s">
        <v>37</v>
      </c>
      <c r="O20" s="74">
        <v>0</v>
      </c>
      <c r="P20" s="74">
        <v>0</v>
      </c>
      <c r="Q20" s="74">
        <v>0</v>
      </c>
      <c r="R20" s="74">
        <v>0</v>
      </c>
      <c r="S20" s="74">
        <v>0</v>
      </c>
      <c r="T20" s="66" t="s">
        <v>38</v>
      </c>
    </row>
    <row r="21" ht="17.25" spans="2:20">
      <c r="B21" s="75" t="s">
        <v>39</v>
      </c>
      <c r="C21" s="76" t="s">
        <v>40</v>
      </c>
      <c r="D21" s="77">
        <f>SUM(E21:AI21)</f>
        <v>3252</v>
      </c>
      <c r="E21" s="78">
        <v>44</v>
      </c>
      <c r="F21" s="79">
        <v>377</v>
      </c>
      <c r="G21" s="79">
        <v>688</v>
      </c>
      <c r="H21" s="79">
        <v>432</v>
      </c>
      <c r="I21" s="79">
        <v>707</v>
      </c>
      <c r="J21" s="79">
        <v>192</v>
      </c>
      <c r="K21" s="79">
        <v>127</v>
      </c>
      <c r="L21" s="79">
        <v>58</v>
      </c>
      <c r="M21" s="79">
        <v>51</v>
      </c>
      <c r="N21" s="79">
        <v>68</v>
      </c>
      <c r="O21" s="79">
        <v>57</v>
      </c>
      <c r="P21" s="79">
        <v>94</v>
      </c>
      <c r="Q21" s="79">
        <v>66</v>
      </c>
      <c r="R21" s="79">
        <v>116</v>
      </c>
      <c r="S21" s="79">
        <v>122</v>
      </c>
      <c r="T21" s="79">
        <v>53</v>
      </c>
    </row>
    <row r="22" ht="16.5" spans="2:20">
      <c r="B22" s="11" t="s">
        <v>41</v>
      </c>
      <c r="C22" s="80" t="s">
        <v>42</v>
      </c>
      <c r="D22" s="33">
        <f t="shared" si="3"/>
        <v>0.399575</v>
      </c>
      <c r="E22" s="81">
        <v>0.4196</v>
      </c>
      <c r="F22" s="82">
        <v>0.4206</v>
      </c>
      <c r="G22" s="82">
        <v>0.4347</v>
      </c>
      <c r="H22" s="82">
        <v>0.4074</v>
      </c>
      <c r="I22" s="82">
        <v>0.419</v>
      </c>
      <c r="J22" s="82">
        <v>0.2969</v>
      </c>
      <c r="K22" s="82">
        <v>0.4295</v>
      </c>
      <c r="L22" s="82">
        <v>0.342</v>
      </c>
      <c r="M22" s="82">
        <v>0.3067</v>
      </c>
      <c r="N22" s="82">
        <v>0.3396</v>
      </c>
      <c r="O22" s="82">
        <v>0.3894</v>
      </c>
      <c r="P22" s="82">
        <v>0.4161</v>
      </c>
      <c r="Q22" s="82">
        <v>0.4559</v>
      </c>
      <c r="R22" s="82">
        <v>0.4488</v>
      </c>
      <c r="S22" s="82">
        <v>0.4341</v>
      </c>
      <c r="T22" s="82">
        <v>0.4329</v>
      </c>
    </row>
    <row r="23" ht="16.5" spans="2:20">
      <c r="B23" s="16"/>
      <c r="C23" s="17" t="s">
        <v>43</v>
      </c>
      <c r="D23" s="83">
        <f t="shared" si="3"/>
        <v>4.318125</v>
      </c>
      <c r="E23" s="70">
        <v>4.81</v>
      </c>
      <c r="F23" s="71">
        <v>4.31</v>
      </c>
      <c r="G23" s="71">
        <v>4.12</v>
      </c>
      <c r="H23" s="71">
        <v>4.56</v>
      </c>
      <c r="I23" s="71">
        <v>4.23</v>
      </c>
      <c r="J23" s="71">
        <v>3.74</v>
      </c>
      <c r="K23" s="71">
        <v>3.74</v>
      </c>
      <c r="L23" s="71">
        <v>4.06</v>
      </c>
      <c r="M23" s="71">
        <v>3.91</v>
      </c>
      <c r="N23" s="71">
        <v>4.03</v>
      </c>
      <c r="O23" s="71">
        <v>4.7</v>
      </c>
      <c r="P23" s="71">
        <v>4.84</v>
      </c>
      <c r="Q23" s="71">
        <v>4.43</v>
      </c>
      <c r="R23" s="71">
        <v>4.56</v>
      </c>
      <c r="S23" s="71">
        <v>4.42</v>
      </c>
      <c r="T23" s="71">
        <v>4.63</v>
      </c>
    </row>
    <row r="26" spans="1:20">
      <c r="A26" s="84"/>
      <c r="B26" s="84"/>
      <c r="C26" s="84"/>
      <c r="D26" s="84"/>
      <c r="E26" s="85" t="s">
        <v>5</v>
      </c>
      <c r="F26" s="85" t="s">
        <v>6</v>
      </c>
      <c r="G26" s="85" t="s">
        <v>7</v>
      </c>
      <c r="H26" s="85" t="s">
        <v>8</v>
      </c>
      <c r="I26" s="85" t="s">
        <v>9</v>
      </c>
      <c r="J26" s="85" t="s">
        <v>3</v>
      </c>
      <c r="K26" s="85" t="s">
        <v>4</v>
      </c>
      <c r="L26" s="85" t="s">
        <v>5</v>
      </c>
      <c r="M26" s="85" t="s">
        <v>6</v>
      </c>
      <c r="N26" s="85" t="s">
        <v>7</v>
      </c>
      <c r="O26" s="85" t="s">
        <v>8</v>
      </c>
      <c r="P26" s="85" t="s">
        <v>9</v>
      </c>
      <c r="Q26" s="85" t="s">
        <v>3</v>
      </c>
      <c r="R26" s="85" t="s">
        <v>4</v>
      </c>
      <c r="S26" s="85" t="s">
        <v>5</v>
      </c>
      <c r="T26" s="85" t="s">
        <v>6</v>
      </c>
    </row>
    <row r="27" ht="16.5" spans="1:20">
      <c r="A27" s="86" t="s">
        <v>44</v>
      </c>
      <c r="B27" s="86" t="s">
        <v>1</v>
      </c>
      <c r="C27" s="87">
        <v>41791</v>
      </c>
      <c r="D27" s="88" t="s">
        <v>2</v>
      </c>
      <c r="E27" s="89">
        <v>1</v>
      </c>
      <c r="F27" s="89">
        <v>2</v>
      </c>
      <c r="G27" s="89">
        <v>3</v>
      </c>
      <c r="H27" s="89">
        <v>4</v>
      </c>
      <c r="I27" s="89">
        <v>5</v>
      </c>
      <c r="J27" s="89">
        <v>6</v>
      </c>
      <c r="K27" s="89">
        <v>7</v>
      </c>
      <c r="L27" s="89">
        <v>8</v>
      </c>
      <c r="M27" s="89">
        <v>9</v>
      </c>
      <c r="N27" s="89">
        <v>10</v>
      </c>
      <c r="O27" s="89">
        <v>11</v>
      </c>
      <c r="P27" s="89">
        <v>12</v>
      </c>
      <c r="Q27" s="89">
        <v>13</v>
      </c>
      <c r="R27" s="89">
        <v>14</v>
      </c>
      <c r="S27" s="89">
        <v>15</v>
      </c>
      <c r="T27" s="89">
        <v>16</v>
      </c>
    </row>
    <row r="28" ht="16.5" spans="1:20">
      <c r="A28" s="90" t="s">
        <v>45</v>
      </c>
      <c r="B28" s="90" t="s">
        <v>10</v>
      </c>
      <c r="C28" s="86" t="s">
        <v>46</v>
      </c>
      <c r="D28" s="91">
        <f t="shared" ref="D28:D33" si="4">SUM(E28:AI28)</f>
        <v>101404</v>
      </c>
      <c r="E28" s="92">
        <v>6416</v>
      </c>
      <c r="F28" s="92">
        <v>7950</v>
      </c>
      <c r="G28" s="84">
        <v>505</v>
      </c>
      <c r="H28" s="92">
        <v>7635</v>
      </c>
      <c r="I28" s="92">
        <v>4123</v>
      </c>
      <c r="J28" s="92">
        <v>11612</v>
      </c>
      <c r="K28" s="92">
        <v>8528.5</v>
      </c>
      <c r="L28" s="92">
        <v>8290.5</v>
      </c>
      <c r="M28" s="92">
        <v>10654</v>
      </c>
      <c r="N28" s="92">
        <v>4588.5</v>
      </c>
      <c r="O28" s="92">
        <v>2081</v>
      </c>
      <c r="P28" s="92">
        <v>9329.5</v>
      </c>
      <c r="Q28" s="92">
        <v>2968</v>
      </c>
      <c r="R28" s="84">
        <v>690</v>
      </c>
      <c r="S28" s="92">
        <v>8976</v>
      </c>
      <c r="T28" s="92">
        <v>7057</v>
      </c>
    </row>
    <row r="29" ht="16.5" spans="1:20">
      <c r="A29" s="90"/>
      <c r="B29" s="90"/>
      <c r="C29" s="86" t="s">
        <v>47</v>
      </c>
      <c r="D29" s="91">
        <f t="shared" si="4"/>
        <v>32188.5</v>
      </c>
      <c r="E29" s="92">
        <v>3592</v>
      </c>
      <c r="F29" s="92">
        <v>2940</v>
      </c>
      <c r="G29" s="84">
        <v>0</v>
      </c>
      <c r="H29" s="84">
        <v>0</v>
      </c>
      <c r="I29" s="92">
        <v>2970</v>
      </c>
      <c r="J29" s="92">
        <v>1043</v>
      </c>
      <c r="K29" s="92">
        <v>3748.5</v>
      </c>
      <c r="L29" s="84">
        <v>690</v>
      </c>
      <c r="M29" s="84">
        <v>0</v>
      </c>
      <c r="N29" s="92">
        <v>2610</v>
      </c>
      <c r="O29" s="92">
        <v>1103</v>
      </c>
      <c r="P29" s="92">
        <v>3255</v>
      </c>
      <c r="Q29" s="92">
        <v>1990</v>
      </c>
      <c r="R29" s="84">
        <v>0</v>
      </c>
      <c r="S29" s="92">
        <v>2686</v>
      </c>
      <c r="T29" s="92">
        <v>5561</v>
      </c>
    </row>
    <row r="30" ht="16.5" spans="1:20">
      <c r="A30" s="90"/>
      <c r="B30" s="90"/>
      <c r="C30" s="86" t="s">
        <v>48</v>
      </c>
      <c r="D30" s="91">
        <f t="shared" si="4"/>
        <v>69215.5</v>
      </c>
      <c r="E30" s="92">
        <v>2824</v>
      </c>
      <c r="F30" s="92">
        <v>5010</v>
      </c>
      <c r="G30" s="84">
        <v>505</v>
      </c>
      <c r="H30" s="92">
        <v>7635</v>
      </c>
      <c r="I30" s="92">
        <v>1153</v>
      </c>
      <c r="J30" s="92">
        <v>10569</v>
      </c>
      <c r="K30" s="92">
        <v>4780</v>
      </c>
      <c r="L30" s="92">
        <v>7600.5</v>
      </c>
      <c r="M30" s="92">
        <v>10654</v>
      </c>
      <c r="N30" s="92">
        <v>1978.5</v>
      </c>
      <c r="O30" s="84">
        <v>978</v>
      </c>
      <c r="P30" s="92">
        <v>6074.5</v>
      </c>
      <c r="Q30" s="84">
        <v>978</v>
      </c>
      <c r="R30" s="84">
        <v>690</v>
      </c>
      <c r="S30" s="92">
        <v>6290</v>
      </c>
      <c r="T30" s="92">
        <v>1496</v>
      </c>
    </row>
    <row r="31" ht="16.5" spans="1:20">
      <c r="A31" s="90"/>
      <c r="B31" s="90" t="s">
        <v>49</v>
      </c>
      <c r="C31" s="86" t="s">
        <v>50</v>
      </c>
      <c r="D31" s="91">
        <f t="shared" si="4"/>
        <v>20908</v>
      </c>
      <c r="E31" s="93">
        <v>1230</v>
      </c>
      <c r="F31" s="93">
        <v>1338</v>
      </c>
      <c r="G31" s="93">
        <v>1345</v>
      </c>
      <c r="H31" s="93">
        <v>1165</v>
      </c>
      <c r="I31" s="93">
        <v>1408</v>
      </c>
      <c r="J31" s="93">
        <v>1403</v>
      </c>
      <c r="K31" s="93">
        <v>1495</v>
      </c>
      <c r="L31" s="93">
        <v>1321</v>
      </c>
      <c r="M31" s="93">
        <v>1198</v>
      </c>
      <c r="N31" s="93">
        <v>1364</v>
      </c>
      <c r="O31" s="93">
        <v>1181</v>
      </c>
      <c r="P31" s="93">
        <v>1195</v>
      </c>
      <c r="Q31" s="93">
        <v>1282</v>
      </c>
      <c r="R31" s="93">
        <v>1337</v>
      </c>
      <c r="S31" s="93">
        <v>1376</v>
      </c>
      <c r="T31" s="93">
        <v>1270</v>
      </c>
    </row>
    <row r="32" ht="16.5" spans="1:20">
      <c r="A32" s="90"/>
      <c r="B32" s="90"/>
      <c r="C32" s="86" t="s">
        <v>51</v>
      </c>
      <c r="D32" s="91">
        <f t="shared" si="4"/>
        <v>9339</v>
      </c>
      <c r="E32" s="84">
        <v>514</v>
      </c>
      <c r="F32" s="84">
        <v>534</v>
      </c>
      <c r="G32" s="84">
        <v>505</v>
      </c>
      <c r="H32" s="84">
        <v>406</v>
      </c>
      <c r="I32" s="84">
        <v>463</v>
      </c>
      <c r="J32" s="84">
        <v>680</v>
      </c>
      <c r="K32" s="84">
        <v>728</v>
      </c>
      <c r="L32" s="84">
        <v>655</v>
      </c>
      <c r="M32" s="84">
        <v>636</v>
      </c>
      <c r="N32" s="84">
        <v>697</v>
      </c>
      <c r="O32" s="84">
        <v>503</v>
      </c>
      <c r="P32" s="84">
        <v>436</v>
      </c>
      <c r="Q32" s="84">
        <v>618</v>
      </c>
      <c r="R32" s="84">
        <v>620</v>
      </c>
      <c r="S32" s="84">
        <v>756</v>
      </c>
      <c r="T32" s="84">
        <v>588</v>
      </c>
    </row>
    <row r="33" ht="16.5" spans="1:20">
      <c r="A33" s="90"/>
      <c r="B33" s="90"/>
      <c r="C33" s="86" t="s">
        <v>52</v>
      </c>
      <c r="D33" s="91">
        <f t="shared" si="4"/>
        <v>11569</v>
      </c>
      <c r="E33" s="84">
        <v>716</v>
      </c>
      <c r="F33" s="84">
        <v>804</v>
      </c>
      <c r="G33" s="84">
        <v>840</v>
      </c>
      <c r="H33" s="84">
        <v>759</v>
      </c>
      <c r="I33" s="84">
        <v>945</v>
      </c>
      <c r="J33" s="84">
        <v>723</v>
      </c>
      <c r="K33" s="84">
        <v>767</v>
      </c>
      <c r="L33" s="84">
        <v>666</v>
      </c>
      <c r="M33" s="84">
        <v>562</v>
      </c>
      <c r="N33" s="84">
        <v>667</v>
      </c>
      <c r="O33" s="84">
        <v>678</v>
      </c>
      <c r="P33" s="84">
        <v>759</v>
      </c>
      <c r="Q33" s="84">
        <v>664</v>
      </c>
      <c r="R33" s="84">
        <v>717</v>
      </c>
      <c r="S33" s="84">
        <v>620</v>
      </c>
      <c r="T33" s="84">
        <v>682</v>
      </c>
    </row>
    <row r="34" ht="16.5" spans="1:20">
      <c r="A34" s="90"/>
      <c r="B34" s="90" t="s">
        <v>15</v>
      </c>
      <c r="C34" s="86" t="s">
        <v>53</v>
      </c>
      <c r="D34" s="94">
        <f t="shared" ref="D34:D41" si="5">AVERAGE(E34:AI34)</f>
        <v>0.00273125</v>
      </c>
      <c r="E34" s="95">
        <v>0.0024</v>
      </c>
      <c r="F34" s="95">
        <v>0.003</v>
      </c>
      <c r="G34" s="95">
        <v>0.0007</v>
      </c>
      <c r="H34" s="95">
        <v>0.0034</v>
      </c>
      <c r="I34" s="95">
        <v>0.0014</v>
      </c>
      <c r="J34" s="95">
        <v>0.0057</v>
      </c>
      <c r="K34" s="95">
        <v>0.0027</v>
      </c>
      <c r="L34" s="95">
        <v>0.0038</v>
      </c>
      <c r="M34" s="95">
        <v>0.0025</v>
      </c>
      <c r="N34" s="95">
        <v>0.0015</v>
      </c>
      <c r="O34" s="95">
        <v>0.0017</v>
      </c>
      <c r="P34" s="95">
        <v>0.005</v>
      </c>
      <c r="Q34" s="95">
        <v>0.0016</v>
      </c>
      <c r="R34" s="95">
        <v>0.0007</v>
      </c>
      <c r="S34" s="95">
        <v>0.0029</v>
      </c>
      <c r="T34" s="95">
        <v>0.0047</v>
      </c>
    </row>
    <row r="35" ht="16.5" spans="1:20">
      <c r="A35" s="90"/>
      <c r="B35" s="90"/>
      <c r="C35" s="86" t="s">
        <v>54</v>
      </c>
      <c r="D35" s="94">
        <f t="shared" si="5"/>
        <v>0.00200625</v>
      </c>
      <c r="E35" s="95">
        <v>0.0019</v>
      </c>
      <c r="F35" s="95">
        <v>0.0019</v>
      </c>
      <c r="G35" s="95">
        <v>0</v>
      </c>
      <c r="H35" s="95">
        <v>0</v>
      </c>
      <c r="I35" s="95">
        <v>0.0022</v>
      </c>
      <c r="J35" s="95">
        <v>0.0015</v>
      </c>
      <c r="K35" s="95">
        <v>0.0027</v>
      </c>
      <c r="L35" s="95">
        <v>0.0015</v>
      </c>
      <c r="M35" s="95">
        <v>0</v>
      </c>
      <c r="N35" s="95">
        <v>0.0014</v>
      </c>
      <c r="O35" s="95">
        <v>0.002</v>
      </c>
      <c r="P35" s="95">
        <v>0.0046</v>
      </c>
      <c r="Q35" s="95">
        <v>0.0016</v>
      </c>
      <c r="R35" s="95">
        <v>0</v>
      </c>
      <c r="S35" s="95">
        <v>0.004</v>
      </c>
      <c r="T35" s="95">
        <v>0.0068</v>
      </c>
    </row>
    <row r="36" ht="16.5" spans="1:20">
      <c r="A36" s="90"/>
      <c r="B36" s="90"/>
      <c r="C36" s="86" t="s">
        <v>55</v>
      </c>
      <c r="D36" s="94">
        <f t="shared" si="5"/>
        <v>0.0033375</v>
      </c>
      <c r="E36" s="95">
        <v>0.0028</v>
      </c>
      <c r="F36" s="95">
        <v>0.0037</v>
      </c>
      <c r="G36" s="95">
        <v>0.0012</v>
      </c>
      <c r="H36" s="95">
        <v>0.0053</v>
      </c>
      <c r="I36" s="95">
        <v>0.0011</v>
      </c>
      <c r="J36" s="95">
        <v>0.0097</v>
      </c>
      <c r="K36" s="95">
        <v>0.0026</v>
      </c>
      <c r="L36" s="95">
        <v>0.006</v>
      </c>
      <c r="M36" s="95">
        <v>0.0053</v>
      </c>
      <c r="N36" s="95">
        <v>0.0015</v>
      </c>
      <c r="O36" s="95">
        <v>0.0015</v>
      </c>
      <c r="P36" s="95">
        <v>0.0053</v>
      </c>
      <c r="Q36" s="95">
        <v>0.0015</v>
      </c>
      <c r="R36" s="95">
        <v>0.0014</v>
      </c>
      <c r="S36" s="95">
        <v>0.0016</v>
      </c>
      <c r="T36" s="95">
        <v>0.0029</v>
      </c>
    </row>
    <row r="37" ht="16.5" spans="1:20">
      <c r="A37" s="90"/>
      <c r="B37" s="90" t="s">
        <v>16</v>
      </c>
      <c r="C37" s="86" t="s">
        <v>11</v>
      </c>
      <c r="D37" s="96">
        <f t="shared" si="5"/>
        <v>1742.395</v>
      </c>
      <c r="E37" s="92">
        <v>2138.67</v>
      </c>
      <c r="F37" s="92">
        <v>1987.5</v>
      </c>
      <c r="G37" s="84">
        <v>505</v>
      </c>
      <c r="H37" s="92">
        <v>1908.75</v>
      </c>
      <c r="I37" s="92">
        <v>2061.5</v>
      </c>
      <c r="J37" s="92">
        <v>1451.5</v>
      </c>
      <c r="K37" s="92">
        <v>2132.13</v>
      </c>
      <c r="L37" s="92">
        <v>1658.1</v>
      </c>
      <c r="M37" s="92">
        <v>3551.33</v>
      </c>
      <c r="N37" s="92">
        <v>2294.25</v>
      </c>
      <c r="O37" s="92">
        <v>1040.5</v>
      </c>
      <c r="P37" s="92">
        <v>1554.92</v>
      </c>
      <c r="Q37" s="92">
        <v>1484</v>
      </c>
      <c r="R37" s="84">
        <v>690</v>
      </c>
      <c r="S37" s="92">
        <v>2244</v>
      </c>
      <c r="T37" s="92">
        <v>1176.17</v>
      </c>
    </row>
    <row r="38" ht="16.5" spans="1:20">
      <c r="A38" s="90"/>
      <c r="B38" s="90"/>
      <c r="C38" s="86" t="s">
        <v>56</v>
      </c>
      <c r="D38" s="96">
        <f t="shared" si="5"/>
        <v>1420.333125</v>
      </c>
      <c r="E38" s="92">
        <v>3592</v>
      </c>
      <c r="F38" s="92">
        <v>2940</v>
      </c>
      <c r="G38" s="84">
        <v>0</v>
      </c>
      <c r="H38" s="84">
        <v>0</v>
      </c>
      <c r="I38" s="92">
        <v>2970</v>
      </c>
      <c r="J38" s="92">
        <v>1043</v>
      </c>
      <c r="K38" s="92">
        <v>1874.25</v>
      </c>
      <c r="L38" s="84">
        <v>690</v>
      </c>
      <c r="M38" s="84">
        <v>0</v>
      </c>
      <c r="N38" s="92">
        <v>2610</v>
      </c>
      <c r="O38" s="92">
        <v>1103</v>
      </c>
      <c r="P38" s="92">
        <v>1627.5</v>
      </c>
      <c r="Q38" s="92">
        <v>1990</v>
      </c>
      <c r="R38" s="84">
        <v>0</v>
      </c>
      <c r="S38" s="84">
        <v>895.33</v>
      </c>
      <c r="T38" s="92">
        <v>1390.25</v>
      </c>
    </row>
    <row r="39" ht="16.5" spans="1:20">
      <c r="A39" s="90"/>
      <c r="B39" s="90"/>
      <c r="C39" s="86" t="s">
        <v>57</v>
      </c>
      <c r="D39" s="96">
        <f t="shared" si="5"/>
        <v>1823.825</v>
      </c>
      <c r="E39" s="84">
        <v>1412</v>
      </c>
      <c r="F39" s="84">
        <v>1670</v>
      </c>
      <c r="G39" s="84">
        <v>505</v>
      </c>
      <c r="H39" s="92">
        <v>1908.75</v>
      </c>
      <c r="I39" s="84">
        <v>1153</v>
      </c>
      <c r="J39" s="92">
        <v>1509.86</v>
      </c>
      <c r="K39" s="92">
        <v>2390</v>
      </c>
      <c r="L39" s="92">
        <v>1900.13</v>
      </c>
      <c r="M39" s="92">
        <v>3551.33</v>
      </c>
      <c r="N39" s="92">
        <v>1978.5</v>
      </c>
      <c r="O39" s="84">
        <v>978</v>
      </c>
      <c r="P39" s="92">
        <v>1518.63</v>
      </c>
      <c r="Q39" s="84">
        <v>978</v>
      </c>
      <c r="R39" s="84">
        <v>690</v>
      </c>
      <c r="S39" s="92">
        <v>6290</v>
      </c>
      <c r="T39" s="84">
        <v>748</v>
      </c>
    </row>
    <row r="40" ht="16.5" spans="1:20">
      <c r="A40" s="90"/>
      <c r="B40" s="97" t="s">
        <v>43</v>
      </c>
      <c r="C40" s="98" t="s">
        <v>58</v>
      </c>
      <c r="D40" s="99">
        <f t="shared" si="5"/>
        <v>2.839375</v>
      </c>
      <c r="E40" s="84">
        <v>2.25</v>
      </c>
      <c r="F40" s="84">
        <v>2.47</v>
      </c>
      <c r="G40" s="84">
        <v>2.53</v>
      </c>
      <c r="H40" s="92">
        <v>3.52</v>
      </c>
      <c r="I40" s="84">
        <v>3.38</v>
      </c>
      <c r="J40" s="84">
        <v>2.39</v>
      </c>
      <c r="K40" s="84">
        <v>2.54</v>
      </c>
      <c r="L40" s="84">
        <v>2.93</v>
      </c>
      <c r="M40" s="84">
        <v>2.43</v>
      </c>
      <c r="N40" s="84">
        <v>2.77</v>
      </c>
      <c r="O40" s="84">
        <v>2.85</v>
      </c>
      <c r="P40" s="84">
        <v>3.46</v>
      </c>
      <c r="Q40" s="84">
        <v>2.99</v>
      </c>
      <c r="R40" s="84">
        <v>3.05</v>
      </c>
      <c r="S40" s="84">
        <v>2.86</v>
      </c>
      <c r="T40" s="84">
        <v>3.01</v>
      </c>
    </row>
    <row r="41" ht="16.5" spans="1:20">
      <c r="A41" s="90"/>
      <c r="B41" s="97" t="s">
        <v>42</v>
      </c>
      <c r="C41" s="98" t="s">
        <v>59</v>
      </c>
      <c r="D41" s="100">
        <f t="shared" si="5"/>
        <v>0.6974375</v>
      </c>
      <c r="E41" s="95">
        <v>0.6931</v>
      </c>
      <c r="F41" s="101">
        <v>0.72</v>
      </c>
      <c r="G41" s="95">
        <v>0.7246</v>
      </c>
      <c r="H41" s="95">
        <v>0.7258</v>
      </c>
      <c r="I41" s="95">
        <v>0.6772</v>
      </c>
      <c r="J41" s="95">
        <v>0.7248</v>
      </c>
      <c r="K41" s="95">
        <v>0.6957</v>
      </c>
      <c r="L41" s="95">
        <v>0.6687</v>
      </c>
      <c r="M41" s="95">
        <v>0.6972</v>
      </c>
      <c r="N41" s="95">
        <v>0.6993</v>
      </c>
      <c r="O41" s="95">
        <v>0.6953</v>
      </c>
      <c r="P41" s="95">
        <v>0.6461</v>
      </c>
      <c r="Q41" s="95">
        <v>0.7052</v>
      </c>
      <c r="R41" s="95">
        <v>0.6939</v>
      </c>
      <c r="S41" s="95">
        <v>0.6884</v>
      </c>
      <c r="T41" s="95">
        <v>0.7037</v>
      </c>
    </row>
    <row r="42" ht="16.5" spans="1:20">
      <c r="A42" s="90"/>
      <c r="B42" s="90" t="s">
        <v>60</v>
      </c>
      <c r="C42" s="102" t="s">
        <v>61</v>
      </c>
      <c r="D42" s="103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</row>
    <row r="43" ht="16.5" spans="1:20">
      <c r="A43" s="90"/>
      <c r="B43" s="90"/>
      <c r="C43" s="86" t="s">
        <v>62</v>
      </c>
      <c r="D43" s="102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</row>
  </sheetData>
  <mergeCells count="15">
    <mergeCell ref="A1:A20"/>
    <mergeCell ref="A28:A43"/>
    <mergeCell ref="B3:B5"/>
    <mergeCell ref="B6:B8"/>
    <mergeCell ref="B9:B11"/>
    <mergeCell ref="B13:B16"/>
    <mergeCell ref="B17:B20"/>
    <mergeCell ref="B22:B23"/>
    <mergeCell ref="B28:B30"/>
    <mergeCell ref="B31:B33"/>
    <mergeCell ref="B34:B36"/>
    <mergeCell ref="B37:B39"/>
    <mergeCell ref="B42:B43"/>
    <mergeCell ref="D1:D2"/>
    <mergeCell ref="B1:C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tmall 周报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2016-07-30T06:02:41Z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