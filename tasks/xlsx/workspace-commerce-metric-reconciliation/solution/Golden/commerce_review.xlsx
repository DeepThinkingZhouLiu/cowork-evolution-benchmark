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报底稿" sheetId="1" state="visible" r:id="rId1"/>
    <sheet xmlns:r="http://schemas.openxmlformats.org/officeDocument/2006/relationships" name="单品底稿" sheetId="2" state="visible" r:id="rId2"/>
    <sheet xmlns:r="http://schemas.openxmlformats.org/officeDocument/2006/relationships" name="来源登记" sheetId="3" state="visible" r:id="rId3"/>
    <sheet xmlns:r="http://schemas.openxmlformats.org/officeDocument/2006/relationships" name="周报复核" sheetId="4" state="visible" r:id="rId4"/>
    <sheet xmlns:r="http://schemas.openxmlformats.org/officeDocument/2006/relationships" name="单品净化" sheetId="5" state="visible" r:id="rId5"/>
    <sheet xmlns:r="http://schemas.openxmlformats.org/officeDocument/2006/relationships" name="经营指标" sheetId="6" state="visible" r:id="rId6"/>
    <sheet xmlns:r="http://schemas.openxmlformats.org/officeDocument/2006/relationships" name="工作证据" sheetId="7" state="visible" r:id="rId7"/>
    <sheet xmlns:r="http://schemas.openxmlformats.org/officeDocument/2006/relationships" name="审计说明" sheetId="8" state="visible" r:id="rId8"/>
  </sheets>
  <definedNames>
    <definedName name="_xlnm._FilterDatabase" localSheetId="0" hidden="1">'周报底稿'!$A$1:$O$17</definedName>
    <definedName name="_xlnm.Print_Titles" localSheetId="0">'周报底稿'!$1:$1</definedName>
    <definedName name="_xlnm._FilterDatabase" localSheetId="1" hidden="1">'单品底稿'!$A$1:$N$8</definedName>
    <definedName name="_xlnm.Print_Titles" localSheetId="1">'单品底稿'!$1:$1</definedName>
    <definedName name="_xlnm._FilterDatabase" localSheetId="2" hidden="1">'来源登记'!$A$1:$E$7</definedName>
    <definedName name="_xlnm.Print_Titles" localSheetId="2">'来源登记'!$1:$1</definedName>
    <definedName name="_xlnm._FilterDatabase" localSheetId="3" hidden="1">'周报复核'!$A$1:$J$8</definedName>
    <definedName name="_xlnm.Print_Titles" localSheetId="3">'周报复核'!$1:$1</definedName>
    <definedName name="_xlnm._FilterDatabase" localSheetId="4" hidden="1">'单品净化'!$A$1:$K$8</definedName>
    <definedName name="_xlnm.Print_Titles" localSheetId="4">'单品净化'!$1:$1</definedName>
    <definedName name="_xlnm._FilterDatabase" localSheetId="5" hidden="1">'经营指标'!$A$1:$C$25</definedName>
    <definedName name="_xlnm.Print_Titles" localSheetId="5">'经营指标'!$1:$1</definedName>
    <definedName name="_xlnm._FilterDatabase" localSheetId="6" hidden="1">'工作证据'!$A$1:$D$6</definedName>
    <definedName name="_xlnm.Print_Titles" localSheetId="6">'工作证据'!$1:$1</definedName>
    <definedName name="_xlnm._FilterDatabase" localSheetId="7" hidden="1">'审计说明'!$A$1:$B$6</definedName>
    <definedName name="_xlnm.Print_Titles" localSheetId="7">'审计说明'!$1:$1</definedName>
    <definedName name="_xlnm.Print_Area" localSheetId="7">'审计说明'!$A$1:$F$26</definedName>
  </definedNames>
  <calcPr calcId="124519" fullCalcOnLoad="1"/>
</workbook>
</file>

<file path=xl/styles.xml><?xml version="1.0" encoding="utf-8"?>
<styleSheet xmlns="http://schemas.openxmlformats.org/spreadsheetml/2006/main">
  <numFmts count="2">
    <numFmt numFmtId="164" formatCode="#,##0.00;[Red]-#,##0.00"/>
    <numFmt numFmtId="165" formatCode="0.0000%"/>
  </numFmts>
  <fonts count="2">
    <font>
      <name val="Calibri"/>
      <family val="2"/>
      <color theme="1"/>
      <sz val="11"/>
      <scheme val="minor"/>
    </font>
    <font>
      <b val="1"/>
      <color rgb="00FFFFFF"/>
    </font>
  </fonts>
  <fills count="3">
    <fill>
      <patternFill/>
    </fill>
    <fill>
      <patternFill patternType="gray125"/>
    </fill>
    <fill>
      <patternFill patternType="solid">
        <fgColor rgb="0024556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164" fontId="0" fillId="0" borderId="0" applyAlignment="1" pivotButton="0" quotePrefix="0" xfId="0">
      <alignment vertical="center" wrapText="1"/>
    </xf>
    <xf numFmtId="165" fontId="0" fillId="0"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单品原额与净额</a:t>
            </a:r>
          </a:p>
        </rich>
      </tx>
    </title>
    <plotArea>
      <barChart>
        <barDir val="col"/>
        <grouping val="clustered"/>
        <ser>
          <idx val="0"/>
          <order val="0"/>
          <tx>
            <strRef>
              <f>'单品底稿'!D1</f>
            </strRef>
          </tx>
          <spPr>
            <a:ln xmlns:a="http://schemas.openxmlformats.org/drawingml/2006/main">
              <a:prstDash val="solid"/>
            </a:ln>
          </spPr>
          <cat>
            <numRef>
              <f>'单品净化'!$A$2:$A$8</f>
            </numRef>
          </cat>
          <val>
            <numRef>
              <f>'单品底稿'!$D$2:$D$8</f>
            </numRef>
          </val>
        </ser>
        <ser>
          <idx val="1"/>
          <order val="1"/>
          <tx>
            <strRef>
              <f>'单品净化'!D1</f>
            </strRef>
          </tx>
          <spPr>
            <a:ln xmlns:a="http://schemas.openxmlformats.org/drawingml/2006/main">
              <a:prstDash val="solid"/>
            </a:ln>
          </spPr>
          <cat>
            <numRef>
              <f>'单品净化'!$A$2:$A$8</f>
            </numRef>
          </cat>
          <val>
            <numRef>
              <f>'单品净化'!$D$2:$D$8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9</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O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36" customWidth="1" min="15" max="15"/>
  </cols>
  <sheetData>
    <row r="1" ht="35" customHeight="1">
      <c r="A1" s="1" t="inlineStr">
        <is>
          <t>日</t>
        </is>
      </c>
      <c r="B1" s="1" t="inlineStr">
        <is>
          <t>销售</t>
        </is>
      </c>
      <c r="C1" s="1" t="inlineStr">
        <is>
          <t>PC销售</t>
        </is>
      </c>
      <c r="D1" s="1" t="inlineStr">
        <is>
          <t>移动销售</t>
        </is>
      </c>
      <c r="E1" s="1" t="inlineStr">
        <is>
          <t>UV</t>
        </is>
      </c>
      <c r="F1" s="1" t="inlineStr">
        <is>
          <t>PCUV</t>
        </is>
      </c>
      <c r="G1" s="1" t="inlineStr">
        <is>
          <t>移动UV</t>
        </is>
      </c>
      <c r="H1" s="1" t="inlineStr">
        <is>
          <t>源转化率</t>
        </is>
      </c>
      <c r="I1" s="1" t="inlineStr">
        <is>
          <t>直通车UV</t>
        </is>
      </c>
      <c r="J1" s="1" t="inlineStr">
        <is>
          <t>直通车成本</t>
        </is>
      </c>
      <c r="K1" s="1" t="inlineStr">
        <is>
          <t>直通车比例</t>
        </is>
      </c>
      <c r="L1" s="1" t="inlineStr">
        <is>
          <t>钻展UV</t>
        </is>
      </c>
      <c r="M1" s="1" t="inlineStr">
        <is>
          <t>钻展成本</t>
        </is>
      </c>
      <c r="N1" s="1" t="inlineStr">
        <is>
          <t>钻展比例</t>
        </is>
      </c>
      <c r="O1" s="1" t="inlineStr">
        <is>
          <t>来源</t>
        </is>
      </c>
    </row>
    <row r="2" ht="30" customHeight="1">
      <c r="A2" s="2" t="n">
        <v>1</v>
      </c>
      <c r="B2" s="2" t="n">
        <v>14280.28</v>
      </c>
      <c r="C2" s="2" t="n">
        <v>7401.88</v>
      </c>
      <c r="D2" s="2" t="n">
        <v>6878.4</v>
      </c>
      <c r="E2" s="2" t="n">
        <v>4099</v>
      </c>
      <c r="F2" s="2" t="n">
        <v>1356</v>
      </c>
      <c r="G2" s="2" t="n">
        <v>2767</v>
      </c>
      <c r="H2" s="3" t="n">
        <v>0.0027</v>
      </c>
      <c r="I2" s="2" t="n">
        <v>937</v>
      </c>
      <c r="J2" s="2" t="n">
        <v>1383.57</v>
      </c>
      <c r="K2" s="3" t="n">
        <v>0.71</v>
      </c>
      <c r="L2" s="2" t="n">
        <v>645</v>
      </c>
      <c r="M2" s="2" t="n">
        <v>779.49</v>
      </c>
      <c r="N2" s="3" t="n">
        <v>0</v>
      </c>
      <c r="O2" s="4" t="inlineStr">
        <is>
          <t>tmall 周报!E3:E20</t>
        </is>
      </c>
    </row>
    <row r="3" ht="30" customHeight="1">
      <c r="A3" s="2" t="n">
        <v>2</v>
      </c>
      <c r="B3" s="2" t="n">
        <v>7169.85</v>
      </c>
      <c r="C3" s="2" t="n">
        <v>5665.81</v>
      </c>
      <c r="D3" s="2" t="n">
        <v>1504.04</v>
      </c>
      <c r="E3" s="2" t="n">
        <v>7059</v>
      </c>
      <c r="F3" s="2" t="n">
        <v>1269</v>
      </c>
      <c r="G3" s="2" t="n">
        <v>5818</v>
      </c>
      <c r="H3" s="3" t="n">
        <v>0.0011</v>
      </c>
      <c r="I3" s="2" t="n">
        <v>811</v>
      </c>
      <c r="J3" s="2" t="n">
        <v>1299.3</v>
      </c>
      <c r="K3" s="3" t="n">
        <v>0</v>
      </c>
      <c r="L3" s="2" t="n">
        <v>720</v>
      </c>
      <c r="M3" s="2" t="n">
        <v>836.74</v>
      </c>
      <c r="N3" s="3" t="n">
        <v>0</v>
      </c>
      <c r="O3" s="4" t="inlineStr">
        <is>
          <t>tmall 周报!F3:F20</t>
        </is>
      </c>
    </row>
    <row r="4" ht="30" customHeight="1">
      <c r="A4" s="2" t="n">
        <v>3</v>
      </c>
      <c r="B4" s="2" t="n">
        <v>14882.18</v>
      </c>
      <c r="C4" s="2" t="n">
        <v>0</v>
      </c>
      <c r="D4" s="2" t="n">
        <v>14882.18</v>
      </c>
      <c r="E4" s="2" t="n">
        <v>12775</v>
      </c>
      <c r="F4" s="2" t="n">
        <v>1333</v>
      </c>
      <c r="G4" s="2" t="n">
        <v>11526</v>
      </c>
      <c r="H4" s="3" t="n">
        <v>0.0008</v>
      </c>
      <c r="I4" s="2" t="n">
        <v>701</v>
      </c>
      <c r="J4" s="2" t="n">
        <v>1154.45</v>
      </c>
      <c r="K4" s="3" t="n">
        <v>0.71</v>
      </c>
      <c r="L4" s="2" t="n">
        <v>727</v>
      </c>
      <c r="M4" s="2" t="n">
        <v>836.39</v>
      </c>
      <c r="N4" s="3" t="n">
        <v>0</v>
      </c>
      <c r="O4" s="4" t="inlineStr">
        <is>
          <t>tmall 周报!G3:G20</t>
        </is>
      </c>
    </row>
    <row r="5" ht="30" customHeight="1">
      <c r="A5" s="2" t="n">
        <v>4</v>
      </c>
      <c r="B5" s="2" t="n">
        <v>12450.76</v>
      </c>
      <c r="C5" s="2" t="n">
        <v>2490</v>
      </c>
      <c r="D5" s="2" t="n">
        <v>9960.76</v>
      </c>
      <c r="E5" s="2" t="n">
        <v>13412</v>
      </c>
      <c r="F5" s="2" t="n">
        <v>1248</v>
      </c>
      <c r="G5" s="2" t="n">
        <v>12441</v>
      </c>
      <c r="H5" s="3" t="n">
        <v>0.0007</v>
      </c>
      <c r="I5" s="2" t="n">
        <v>639</v>
      </c>
      <c r="J5" s="2" t="n">
        <v>1063.36</v>
      </c>
      <c r="K5" s="3" t="n">
        <v>2.42</v>
      </c>
      <c r="L5" s="2" t="n">
        <v>732</v>
      </c>
      <c r="M5" s="2" t="n">
        <v>915.96</v>
      </c>
      <c r="N5" s="3" t="n">
        <v>0</v>
      </c>
      <c r="O5" s="4" t="inlineStr">
        <is>
          <t>tmall 周报!H3:H20</t>
        </is>
      </c>
    </row>
    <row r="6" ht="30" customHeight="1">
      <c r="A6" s="2" t="n">
        <v>5</v>
      </c>
      <c r="B6" s="2" t="n">
        <v>5336.5</v>
      </c>
      <c r="C6" s="2" t="n">
        <v>1376.3</v>
      </c>
      <c r="D6" s="2" t="n">
        <v>3960.2</v>
      </c>
      <c r="E6" s="2" t="n">
        <v>14476</v>
      </c>
      <c r="F6" s="2" t="n">
        <v>1305</v>
      </c>
      <c r="G6" s="2" t="n">
        <v>13434</v>
      </c>
      <c r="H6" s="3" t="n">
        <v>0.0005999999999999999</v>
      </c>
      <c r="I6" s="2" t="n">
        <v>694</v>
      </c>
      <c r="J6" s="2" t="n">
        <v>1061.99</v>
      </c>
      <c r="K6" s="3" t="n">
        <v>0</v>
      </c>
      <c r="L6" s="2" t="n">
        <v>841</v>
      </c>
      <c r="M6" s="2" t="n">
        <v>932.52</v>
      </c>
      <c r="N6" s="3" t="n">
        <v>0.96</v>
      </c>
      <c r="O6" s="4" t="inlineStr">
        <is>
          <t>tmall 周报!I3:I20</t>
        </is>
      </c>
    </row>
    <row r="7" ht="30" customHeight="1">
      <c r="A7" s="2" t="n">
        <v>6</v>
      </c>
      <c r="B7" s="2" t="n">
        <v>3867.67</v>
      </c>
      <c r="C7" s="2" t="n">
        <v>300</v>
      </c>
      <c r="D7" s="2" t="n">
        <v>3567.67</v>
      </c>
      <c r="E7" s="2" t="n">
        <v>16204</v>
      </c>
      <c r="F7" s="2" t="n">
        <v>8727</v>
      </c>
      <c r="G7" s="2" t="n">
        <v>7668</v>
      </c>
      <c r="H7" s="3" t="n">
        <v>0.0004</v>
      </c>
      <c r="I7" s="2" t="n">
        <v>656</v>
      </c>
      <c r="J7" s="2" t="n">
        <v>1116.03</v>
      </c>
      <c r="K7" s="3" t="n">
        <v>0</v>
      </c>
      <c r="L7" s="2" t="n">
        <v>850</v>
      </c>
      <c r="M7" s="2" t="n">
        <v>901.99</v>
      </c>
      <c r="N7" s="3" t="n">
        <v>0</v>
      </c>
      <c r="O7" s="4" t="inlineStr">
        <is>
          <t>tmall 周报!J3:J20</t>
        </is>
      </c>
    </row>
    <row r="8" ht="30" customHeight="1">
      <c r="A8" s="2" t="n">
        <v>7</v>
      </c>
      <c r="B8" s="2" t="n">
        <v>79947.17</v>
      </c>
      <c r="C8" s="2" t="n">
        <v>15585.97</v>
      </c>
      <c r="D8" s="2" t="n">
        <v>64361.2</v>
      </c>
      <c r="E8" s="2" t="n">
        <v>16749</v>
      </c>
      <c r="F8" s="2" t="n">
        <v>7250</v>
      </c>
      <c r="G8" s="2" t="n">
        <v>9682</v>
      </c>
      <c r="H8" s="3" t="n">
        <v>0.0033</v>
      </c>
      <c r="I8" s="2" t="n">
        <v>630</v>
      </c>
      <c r="J8" s="2" t="n">
        <v>1097.76</v>
      </c>
      <c r="K8" s="3" t="n">
        <v>0.4</v>
      </c>
      <c r="L8" s="2" t="n">
        <v>882</v>
      </c>
      <c r="M8" s="2" t="n">
        <v>905.99</v>
      </c>
      <c r="N8" s="3" t="n">
        <v>0.74</v>
      </c>
      <c r="O8" s="4" t="inlineStr">
        <is>
          <t>tmall 周报!K3:K20</t>
        </is>
      </c>
    </row>
    <row r="9" ht="30" customHeight="1">
      <c r="A9" s="2" t="n">
        <v>8</v>
      </c>
      <c r="B9" s="2" t="n">
        <v>18912.48</v>
      </c>
      <c r="C9" s="2" t="n">
        <v>7429.98</v>
      </c>
      <c r="D9" s="2" t="n">
        <v>11482.5</v>
      </c>
      <c r="E9" s="2" t="n">
        <v>7103</v>
      </c>
      <c r="F9" s="2" t="n">
        <v>3687</v>
      </c>
      <c r="G9" s="2" t="n">
        <v>3455</v>
      </c>
      <c r="H9" s="3" t="n">
        <v>0.0027</v>
      </c>
      <c r="I9" s="2" t="n">
        <v>972</v>
      </c>
      <c r="J9" s="2" t="n">
        <v>1653.49</v>
      </c>
      <c r="K9" s="3" t="n">
        <v>0.86</v>
      </c>
      <c r="L9" s="2" t="n">
        <v>823</v>
      </c>
      <c r="M9" s="2" t="n">
        <v>867.37</v>
      </c>
      <c r="N9" s="3" t="n">
        <v>0</v>
      </c>
      <c r="O9" s="4" t="inlineStr">
        <is>
          <t>tmall 周报!L3:L20</t>
        </is>
      </c>
    </row>
    <row r="10" ht="30" customHeight="1">
      <c r="A10" s="2" t="n">
        <v>9</v>
      </c>
      <c r="B10" s="2" t="n">
        <v>34945.42</v>
      </c>
      <c r="C10" s="2" t="n">
        <v>11701.89</v>
      </c>
      <c r="D10" s="2" t="n">
        <v>23243.53</v>
      </c>
      <c r="E10" s="2" t="n">
        <v>8932</v>
      </c>
      <c r="F10" s="2" t="n">
        <v>5398</v>
      </c>
      <c r="G10" s="2" t="n">
        <v>3571</v>
      </c>
      <c r="H10" s="3" t="n">
        <v>0.0027</v>
      </c>
      <c r="I10" s="2" t="n">
        <v>1006</v>
      </c>
      <c r="J10" s="2" t="n">
        <v>1731.36</v>
      </c>
      <c r="K10" s="3" t="n">
        <v>1.24</v>
      </c>
      <c r="L10" s="2" t="n">
        <v>923</v>
      </c>
      <c r="M10" s="2" t="n">
        <v>913.34</v>
      </c>
      <c r="N10" s="3" t="n">
        <v>0</v>
      </c>
      <c r="O10" s="4" t="inlineStr">
        <is>
          <t>tmall 周报!M3:M20</t>
        </is>
      </c>
    </row>
    <row r="11" ht="30" customHeight="1">
      <c r="A11" s="2" t="n">
        <v>10</v>
      </c>
      <c r="B11" s="2" t="n">
        <v>21079.47</v>
      </c>
      <c r="C11" s="2" t="n">
        <v>7186.26</v>
      </c>
      <c r="D11" s="2" t="n">
        <v>13893.21</v>
      </c>
      <c r="E11" s="2" t="n">
        <v>7298</v>
      </c>
      <c r="F11" s="2" t="n">
        <v>3696</v>
      </c>
      <c r="G11" s="2" t="n">
        <v>3636</v>
      </c>
      <c r="H11" s="3" t="n">
        <v>0.0019</v>
      </c>
      <c r="I11" s="2" t="n">
        <v>1043</v>
      </c>
      <c r="J11" s="2" t="n">
        <v>1586.21</v>
      </c>
      <c r="K11" s="3" t="n">
        <v>0.48</v>
      </c>
      <c r="L11" s="2" t="n">
        <v>846</v>
      </c>
      <c r="M11" s="2" t="n">
        <v>863.28</v>
      </c>
      <c r="N11" s="3" t="n">
        <v>1.75</v>
      </c>
      <c r="O11" s="4" t="inlineStr">
        <is>
          <t>tmall 周报!N3:N20</t>
        </is>
      </c>
    </row>
    <row r="12" ht="30" customHeight="1">
      <c r="A12" s="2" t="n">
        <v>11</v>
      </c>
      <c r="B12" s="2" t="n">
        <v>19547.5</v>
      </c>
      <c r="C12" s="2" t="n">
        <v>0</v>
      </c>
      <c r="D12" s="2" t="n">
        <v>19547.5</v>
      </c>
      <c r="E12" s="2" t="n">
        <v>5372</v>
      </c>
      <c r="F12" s="2" t="n">
        <v>1576</v>
      </c>
      <c r="G12" s="2" t="n">
        <v>3823</v>
      </c>
      <c r="H12" s="3" t="n">
        <v>0.0009</v>
      </c>
      <c r="I12" s="2" t="n">
        <v>1243</v>
      </c>
      <c r="J12" s="2" t="n">
        <v>1727.34</v>
      </c>
      <c r="K12" s="3" t="n">
        <v>5.77</v>
      </c>
      <c r="L12" s="2" t="n">
        <v>209</v>
      </c>
      <c r="M12" s="2" t="n">
        <v>200.97</v>
      </c>
      <c r="N12" s="3" t="n">
        <v>0</v>
      </c>
      <c r="O12" s="4" t="inlineStr">
        <is>
          <t>tmall 周报!O3:O20</t>
        </is>
      </c>
    </row>
    <row r="13" ht="30" customHeight="1">
      <c r="A13" s="2" t="n">
        <v>12</v>
      </c>
      <c r="B13" s="2" t="n">
        <v>9994.450000000001</v>
      </c>
      <c r="C13" s="2" t="n">
        <v>0</v>
      </c>
      <c r="D13" s="2" t="n">
        <v>9994.450000000001</v>
      </c>
      <c r="E13" s="2" t="n">
        <v>5037</v>
      </c>
      <c r="F13" s="2" t="n">
        <v>1067</v>
      </c>
      <c r="G13" s="2" t="n">
        <v>3999</v>
      </c>
      <c r="H13" s="3" t="n">
        <v>0.002</v>
      </c>
      <c r="I13" s="2" t="n">
        <v>1348</v>
      </c>
      <c r="J13" s="2" t="n">
        <v>1714.52</v>
      </c>
      <c r="K13" s="3" t="n">
        <v>1.41</v>
      </c>
      <c r="L13" s="2" t="n">
        <v>71</v>
      </c>
      <c r="M13" s="2" t="n">
        <v>5.13</v>
      </c>
      <c r="N13" s="3" t="n">
        <v>0</v>
      </c>
      <c r="O13" s="4" t="inlineStr">
        <is>
          <t>tmall 周报!P3:P20</t>
        </is>
      </c>
    </row>
    <row r="14" ht="30" customHeight="1">
      <c r="A14" s="2" t="n">
        <v>13</v>
      </c>
      <c r="B14" s="2" t="n">
        <v>13694.7</v>
      </c>
      <c r="C14" s="2" t="n">
        <v>4289</v>
      </c>
      <c r="D14" s="2" t="n">
        <v>9405.700000000001</v>
      </c>
      <c r="E14" s="2" t="n">
        <v>5561</v>
      </c>
      <c r="F14" s="2" t="n">
        <v>1963</v>
      </c>
      <c r="G14" s="2" t="n">
        <v>3639</v>
      </c>
      <c r="H14" s="3" t="n">
        <v>0.0022</v>
      </c>
      <c r="I14" s="2" t="n">
        <v>1329</v>
      </c>
      <c r="J14" s="2" t="n">
        <v>1971.71</v>
      </c>
      <c r="K14" s="3" t="n">
        <v>1.43</v>
      </c>
      <c r="L14" s="2" t="n">
        <v>0</v>
      </c>
      <c r="M14" s="2" t="n">
        <v>0.36</v>
      </c>
      <c r="N14" s="3" t="n">
        <v>0</v>
      </c>
      <c r="O14" s="4" t="inlineStr">
        <is>
          <t>tmall 周报!Q3:Q20</t>
        </is>
      </c>
    </row>
    <row r="15" ht="30" customHeight="1">
      <c r="A15" s="2" t="n">
        <v>14</v>
      </c>
      <c r="B15" s="2" t="n">
        <v>18586.56</v>
      </c>
      <c r="C15" s="2" t="n">
        <v>891</v>
      </c>
      <c r="D15" s="2" t="n">
        <v>17695.56</v>
      </c>
      <c r="E15" s="2" t="n">
        <v>6215</v>
      </c>
      <c r="F15" s="2" t="n">
        <v>2037</v>
      </c>
      <c r="G15" s="2" t="n">
        <v>4228</v>
      </c>
      <c r="H15" s="3" t="n">
        <v>0.0027</v>
      </c>
      <c r="I15" s="2" t="n">
        <v>1273</v>
      </c>
      <c r="J15" s="2" t="n">
        <v>2028.36</v>
      </c>
      <c r="K15" s="3" t="n">
        <v>0.33</v>
      </c>
      <c r="L15" s="2" t="n">
        <v>720</v>
      </c>
      <c r="M15" s="2" t="n">
        <v>750.12</v>
      </c>
      <c r="N15" s="3" t="n">
        <v>0</v>
      </c>
      <c r="O15" s="4" t="inlineStr">
        <is>
          <t>tmall 周报!R3:R20</t>
        </is>
      </c>
    </row>
    <row r="16" ht="30" customHeight="1">
      <c r="A16" s="2" t="n">
        <v>15</v>
      </c>
      <c r="B16" s="2" t="n">
        <v>7578.96</v>
      </c>
      <c r="C16" s="2" t="n">
        <v>3440</v>
      </c>
      <c r="D16" s="2" t="n">
        <v>4138.96</v>
      </c>
      <c r="E16" s="2" t="n">
        <v>6234</v>
      </c>
      <c r="F16" s="2" t="n">
        <v>1908</v>
      </c>
      <c r="G16" s="2" t="n">
        <v>4369</v>
      </c>
      <c r="H16" s="3" t="n">
        <v>0.0013</v>
      </c>
      <c r="I16" s="2" t="n">
        <v>1145</v>
      </c>
      <c r="J16" s="2" t="n">
        <v>1834.2</v>
      </c>
      <c r="K16" s="3" t="n">
        <v>0</v>
      </c>
      <c r="L16" s="2" t="n">
        <v>889</v>
      </c>
      <c r="M16" s="2" t="n">
        <v>901.54</v>
      </c>
      <c r="N16" s="3" t="n">
        <v>0</v>
      </c>
      <c r="O16" s="4" t="inlineStr">
        <is>
          <t>tmall 周报!S3:S20</t>
        </is>
      </c>
    </row>
    <row r="17" ht="30" customHeight="1">
      <c r="A17" s="2" t="n">
        <v>16</v>
      </c>
      <c r="B17" s="2" t="n">
        <v>42564.06</v>
      </c>
      <c r="C17" s="2" t="n">
        <v>24657.1</v>
      </c>
      <c r="D17" s="2" t="n">
        <v>17906.96</v>
      </c>
      <c r="E17" s="2" t="n">
        <v>6346</v>
      </c>
      <c r="F17" s="2" t="n">
        <v>2026</v>
      </c>
      <c r="G17" s="2" t="n">
        <v>4368</v>
      </c>
      <c r="H17" s="3" t="n">
        <v>0.0032</v>
      </c>
      <c r="I17" s="2" t="n">
        <v>1392</v>
      </c>
      <c r="J17" s="2" t="n">
        <v>2169.82</v>
      </c>
      <c r="K17" s="3" t="n">
        <v>0</v>
      </c>
      <c r="L17" s="2" t="n">
        <v>879</v>
      </c>
      <c r="M17" s="2" t="n">
        <v>912.85</v>
      </c>
      <c r="N17" s="3" t="n">
        <v>2.67</v>
      </c>
      <c r="O17" s="4" t="inlineStr">
        <is>
          <t>tmall 周报!T3:T20</t>
        </is>
      </c>
    </row>
  </sheetData>
  <autoFilter ref="A1:O17"/>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N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30" customWidth="1" min="13" max="13"/>
    <col width="19" customWidth="1" min="14" max="14"/>
  </cols>
  <sheetData>
    <row r="1" ht="35" customHeight="1">
      <c r="A1" s="1" t="inlineStr">
        <is>
          <t>日期</t>
        </is>
      </c>
      <c r="B1" s="1" t="inlineStr">
        <is>
          <t>访客</t>
        </is>
      </c>
      <c r="C1" s="1" t="inlineStr">
        <is>
          <t>买家</t>
        </is>
      </c>
      <c r="D1" s="1" t="inlineStr">
        <is>
          <t>金额</t>
        </is>
      </c>
      <c r="E1" s="1" t="inlineStr">
        <is>
          <t>假访客</t>
        </is>
      </c>
      <c r="F1" s="1" t="inlineStr">
        <is>
          <t>刷单人数</t>
        </is>
      </c>
      <c r="G1" s="1" t="inlineStr">
        <is>
          <t>刷单金额</t>
        </is>
      </c>
      <c r="H1" s="1" t="inlineStr">
        <is>
          <t>源实际访客</t>
        </is>
      </c>
      <c r="I1" s="1" t="inlineStr">
        <is>
          <t>源实际金额</t>
        </is>
      </c>
      <c r="J1" s="1" t="inlineStr">
        <is>
          <t>源实际转化率</t>
        </is>
      </c>
      <c r="K1" s="1" t="inlineStr">
        <is>
          <t>源实际买家</t>
        </is>
      </c>
      <c r="L1" s="1" t="inlineStr">
        <is>
          <t>源实际客单价</t>
        </is>
      </c>
      <c r="M1" s="1" t="inlineStr">
        <is>
          <t>原备注</t>
        </is>
      </c>
      <c r="N1" s="1" t="inlineStr">
        <is>
          <t>源行号</t>
        </is>
      </c>
    </row>
    <row r="2" ht="30" customHeight="1">
      <c r="A2" s="4" t="inlineStr">
        <is>
          <t>2015-11-01</t>
        </is>
      </c>
      <c r="B2" s="2" t="n">
        <v>1854</v>
      </c>
      <c r="C2" s="2" t="n">
        <v>49</v>
      </c>
      <c r="D2" s="2" t="n">
        <v>5797</v>
      </c>
      <c r="E2" s="2" t="n">
        <v>540</v>
      </c>
      <c r="F2" s="2" t="n">
        <v>0</v>
      </c>
      <c r="G2" s="2" t="n">
        <v>0</v>
      </c>
      <c r="H2" s="2" t="n">
        <v>1314</v>
      </c>
      <c r="I2" s="2" t="n">
        <v>5797</v>
      </c>
      <c r="J2" s="3" t="n">
        <v>0.02642934196332255</v>
      </c>
      <c r="K2" s="2" t="n">
        <v>49</v>
      </c>
      <c r="L2" s="2" t="n">
        <v>118.3061224489796</v>
      </c>
      <c r="M2" s="4" t="inlineStr">
        <is>
          <t>碧螺春B淘抢购</t>
        </is>
      </c>
      <c r="N2" s="2" t="n">
        <v>6</v>
      </c>
    </row>
    <row r="3" ht="30" customHeight="1">
      <c r="A3" s="4" t="inlineStr">
        <is>
          <t>2015-11-02</t>
        </is>
      </c>
      <c r="B3" s="2" t="n">
        <v>1965</v>
      </c>
      <c r="C3" s="2" t="n">
        <v>89</v>
      </c>
      <c r="D3" s="2" t="n">
        <v>11428</v>
      </c>
      <c r="E3" s="2" t="n">
        <v>540</v>
      </c>
      <c r="F3" s="2" t="n">
        <v>33</v>
      </c>
      <c r="G3" s="2" t="n">
        <v>5090</v>
      </c>
      <c r="H3" s="2" t="n">
        <v>1425</v>
      </c>
      <c r="I3" s="2" t="n">
        <v>6338</v>
      </c>
      <c r="J3" s="3" t="n">
        <v>0.02849872773536896</v>
      </c>
      <c r="K3" s="2" t="n">
        <v>56</v>
      </c>
      <c r="L3" s="2" t="n">
        <v>113.1785714285714</v>
      </c>
      <c r="M3" s="4" t="inlineStr"/>
      <c r="N3" s="2" t="n">
        <v>7</v>
      </c>
    </row>
    <row r="4" ht="30" customHeight="1">
      <c r="A4" s="4" t="inlineStr">
        <is>
          <t>2015-11-03</t>
        </is>
      </c>
      <c r="B4" s="2" t="n">
        <v>2170</v>
      </c>
      <c r="C4" s="2" t="n">
        <v>73</v>
      </c>
      <c r="D4" s="2" t="n">
        <v>8791</v>
      </c>
      <c r="E4" s="2" t="n">
        <v>540</v>
      </c>
      <c r="F4" s="2" t="n">
        <v>32</v>
      </c>
      <c r="G4" s="2" t="n">
        <v>4959</v>
      </c>
      <c r="H4" s="2" t="n">
        <v>1630</v>
      </c>
      <c r="I4" s="2" t="n">
        <v>3832</v>
      </c>
      <c r="J4" s="3" t="n">
        <v>0.01889400921658986</v>
      </c>
      <c r="K4" s="2" t="n">
        <v>41</v>
      </c>
      <c r="L4" s="2" t="n">
        <v>93.46341463414635</v>
      </c>
      <c r="M4" s="4" t="inlineStr"/>
      <c r="N4" s="2" t="n">
        <v>8</v>
      </c>
    </row>
    <row r="5" ht="30" customHeight="1">
      <c r="A5" s="4" t="inlineStr">
        <is>
          <t>2015-11-04</t>
        </is>
      </c>
      <c r="B5" s="2" t="n">
        <v>1999</v>
      </c>
      <c r="C5" s="2" t="n">
        <v>76</v>
      </c>
      <c r="D5" s="2" t="n">
        <v>10072</v>
      </c>
      <c r="E5" s="2" t="n">
        <v>540</v>
      </c>
      <c r="F5" s="2" t="n">
        <v>32</v>
      </c>
      <c r="G5" s="2" t="n">
        <v>4959</v>
      </c>
      <c r="H5" s="2" t="n">
        <v>1459</v>
      </c>
      <c r="I5" s="2" t="n">
        <v>5113</v>
      </c>
      <c r="J5" s="3" t="n">
        <v>0.02201100550275138</v>
      </c>
      <c r="K5" s="2" t="n">
        <v>44</v>
      </c>
      <c r="L5" s="2" t="n">
        <v>116.2045454545455</v>
      </c>
      <c r="M5" s="4" t="inlineStr"/>
      <c r="N5" s="2" t="n">
        <v>9</v>
      </c>
    </row>
    <row r="6" ht="30" customHeight="1">
      <c r="A6" s="4" t="inlineStr">
        <is>
          <t>2015-11-05</t>
        </is>
      </c>
      <c r="B6" s="2" t="n">
        <v>1811</v>
      </c>
      <c r="C6" s="2" t="n">
        <v>65</v>
      </c>
      <c r="D6" s="2" t="n">
        <v>8966</v>
      </c>
      <c r="E6" s="2" t="n">
        <v>540</v>
      </c>
      <c r="F6" s="2" t="n">
        <v>32</v>
      </c>
      <c r="G6" s="2" t="n">
        <v>4897</v>
      </c>
      <c r="H6" s="2" t="n">
        <v>1271</v>
      </c>
      <c r="I6" s="2" t="n">
        <v>4069</v>
      </c>
      <c r="J6" s="3" t="n">
        <v>0.01822197680839315</v>
      </c>
      <c r="K6" s="2" t="n">
        <v>33</v>
      </c>
      <c r="L6" s="2" t="n">
        <v>123.3030303030303</v>
      </c>
      <c r="M6" s="4" t="inlineStr"/>
      <c r="N6" s="2" t="n">
        <v>10</v>
      </c>
    </row>
    <row r="7" ht="30" customHeight="1">
      <c r="A7" s="4" t="inlineStr">
        <is>
          <t>2015-11-06</t>
        </is>
      </c>
      <c r="B7" s="2" t="n">
        <v>1769</v>
      </c>
      <c r="C7" s="2" t="n">
        <v>29</v>
      </c>
      <c r="D7" s="2" t="n">
        <v>3550</v>
      </c>
      <c r="E7" s="2" t="n">
        <v>540</v>
      </c>
      <c r="F7" s="2" t="n">
        <v>5</v>
      </c>
      <c r="G7" s="2" t="n">
        <v>643</v>
      </c>
      <c r="H7" s="2" t="n">
        <v>1229</v>
      </c>
      <c r="I7" s="2" t="n">
        <v>2907</v>
      </c>
      <c r="J7" s="3" t="n">
        <v>0.01356698699830413</v>
      </c>
      <c r="K7" s="2" t="n">
        <v>24</v>
      </c>
      <c r="L7" s="2" t="n">
        <v>121.125</v>
      </c>
      <c r="M7" s="4" t="inlineStr"/>
      <c r="N7" s="2" t="n">
        <v>11</v>
      </c>
    </row>
    <row r="8" ht="30" customHeight="1">
      <c r="A8" s="4" t="inlineStr">
        <is>
          <t>2015-11-07</t>
        </is>
      </c>
      <c r="B8" s="2" t="n">
        <v>1573</v>
      </c>
      <c r="C8" s="2" t="n">
        <v>18</v>
      </c>
      <c r="D8" s="2" t="n">
        <v>1686</v>
      </c>
      <c r="E8" s="2" t="n">
        <v>540</v>
      </c>
      <c r="F8" s="2" t="n">
        <v>5</v>
      </c>
      <c r="G8" s="2" t="n">
        <v>650</v>
      </c>
      <c r="H8" s="2" t="n">
        <v>1033</v>
      </c>
      <c r="I8" s="2" t="n">
        <v>1036</v>
      </c>
      <c r="J8" s="3" t="n">
        <v>0.008264462809917356</v>
      </c>
      <c r="K8" s="2" t="n">
        <v>13</v>
      </c>
      <c r="L8" s="2" t="n">
        <v>79.69230769230769</v>
      </c>
      <c r="M8" s="4" t="inlineStr"/>
      <c r="N8" s="2" t="n">
        <v>12</v>
      </c>
    </row>
  </sheetData>
  <autoFilter ref="A1:N8"/>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38" customWidth="1" min="5" max="5"/>
  </cols>
  <sheetData>
    <row r="1" ht="35" customHeight="1">
      <c r="A1" s="1" t="inlineStr">
        <is>
          <t>文件</t>
        </is>
      </c>
      <c r="B1" s="1" t="inlineStr">
        <is>
          <t>工作表</t>
        </is>
      </c>
      <c r="C1" s="1" t="inlineStr">
        <is>
          <t>期间</t>
        </is>
      </c>
      <c r="D1" s="1" t="inlineStr">
        <is>
          <t>用途</t>
        </is>
      </c>
      <c r="E1" s="1" t="inlineStr">
        <is>
          <t>边界</t>
        </is>
      </c>
    </row>
    <row r="2" ht="54" customHeight="1">
      <c r="A2" s="4" t="inlineStr">
        <is>
          <t>_店铺数据_tsl项目周报表-7月第三周.xlsx</t>
        </is>
      </c>
      <c r="B2" s="4" t="inlineStr">
        <is>
          <t>tmall 周报</t>
        </is>
      </c>
      <c r="C2" s="4" t="inlineStr">
        <is>
          <t>第1—7日；另留1—16日</t>
        </is>
      </c>
      <c r="D2" s="4" t="inlineStr">
        <is>
          <t>天猫日序指标</t>
        </is>
      </c>
      <c r="E2" s="4" t="inlineStr">
        <is>
          <t>年份未确认；不混入京东和11月单品</t>
        </is>
      </c>
    </row>
    <row r="3" ht="54" customHeight="1">
      <c r="A3" s="4" t="inlineStr">
        <is>
          <t>_单品数据_单品数据跟踪.xls</t>
        </is>
      </c>
      <c r="B3" s="4" t="inlineStr">
        <is>
          <t>醇香流量跟踪</t>
        </is>
      </c>
      <c r="C3" s="4" t="inlineStr">
        <is>
          <t>2015-11-01—07</t>
        </is>
      </c>
      <c r="D3" s="4" t="inlineStr">
        <is>
          <t>单品净化</t>
        </is>
      </c>
      <c r="E3" s="4" t="inlineStr">
        <is>
          <t>只以工作表名标识，不能由备注确认商品身份</t>
        </is>
      </c>
    </row>
    <row r="4" ht="54" customHeight="1">
      <c r="A4" s="4" t="inlineStr">
        <is>
          <t>_单品数据_单品数据跟踪.xls</t>
        </is>
      </c>
      <c r="B4" s="4" t="inlineStr">
        <is>
          <t>碧螺春</t>
        </is>
      </c>
      <c r="C4" s="4" t="inlineStr">
        <is>
          <t>同期空数据</t>
        </is>
      </c>
      <c r="D4" s="4" t="inlineStr">
        <is>
          <t>身份对照</t>
        </is>
      </c>
      <c r="E4" s="4" t="inlineStr">
        <is>
          <t>空白不能补0或冒认另表指标</t>
        </is>
      </c>
    </row>
    <row r="5" ht="54" customHeight="1">
      <c r="A5" s="4" t="inlineStr">
        <is>
          <t>_单品数据_单品数据跟踪.xls</t>
        </is>
      </c>
      <c r="B5" s="4" t="inlineStr">
        <is>
          <t>无线流量/PC流量</t>
        </is>
      </c>
      <c r="C5" s="4" t="inlineStr">
        <is>
          <t>2015年7月</t>
        </is>
      </c>
      <c r="D5" s="4" t="inlineStr">
        <is>
          <t>排除不同窗口</t>
        </is>
      </c>
      <c r="E5" s="4" t="inlineStr">
        <is>
          <t>不并入11月指标</t>
        </is>
      </c>
    </row>
    <row r="6" ht="54" customHeight="1">
      <c r="A6" s="4" t="inlineStr">
        <is>
          <t>_工作计划_月_周工作总结计划表.xls</t>
        </is>
      </c>
      <c r="B6" s="4" t="inlineStr">
        <is>
          <t>周报/月报</t>
        </is>
      </c>
      <c r="C6" s="4" t="inlineStr">
        <is>
          <t>12月26日-01月01日；含2011历史日期</t>
        </is>
      </c>
      <c r="D6" s="4" t="inlineStr">
        <is>
          <t>历史流程参考</t>
        </is>
      </c>
      <c r="E6" s="4" t="inlineStr">
        <is>
          <t>不能证明当前活动已完成</t>
        </is>
      </c>
    </row>
    <row r="7" ht="54" customHeight="1">
      <c r="A7" s="4" t="inlineStr">
        <is>
          <t>_数据分析_淘宝网店日常统计数表格.xls</t>
        </is>
      </c>
      <c r="B7" s="4" t="inlineStr">
        <is>
          <t>Sheet1</t>
        </is>
      </c>
      <c r="C7" s="4" t="inlineStr">
        <is>
          <t>未填期间</t>
        </is>
      </c>
      <c r="D7" s="4" t="inlineStr">
        <is>
          <t>指标模板参考</t>
        </is>
      </c>
      <c r="E7" s="4" t="inlineStr">
        <is>
          <t>目标、精确订单、周去重人数未知</t>
        </is>
      </c>
    </row>
  </sheetData>
  <autoFilter ref="A1:E7"/>
  <printOptions horizontalCentered="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J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s>
  <sheetData>
    <row r="1" ht="35" customHeight="1">
      <c r="A1" s="1" t="inlineStr">
        <is>
          <t>日</t>
        </is>
      </c>
      <c r="B1" s="1" t="inlineStr">
        <is>
          <t>销售</t>
        </is>
      </c>
      <c r="C1" s="1" t="inlineStr">
        <is>
          <t>移动占比</t>
        </is>
      </c>
      <c r="D1" s="1" t="inlineStr">
        <is>
          <t>UV差异</t>
        </is>
      </c>
      <c r="E1" s="1" t="inlineStr">
        <is>
          <t>直通车每UV成本</t>
        </is>
      </c>
      <c r="F1" s="1" t="inlineStr">
        <is>
          <t>钻展每UV成本</t>
        </is>
      </c>
      <c r="G1" s="1" t="inlineStr">
        <is>
          <t>直通车隐含额</t>
        </is>
      </c>
      <c r="H1" s="1" t="inlineStr">
        <is>
          <t>钻展隐含额</t>
        </is>
      </c>
      <c r="I1" s="1" t="inlineStr">
        <is>
          <t>估计订单</t>
        </is>
      </c>
      <c r="J1" s="1" t="inlineStr">
        <is>
          <t>销售差异</t>
        </is>
      </c>
    </row>
    <row r="2" ht="30" customHeight="1">
      <c r="A2" s="2" t="n">
        <v>1</v>
      </c>
      <c r="B2" s="2">
        <f>SUMIF('周报底稿'!A2:A17,A2,'周报底稿'!B2:B17)</f>
        <v/>
      </c>
      <c r="C2" s="3">
        <f>SUMIF('周报底稿'!A2:A17,A2,'周报底稿'!D2:D17)/SUMIF('周报底稿'!A2:A17,A2,'周报底稿'!B2:B17)</f>
        <v/>
      </c>
      <c r="D2" s="2">
        <f>SUMIF('周报底稿'!A2:A17,A2,'周报底稿'!F2:F17)+SUMIF('周报底稿'!A2:A17,A2,'周报底稿'!G2:G17)-SUMIF('周报底稿'!A2:A17,A2,'周报底稿'!E2:E17)</f>
        <v/>
      </c>
      <c r="E2" s="2">
        <f>SUMIF('周报底稿'!A2:A17,A2,'周报底稿'!J2:J17)/SUMIF('周报底稿'!A2:A17,A2,'周报底稿'!I2:I17)</f>
        <v/>
      </c>
      <c r="F2" s="2">
        <f>SUMIF('周报底稿'!A2:A17,A2,'周报底稿'!M2:M17)/SUMIF('周报底稿'!A2:A17,A2,'周报底稿'!L2:L17)</f>
        <v/>
      </c>
      <c r="G2" s="2">
        <f>SUMIF('周报底稿'!A2:A17,A2,'周报底稿'!J2:J17)*SUMIF('周报底稿'!A2:A17,A2,'周报底稿'!K2:K17)</f>
        <v/>
      </c>
      <c r="H2" s="2">
        <f>SUMIF('周报底稿'!A2:A17,A2,'周报底稿'!M2:M17)*SUMIF('周报底稿'!A2:A17,A2,'周报底稿'!N2:N17)</f>
        <v/>
      </c>
      <c r="I2" s="2">
        <f>SUMIF('周报底稿'!A2:A17,A2,'周报底稿'!E2:E17)*SUMIF('周报底稿'!A2:A17,A2,'周报底稿'!H2:H17)</f>
        <v/>
      </c>
      <c r="J2" s="2">
        <f>SUMIF('周报底稿'!A2:A17,A2,'周报底稿'!B2:B17)-SUMIF('周报底稿'!A2:A17,A2,'周报底稿'!C2:C17)-SUMIF('周报底稿'!A2:A17,A2,'周报底稿'!D2:D17)</f>
        <v/>
      </c>
    </row>
    <row r="3" ht="30" customHeight="1">
      <c r="A3" s="2" t="n">
        <v>2</v>
      </c>
      <c r="B3" s="2">
        <f>SUMIF('周报底稿'!A2:A17,A3,'周报底稿'!B2:B17)</f>
        <v/>
      </c>
      <c r="C3" s="3">
        <f>SUMIF('周报底稿'!A2:A17,A3,'周报底稿'!D2:D17)/SUMIF('周报底稿'!A2:A17,A3,'周报底稿'!B2:B17)</f>
        <v/>
      </c>
      <c r="D3" s="2">
        <f>SUMIF('周报底稿'!A2:A17,A3,'周报底稿'!F2:F17)+SUMIF('周报底稿'!A2:A17,A3,'周报底稿'!G2:G17)-SUMIF('周报底稿'!A2:A17,A3,'周报底稿'!E2:E17)</f>
        <v/>
      </c>
      <c r="E3" s="2">
        <f>SUMIF('周报底稿'!A2:A17,A3,'周报底稿'!J2:J17)/SUMIF('周报底稿'!A2:A17,A3,'周报底稿'!I2:I17)</f>
        <v/>
      </c>
      <c r="F3" s="2">
        <f>SUMIF('周报底稿'!A2:A17,A3,'周报底稿'!M2:M17)/SUMIF('周报底稿'!A2:A17,A3,'周报底稿'!L2:L17)</f>
        <v/>
      </c>
      <c r="G3" s="2">
        <f>SUMIF('周报底稿'!A2:A17,A3,'周报底稿'!J2:J17)*SUMIF('周报底稿'!A2:A17,A3,'周报底稿'!K2:K17)</f>
        <v/>
      </c>
      <c r="H3" s="2">
        <f>SUMIF('周报底稿'!A2:A17,A3,'周报底稿'!M2:M17)*SUMIF('周报底稿'!A2:A17,A3,'周报底稿'!N2:N17)</f>
        <v/>
      </c>
      <c r="I3" s="2">
        <f>SUMIF('周报底稿'!A2:A17,A3,'周报底稿'!E2:E17)*SUMIF('周报底稿'!A2:A17,A3,'周报底稿'!H2:H17)</f>
        <v/>
      </c>
      <c r="J3" s="2">
        <f>SUMIF('周报底稿'!A2:A17,A3,'周报底稿'!B2:B17)-SUMIF('周报底稿'!A2:A17,A3,'周报底稿'!C2:C17)-SUMIF('周报底稿'!A2:A17,A3,'周报底稿'!D2:D17)</f>
        <v/>
      </c>
    </row>
    <row r="4" ht="30" customHeight="1">
      <c r="A4" s="2" t="n">
        <v>3</v>
      </c>
      <c r="B4" s="2">
        <f>SUMIF('周报底稿'!A2:A17,A4,'周报底稿'!B2:B17)</f>
        <v/>
      </c>
      <c r="C4" s="3">
        <f>SUMIF('周报底稿'!A2:A17,A4,'周报底稿'!D2:D17)/SUMIF('周报底稿'!A2:A17,A4,'周报底稿'!B2:B17)</f>
        <v/>
      </c>
      <c r="D4" s="2">
        <f>SUMIF('周报底稿'!A2:A17,A4,'周报底稿'!F2:F17)+SUMIF('周报底稿'!A2:A17,A4,'周报底稿'!G2:G17)-SUMIF('周报底稿'!A2:A17,A4,'周报底稿'!E2:E17)</f>
        <v/>
      </c>
      <c r="E4" s="2">
        <f>SUMIF('周报底稿'!A2:A17,A4,'周报底稿'!J2:J17)/SUMIF('周报底稿'!A2:A17,A4,'周报底稿'!I2:I17)</f>
        <v/>
      </c>
      <c r="F4" s="2">
        <f>SUMIF('周报底稿'!A2:A17,A4,'周报底稿'!M2:M17)/SUMIF('周报底稿'!A2:A17,A4,'周报底稿'!L2:L17)</f>
        <v/>
      </c>
      <c r="G4" s="2">
        <f>SUMIF('周报底稿'!A2:A17,A4,'周报底稿'!J2:J17)*SUMIF('周报底稿'!A2:A17,A4,'周报底稿'!K2:K17)</f>
        <v/>
      </c>
      <c r="H4" s="2">
        <f>SUMIF('周报底稿'!A2:A17,A4,'周报底稿'!M2:M17)*SUMIF('周报底稿'!A2:A17,A4,'周报底稿'!N2:N17)</f>
        <v/>
      </c>
      <c r="I4" s="2">
        <f>SUMIF('周报底稿'!A2:A17,A4,'周报底稿'!E2:E17)*SUMIF('周报底稿'!A2:A17,A4,'周报底稿'!H2:H17)</f>
        <v/>
      </c>
      <c r="J4" s="2">
        <f>SUMIF('周报底稿'!A2:A17,A4,'周报底稿'!B2:B17)-SUMIF('周报底稿'!A2:A17,A4,'周报底稿'!C2:C17)-SUMIF('周报底稿'!A2:A17,A4,'周报底稿'!D2:D17)</f>
        <v/>
      </c>
    </row>
    <row r="5" ht="30" customHeight="1">
      <c r="A5" s="2" t="n">
        <v>4</v>
      </c>
      <c r="B5" s="2">
        <f>SUMIF('周报底稿'!A2:A17,A5,'周报底稿'!B2:B17)</f>
        <v/>
      </c>
      <c r="C5" s="3">
        <f>SUMIF('周报底稿'!A2:A17,A5,'周报底稿'!D2:D17)/SUMIF('周报底稿'!A2:A17,A5,'周报底稿'!B2:B17)</f>
        <v/>
      </c>
      <c r="D5" s="2">
        <f>SUMIF('周报底稿'!A2:A17,A5,'周报底稿'!F2:F17)+SUMIF('周报底稿'!A2:A17,A5,'周报底稿'!G2:G17)-SUMIF('周报底稿'!A2:A17,A5,'周报底稿'!E2:E17)</f>
        <v/>
      </c>
      <c r="E5" s="2">
        <f>SUMIF('周报底稿'!A2:A17,A5,'周报底稿'!J2:J17)/SUMIF('周报底稿'!A2:A17,A5,'周报底稿'!I2:I17)</f>
        <v/>
      </c>
      <c r="F5" s="2">
        <f>SUMIF('周报底稿'!A2:A17,A5,'周报底稿'!M2:M17)/SUMIF('周报底稿'!A2:A17,A5,'周报底稿'!L2:L17)</f>
        <v/>
      </c>
      <c r="G5" s="2">
        <f>SUMIF('周报底稿'!A2:A17,A5,'周报底稿'!J2:J17)*SUMIF('周报底稿'!A2:A17,A5,'周报底稿'!K2:K17)</f>
        <v/>
      </c>
      <c r="H5" s="2">
        <f>SUMIF('周报底稿'!A2:A17,A5,'周报底稿'!M2:M17)*SUMIF('周报底稿'!A2:A17,A5,'周报底稿'!N2:N17)</f>
        <v/>
      </c>
      <c r="I5" s="2">
        <f>SUMIF('周报底稿'!A2:A17,A5,'周报底稿'!E2:E17)*SUMIF('周报底稿'!A2:A17,A5,'周报底稿'!H2:H17)</f>
        <v/>
      </c>
      <c r="J5" s="2">
        <f>SUMIF('周报底稿'!A2:A17,A5,'周报底稿'!B2:B17)-SUMIF('周报底稿'!A2:A17,A5,'周报底稿'!C2:C17)-SUMIF('周报底稿'!A2:A17,A5,'周报底稿'!D2:D17)</f>
        <v/>
      </c>
    </row>
    <row r="6" ht="30" customHeight="1">
      <c r="A6" s="2" t="n">
        <v>5</v>
      </c>
      <c r="B6" s="2">
        <f>SUMIF('周报底稿'!A2:A17,A6,'周报底稿'!B2:B17)</f>
        <v/>
      </c>
      <c r="C6" s="3">
        <f>SUMIF('周报底稿'!A2:A17,A6,'周报底稿'!D2:D17)/SUMIF('周报底稿'!A2:A17,A6,'周报底稿'!B2:B17)</f>
        <v/>
      </c>
      <c r="D6" s="2">
        <f>SUMIF('周报底稿'!A2:A17,A6,'周报底稿'!F2:F17)+SUMIF('周报底稿'!A2:A17,A6,'周报底稿'!G2:G17)-SUMIF('周报底稿'!A2:A17,A6,'周报底稿'!E2:E17)</f>
        <v/>
      </c>
      <c r="E6" s="2">
        <f>SUMIF('周报底稿'!A2:A17,A6,'周报底稿'!J2:J17)/SUMIF('周报底稿'!A2:A17,A6,'周报底稿'!I2:I17)</f>
        <v/>
      </c>
      <c r="F6" s="2">
        <f>SUMIF('周报底稿'!A2:A17,A6,'周报底稿'!M2:M17)/SUMIF('周报底稿'!A2:A17,A6,'周报底稿'!L2:L17)</f>
        <v/>
      </c>
      <c r="G6" s="2">
        <f>SUMIF('周报底稿'!A2:A17,A6,'周报底稿'!J2:J17)*SUMIF('周报底稿'!A2:A17,A6,'周报底稿'!K2:K17)</f>
        <v/>
      </c>
      <c r="H6" s="2">
        <f>SUMIF('周报底稿'!A2:A17,A6,'周报底稿'!M2:M17)*SUMIF('周报底稿'!A2:A17,A6,'周报底稿'!N2:N17)</f>
        <v/>
      </c>
      <c r="I6" s="2">
        <f>SUMIF('周报底稿'!A2:A17,A6,'周报底稿'!E2:E17)*SUMIF('周报底稿'!A2:A17,A6,'周报底稿'!H2:H17)</f>
        <v/>
      </c>
      <c r="J6" s="2">
        <f>SUMIF('周报底稿'!A2:A17,A6,'周报底稿'!B2:B17)-SUMIF('周报底稿'!A2:A17,A6,'周报底稿'!C2:C17)-SUMIF('周报底稿'!A2:A17,A6,'周报底稿'!D2:D17)</f>
        <v/>
      </c>
    </row>
    <row r="7" ht="30" customHeight="1">
      <c r="A7" s="2" t="n">
        <v>6</v>
      </c>
      <c r="B7" s="2">
        <f>SUMIF('周报底稿'!A2:A17,A7,'周报底稿'!B2:B17)</f>
        <v/>
      </c>
      <c r="C7" s="3">
        <f>SUMIF('周报底稿'!A2:A17,A7,'周报底稿'!D2:D17)/SUMIF('周报底稿'!A2:A17,A7,'周报底稿'!B2:B17)</f>
        <v/>
      </c>
      <c r="D7" s="2">
        <f>SUMIF('周报底稿'!A2:A17,A7,'周报底稿'!F2:F17)+SUMIF('周报底稿'!A2:A17,A7,'周报底稿'!G2:G17)-SUMIF('周报底稿'!A2:A17,A7,'周报底稿'!E2:E17)</f>
        <v/>
      </c>
      <c r="E7" s="2">
        <f>SUMIF('周报底稿'!A2:A17,A7,'周报底稿'!J2:J17)/SUMIF('周报底稿'!A2:A17,A7,'周报底稿'!I2:I17)</f>
        <v/>
      </c>
      <c r="F7" s="2">
        <f>SUMIF('周报底稿'!A2:A17,A7,'周报底稿'!M2:M17)/SUMIF('周报底稿'!A2:A17,A7,'周报底稿'!L2:L17)</f>
        <v/>
      </c>
      <c r="G7" s="2">
        <f>SUMIF('周报底稿'!A2:A17,A7,'周报底稿'!J2:J17)*SUMIF('周报底稿'!A2:A17,A7,'周报底稿'!K2:K17)</f>
        <v/>
      </c>
      <c r="H7" s="2">
        <f>SUMIF('周报底稿'!A2:A17,A7,'周报底稿'!M2:M17)*SUMIF('周报底稿'!A2:A17,A7,'周报底稿'!N2:N17)</f>
        <v/>
      </c>
      <c r="I7" s="2">
        <f>SUMIF('周报底稿'!A2:A17,A7,'周报底稿'!E2:E17)*SUMIF('周报底稿'!A2:A17,A7,'周报底稿'!H2:H17)</f>
        <v/>
      </c>
      <c r="J7" s="2">
        <f>SUMIF('周报底稿'!A2:A17,A7,'周报底稿'!B2:B17)-SUMIF('周报底稿'!A2:A17,A7,'周报底稿'!C2:C17)-SUMIF('周报底稿'!A2:A17,A7,'周报底稿'!D2:D17)</f>
        <v/>
      </c>
    </row>
    <row r="8" ht="30" customHeight="1">
      <c r="A8" s="2" t="n">
        <v>7</v>
      </c>
      <c r="B8" s="2">
        <f>SUMIF('周报底稿'!A2:A17,A8,'周报底稿'!B2:B17)</f>
        <v/>
      </c>
      <c r="C8" s="3">
        <f>SUMIF('周报底稿'!A2:A17,A8,'周报底稿'!D2:D17)/SUMIF('周报底稿'!A2:A17,A8,'周报底稿'!B2:B17)</f>
        <v/>
      </c>
      <c r="D8" s="2">
        <f>SUMIF('周报底稿'!A2:A17,A8,'周报底稿'!F2:F17)+SUMIF('周报底稿'!A2:A17,A8,'周报底稿'!G2:G17)-SUMIF('周报底稿'!A2:A17,A8,'周报底稿'!E2:E17)</f>
        <v/>
      </c>
      <c r="E8" s="2">
        <f>SUMIF('周报底稿'!A2:A17,A8,'周报底稿'!J2:J17)/SUMIF('周报底稿'!A2:A17,A8,'周报底稿'!I2:I17)</f>
        <v/>
      </c>
      <c r="F8" s="2">
        <f>SUMIF('周报底稿'!A2:A17,A8,'周报底稿'!M2:M17)/SUMIF('周报底稿'!A2:A17,A8,'周报底稿'!L2:L17)</f>
        <v/>
      </c>
      <c r="G8" s="2">
        <f>SUMIF('周报底稿'!A2:A17,A8,'周报底稿'!J2:J17)*SUMIF('周报底稿'!A2:A17,A8,'周报底稿'!K2:K17)</f>
        <v/>
      </c>
      <c r="H8" s="2">
        <f>SUMIF('周报底稿'!A2:A17,A8,'周报底稿'!M2:M17)*SUMIF('周报底稿'!A2:A17,A8,'周报底稿'!N2:N17)</f>
        <v/>
      </c>
      <c r="I8" s="2">
        <f>SUMIF('周报底稿'!A2:A17,A8,'周报底稿'!E2:E17)*SUMIF('周报底稿'!A2:A17,A8,'周报底稿'!H2:H17)</f>
        <v/>
      </c>
      <c r="J8" s="2">
        <f>SUMIF('周报底稿'!A2:A17,A8,'周报底稿'!B2:B17)-SUMIF('周报底稿'!A2:A17,A8,'周报底稿'!C2:C17)-SUMIF('周报底稿'!A2:A17,A8,'周报底稿'!D2:D17)</f>
        <v/>
      </c>
    </row>
  </sheetData>
  <autoFilter ref="A1:J8"/>
  <printOptions horizontalCentered="1"/>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K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s>
  <sheetData>
    <row r="1" ht="35" customHeight="1">
      <c r="A1" s="1" t="inlineStr">
        <is>
          <t>日期</t>
        </is>
      </c>
      <c r="B1" s="1" t="inlineStr">
        <is>
          <t>净访客</t>
        </is>
      </c>
      <c r="C1" s="1" t="inlineStr">
        <is>
          <t>净买家</t>
        </is>
      </c>
      <c r="D1" s="1" t="inlineStr">
        <is>
          <t>净额</t>
        </is>
      </c>
      <c r="E1" s="1" t="inlineStr">
        <is>
          <t>净转化率</t>
        </is>
      </c>
      <c r="F1" s="1" t="inlineStr">
        <is>
          <t>净客单价</t>
        </is>
      </c>
      <c r="G1" s="1" t="inlineStr">
        <is>
          <t>原分母转化率</t>
        </is>
      </c>
      <c r="H1" s="1" t="inlineStr">
        <is>
          <t>转化率差</t>
        </is>
      </c>
      <c r="I1" s="1" t="inlineStr">
        <is>
          <t>访客残差</t>
        </is>
      </c>
      <c r="J1" s="1" t="inlineStr">
        <is>
          <t>金额残差</t>
        </is>
      </c>
      <c r="K1" s="1" t="inlineStr">
        <is>
          <t>买家残差</t>
        </is>
      </c>
    </row>
    <row r="2" ht="30" customHeight="1">
      <c r="A2" s="4" t="inlineStr">
        <is>
          <t>2015-11-01</t>
        </is>
      </c>
      <c r="B2" s="2">
        <f>SUMIF('单品底稿'!A2:A8,A2,'单品底稿'!B2:B8)-SUMIF('单品底稿'!A2:A8,A2,'单品底稿'!E2:E8)</f>
        <v/>
      </c>
      <c r="C2" s="2">
        <f>SUMIF('单品底稿'!A2:A8,A2,'单品底稿'!C2:C8)-SUMIF('单品底稿'!A2:A8,A2,'单品底稿'!F2:F8)</f>
        <v/>
      </c>
      <c r="D2" s="2">
        <f>SUMIF('单品底稿'!A2:A8,A2,'单品底稿'!D2:D8)-SUMIF('单品底稿'!A2:A8,A2,'单品底稿'!G2:G8)</f>
        <v/>
      </c>
      <c r="E2" s="3">
        <f>C2/B2</f>
        <v/>
      </c>
      <c r="F2" s="2">
        <f>D2/C2</f>
        <v/>
      </c>
      <c r="G2" s="3">
        <f>C2/SUMIF('单品底稿'!A2:A8,A2,'单品底稿'!B2:B8)</f>
        <v/>
      </c>
      <c r="H2" s="3">
        <f>E2-SUMIF('单品底稿'!A2:A8,A2,'单品底稿'!J2:J8)</f>
        <v/>
      </c>
      <c r="I2" s="2">
        <f>B2-SUMIF('单品底稿'!A2:A8,A2,'单品底稿'!H2:H8)</f>
        <v/>
      </c>
      <c r="J2" s="2">
        <f>D2-SUMIF('单品底稿'!A2:A8,A2,'单品底稿'!I2:I8)</f>
        <v/>
      </c>
      <c r="K2" s="2">
        <f>C2-SUMIF('单品底稿'!A2:A8,A2,'单品底稿'!K2:K8)</f>
        <v/>
      </c>
    </row>
    <row r="3" ht="30" customHeight="1">
      <c r="A3" s="4" t="inlineStr">
        <is>
          <t>2015-11-02</t>
        </is>
      </c>
      <c r="B3" s="2">
        <f>SUMIF('单品底稿'!A2:A8,A3,'单品底稿'!B2:B8)-SUMIF('单品底稿'!A2:A8,A3,'单品底稿'!E2:E8)</f>
        <v/>
      </c>
      <c r="C3" s="2">
        <f>SUMIF('单品底稿'!A2:A8,A3,'单品底稿'!C2:C8)-SUMIF('单品底稿'!A2:A8,A3,'单品底稿'!F2:F8)</f>
        <v/>
      </c>
      <c r="D3" s="2">
        <f>SUMIF('单品底稿'!A2:A8,A3,'单品底稿'!D2:D8)-SUMIF('单品底稿'!A2:A8,A3,'单品底稿'!G2:G8)</f>
        <v/>
      </c>
      <c r="E3" s="3">
        <f>C3/B3</f>
        <v/>
      </c>
      <c r="F3" s="2">
        <f>D3/C3</f>
        <v/>
      </c>
      <c r="G3" s="3">
        <f>C3/SUMIF('单品底稿'!A2:A8,A3,'单品底稿'!B2:B8)</f>
        <v/>
      </c>
      <c r="H3" s="3">
        <f>E3-SUMIF('单品底稿'!A2:A8,A3,'单品底稿'!J2:J8)</f>
        <v/>
      </c>
      <c r="I3" s="2">
        <f>B3-SUMIF('单品底稿'!A2:A8,A3,'单品底稿'!H2:H8)</f>
        <v/>
      </c>
      <c r="J3" s="2">
        <f>D3-SUMIF('单品底稿'!A2:A8,A3,'单品底稿'!I2:I8)</f>
        <v/>
      </c>
      <c r="K3" s="2">
        <f>C3-SUMIF('单品底稿'!A2:A8,A3,'单品底稿'!K2:K8)</f>
        <v/>
      </c>
    </row>
    <row r="4" ht="30" customHeight="1">
      <c r="A4" s="4" t="inlineStr">
        <is>
          <t>2015-11-03</t>
        </is>
      </c>
      <c r="B4" s="2">
        <f>SUMIF('单品底稿'!A2:A8,A4,'单品底稿'!B2:B8)-SUMIF('单品底稿'!A2:A8,A4,'单品底稿'!E2:E8)</f>
        <v/>
      </c>
      <c r="C4" s="2">
        <f>SUMIF('单品底稿'!A2:A8,A4,'单品底稿'!C2:C8)-SUMIF('单品底稿'!A2:A8,A4,'单品底稿'!F2:F8)</f>
        <v/>
      </c>
      <c r="D4" s="2">
        <f>SUMIF('单品底稿'!A2:A8,A4,'单品底稿'!D2:D8)-SUMIF('单品底稿'!A2:A8,A4,'单品底稿'!G2:G8)</f>
        <v/>
      </c>
      <c r="E4" s="3">
        <f>C4/B4</f>
        <v/>
      </c>
      <c r="F4" s="2">
        <f>D4/C4</f>
        <v/>
      </c>
      <c r="G4" s="3">
        <f>C4/SUMIF('单品底稿'!A2:A8,A4,'单品底稿'!B2:B8)</f>
        <v/>
      </c>
      <c r="H4" s="3">
        <f>E4-SUMIF('单品底稿'!A2:A8,A4,'单品底稿'!J2:J8)</f>
        <v/>
      </c>
      <c r="I4" s="2">
        <f>B4-SUMIF('单品底稿'!A2:A8,A4,'单品底稿'!H2:H8)</f>
        <v/>
      </c>
      <c r="J4" s="2">
        <f>D4-SUMIF('单品底稿'!A2:A8,A4,'单品底稿'!I2:I8)</f>
        <v/>
      </c>
      <c r="K4" s="2">
        <f>C4-SUMIF('单品底稿'!A2:A8,A4,'单品底稿'!K2:K8)</f>
        <v/>
      </c>
    </row>
    <row r="5" ht="30" customHeight="1">
      <c r="A5" s="4" t="inlineStr">
        <is>
          <t>2015-11-04</t>
        </is>
      </c>
      <c r="B5" s="2">
        <f>SUMIF('单品底稿'!A2:A8,A5,'单品底稿'!B2:B8)-SUMIF('单品底稿'!A2:A8,A5,'单品底稿'!E2:E8)</f>
        <v/>
      </c>
      <c r="C5" s="2">
        <f>SUMIF('单品底稿'!A2:A8,A5,'单品底稿'!C2:C8)-SUMIF('单品底稿'!A2:A8,A5,'单品底稿'!F2:F8)</f>
        <v/>
      </c>
      <c r="D5" s="2">
        <f>SUMIF('单品底稿'!A2:A8,A5,'单品底稿'!D2:D8)-SUMIF('单品底稿'!A2:A8,A5,'单品底稿'!G2:G8)</f>
        <v/>
      </c>
      <c r="E5" s="3">
        <f>C5/B5</f>
        <v/>
      </c>
      <c r="F5" s="2">
        <f>D5/C5</f>
        <v/>
      </c>
      <c r="G5" s="3">
        <f>C5/SUMIF('单品底稿'!A2:A8,A5,'单品底稿'!B2:B8)</f>
        <v/>
      </c>
      <c r="H5" s="3">
        <f>E5-SUMIF('单品底稿'!A2:A8,A5,'单品底稿'!J2:J8)</f>
        <v/>
      </c>
      <c r="I5" s="2">
        <f>B5-SUMIF('单品底稿'!A2:A8,A5,'单品底稿'!H2:H8)</f>
        <v/>
      </c>
      <c r="J5" s="2">
        <f>D5-SUMIF('单品底稿'!A2:A8,A5,'单品底稿'!I2:I8)</f>
        <v/>
      </c>
      <c r="K5" s="2">
        <f>C5-SUMIF('单品底稿'!A2:A8,A5,'单品底稿'!K2:K8)</f>
        <v/>
      </c>
    </row>
    <row r="6" ht="30" customHeight="1">
      <c r="A6" s="4" t="inlineStr">
        <is>
          <t>2015-11-05</t>
        </is>
      </c>
      <c r="B6" s="2">
        <f>SUMIF('单品底稿'!A2:A8,A6,'单品底稿'!B2:B8)-SUMIF('单品底稿'!A2:A8,A6,'单品底稿'!E2:E8)</f>
        <v/>
      </c>
      <c r="C6" s="2">
        <f>SUMIF('单品底稿'!A2:A8,A6,'单品底稿'!C2:C8)-SUMIF('单品底稿'!A2:A8,A6,'单品底稿'!F2:F8)</f>
        <v/>
      </c>
      <c r="D6" s="2">
        <f>SUMIF('单品底稿'!A2:A8,A6,'单品底稿'!D2:D8)-SUMIF('单品底稿'!A2:A8,A6,'单品底稿'!G2:G8)</f>
        <v/>
      </c>
      <c r="E6" s="3">
        <f>C6/B6</f>
        <v/>
      </c>
      <c r="F6" s="2">
        <f>D6/C6</f>
        <v/>
      </c>
      <c r="G6" s="3">
        <f>C6/SUMIF('单品底稿'!A2:A8,A6,'单品底稿'!B2:B8)</f>
        <v/>
      </c>
      <c r="H6" s="3">
        <f>E6-SUMIF('单品底稿'!A2:A8,A6,'单品底稿'!J2:J8)</f>
        <v/>
      </c>
      <c r="I6" s="2">
        <f>B6-SUMIF('单品底稿'!A2:A8,A6,'单品底稿'!H2:H8)</f>
        <v/>
      </c>
      <c r="J6" s="2">
        <f>D6-SUMIF('单品底稿'!A2:A8,A6,'单品底稿'!I2:I8)</f>
        <v/>
      </c>
      <c r="K6" s="2">
        <f>C6-SUMIF('单品底稿'!A2:A8,A6,'单品底稿'!K2:K8)</f>
        <v/>
      </c>
    </row>
    <row r="7" ht="30" customHeight="1">
      <c r="A7" s="4" t="inlineStr">
        <is>
          <t>2015-11-06</t>
        </is>
      </c>
      <c r="B7" s="2">
        <f>SUMIF('单品底稿'!A2:A8,A7,'单品底稿'!B2:B8)-SUMIF('单品底稿'!A2:A8,A7,'单品底稿'!E2:E8)</f>
        <v/>
      </c>
      <c r="C7" s="2">
        <f>SUMIF('单品底稿'!A2:A8,A7,'单品底稿'!C2:C8)-SUMIF('单品底稿'!A2:A8,A7,'单品底稿'!F2:F8)</f>
        <v/>
      </c>
      <c r="D7" s="2">
        <f>SUMIF('单品底稿'!A2:A8,A7,'单品底稿'!D2:D8)-SUMIF('单品底稿'!A2:A8,A7,'单品底稿'!G2:G8)</f>
        <v/>
      </c>
      <c r="E7" s="3">
        <f>C7/B7</f>
        <v/>
      </c>
      <c r="F7" s="2">
        <f>D7/C7</f>
        <v/>
      </c>
      <c r="G7" s="3">
        <f>C7/SUMIF('单品底稿'!A2:A8,A7,'单品底稿'!B2:B8)</f>
        <v/>
      </c>
      <c r="H7" s="3">
        <f>E7-SUMIF('单品底稿'!A2:A8,A7,'单品底稿'!J2:J8)</f>
        <v/>
      </c>
      <c r="I7" s="2">
        <f>B7-SUMIF('单品底稿'!A2:A8,A7,'单品底稿'!H2:H8)</f>
        <v/>
      </c>
      <c r="J7" s="2">
        <f>D7-SUMIF('单品底稿'!A2:A8,A7,'单品底稿'!I2:I8)</f>
        <v/>
      </c>
      <c r="K7" s="2">
        <f>C7-SUMIF('单品底稿'!A2:A8,A7,'单品底稿'!K2:K8)</f>
        <v/>
      </c>
    </row>
    <row r="8" ht="30" customHeight="1">
      <c r="A8" s="4" t="inlineStr">
        <is>
          <t>2015-11-07</t>
        </is>
      </c>
      <c r="B8" s="2">
        <f>SUMIF('单品底稿'!A2:A8,A8,'单品底稿'!B2:B8)-SUMIF('单品底稿'!A2:A8,A8,'单品底稿'!E2:E8)</f>
        <v/>
      </c>
      <c r="C8" s="2">
        <f>SUMIF('单品底稿'!A2:A8,A8,'单品底稿'!C2:C8)-SUMIF('单品底稿'!A2:A8,A8,'单品底稿'!F2:F8)</f>
        <v/>
      </c>
      <c r="D8" s="2">
        <f>SUMIF('单品底稿'!A2:A8,A8,'单品底稿'!D2:D8)-SUMIF('单品底稿'!A2:A8,A8,'单品底稿'!G2:G8)</f>
        <v/>
      </c>
      <c r="E8" s="3">
        <f>C8/B8</f>
        <v/>
      </c>
      <c r="F8" s="2">
        <f>D8/C8</f>
        <v/>
      </c>
      <c r="G8" s="3">
        <f>C8/SUMIF('单品底稿'!A2:A8,A8,'单品底稿'!B2:B8)</f>
        <v/>
      </c>
      <c r="H8" s="3">
        <f>E8-SUMIF('单品底稿'!A2:A8,A8,'单品底稿'!J2:J8)</f>
        <v/>
      </c>
      <c r="I8" s="2">
        <f>B8-SUMIF('单品底稿'!A2:A8,A8,'单品底稿'!H2:H8)</f>
        <v/>
      </c>
      <c r="J8" s="2">
        <f>D8-SUMIF('单品底稿'!A2:A8,A8,'单品底稿'!I2:I8)</f>
        <v/>
      </c>
      <c r="K8" s="2">
        <f>C8-SUMIF('单品底稿'!A2:A8,A8,'单品底稿'!K2:K8)</f>
        <v/>
      </c>
    </row>
  </sheetData>
  <autoFilter ref="A1:K8"/>
  <printOptions horizontalCentered="1"/>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C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9" customWidth="1" min="2" max="2"/>
    <col width="58" customWidth="1" min="3" max="3"/>
  </cols>
  <sheetData>
    <row r="1" ht="35" customHeight="1">
      <c r="A1" s="1" t="inlineStr">
        <is>
          <t>指标</t>
        </is>
      </c>
      <c r="B1" s="1" t="inlineStr">
        <is>
          <t>结果</t>
        </is>
      </c>
      <c r="C1" s="1" t="inlineStr">
        <is>
          <t>口径</t>
        </is>
      </c>
    </row>
    <row r="2" ht="24" customHeight="1">
      <c r="A2" s="4" t="inlineStr">
        <is>
          <t>第一周销售</t>
        </is>
      </c>
      <c r="B2" s="2">
        <f>SUM('周报复核'!B2:B8)</f>
        <v/>
      </c>
      <c r="C2" s="4" t="inlineStr">
        <is>
          <t>第1—7日</t>
        </is>
      </c>
    </row>
    <row r="3" ht="24" customHeight="1">
      <c r="A3" s="4" t="inlineStr">
        <is>
          <t>第一周移动销售占比</t>
        </is>
      </c>
      <c r="B3" s="3">
        <f>SUMIF('周报底稿'!A2:A17,"&lt;=7",'周报底稿'!D2:D17)/B2</f>
        <v/>
      </c>
      <c r="C3" s="4" t="inlineStr">
        <is>
          <t>金额加权</t>
        </is>
      </c>
    </row>
    <row r="4" ht="24" customHeight="1">
      <c r="A4" s="4" t="inlineStr">
        <is>
          <t>逐日全店UV之和</t>
        </is>
      </c>
      <c r="B4" s="2">
        <f>SUMIF('周报底稿'!A2:A17,"&lt;=7",'周报底稿'!E2:E17)</f>
        <v/>
      </c>
      <c r="C4" s="4" t="inlineStr">
        <is>
          <t>不是周去重</t>
        </is>
      </c>
    </row>
    <row r="5" ht="24" customHeight="1">
      <c r="A5" s="4" t="inlineStr">
        <is>
          <t>订单估计之和</t>
        </is>
      </c>
      <c r="B5" s="2">
        <f>SUM('周报复核'!I2:I8)</f>
        <v/>
      </c>
      <c r="C5" s="4" t="inlineStr">
        <is>
          <t>四舍五入比例隐含值</t>
        </is>
      </c>
    </row>
    <row r="6" ht="24" customHeight="1">
      <c r="A6" s="4" t="inlineStr">
        <is>
          <t>UV加权转化率估计</t>
        </is>
      </c>
      <c r="B6" s="3">
        <f>B5/B4</f>
        <v/>
      </c>
      <c r="C6" s="4" t="inlineStr">
        <is>
          <t>估计订单/逐日UV和</t>
        </is>
      </c>
    </row>
    <row r="7" ht="24" customHeight="1">
      <c r="A7" s="4" t="inlineStr">
        <is>
          <t>直通车花费</t>
        </is>
      </c>
      <c r="B7" s="2">
        <f>SUMIF('周报底稿'!A2:A17,"&lt;=7",'周报底稿'!J2:J17)</f>
        <v/>
      </c>
      <c r="C7" s="4" t="inlineStr">
        <is>
          <t>第1—7日</t>
        </is>
      </c>
    </row>
    <row r="8" ht="24" customHeight="1">
      <c r="A8" s="4" t="inlineStr">
        <is>
          <t>钻展花费</t>
        </is>
      </c>
      <c r="B8" s="2">
        <f>SUMIF('周报底稿'!A2:A17,"&lt;=7",'周报底稿'!M2:M17)</f>
        <v/>
      </c>
      <c r="C8" s="4" t="inlineStr">
        <is>
          <t>第1—7日</t>
        </is>
      </c>
    </row>
    <row r="9" ht="24" customHeight="1">
      <c r="A9" s="4" t="inlineStr">
        <is>
          <t>直通车每UV成本</t>
        </is>
      </c>
      <c r="B9" s="2">
        <f>B7/SUMIF('周报底稿'!A2:A17,"&lt;=7",'周报底稿'!I2:I17)</f>
        <v/>
      </c>
      <c r="C9" s="4" t="inlineStr">
        <is>
          <t>不称CPC</t>
        </is>
      </c>
    </row>
    <row r="10" ht="24" customHeight="1">
      <c r="A10" s="4" t="inlineStr">
        <is>
          <t>钻展每UV成本</t>
        </is>
      </c>
      <c r="B10" s="2">
        <f>B8/SUMIF('周报底稿'!A2:A17,"&lt;=7",'周报底稿'!L2:L17)</f>
        <v/>
      </c>
      <c r="C10" s="4" t="inlineStr">
        <is>
          <t>不称CPC</t>
        </is>
      </c>
    </row>
    <row r="11" ht="24" customHeight="1">
      <c r="A11" s="4" t="inlineStr">
        <is>
          <t>直通车隐含ROAS估计</t>
        </is>
      </c>
      <c r="B11" s="3">
        <f>SUM('周报复核'!G2:G8)/B7</f>
        <v/>
      </c>
      <c r="C11" s="4" t="inlineStr">
        <is>
          <t>源比例×日成本后汇总，不是利润</t>
        </is>
      </c>
    </row>
    <row r="12" ht="24" customHeight="1">
      <c r="A12" s="4" t="inlineStr">
        <is>
          <t>钻展隐含ROAS估计</t>
        </is>
      </c>
      <c r="B12" s="3">
        <f>SUM('周报复核'!H2:H8)/B8</f>
        <v/>
      </c>
      <c r="C12" s="4" t="inlineStr">
        <is>
          <t>源比例已舍入</t>
        </is>
      </c>
    </row>
    <row r="13" ht="24" customHeight="1">
      <c r="A13" s="4" t="inlineStr">
        <is>
          <t>单品净额</t>
        </is>
      </c>
      <c r="B13" s="2">
        <f>SUM('单品净化'!D2:D8)</f>
        <v/>
      </c>
      <c r="C13" s="4" t="inlineStr">
        <is>
          <t>原额-刷单额</t>
        </is>
      </c>
    </row>
    <row r="14" ht="24" customHeight="1">
      <c r="A14" s="4" t="inlineStr">
        <is>
          <t>单品刷单金额占比</t>
        </is>
      </c>
      <c r="B14" s="3">
        <f>SUM('单品底稿'!G2:G8)/SUM('单品底稿'!D2:D8)</f>
        <v/>
      </c>
      <c r="C14" s="4" t="inlineStr">
        <is>
          <t>总量之比</t>
        </is>
      </c>
    </row>
    <row r="15" ht="24" customHeight="1">
      <c r="A15" s="4" t="inlineStr">
        <is>
          <t>单品净访客口径总转化率</t>
        </is>
      </c>
      <c r="B15" s="3">
        <f>SUM('单品净化'!C2:C8)/SUM('单品净化'!B2:B8)</f>
        <v/>
      </c>
      <c r="C15" s="4" t="inlineStr">
        <is>
          <t>净买家/净访客</t>
        </is>
      </c>
    </row>
    <row r="16" ht="24" customHeight="1">
      <c r="A16" s="4" t="inlineStr">
        <is>
          <t>单品净客单价</t>
        </is>
      </c>
      <c r="B16" s="2">
        <f>SUM('单品净化'!D2:D8)/SUM('单品净化'!C2:C8)</f>
        <v/>
      </c>
      <c r="C16" s="4" t="inlineStr">
        <is>
          <t>净额/净买家</t>
        </is>
      </c>
    </row>
    <row r="17" ht="24" customHeight="1">
      <c r="A17" s="4" t="inlineStr">
        <is>
          <t>第1—16日销售</t>
        </is>
      </c>
      <c r="B17" s="2">
        <f>SUM('周报底稿'!B2:B17)</f>
        <v/>
      </c>
      <c r="C17" s="4" t="inlineStr">
        <is>
          <t>不是第一周</t>
        </is>
      </c>
    </row>
    <row r="18" ht="24" customHeight="1">
      <c r="A18" s="4" t="inlineStr">
        <is>
          <t>第一周占16日销售比</t>
        </is>
      </c>
      <c r="B18" s="3">
        <f>B2/B17</f>
        <v/>
      </c>
      <c r="C18" s="4" t="inlineStr">
        <is>
          <t>仅同表日序</t>
        </is>
      </c>
    </row>
    <row r="19" ht="24" customHeight="1">
      <c r="A19" s="4" t="inlineStr">
        <is>
          <t>精确订单数</t>
        </is>
      </c>
      <c r="B19" s="4" t="n"/>
      <c r="C19" s="4" t="inlineStr">
        <is>
          <t>缺失，不能将估计取整冒充真值</t>
        </is>
      </c>
    </row>
    <row r="20" ht="24" customHeight="1">
      <c r="A20" s="4" t="inlineStr">
        <is>
          <t>本周销售目标</t>
        </is>
      </c>
      <c r="B20" s="4" t="n"/>
      <c r="C20" s="4" t="inlineStr">
        <is>
          <t>模板未提供</t>
        </is>
      </c>
    </row>
    <row r="21" ht="24" customHeight="1">
      <c r="A21" s="4" t="inlineStr">
        <is>
          <t>周去重访客数</t>
        </is>
      </c>
      <c r="B21" s="4" t="n"/>
      <c r="C21" s="4" t="inlineStr">
        <is>
          <t>跨天身份未知</t>
        </is>
      </c>
    </row>
    <row r="22" ht="24" customHeight="1">
      <c r="A22" s="4" t="inlineStr">
        <is>
          <t>单品净访客之和</t>
        </is>
      </c>
      <c r="B22" s="2">
        <f>SUM('单品净化'!B2:B8)</f>
        <v/>
      </c>
      <c r="C22" s="4" t="inlineStr">
        <is>
          <t>日合计</t>
        </is>
      </c>
    </row>
    <row r="23" ht="24" customHeight="1">
      <c r="A23" s="4" t="inlineStr">
        <is>
          <t>单品净买家之和</t>
        </is>
      </c>
      <c r="B23" s="2">
        <f>SUM('单品净化'!C2:C8)</f>
        <v/>
      </c>
      <c r="C23" s="4" t="inlineStr">
        <is>
          <t>日合计</t>
        </is>
      </c>
    </row>
    <row r="24" ht="24" customHeight="1">
      <c r="A24" s="4" t="inlineStr">
        <is>
          <t>单品原访客口径总转化率</t>
        </is>
      </c>
      <c r="B24" s="3">
        <f>SUM('单品净化'!C2:C8)/SUM('单品底稿'!B2:B8)</f>
        <v/>
      </c>
      <c r="C24" s="4" t="inlineStr">
        <is>
          <t>保留分母差异</t>
        </is>
      </c>
    </row>
    <row r="25" ht="24" customHeight="1">
      <c r="A25" s="4" t="inlineStr">
        <is>
          <t>两种单品总转化率之差</t>
        </is>
      </c>
      <c r="B25" s="3">
        <f>B15-B24</f>
        <v/>
      </c>
      <c r="C25" s="4" t="inlineStr">
        <is>
          <t>净访客口径减原访客口径</t>
        </is>
      </c>
    </row>
  </sheetData>
  <autoFilter ref="A1:C25"/>
  <printOptions horizontalCentered="1"/>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D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60" customWidth="1" min="2" max="2"/>
    <col width="60" customWidth="1" min="3" max="3"/>
    <col width="60" customWidth="1" min="4" max="4"/>
  </cols>
  <sheetData>
    <row r="1" ht="35" customHeight="1">
      <c r="A1" s="1" t="inlineStr">
        <is>
          <t>源行号</t>
        </is>
      </c>
      <c r="B1" s="1" t="inlineStr">
        <is>
          <t>事项</t>
        </is>
      </c>
      <c r="C1" s="1" t="inlineStr">
        <is>
          <t>解决方法原文</t>
        </is>
      </c>
      <c r="D1" s="1" t="inlineStr">
        <is>
          <t>复用边界</t>
        </is>
      </c>
    </row>
    <row r="2" ht="60" customHeight="1">
      <c r="A2" s="2" t="n">
        <v>6</v>
      </c>
      <c r="B2" s="4" t="inlineStr">
        <is>
          <t>年货商品根据每日点击及销售分析选择合适商品进行替换</t>
        </is>
      </c>
      <c r="C2" s="4" t="inlineStr">
        <is>
          <t>每日活动群信息及时关注,根据实时数据随时调整</t>
        </is>
      </c>
      <c r="D2" s="4" t="inlineStr">
        <is>
          <t>仅历史流程参考，不能据此断言2015年11月活动已完成</t>
        </is>
      </c>
    </row>
    <row r="3" ht="60" customHeight="1">
      <c r="A3" s="2" t="n">
        <v>7</v>
      </c>
      <c r="B3" s="4" t="inlineStr">
        <is>
          <t>店铺整体改版年货疯抢页面替换</t>
        </is>
      </c>
      <c r="C3" s="4" t="inlineStr">
        <is>
          <t>年货疯抢第二波营销页面的替换</t>
        </is>
      </c>
      <c r="D3" s="4" t="inlineStr">
        <is>
          <t>仅历史流程参考，不能据此断言2015年11月活动已完成</t>
        </is>
      </c>
    </row>
    <row r="4" ht="60" customHeight="1">
      <c r="A4" s="2" t="n">
        <v>8</v>
      </c>
      <c r="B4" s="4" t="inlineStr">
        <is>
          <t>店铺一月活动整体策划的跟进活动商品库存的核实</t>
        </is>
      </c>
      <c r="C4" s="4" t="inlineStr">
        <is>
          <t>后续聚划算活动商品跟进</t>
        </is>
      </c>
      <c r="D4" s="4" t="inlineStr">
        <is>
          <t>仅历史流程参考，不能据此断言2015年11月活动已完成</t>
        </is>
      </c>
    </row>
    <row r="5" ht="60" customHeight="1">
      <c r="A5" s="2" t="n">
        <v>9</v>
      </c>
      <c r="B5" s="4" t="inlineStr">
        <is>
          <t>窗口图标签增加,类目优化,店铺常规检查</t>
        </is>
      </c>
      <c r="C5" s="4" t="inlineStr">
        <is>
          <t>年货标签,新品上架调整</t>
        </is>
      </c>
      <c r="D5" s="4" t="inlineStr">
        <is>
          <t>仅历史流程参考，不能据此断言2015年11月活动已完成</t>
        </is>
      </c>
    </row>
    <row r="6" ht="60" customHeight="1">
      <c r="A6" s="2" t="n">
        <v>12</v>
      </c>
      <c r="B6" s="4" t="inlineStr">
        <is>
          <t>21日聚划算</t>
        </is>
      </c>
      <c r="C6" s="4" t="inlineStr">
        <is>
          <t>由于部门间对接出现点问题导致活动素材没能按照活动时间如实上架</t>
        </is>
      </c>
      <c r="D6" s="4" t="inlineStr">
        <is>
          <t>仅历史流程参考，不能据此断言2015年11月活动已完成</t>
        </is>
      </c>
    </row>
  </sheetData>
  <autoFilter ref="A1:D6"/>
  <printOptions horizontalCentered="1"/>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B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0" customWidth="1" min="2" max="2"/>
  </cols>
  <sheetData>
    <row r="1" ht="35" customHeight="1">
      <c r="A1" s="1" t="inlineStr">
        <is>
          <t>主题</t>
        </is>
      </c>
      <c r="B1" s="1" t="inlineStr">
        <is>
          <t>证据与结论</t>
        </is>
      </c>
    </row>
    <row r="2" ht="56" customHeight="1">
      <c r="A2" s="4" t="inlineStr">
        <is>
          <t>范围</t>
        </is>
      </c>
      <c r="B2" s="4" t="inlineStr">
        <is>
          <t>周报第1—7日与D列16日累计不同；单品2015年11月，不同期间不能合并。来源登记保留排除项。</t>
        </is>
      </c>
    </row>
    <row r="3" ht="56" customHeight="1">
      <c r="A3" s="4" t="inlineStr">
        <is>
          <t>分母</t>
        </is>
      </c>
      <c r="B3" s="4" t="inlineStr">
        <is>
          <t>醇香流量跟踪M列源实际转化率是净买家/原访客；净访客口径另算，不能覆盖源数。</t>
        </is>
      </c>
    </row>
    <row r="4" ht="56" customHeight="1">
      <c r="A4" s="4" t="inlineStr">
        <is>
          <t>身份</t>
        </is>
      </c>
      <c r="B4" s="4" t="inlineStr">
        <is>
          <t>醇香流量跟踪备注碧螺春B淘抢购，而碧螺春工作表同期为空，商品身份不能确认。</t>
        </is>
      </c>
    </row>
    <row r="5" ht="56" customHeight="1">
      <c r="A5" s="4" t="inlineStr">
        <is>
          <t>限制</t>
        </is>
      </c>
      <c r="B5" s="4" t="inlineStr">
        <is>
          <t>跨天UV不是周去重；PC加移动不一定可加；ROI仅隐含归因估计，不是利润；订单由已舍入转化率估计，不是精确值。</t>
        </is>
      </c>
    </row>
    <row r="6" ht="56" customHeight="1">
      <c r="A6" s="4" t="inlineStr">
        <is>
          <t>未知</t>
        </is>
      </c>
      <c r="B6" s="4" t="inlineStr">
        <is>
          <t>日常统计Sheet1模板未提供目标；工作计划含2011历史活动，是否完成未知，不能编造当期事实。</t>
        </is>
      </c>
    </row>
  </sheetData>
  <autoFilter ref="A1:B6"/>
  <printOptions horizontalCentered="1"/>
  <pageMargins left="0.75" right="0.75" top="1" bottom="1" header="0.5" footer="0.5"/>
  <pageSetup orientation="landscape" paperSize="8"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2026-09-08T17:27:25Z</dcterms:created>
  <dcterms:modified xmlns:dcterms="http://purl.org/dc/terms/" xmlns:xsi="http://www.w3.org/2001/XMLSchema-instance" xsi:type="dcterms:W3CDTF">2026-09-08T17:27:25Z</dcterms:modified>
</cp:coreProperties>
</file>