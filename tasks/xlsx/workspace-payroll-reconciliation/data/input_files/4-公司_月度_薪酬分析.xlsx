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50" windowHeight="12045" activeTab="1"/>
  </bookViews>
  <sheets>
    <sheet name="Sheet1" sheetId="1" r:id="rId1"/>
    <sheet name="Sheet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<sst xmlns="http://schemas.openxmlformats.org/spreadsheetml/2006/main" count="26" uniqueCount="13">
  <si>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公司（月度）薪酬分析</t>
  </si>
  <si>
    <t>部门</t>
  </si>
  <si>
    <t>员工数量</t>
  </si>
  <si>
    <t>总薪酬</t>
  </si>
  <si>
    <t>人均工资</t>
  </si>
  <si>
    <t>综合部</t>
  </si>
  <si>
    <t>财务部</t>
  </si>
  <si>
    <t>市场部</t>
  </si>
  <si>
    <t>销售部</t>
  </si>
  <si>
    <t>设计部</t>
  </si>
  <si>
    <t>技术部</t>
  </si>
  <si>
    <t>售后部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</si>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</sst>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30"/>
      <color theme="1"/>
      <name val="微软雅黑"/>
      <charset val="134"/>
    </font>
    <font>
      <sz val="14"/>
      <color theme="0"/>
      <name val="微软雅黑"/>
      <charset val="134"/>
    </font>
    <font>
      <sz val="14"/>
      <color theme="1" tint="0.149998474074526"/>
      <name val="微软雅黑"/>
      <charset val="134"/>
    </font>
    <font>
      <b/>
      <sz val="24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4AD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445068"/>
      <color rgb="00262626"/>
      <color rgb="002F787D"/>
      <color rgb="00ED7D31"/>
      <color rgb="00FBD9E1"/>
      <color rgb="00F4AD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员工数量</c:v>
                </c:pt>
              </c:strCache>
            </c:strRef>
          </c:tx>
          <c:spPr>
            <a:gradFill>
              <a:gsLst>
                <a:gs pos="0">
                  <a:srgbClr val="FFF6F5"/>
                </a:gs>
                <a:gs pos="100000">
                  <a:srgbClr val="EF91AE"/>
                </a:gs>
              </a:gsLst>
              <a:lin ang="5400000" scaled="1"/>
            </a:gradFill>
            <a:ln>
              <a:noFill/>
            </a:ln>
            <a:effectLst/>
          </c:spPr>
          <c:dLbls>
            <c:delete val="1"/>
          </c:dLbls>
          <c:cat>
            <c:strRef>
              <c:f>Sheet1!$B$3:$B$9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30</c:v>
                </c:pt>
                <c:pt idx="3">
                  <c:v>50</c:v>
                </c:pt>
                <c:pt idx="4">
                  <c:v>20</c:v>
                </c:pt>
                <c:pt idx="5">
                  <c:v>28</c:v>
                </c:pt>
                <c:pt idx="6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837466"/>
        <c:axId val="83169339"/>
      </c:areaChart>
      <c:catAx>
        <c:axId val="24783746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3169339"/>
        <c:crosses val="autoZero"/>
        <c:auto val="1"/>
        <c:lblAlgn val="ctr"/>
        <c:lblOffset val="100"/>
        <c:noMultiLvlLbl val="0"/>
      </c:catAx>
      <c:valAx>
        <c:axId val="83169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7837466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95279a-391f-4d86-a0fd-88061bf0ce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总薪酬</c:v>
                </c:pt>
              </c:strCache>
            </c:strRef>
          </c:tx>
          <c:spPr>
            <a:solidFill>
              <a:srgbClr val="F4AD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0"/>
        <c:axId val="219937038"/>
        <c:axId val="553258017"/>
      </c:barChart>
      <c:catAx>
        <c:axId val="2199370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53258017"/>
        <c:crosses val="autoZero"/>
        <c:auto val="1"/>
        <c:lblAlgn val="ctr"/>
        <c:lblOffset val="100"/>
        <c:noMultiLvlLbl val="0"/>
      </c:catAx>
      <c:valAx>
        <c:axId val="5532580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199370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22637d-438b-4c64-bab6-f7b010790b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人均工资</c:v>
                </c:pt>
              </c:strCache>
            </c:strRef>
          </c:tx>
          <c:spPr>
            <a:solidFill>
              <a:srgbClr val="F4ADC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Sheet1!$E$3:$E$9</c:f>
              <c:numCache>
                <c:formatCode>0.00_ </c:formatCode>
                <c:ptCount val="7"/>
                <c:pt idx="0">
                  <c:v>10461.1111111111</c:v>
                </c:pt>
                <c:pt idx="1">
                  <c:v>9080.55555555555</c:v>
                </c:pt>
                <c:pt idx="2">
                  <c:v>13208</c:v>
                </c:pt>
                <c:pt idx="3">
                  <c:v>11404.24</c:v>
                </c:pt>
                <c:pt idx="4">
                  <c:v>13420</c:v>
                </c:pt>
                <c:pt idx="5">
                  <c:v>24848.5714285714</c:v>
                </c:pt>
                <c:pt idx="6">
                  <c:v>8933.33333333333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0"/>
        <c:axId val="707418810"/>
        <c:axId val="198816108"/>
      </c:barChart>
      <c:catAx>
        <c:axId val="70741881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98816108"/>
        <c:crosses val="autoZero"/>
        <c:auto val="1"/>
        <c:lblAlgn val="ctr"/>
        <c:lblOffset val="100"/>
        <c:noMultiLvlLbl val="0"/>
      </c:catAx>
      <c:valAx>
        <c:axId val="198816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74188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72bcf5-ac49-4579-b244-8a7be207dd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'Sheet1 (2)'!$C$2</c:f>
              <c:strCache>
                <c:ptCount val="1"/>
                <c:pt idx="0">
                  <c:v>员工数量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20000"/>
                    <a:lumOff val="80000"/>
                  </a:schemeClr>
                </a:gs>
                <a:gs pos="100000">
                  <a:schemeClr val="accent4"/>
                </a:gs>
              </a:gsLst>
              <a:lin ang="5400000" scaled="1"/>
            </a:gradFill>
            <a:ln>
              <a:noFill/>
            </a:ln>
            <a:effectLst/>
          </c:spPr>
          <c:dLbls>
            <c:delete val="1"/>
          </c:dLbls>
          <c:cat>
            <c:strRef>
              <c:f>'Sheet1 (2)'!$B$3:$B$9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'Sheet1 (2)'!$C$3:$C$9</c:f>
              <c:numCache>
                <c:formatCode>General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31</c:v>
                </c:pt>
                <c:pt idx="3">
                  <c:v>52</c:v>
                </c:pt>
                <c:pt idx="4">
                  <c:v>19</c:v>
                </c:pt>
                <c:pt idx="5">
                  <c:v>29</c:v>
                </c:pt>
                <c:pt idx="6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837466"/>
        <c:axId val="83169339"/>
      </c:areaChart>
      <c:catAx>
        <c:axId val="24783746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3169339"/>
        <c:crosses val="autoZero"/>
        <c:auto val="1"/>
        <c:lblAlgn val="ctr"/>
        <c:lblOffset val="100"/>
        <c:noMultiLvlLbl val="0"/>
      </c:catAx>
      <c:valAx>
        <c:axId val="83169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47837466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95279a-391f-4d86-a0fd-88061bf0ce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'Sheet1 (2)'!$D$2</c:f>
              <c:strCache>
                <c:ptCount val="1"/>
                <c:pt idx="0">
                  <c:v>总薪酬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'Sheet1 (2)'!$B$3:$B$9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'Sheet1 (2)'!$D$3:$D$9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6"/>
        <c:overlap val="0"/>
        <c:axId val="219937038"/>
        <c:axId val="553258017"/>
      </c:barChart>
      <c:catAx>
        <c:axId val="21993703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53258017"/>
        <c:crosses val="autoZero"/>
        <c:auto val="1"/>
        <c:lblAlgn val="ctr"/>
        <c:lblOffset val="100"/>
        <c:noMultiLvlLbl val="0"/>
      </c:catAx>
      <c:valAx>
        <c:axId val="5532580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1993703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22637d-438b-4c64-bab6-f7b010790b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(2)'!$E$2</c:f>
              <c:strCache>
                <c:ptCount val="1"/>
                <c:pt idx="0">
                  <c:v>人均工资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'Sheet1 (2)'!$B$3:$B$9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'Sheet1 (2)'!$E$3:$E$9</c:f>
              <c:numCache>
                <c:formatCode>0.00_ </c:formatCode>
                <c:ptCount val="7"/>
                <c:pt idx="0">
                  <c:v>11076.4705882353</c:v>
                </c:pt>
                <c:pt idx="1">
                  <c:v>10215.625</c:v>
                </c:pt>
                <c:pt idx="2">
                  <c:v>12781.935483871</c:v>
                </c:pt>
                <c:pt idx="3">
                  <c:v>10965.6153846154</c:v>
                </c:pt>
                <c:pt idx="4">
                  <c:v>14126.3157894737</c:v>
                </c:pt>
                <c:pt idx="5">
                  <c:v>23991.724137931</c:v>
                </c:pt>
                <c:pt idx="6">
                  <c:v>8463.15789473684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0"/>
        <c:axId val="707418810"/>
        <c:axId val="198816108"/>
      </c:barChart>
      <c:catAx>
        <c:axId val="70741881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98816108"/>
        <c:crosses val="autoZero"/>
        <c:auto val="1"/>
        <c:lblAlgn val="ctr"/>
        <c:lblOffset val="100"/>
        <c:noMultiLvlLbl val="0"/>
      </c:catAx>
      <c:valAx>
        <c:axId val="1988161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74188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72bcf5-ac49-4579-b244-8a7be207dd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10</xdr:row>
      <xdr:rowOff>38735</xdr:rowOff>
    </xdr:from>
    <xdr:to>
      <xdr:col>17</xdr:col>
      <xdr:colOff>662305</xdr:colOff>
      <xdr:row>28</xdr:row>
      <xdr:rowOff>154940</xdr:rowOff>
    </xdr:to>
    <xdr:graphicFrame>
      <xdr:nvGraphicFramePr>
        <xdr:cNvPr id="1034" name="图表 1"/>
        <xdr:cNvGraphicFramePr/>
      </xdr:nvGraphicFramePr>
      <xdr:xfrm>
        <a:off x="96520" y="4077335"/>
        <a:ext cx="12785090" cy="32023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34925</xdr:colOff>
      <xdr:row>0</xdr:row>
      <xdr:rowOff>34925</xdr:rowOff>
    </xdr:from>
    <xdr:to>
      <xdr:col>11</xdr:col>
      <xdr:colOff>492125</xdr:colOff>
      <xdr:row>9</xdr:row>
      <xdr:rowOff>377825</xdr:rowOff>
    </xdr:to>
    <xdr:graphicFrame>
      <xdr:nvGraphicFramePr>
        <xdr:cNvPr id="3" name="图表 2"/>
        <xdr:cNvGraphicFramePr/>
      </xdr:nvGraphicFramePr>
      <xdr:xfrm>
        <a:off x="4521200" y="34925"/>
        <a:ext cx="433197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527050</xdr:colOff>
      <xdr:row>0</xdr:row>
      <xdr:rowOff>38100</xdr:rowOff>
    </xdr:from>
    <xdr:to>
      <xdr:col>17</xdr:col>
      <xdr:colOff>679450</xdr:colOff>
      <xdr:row>9</xdr:row>
      <xdr:rowOff>377825</xdr:rowOff>
    </xdr:to>
    <xdr:graphicFrame>
      <xdr:nvGraphicFramePr>
        <xdr:cNvPr id="4" name="图表 3"/>
        <xdr:cNvGraphicFramePr/>
      </xdr:nvGraphicFramePr>
      <xdr:xfrm>
        <a:off x="8888095" y="38100"/>
        <a:ext cx="3993515" cy="399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74930</xdr:colOff>
      <xdr:row>10</xdr:row>
      <xdr:rowOff>62230</xdr:rowOff>
    </xdr:from>
    <xdr:to>
      <xdr:col>16</xdr:col>
      <xdr:colOff>160655</xdr:colOff>
      <xdr:row>31</xdr:row>
      <xdr:rowOff>90170</xdr:rowOff>
    </xdr:to>
    <xdr:graphicFrame>
      <xdr:nvGraphicFramePr>
        <xdr:cNvPr id="2" name="图表 1"/>
        <xdr:cNvGraphicFramePr/>
      </xdr:nvGraphicFramePr>
      <xdr:xfrm>
        <a:off x="74930" y="4672330"/>
        <a:ext cx="11452860" cy="3628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33655</xdr:colOff>
      <xdr:row>0</xdr:row>
      <xdr:rowOff>18415</xdr:rowOff>
    </xdr:from>
    <xdr:to>
      <xdr:col>10</xdr:col>
      <xdr:colOff>401320</xdr:colOff>
      <xdr:row>10</xdr:row>
      <xdr:rowOff>6985</xdr:rowOff>
    </xdr:to>
    <xdr:graphicFrame>
      <xdr:nvGraphicFramePr>
        <xdr:cNvPr id="3" name="图表 2"/>
        <xdr:cNvGraphicFramePr/>
      </xdr:nvGraphicFramePr>
      <xdr:xfrm>
        <a:off x="4297045" y="18415"/>
        <a:ext cx="3596640" cy="4598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438785</xdr:colOff>
      <xdr:row>0</xdr:row>
      <xdr:rowOff>18415</xdr:rowOff>
    </xdr:from>
    <xdr:to>
      <xdr:col>16</xdr:col>
      <xdr:colOff>160655</xdr:colOff>
      <xdr:row>10</xdr:row>
      <xdr:rowOff>2540</xdr:rowOff>
    </xdr:to>
    <xdr:graphicFrame>
      <xdr:nvGraphicFramePr>
        <xdr:cNvPr id="4" name="图表 3"/>
        <xdr:cNvGraphicFramePr/>
      </xdr:nvGraphicFramePr>
      <xdr:xfrm>
        <a:off x="7931150" y="18415"/>
        <a:ext cx="3596640" cy="4594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E10"/>
  <sheetViews>
    <sheetView showGridLines="0" zoomScale="70" zoomScaleNormal="70" workbookViewId="0">
      <selection activeCell="L43" sqref="L43"/>
    </sheetView>
  </sheetViews>
  <sheetFormatPr defaultColWidth="9" defaultRowHeight="13.5" outlineLevelCol="4"/>
  <cols>
    <col min="1" max="1" width="1.25663716814159" customWidth="1"/>
    <col min="2" max="2" width="12.6283185840708" style="13" customWidth="1"/>
    <col min="3" max="3" width="15.2566371681416" style="2" customWidth="1"/>
    <col min="4" max="4" width="14.7522123893805" customWidth="1"/>
    <col min="5" max="5" width="18.6283185840708" style="4" customWidth="1"/>
  </cols>
  <sheetData>
    <row r="1" ht="48" customHeight="1" spans="2:5">
      <c r="B1" s="14" t="s">
        <v>0</v>
      </c>
      <c r="C1" s="15"/>
      <c r="D1" s="15"/>
      <c r="E1" s="16"/>
    </row>
    <row r="2" ht="30" customHeight="1" spans="2:5">
      <c r="B2" s="17" t="s">
        <v>1</v>
      </c>
      <c r="C2" s="18" t="s">
        <v>2</v>
      </c>
      <c r="D2" s="18" t="s">
        <v>3</v>
      </c>
      <c r="E2" s="19" t="s">
        <v>4</v>
      </c>
    </row>
    <row r="3" ht="30" customHeight="1" spans="2:5">
      <c r="B3" s="20" t="s">
        <v>5</v>
      </c>
      <c r="C3" s="11">
        <v>18</v>
      </c>
      <c r="D3" s="11">
        <v>188300</v>
      </c>
      <c r="E3" s="12">
        <f>D3/C3</f>
        <v>10461.1111111111</v>
      </c>
    </row>
    <row r="4" ht="30" customHeight="1" spans="2:5">
      <c r="B4" s="20" t="s">
        <v>6</v>
      </c>
      <c r="C4" s="11">
        <v>18</v>
      </c>
      <c r="D4" s="11">
        <v>163450</v>
      </c>
      <c r="E4" s="12">
        <f t="shared" ref="E4:E10" si="0">D4/C4</f>
        <v>9080.55555555555</v>
      </c>
    </row>
    <row r="5" ht="30" customHeight="1" spans="2:5">
      <c r="B5" s="20" t="s">
        <v>7</v>
      </c>
      <c r="C5" s="11">
        <v>30</v>
      </c>
      <c r="D5" s="11">
        <v>396240</v>
      </c>
      <c r="E5" s="12">
        <f t="shared" si="0"/>
        <v>13208</v>
      </c>
    </row>
    <row r="6" ht="30" customHeight="1" spans="2:5">
      <c r="B6" s="20" t="s">
        <v>8</v>
      </c>
      <c r="C6" s="11">
        <v>50</v>
      </c>
      <c r="D6" s="11">
        <v>570212</v>
      </c>
      <c r="E6" s="12">
        <f t="shared" si="0"/>
        <v>11404.24</v>
      </c>
    </row>
    <row r="7" ht="30" customHeight="1" spans="2:5">
      <c r="B7" s="20" t="s">
        <v>9</v>
      </c>
      <c r="C7" s="11">
        <v>20</v>
      </c>
      <c r="D7" s="11">
        <v>268400</v>
      </c>
      <c r="E7" s="12">
        <f t="shared" si="0"/>
        <v>13420</v>
      </c>
    </row>
    <row r="8" ht="30" customHeight="1" spans="2:5">
      <c r="B8" s="20" t="s">
        <v>10</v>
      </c>
      <c r="C8" s="11">
        <v>28</v>
      </c>
      <c r="D8" s="11">
        <v>695760</v>
      </c>
      <c r="E8" s="12">
        <f t="shared" si="0"/>
        <v>24848.5714285714</v>
      </c>
    </row>
    <row r="9" ht="30" customHeight="1" spans="2:5">
      <c r="B9" s="20" t="s">
        <v>11</v>
      </c>
      <c r="C9" s="11">
        <v>18</v>
      </c>
      <c r="D9" s="11">
        <v>160800</v>
      </c>
      <c r="E9" s="12">
        <f t="shared" si="0"/>
        <v>8933.33333333333</v>
      </c>
    </row>
    <row r="10" ht="30" customHeight="1" spans="2:5">
      <c r="B10" s="20" t="s">
        <v>12</v>
      </c>
      <c r="C10" s="11">
        <f>SUM(C3:C9)</f>
        <v>182</v>
      </c>
      <c r="D10" s="11">
        <f>SUM(D3:D9)</f>
        <v>2443162</v>
      </c>
      <c r="E10" s="12">
        <f t="shared" si="0"/>
        <v>13423.967032967</v>
      </c>
    </row>
  </sheetData>
  <mergeCells count="1">
    <mergeCell ref="B1:E1"/>
  </mergeCells>
  <pageMargins left="0.75" right="0.75" top="1" bottom="1" header="0.51" footer="0.5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Q10"/>
  <sheetViews>
    <sheetView showGridLines="0" tabSelected="1" zoomScale="70" zoomScaleNormal="70" workbookViewId="0">
      <selection activeCell="Y28" sqref="Y28"/>
    </sheetView>
  </sheetViews>
  <sheetFormatPr defaultColWidth="9" defaultRowHeight="13.5"/>
  <cols>
    <col min="1" max="1" width="1.25663716814159" customWidth="1"/>
    <col min="2" max="2" width="14.5398230088496" style="1" customWidth="1"/>
    <col min="3" max="3" width="14.5398230088496" style="2" customWidth="1"/>
    <col min="4" max="4" width="14.5398230088496" style="3" customWidth="1"/>
    <col min="5" max="5" width="14.5398230088496" style="4" customWidth="1"/>
  </cols>
  <sheetData>
    <row r="1" ht="48" customHeight="1" spans="2:17">
      <c r="B1" s="5" t="s">
        <v>0</v>
      </c>
      <c r="C1" s="5"/>
      <c r="D1" s="5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35" customHeight="1" spans="2:5">
      <c r="B2" s="7" t="s">
        <v>1</v>
      </c>
      <c r="C2" s="8" t="s">
        <v>2</v>
      </c>
      <c r="D2" s="8" t="s">
        <v>3</v>
      </c>
      <c r="E2" s="9" t="s">
        <v>4</v>
      </c>
    </row>
    <row r="3" ht="35" customHeight="1" spans="2:5">
      <c r="B3" s="10" t="s">
        <v>5</v>
      </c>
      <c r="C3" s="11">
        <v>17</v>
      </c>
      <c r="D3" s="11">
        <v>188300</v>
      </c>
      <c r="E3" s="12">
        <f t="shared" ref="E3:E10" si="0">D3/C3</f>
        <v>11076.4705882353</v>
      </c>
    </row>
    <row r="4" ht="35" customHeight="1" spans="2:5">
      <c r="B4" s="10" t="s">
        <v>6</v>
      </c>
      <c r="C4" s="11">
        <v>16</v>
      </c>
      <c r="D4" s="11">
        <v>163450</v>
      </c>
      <c r="E4" s="12">
        <f t="shared" si="0"/>
        <v>10215.625</v>
      </c>
    </row>
    <row r="5" ht="35" customHeight="1" spans="2:5">
      <c r="B5" s="10" t="s">
        <v>7</v>
      </c>
      <c r="C5" s="11">
        <v>31</v>
      </c>
      <c r="D5" s="11">
        <v>396240</v>
      </c>
      <c r="E5" s="12">
        <f t="shared" si="0"/>
        <v>12781.935483871</v>
      </c>
    </row>
    <row r="6" ht="35" customHeight="1" spans="2:5">
      <c r="B6" s="10" t="s">
        <v>8</v>
      </c>
      <c r="C6" s="11">
        <v>52</v>
      </c>
      <c r="D6" s="11">
        <v>570212</v>
      </c>
      <c r="E6" s="12">
        <f t="shared" si="0"/>
        <v>10965.6153846154</v>
      </c>
    </row>
    <row r="7" ht="35" customHeight="1" spans="2:5">
      <c r="B7" s="10" t="s">
        <v>9</v>
      </c>
      <c r="C7" s="11">
        <v>19</v>
      </c>
      <c r="D7" s="11">
        <v>268400</v>
      </c>
      <c r="E7" s="12">
        <f t="shared" si="0"/>
        <v>14126.3157894737</v>
      </c>
    </row>
    <row r="8" ht="35" customHeight="1" spans="2:5">
      <c r="B8" s="10" t="s">
        <v>10</v>
      </c>
      <c r="C8" s="11">
        <v>29</v>
      </c>
      <c r="D8" s="11">
        <v>695760</v>
      </c>
      <c r="E8" s="12">
        <f t="shared" si="0"/>
        <v>23991.724137931</v>
      </c>
    </row>
    <row r="9" ht="35" customHeight="1" spans="2:5">
      <c r="B9" s="10" t="s">
        <v>11</v>
      </c>
      <c r="C9" s="11">
        <v>19</v>
      </c>
      <c r="D9" s="11">
        <v>160800</v>
      </c>
      <c r="E9" s="12">
        <f t="shared" si="0"/>
        <v>8463.15789473684</v>
      </c>
    </row>
    <row r="10" ht="35" customHeight="1" spans="2:5">
      <c r="B10" s="10" t="s">
        <v>12</v>
      </c>
      <c r="C10" s="11">
        <f>SUM(C3:C9)</f>
        <v>183</v>
      </c>
      <c r="D10" s="11">
        <f>SUM(D3:D9)</f>
        <v>2443162</v>
      </c>
      <c r="E10" s="12">
        <f t="shared" si="0"/>
        <v>13350.6120218579</v>
      </c>
    </row>
  </sheetData>
  <mergeCells count="1">
    <mergeCell ref="B1:E1"/>
  </mergeCells>
  <pageMargins left="0" right="0" top="1" bottom="1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莫菲</cp:lastModifiedBy>
  <dcterms:created xsi:type="dcterms:W3CDTF">2017-08-02T14:40:00Z</dcterms:created>
  <dcterms:modified xsi:type="dcterms:W3CDTF">2025-05-26T02:18:07Z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4D2CEB4A6DBD425CBAD32ED8AF0B25C0_11</vt:lpwstr>
  </property>
  <property fmtid="{D5CDD505-2E9C-101B-9397-08002B2CF9AE}" pid="3" name="KSOProductBuildVer">
    <vt:lpwstr>2052-12.1.0.21171</vt:lpwstr>
  </property>
  <property fmtid="{D5CDD505-2E9C-101B-9397-08002B2CF9AE}" pid="4" name="KSORubyTemplateID">
    <vt:lpwstr>20</vt:lpwstr>
  </property>
  <property fmtid="{D5CDD505-2E9C-101B-9397-08002B2CF9AE}" pid="5" name="KSOTemplateUUID">
    <vt:lpwstr>v1.0_mb_yd9Wzi30zgBgyHbfKOCs+g==</vt:lpwstr>
  </property>
</Properties>
</file>