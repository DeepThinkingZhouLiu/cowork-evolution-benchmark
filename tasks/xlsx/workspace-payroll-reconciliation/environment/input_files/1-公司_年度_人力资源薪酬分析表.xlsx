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50" windowHeight="12045" tabRatio="905" activeTab="1"/>
  </bookViews>
  <sheets>
    <sheet name="表格" sheetId="23" r:id="rId1"/>
    <sheet name="表格 (2)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<sst xmlns="http://schemas.openxmlformats.org/spreadsheetml/2006/main" count="20" uniqueCount="10">
  <si>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公司（年度）人力资源薪酬分析表</t>
  </si>
  <si>
    <t>年份</t>
  </si>
  <si>
    <t>在职人数</t>
  </si>
  <si>
    <t>年度薪酬 支出</t>
  </si>
  <si>
    <t>薪酬增长%</t>
  </si>
  <si>
    <t>月均薪酬支出</t>
  </si>
  <si>
    <t>月均人均薪酬</t>
  </si>
  <si>
    <t>公司业绩</t>
  </si>
  <si>
    <t>业绩增长%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</si>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</sst>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36">
    <font>
      <sz val="11"/>
      <color theme="1"/>
      <name val="等线"/>
      <charset val="134"/>
      <scheme val="minor"/>
    </font>
    <font>
      <sz val="32"/>
      <color theme="1" tint="0.249977111117893"/>
      <name val="思源黑体 CN Regular"/>
      <charset val="134"/>
    </font>
    <font>
      <sz val="13"/>
      <color theme="1" tint="0.249977111117893"/>
      <name val="思源黑体 CN Regular"/>
      <charset val="134"/>
    </font>
    <font>
      <sz val="11"/>
      <color theme="1" tint="0.249977111117893"/>
      <name val="思源黑体 CN Regular"/>
      <charset val="134"/>
    </font>
    <font>
      <b/>
      <sz val="32"/>
      <name val="微软雅黑"/>
      <charset val="134"/>
    </font>
    <font>
      <sz val="11"/>
      <name val="思源黑体 CN Regular"/>
      <charset val="128"/>
    </font>
    <font>
      <b/>
      <sz val="13"/>
      <color theme="0" tint="-0.0499893185216834"/>
      <name val="思源黑体 CN Medium"/>
      <charset val="134"/>
    </font>
    <font>
      <sz val="13"/>
      <color theme="1"/>
      <name val="思源黑体 CN Regular"/>
      <charset val="134"/>
    </font>
    <font>
      <sz val="13"/>
      <color theme="1"/>
      <name val="思源黑体 CN Bold"/>
      <charset val="134"/>
    </font>
    <font>
      <sz val="11"/>
      <name val="思源黑体 CN Regular"/>
      <charset val="134"/>
    </font>
    <font>
      <sz val="11"/>
      <color theme="1" tint="0.249977111117893"/>
      <name val="思源黑体 CN Regular"/>
      <charset val="128"/>
    </font>
    <font>
      <sz val="11"/>
      <color theme="1"/>
      <name val="思源黑体 CN Regular"/>
      <charset val="134"/>
    </font>
    <font>
      <sz val="11"/>
      <color theme="1"/>
      <name val="思源黑体 CN Regular"/>
      <charset val="128"/>
    </font>
    <font>
      <sz val="13"/>
      <color theme="1" tint="0.249977111117893"/>
      <name val="思源黑体 CN Regular"/>
      <charset val="128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微软雅黑"/>
      <charset val="134"/>
    </font>
    <font>
      <sz val="12"/>
      <name val="宋体"/>
      <charset val="134"/>
    </font>
    <font>
      <u/>
      <sz val="9"/>
      <color theme="10"/>
      <name val="微软雅黑"/>
      <charset val="134"/>
    </font>
  </fonts>
  <fills count="39">
    <fill>
      <patternFill patternType="none"/>
    </fill>
    <fill>
      <patternFill patternType="gray125"/>
    </fill>
    <fill>
      <gradientFill>
        <stop position="0">
          <color theme="0"/>
        </stop>
        <stop position="1">
          <color theme="2" tint="-0.098025452436903"/>
        </stop>
      </gradientFill>
    </fill>
    <fill>
      <gradientFill degree="90">
        <stop position="0">
          <color theme="0"/>
        </stop>
        <stop position="1">
          <color theme="2" tint="-0.098025452436903"/>
        </stop>
      </gradient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gradientFill degree="270">
        <stop position="0">
          <color theme="0"/>
        </stop>
        <stop position="1">
          <color theme="2" tint="-0.098025452436903"/>
        </stop>
      </gradientFill>
    </fill>
    <fill>
      <gradientFill degree="180">
        <stop position="0">
          <color theme="0"/>
        </stop>
        <stop position="1">
          <color theme="2" tint="-0.098025452436903"/>
        </stop>
      </gradient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6795556505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0" borderId="0" xfId="49" applyFont="1" applyAlignment="1">
      <alignment horizontal="centerContinuous" vertical="center"/>
    </xf>
    <xf numFmtId="0" fontId="4" fillId="0" borderId="0" xfId="49" applyFont="1" applyAlignment="1">
      <alignment horizontal="center" vertical="center"/>
    </xf>
    <xf numFmtId="0" fontId="5" fillId="0" borderId="0" xfId="54" applyFont="1" applyAlignment="1">
      <alignment vertical="center" wrapText="1"/>
    </xf>
    <xf numFmtId="0" fontId="5" fillId="0" borderId="0" xfId="54" applyFont="1" applyAlignment="1">
      <alignment horizontal="left" vertical="center"/>
    </xf>
    <xf numFmtId="0" fontId="2" fillId="2" borderId="0" xfId="49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9" fontId="7" fillId="0" borderId="1" xfId="3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9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Fill="1" applyBorder="1" applyAlignment="1">
      <alignment horizontal="center" vertical="center"/>
    </xf>
    <xf numFmtId="0" fontId="9" fillId="0" borderId="0" xfId="54" applyFont="1" applyBorder="1" applyAlignment="1">
      <alignment vertical="center" wrapText="1"/>
    </xf>
    <xf numFmtId="0" fontId="9" fillId="0" borderId="0" xfId="54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49"/>
    <xf numFmtId="0" fontId="10" fillId="6" borderId="0" xfId="49" applyFont="1" applyFill="1" applyAlignment="1">
      <alignment horizontal="center" vertical="center"/>
    </xf>
    <xf numFmtId="0" fontId="11" fillId="0" borderId="0" xfId="49" applyFont="1"/>
    <xf numFmtId="0" fontId="1" fillId="7" borderId="0" xfId="49" applyFont="1" applyFill="1" applyAlignment="1">
      <alignment horizontal="center" vertical="center"/>
    </xf>
    <xf numFmtId="0" fontId="10" fillId="7" borderId="0" xfId="49" applyFont="1" applyFill="1" applyAlignment="1">
      <alignment horizontal="center" vertical="center"/>
    </xf>
    <xf numFmtId="0" fontId="12" fillId="0" borderId="0" xfId="49" applyFont="1"/>
    <xf numFmtId="0" fontId="13" fillId="7" borderId="0" xfId="49" applyFont="1" applyFill="1" applyAlignment="1">
      <alignment horizontal="center" vertical="center"/>
    </xf>
    <xf numFmtId="0" fontId="11" fillId="0" borderId="0" xfId="0" applyFont="1"/>
    <xf numFmtId="0" fontId="6" fillId="8" borderId="0" xfId="0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百分比 2" xfId="50"/>
    <cellStyle name="常规 2 2" xfId="51"/>
    <cellStyle name="百分比 3" xfId="52"/>
    <cellStyle name="常规 2" xfId="53"/>
    <cellStyle name="常规 3" xfId="54"/>
    <cellStyle name="千位分隔 2" xfId="55"/>
    <cellStyle name="常规 4" xfId="56"/>
    <cellStyle name="常规 5" xfId="57"/>
    <cellStyle name="超链接 2" xfId="58"/>
  </cellStyles>
  <dxfs count="1">
    <dxf>
      <font>
        <color rgb="FFFF0000"/>
      </font>
    </dxf>
  </dxfs>
  <tableStyles count="0" defaultTableStyle="TableStyleMedium2" defaultPivotStyle="PivotStyleLight16"/>
  <colors>
    <mruColors>
      <color rgb="00A0DA52"/>
      <color rgb="005591C7"/>
      <color rgb="00F6F6F6"/>
      <color rgb="00D8D8D8"/>
      <color rgb="00DEEBF7"/>
      <color rgb="0044546A"/>
      <color rgb="00DCEEC5"/>
      <color rgb="00C2E593"/>
      <color rgb="00ED7D31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在职人数</a:t>
            </a:r>
            <a:r>
              <a:rPr lang="en-US"/>
              <a:t>&amp;</a:t>
            </a:r>
            <a:r>
              <a:rPr lang="zh-CN"/>
              <a:t>业绩增长趋势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1915408386061"/>
          <c:y val="0.25507921285566"/>
          <c:w val="0.874516422940378"/>
          <c:h val="0.617495093918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表格!$E$6</c:f>
              <c:strCache>
                <c:ptCount val="1"/>
                <c:pt idx="0">
                  <c:v>在职人数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表格!$E$7:$E$11</c:f>
              <c:numCache>
                <c:formatCode>#,##0_);[Red]\(#,##0\)</c:formatCode>
                <c:ptCount val="5"/>
                <c:pt idx="0">
                  <c:v>21</c:v>
                </c:pt>
                <c:pt idx="1">
                  <c:v>37</c:v>
                </c:pt>
                <c:pt idx="2">
                  <c:v>52</c:v>
                </c:pt>
                <c:pt idx="3">
                  <c:v>73</c:v>
                </c:pt>
                <c:pt idx="4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1224223"/>
        <c:axId val="2061225055"/>
      </c:barChart>
      <c:lineChart>
        <c:grouping val="standard"/>
        <c:varyColors val="0"/>
        <c:ser>
          <c:idx val="2"/>
          <c:order val="1"/>
          <c:tx>
            <c:strRef>
              <c:f>"业绩增长"</c:f>
              <c:strCache>
                <c:ptCount val="1"/>
                <c:pt idx="0">
                  <c:v>业绩增长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表格!$K$7:$K$11</c:f>
              <c:numCache>
                <c:formatCode>0%</c:formatCode>
                <c:ptCount val="5"/>
                <c:pt idx="0">
                  <c:v>0.1</c:v>
                </c:pt>
                <c:pt idx="1">
                  <c:v>1.24362606232295</c:v>
                </c:pt>
                <c:pt idx="2">
                  <c:v>0.489233682983681</c:v>
                </c:pt>
                <c:pt idx="3">
                  <c:v>0.47773940775379</c:v>
                </c:pt>
                <c:pt idx="4">
                  <c:v>0.650598306441173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表格!$G$6</c:f>
              <c:strCache>
                <c:ptCount val="1"/>
                <c:pt idx="0">
                  <c:v>薪酬增长%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表格!$G$7:$G$11</c:f>
              <c:numCache>
                <c:formatCode>0%</c:formatCode>
                <c:ptCount val="5"/>
                <c:pt idx="0">
                  <c:v>0.12</c:v>
                </c:pt>
                <c:pt idx="1">
                  <c:v>0.900701707930624</c:v>
                </c:pt>
                <c:pt idx="2">
                  <c:v>0.476158632859664</c:v>
                </c:pt>
                <c:pt idx="3">
                  <c:v>0.468377606362229</c:v>
                </c:pt>
                <c:pt idx="4">
                  <c:v>0.515393283943423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108335"/>
        <c:axId val="2091114991"/>
      </c:lineChart>
      <c:catAx>
        <c:axId val="20612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5055"/>
        <c:crosses val="autoZero"/>
        <c:auto val="1"/>
        <c:lblAlgn val="ctr"/>
        <c:lblOffset val="100"/>
        <c:noMultiLvlLbl val="0"/>
      </c:catAx>
      <c:valAx>
        <c:axId val="20612250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4223"/>
        <c:crosses val="autoZero"/>
        <c:crossBetween val="between"/>
      </c:valAx>
      <c:catAx>
        <c:axId val="2091108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91114991"/>
        <c:crosses val="autoZero"/>
        <c:auto val="1"/>
        <c:lblAlgn val="ctr"/>
        <c:lblOffset val="100"/>
        <c:noMultiLvlLbl val="0"/>
      </c:catAx>
      <c:valAx>
        <c:axId val="20911149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9110833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003280839895"/>
          <c:y val="0.0677129683395321"/>
          <c:w val="0.28996719160105"/>
          <c:h val="0.17216061533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74365-4b38-4b07-9f4d-8a9aee42a4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薪酬支出</a:t>
            </a:r>
            <a:r>
              <a:rPr lang="en-US"/>
              <a:t>&amp;</a:t>
            </a:r>
            <a:r>
              <a:rPr lang="zh-CN"/>
              <a:t>月均薪酬情况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709317585302"/>
          <c:y val="0.274318470670362"/>
          <c:w val="0.69515113735783"/>
          <c:h val="0.586512957875345"/>
        </c:manualLayout>
      </c:layout>
      <c:areaChart>
        <c:grouping val="standard"/>
        <c:varyColors val="0"/>
        <c:ser>
          <c:idx val="1"/>
          <c:order val="0"/>
          <c:tx>
            <c:strRef>
              <c:f>表格!$F$6</c:f>
              <c:strCache>
                <c:ptCount val="1"/>
                <c:pt idx="0">
                  <c:v>年度薪酬 支出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表格!$F$7:$F$11</c:f>
              <c:numCache>
                <c:formatCode>#,##0_);[Red]\(#,##0\)</c:formatCode>
                <c:ptCount val="5"/>
                <c:pt idx="0">
                  <c:v>1359540</c:v>
                </c:pt>
                <c:pt idx="1">
                  <c:v>2584080</c:v>
                </c:pt>
                <c:pt idx="2">
                  <c:v>3814512</c:v>
                </c:pt>
                <c:pt idx="3">
                  <c:v>5601144</c:v>
                </c:pt>
                <c:pt idx="4">
                  <c:v>8487936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346015"/>
        <c:axId val="2145352255"/>
      </c:areaChart>
      <c:lineChart>
        <c:grouping val="standard"/>
        <c:varyColors val="0"/>
        <c:ser>
          <c:idx val="0"/>
          <c:order val="2"/>
          <c:tx>
            <c:strRef>
              <c:f>表格!$I$6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表格!$F$7:$F$11</c:f>
              <c:numCache>
                <c:formatCode>#,##0_);[Red]\(#,##0\)</c:formatCode>
                <c:ptCount val="5"/>
                <c:pt idx="0">
                  <c:v>1359540</c:v>
                </c:pt>
                <c:pt idx="1">
                  <c:v>2584080</c:v>
                </c:pt>
                <c:pt idx="2">
                  <c:v>3814512</c:v>
                </c:pt>
                <c:pt idx="3">
                  <c:v>5601144</c:v>
                </c:pt>
                <c:pt idx="4">
                  <c:v>8487936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346015"/>
        <c:axId val="2145352255"/>
      </c:lineChart>
      <c:lineChart>
        <c:grouping val="standard"/>
        <c:varyColors val="0"/>
        <c:ser>
          <c:idx val="2"/>
          <c:order val="1"/>
          <c:tx>
            <c:strRef>
              <c:f>表格!$I$6</c:f>
              <c:strCache>
                <c:ptCount val="1"/>
                <c:pt idx="0">
                  <c:v>月均人均薪酬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黑体 CN Regular" panose="020B0500000000000000" pitchFamily="34" charset="-122"/>
                    <a:ea typeface="思源黑体 CN Regular" panose="020B0500000000000000" pitchFamily="34" charset="-122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表格!$I$7:$I$11</c:f>
              <c:numCache>
                <c:formatCode>#,##0_);[Red]\(#,##0\)</c:formatCode>
                <c:ptCount val="5"/>
                <c:pt idx="0">
                  <c:v>5395</c:v>
                </c:pt>
                <c:pt idx="1">
                  <c:v>5820</c:v>
                </c:pt>
                <c:pt idx="2">
                  <c:v>6113</c:v>
                </c:pt>
                <c:pt idx="3">
                  <c:v>6394</c:v>
                </c:pt>
                <c:pt idx="4">
                  <c:v>7368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427168"/>
        <c:axId val="1579426336"/>
      </c:lineChart>
      <c:catAx>
        <c:axId val="21453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145352255"/>
        <c:crosses val="autoZero"/>
        <c:auto val="1"/>
        <c:lblAlgn val="ctr"/>
        <c:lblOffset val="100"/>
        <c:noMultiLvlLbl val="0"/>
      </c:catAx>
      <c:valAx>
        <c:axId val="21453522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145346015"/>
        <c:crosses val="autoZero"/>
        <c:crossBetween val="between"/>
      </c:valAx>
      <c:catAx>
        <c:axId val="157942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79426336"/>
        <c:crosses val="autoZero"/>
        <c:auto val="1"/>
        <c:lblAlgn val="ctr"/>
        <c:lblOffset val="100"/>
        <c:noMultiLvlLbl val="0"/>
      </c:catAx>
      <c:valAx>
        <c:axId val="1579426336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79427168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9896719160105"/>
          <c:y val="0.0472222222222222"/>
          <c:w val="0.285398950131234"/>
          <c:h val="0.17071813939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ebaeda-b278-4b15-bafb-5004810d92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业绩</a:t>
            </a:r>
            <a:r>
              <a:rPr lang="en-US"/>
              <a:t>&amp;</a:t>
            </a:r>
            <a:r>
              <a:rPr lang="zh-CN"/>
              <a:t>人均薪酬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1915408386061"/>
          <c:y val="0.25507921285566"/>
          <c:w val="0.874516422940378"/>
          <c:h val="0.617495093918762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表格!$I$6</c:f>
              <c:strCache>
                <c:ptCount val="1"/>
                <c:pt idx="0">
                  <c:v>月均人均薪酬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表格!$I$7:$I$11</c:f>
              <c:numCache>
                <c:formatCode>#,##0_);[Red]\(#,##0\)</c:formatCode>
                <c:ptCount val="5"/>
                <c:pt idx="0">
                  <c:v>5395</c:v>
                </c:pt>
                <c:pt idx="1">
                  <c:v>5820</c:v>
                </c:pt>
                <c:pt idx="2">
                  <c:v>6113</c:v>
                </c:pt>
                <c:pt idx="3">
                  <c:v>6394</c:v>
                </c:pt>
                <c:pt idx="4">
                  <c:v>7368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86959136"/>
        <c:axId val="1209525248"/>
      </c:barChart>
      <c:lineChart>
        <c:grouping val="standard"/>
        <c:varyColors val="0"/>
        <c:ser>
          <c:idx val="1"/>
          <c:order val="0"/>
          <c:tx>
            <c:strRef>
              <c:f>表格!$J$6</c:f>
              <c:strCache>
                <c:ptCount val="1"/>
                <c:pt idx="0">
                  <c:v>公司业绩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表格!$J$7:$J$11</c:f>
              <c:numCache>
                <c:formatCode>#,##0_);[Red]\(#,##0\)</c:formatCode>
                <c:ptCount val="5"/>
                <c:pt idx="0">
                  <c:v>8472000</c:v>
                </c:pt>
                <c:pt idx="1">
                  <c:v>19008000</c:v>
                </c:pt>
                <c:pt idx="2">
                  <c:v>28307353.8461538</c:v>
                </c:pt>
                <c:pt idx="3">
                  <c:v>41830892.3076923</c:v>
                </c:pt>
                <c:pt idx="4">
                  <c:v>69046000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224223"/>
        <c:axId val="2061225055"/>
      </c:lineChart>
      <c:catAx>
        <c:axId val="20612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5055"/>
        <c:crosses val="autoZero"/>
        <c:auto val="1"/>
        <c:lblAlgn val="ctr"/>
        <c:lblOffset val="100"/>
        <c:noMultiLvlLbl val="0"/>
      </c:catAx>
      <c:valAx>
        <c:axId val="20612250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4223"/>
        <c:crosses val="autoZero"/>
        <c:crossBetween val="between"/>
      </c:valAx>
      <c:catAx>
        <c:axId val="148695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209525248"/>
        <c:crosses val="autoZero"/>
        <c:auto val="1"/>
        <c:lblAlgn val="ctr"/>
        <c:lblOffset val="100"/>
        <c:noMultiLvlLbl val="0"/>
      </c:catAx>
      <c:valAx>
        <c:axId val="1209525248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48695913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3921697287839"/>
          <c:y val="0.0677129683395321"/>
          <c:w val="0.240741251093613"/>
          <c:h val="0.147211635102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e67b18-78e0-4f3b-9e19-97d601bd9a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业绩</a:t>
            </a:r>
            <a:r>
              <a:rPr lang="en-US"/>
              <a:t>&amp;</a:t>
            </a:r>
            <a:r>
              <a:rPr lang="zh-CN"/>
              <a:t>薪酬</a:t>
            </a:r>
            <a:r>
              <a:rPr lang="en-US"/>
              <a:t>&amp;</a:t>
            </a:r>
            <a:r>
              <a:rPr lang="zh-CN"/>
              <a:t>在职情况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0584426946632"/>
          <c:y val="0.283780913913046"/>
          <c:w val="0.778860017497813"/>
          <c:h val="0.5922373082067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表格!$J$6</c:f>
              <c:strCache>
                <c:ptCount val="1"/>
                <c:pt idx="0">
                  <c:v>公司业绩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表格!$J$7:$J$11</c:f>
              <c:numCache>
                <c:formatCode>#,##0_);[Red]\(#,##0\)</c:formatCode>
                <c:ptCount val="5"/>
                <c:pt idx="0">
                  <c:v>8472000</c:v>
                </c:pt>
                <c:pt idx="1">
                  <c:v>19008000</c:v>
                </c:pt>
                <c:pt idx="2">
                  <c:v>28307353.8461538</c:v>
                </c:pt>
                <c:pt idx="3">
                  <c:v>41830892.3076923</c:v>
                </c:pt>
                <c:pt idx="4">
                  <c:v>69046000</c:v>
                </c:pt>
              </c:numCache>
            </c:numRef>
          </c:val>
        </c:ser>
        <c:ser>
          <c:idx val="0"/>
          <c:order val="2"/>
          <c:tx>
            <c:strRef>
              <c:f>表格!$F$6</c:f>
              <c:strCache>
                <c:ptCount val="1"/>
                <c:pt idx="0">
                  <c:v>年度薪酬 支出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表格!$F$7:$F$11</c:f>
              <c:numCache>
                <c:formatCode>#,##0_);[Red]\(#,##0\)</c:formatCode>
                <c:ptCount val="5"/>
                <c:pt idx="0">
                  <c:v>1359540</c:v>
                </c:pt>
                <c:pt idx="1">
                  <c:v>2584080</c:v>
                </c:pt>
                <c:pt idx="2">
                  <c:v>3814512</c:v>
                </c:pt>
                <c:pt idx="3">
                  <c:v>5601144</c:v>
                </c:pt>
                <c:pt idx="4">
                  <c:v>8487936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29233279"/>
        <c:axId val="429233695"/>
      </c:barChart>
      <c:lineChart>
        <c:grouping val="standard"/>
        <c:varyColors val="0"/>
        <c:ser>
          <c:idx val="2"/>
          <c:order val="0"/>
          <c:tx>
            <c:strRef>
              <c:f>表格!$E$6</c:f>
              <c:strCache>
                <c:ptCount val="1"/>
                <c:pt idx="0">
                  <c:v>在职人数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表格!$D$7:$D$11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表格!$E$7:$E$11</c:f>
              <c:numCache>
                <c:formatCode>#,##0_);[Red]\(#,##0\)</c:formatCode>
                <c:ptCount val="5"/>
                <c:pt idx="0">
                  <c:v>21</c:v>
                </c:pt>
                <c:pt idx="1">
                  <c:v>37</c:v>
                </c:pt>
                <c:pt idx="2">
                  <c:v>52</c:v>
                </c:pt>
                <c:pt idx="3">
                  <c:v>73</c:v>
                </c:pt>
                <c:pt idx="4">
                  <c:v>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819903"/>
        <c:axId val="1501823647"/>
      </c:lineChart>
      <c:catAx>
        <c:axId val="42923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429233695"/>
        <c:crosses val="autoZero"/>
        <c:auto val="1"/>
        <c:lblAlgn val="ctr"/>
        <c:lblOffset val="100"/>
        <c:noMultiLvlLbl val="0"/>
      </c:catAx>
      <c:valAx>
        <c:axId val="42923369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429233279"/>
        <c:crosses val="autoZero"/>
        <c:crossBetween val="between"/>
      </c:valAx>
      <c:catAx>
        <c:axId val="1501819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01823647"/>
        <c:crosses val="autoZero"/>
        <c:auto val="1"/>
        <c:lblAlgn val="ctr"/>
        <c:lblOffset val="100"/>
        <c:noMultiLvlLbl val="0"/>
      </c:catAx>
      <c:valAx>
        <c:axId val="1501823647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0181990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3863735783027"/>
          <c:y val="0.064537037037037"/>
          <c:w val="0.258383420822397"/>
          <c:h val="0.176790244969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f3100d-85ce-4eab-b8c1-d3b8c95cb0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在职人数</a:t>
            </a:r>
            <a:r>
              <a:rPr lang="en-US"/>
              <a:t>&amp;</a:t>
            </a:r>
            <a:r>
              <a:rPr lang="zh-CN"/>
              <a:t>业绩增长趋势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1915408386061"/>
          <c:y val="0.25507921285566"/>
          <c:w val="0.874516422940378"/>
          <c:h val="0.617495093918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'表格 (2)'!$E$6</c:f>
              <c:strCache>
                <c:ptCount val="1"/>
                <c:pt idx="0">
                  <c:v>在职人数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(2)'!$E$7:$E$11</c:f>
              <c:numCache>
                <c:formatCode>#,##0_);[Red]\(#,##0\)</c:formatCode>
                <c:ptCount val="5"/>
                <c:pt idx="0">
                  <c:v>21</c:v>
                </c:pt>
                <c:pt idx="1">
                  <c:v>37</c:v>
                </c:pt>
                <c:pt idx="2">
                  <c:v>52</c:v>
                </c:pt>
                <c:pt idx="3">
                  <c:v>73</c:v>
                </c:pt>
                <c:pt idx="4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1224223"/>
        <c:axId val="2061225055"/>
      </c:barChart>
      <c:lineChart>
        <c:grouping val="standard"/>
        <c:varyColors val="0"/>
        <c:ser>
          <c:idx val="2"/>
          <c:order val="1"/>
          <c:tx>
            <c:strRef>
              <c:f>"业绩增长"</c:f>
              <c:strCache>
                <c:ptCount val="1"/>
                <c:pt idx="0">
                  <c:v>业绩增长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(2)'!$K$7:$K$11</c:f>
              <c:numCache>
                <c:formatCode>0%</c:formatCode>
                <c:ptCount val="5"/>
                <c:pt idx="0">
                  <c:v>0.1</c:v>
                </c:pt>
                <c:pt idx="1">
                  <c:v>1.24362606232295</c:v>
                </c:pt>
                <c:pt idx="2">
                  <c:v>0.489233682983681</c:v>
                </c:pt>
                <c:pt idx="3">
                  <c:v>0.47773940775379</c:v>
                </c:pt>
                <c:pt idx="4">
                  <c:v>0.650598306441173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'表格 (2)'!$G$6</c:f>
              <c:strCache>
                <c:ptCount val="1"/>
                <c:pt idx="0">
                  <c:v>薪酬增长%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(2)'!$G$7:$G$11</c:f>
              <c:numCache>
                <c:formatCode>0%</c:formatCode>
                <c:ptCount val="5"/>
                <c:pt idx="0">
                  <c:v>0.12</c:v>
                </c:pt>
                <c:pt idx="1">
                  <c:v>0.898175830841891</c:v>
                </c:pt>
                <c:pt idx="2">
                  <c:v>0.474963476990504</c:v>
                </c:pt>
                <c:pt idx="3">
                  <c:v>0.467338954301774</c:v>
                </c:pt>
                <c:pt idx="4">
                  <c:v>0.512308516607532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108335"/>
        <c:axId val="2091114991"/>
      </c:lineChart>
      <c:catAx>
        <c:axId val="20612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5055"/>
        <c:crosses val="autoZero"/>
        <c:auto val="1"/>
        <c:lblAlgn val="ctr"/>
        <c:lblOffset val="100"/>
        <c:noMultiLvlLbl val="0"/>
      </c:catAx>
      <c:valAx>
        <c:axId val="20612250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4223"/>
        <c:crosses val="autoZero"/>
        <c:crossBetween val="between"/>
      </c:valAx>
      <c:catAx>
        <c:axId val="2091108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91114991"/>
        <c:crosses val="autoZero"/>
        <c:auto val="1"/>
        <c:lblAlgn val="ctr"/>
        <c:lblOffset val="100"/>
        <c:noMultiLvlLbl val="0"/>
      </c:catAx>
      <c:valAx>
        <c:axId val="20911149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9110833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003280839895"/>
          <c:y val="0.0677129683395321"/>
          <c:w val="0.28996719160105"/>
          <c:h val="0.17216061533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74365-4b38-4b07-9f4d-8a9aee42a4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薪酬支出</a:t>
            </a:r>
            <a:r>
              <a:rPr lang="en-US"/>
              <a:t>&amp;</a:t>
            </a:r>
            <a:r>
              <a:rPr lang="zh-CN"/>
              <a:t>月均薪酬情况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709317585302"/>
          <c:y val="0.274318470670362"/>
          <c:w val="0.69515113735783"/>
          <c:h val="0.586512957875345"/>
        </c:manualLayout>
      </c:layout>
      <c:areaChart>
        <c:grouping val="standard"/>
        <c:varyColors val="0"/>
        <c:ser>
          <c:idx val="1"/>
          <c:order val="0"/>
          <c:tx>
            <c:strRef>
              <c:f>'表格 (2)'!$F$6</c:f>
              <c:strCache>
                <c:ptCount val="1"/>
                <c:pt idx="0">
                  <c:v>年度薪酬 支出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(2)'!$F$7:$F$11</c:f>
              <c:numCache>
                <c:formatCode>#,##0_);[Red]\(#,##0\)</c:formatCode>
                <c:ptCount val="5"/>
                <c:pt idx="0">
                  <c:v>1384740</c:v>
                </c:pt>
                <c:pt idx="1">
                  <c:v>2628480</c:v>
                </c:pt>
                <c:pt idx="2">
                  <c:v>3876912</c:v>
                </c:pt>
                <c:pt idx="3">
                  <c:v>5688744</c:v>
                </c:pt>
                <c:pt idx="4">
                  <c:v>8603136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346015"/>
        <c:axId val="2145352255"/>
      </c:areaChart>
      <c:lineChart>
        <c:grouping val="standard"/>
        <c:varyColors val="0"/>
        <c:ser>
          <c:idx val="0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(2)'!$F$7:$F$11</c:f>
              <c:numCache>
                <c:formatCode>#,##0_);[Red]\(#,##0\)</c:formatCode>
                <c:ptCount val="5"/>
                <c:pt idx="0">
                  <c:v>1384740</c:v>
                </c:pt>
                <c:pt idx="1">
                  <c:v>2628480</c:v>
                </c:pt>
                <c:pt idx="2">
                  <c:v>3876912</c:v>
                </c:pt>
                <c:pt idx="3">
                  <c:v>5688744</c:v>
                </c:pt>
                <c:pt idx="4">
                  <c:v>8603136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346015"/>
        <c:axId val="2145352255"/>
      </c:lineChart>
      <c:lineChart>
        <c:grouping val="standard"/>
        <c:varyColors val="0"/>
        <c:ser>
          <c:idx val="2"/>
          <c:order val="1"/>
          <c:tx>
            <c:strRef>
              <c:f>'表格 (2)'!$I$6</c:f>
              <c:strCache>
                <c:ptCount val="1"/>
                <c:pt idx="0">
                  <c:v>月均人均薪酬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黑体 CN Regular" panose="020B0500000000000000" pitchFamily="34" charset="-122"/>
                    <a:ea typeface="思源黑体 CN Regular" panose="020B0500000000000000" pitchFamily="34" charset="-122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(2)'!$I$7:$I$11</c:f>
              <c:numCache>
                <c:formatCode>#,##0_);[Red]\(#,##0\)</c:formatCode>
                <c:ptCount val="5"/>
                <c:pt idx="0">
                  <c:v>5495</c:v>
                </c:pt>
                <c:pt idx="1">
                  <c:v>5920</c:v>
                </c:pt>
                <c:pt idx="2">
                  <c:v>6213</c:v>
                </c:pt>
                <c:pt idx="3">
                  <c:v>6494</c:v>
                </c:pt>
                <c:pt idx="4">
                  <c:v>7468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427168"/>
        <c:axId val="1579426336"/>
      </c:lineChart>
      <c:catAx>
        <c:axId val="21453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145352255"/>
        <c:crosses val="autoZero"/>
        <c:auto val="1"/>
        <c:lblAlgn val="ctr"/>
        <c:lblOffset val="100"/>
        <c:noMultiLvlLbl val="0"/>
      </c:catAx>
      <c:valAx>
        <c:axId val="21453522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145346015"/>
        <c:crosses val="autoZero"/>
        <c:crossBetween val="between"/>
      </c:valAx>
      <c:catAx>
        <c:axId val="157942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79426336"/>
        <c:crosses val="autoZero"/>
        <c:auto val="1"/>
        <c:lblAlgn val="ctr"/>
        <c:lblOffset val="100"/>
        <c:noMultiLvlLbl val="0"/>
      </c:catAx>
      <c:valAx>
        <c:axId val="1579426336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79427168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9896719160105"/>
          <c:y val="0.0472222222222222"/>
          <c:w val="0.285398950131234"/>
          <c:h val="0.17071813939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ebaeda-b278-4b15-bafb-5004810d92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业绩</a:t>
            </a:r>
            <a:r>
              <a:rPr lang="en-US"/>
              <a:t>&amp;</a:t>
            </a:r>
            <a:r>
              <a:rPr lang="zh-CN"/>
              <a:t>人均薪酬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1915408386061"/>
          <c:y val="0.25507921285566"/>
          <c:w val="0.874516422940378"/>
          <c:h val="0.617495093918762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'表格 (2)'!$I$6</c:f>
              <c:strCache>
                <c:ptCount val="1"/>
                <c:pt idx="0">
                  <c:v>月均人均薪酬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(2)'!$I$7:$I$11</c:f>
              <c:numCache>
                <c:formatCode>#,##0_);[Red]\(#,##0\)</c:formatCode>
                <c:ptCount val="5"/>
                <c:pt idx="0">
                  <c:v>5495</c:v>
                </c:pt>
                <c:pt idx="1">
                  <c:v>5920</c:v>
                </c:pt>
                <c:pt idx="2">
                  <c:v>6213</c:v>
                </c:pt>
                <c:pt idx="3">
                  <c:v>6494</c:v>
                </c:pt>
                <c:pt idx="4">
                  <c:v>7468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86959136"/>
        <c:axId val="1209525248"/>
      </c:barChart>
      <c:lineChart>
        <c:grouping val="standard"/>
        <c:varyColors val="0"/>
        <c:ser>
          <c:idx val="1"/>
          <c:order val="0"/>
          <c:tx>
            <c:strRef>
              <c:f>'表格 (2)'!$J$6</c:f>
              <c:strCache>
                <c:ptCount val="1"/>
                <c:pt idx="0">
                  <c:v>公司业绩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(2)'!$J$7:$J$11</c:f>
              <c:numCache>
                <c:formatCode>#,##0_);[Red]\(#,##0\)</c:formatCode>
                <c:ptCount val="5"/>
                <c:pt idx="0">
                  <c:v>8472000</c:v>
                </c:pt>
                <c:pt idx="1">
                  <c:v>19008000</c:v>
                </c:pt>
                <c:pt idx="2">
                  <c:v>28307353.8461538</c:v>
                </c:pt>
                <c:pt idx="3">
                  <c:v>41830892.3076923</c:v>
                </c:pt>
                <c:pt idx="4">
                  <c:v>69046000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224223"/>
        <c:axId val="2061225055"/>
      </c:lineChart>
      <c:catAx>
        <c:axId val="20612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5055"/>
        <c:crosses val="autoZero"/>
        <c:auto val="1"/>
        <c:lblAlgn val="ctr"/>
        <c:lblOffset val="100"/>
        <c:noMultiLvlLbl val="0"/>
      </c:catAx>
      <c:valAx>
        <c:axId val="206122505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2061224223"/>
        <c:crosses val="autoZero"/>
        <c:crossBetween val="between"/>
      </c:valAx>
      <c:catAx>
        <c:axId val="148695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209525248"/>
        <c:crosses val="autoZero"/>
        <c:auto val="1"/>
        <c:lblAlgn val="ctr"/>
        <c:lblOffset val="100"/>
        <c:noMultiLvlLbl val="0"/>
      </c:catAx>
      <c:valAx>
        <c:axId val="1209525248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48695913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3921697287839"/>
          <c:y val="0.0677129683395321"/>
          <c:w val="0.240741251093613"/>
          <c:h val="0.147211635102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e67b18-78e0-4f3b-9e19-97d601bd9a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/>
              <a:t>业绩</a:t>
            </a:r>
            <a:r>
              <a:rPr lang="en-US"/>
              <a:t>&amp;</a:t>
            </a:r>
            <a:r>
              <a:rPr lang="zh-CN"/>
              <a:t>薪酬</a:t>
            </a:r>
            <a:r>
              <a:rPr lang="en-US"/>
              <a:t>&amp;</a:t>
            </a:r>
            <a:r>
              <a:rPr lang="zh-CN"/>
              <a:t>在职情况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0584426946632"/>
          <c:y val="0.283780913913046"/>
          <c:w val="0.778860017497813"/>
          <c:h val="0.5922373082067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'表格 (2)'!$J$6</c:f>
              <c:strCache>
                <c:ptCount val="1"/>
                <c:pt idx="0">
                  <c:v>公司业绩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(2)'!$J$7:$J$11</c:f>
              <c:numCache>
                <c:formatCode>#,##0_);[Red]\(#,##0\)</c:formatCode>
                <c:ptCount val="5"/>
                <c:pt idx="0">
                  <c:v>8472000</c:v>
                </c:pt>
                <c:pt idx="1">
                  <c:v>19008000</c:v>
                </c:pt>
                <c:pt idx="2">
                  <c:v>28307353.8461538</c:v>
                </c:pt>
                <c:pt idx="3">
                  <c:v>41830892.3076923</c:v>
                </c:pt>
                <c:pt idx="4">
                  <c:v>69046000</c:v>
                </c:pt>
              </c:numCache>
            </c:numRef>
          </c:val>
        </c:ser>
        <c:ser>
          <c:idx val="0"/>
          <c:order val="2"/>
          <c:tx>
            <c:strRef>
              <c:f>'表格 (2)'!$F$6</c:f>
              <c:strCache>
                <c:ptCount val="1"/>
                <c:pt idx="0">
                  <c:v>年度薪酬 支出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(2)'!$F$7:$F$11</c:f>
              <c:numCache>
                <c:formatCode>#,##0_);[Red]\(#,##0\)</c:formatCode>
                <c:ptCount val="5"/>
                <c:pt idx="0">
                  <c:v>1384740</c:v>
                </c:pt>
                <c:pt idx="1">
                  <c:v>2628480</c:v>
                </c:pt>
                <c:pt idx="2">
                  <c:v>3876912</c:v>
                </c:pt>
                <c:pt idx="3">
                  <c:v>5688744</c:v>
                </c:pt>
                <c:pt idx="4">
                  <c:v>8603136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29233279"/>
        <c:axId val="429233695"/>
      </c:barChart>
      <c:lineChart>
        <c:grouping val="standard"/>
        <c:varyColors val="0"/>
        <c:ser>
          <c:idx val="2"/>
          <c:order val="0"/>
          <c:tx>
            <c:strRef>
              <c:f>'表格 (2)'!$E$6</c:f>
              <c:strCache>
                <c:ptCount val="1"/>
                <c:pt idx="0">
                  <c:v>在职人数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30000"/>
                  </a:prstClr>
                </a:outerShdw>
              </a:effectLst>
            </c:spPr>
          </c:marker>
          <c:dLbls>
            <c:delete val="1"/>
          </c:dLbls>
          <c:cat>
            <c:numRef>
              <c:f>'表格 (2)'!$D$7:$D$11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'表格 (2)'!$E$7:$E$11</c:f>
              <c:numCache>
                <c:formatCode>#,##0_);[Red]\(#,##0\)</c:formatCode>
                <c:ptCount val="5"/>
                <c:pt idx="0">
                  <c:v>21</c:v>
                </c:pt>
                <c:pt idx="1">
                  <c:v>37</c:v>
                </c:pt>
                <c:pt idx="2">
                  <c:v>52</c:v>
                </c:pt>
                <c:pt idx="3">
                  <c:v>73</c:v>
                </c:pt>
                <c:pt idx="4">
                  <c:v>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819903"/>
        <c:axId val="1501823647"/>
      </c:lineChart>
      <c:catAx>
        <c:axId val="42923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429233695"/>
        <c:crosses val="autoZero"/>
        <c:auto val="1"/>
        <c:lblAlgn val="ctr"/>
        <c:lblOffset val="100"/>
        <c:noMultiLvlLbl val="0"/>
      </c:catAx>
      <c:valAx>
        <c:axId val="42923369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429233279"/>
        <c:crosses val="autoZero"/>
        <c:crossBetween val="between"/>
      </c:valAx>
      <c:catAx>
        <c:axId val="1501819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01823647"/>
        <c:crosses val="autoZero"/>
        <c:auto val="1"/>
        <c:lblAlgn val="ctr"/>
        <c:lblOffset val="100"/>
        <c:noMultiLvlLbl val="0"/>
      </c:catAx>
      <c:valAx>
        <c:axId val="1501823647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</a:p>
        </c:txPr>
        <c:crossAx val="150181990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3863735783027"/>
          <c:y val="0.064537037037037"/>
          <c:w val="0.258383420822397"/>
          <c:h val="0.176790244969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f3100d-85ce-4eab-b8c1-d3b8c95cb0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思源黑体 CN Regular" panose="020B0500000000000000" pitchFamily="34" charset="-122"/>
          <a:ea typeface="思源黑体 CN Regular" panose="020B0500000000000000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304144</xdr:rowOff>
    </xdr:to>
    <xdr:sp>
      <xdr:nvSpPr>
        <xdr:cNvPr id="2" name="AutoShape 2"/>
        <xdr:cNvSpPr>
          <a:spLocks noChangeAspect="1" noChangeArrowheads="1"/>
        </xdr:cNvSpPr>
      </xdr:nvSpPr>
      <xdr:spPr>
        <a:xfrm>
          <a:off x="9303385" y="102743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</xdr:colOff>
      <xdr:row>13</xdr:row>
      <xdr:rowOff>1</xdr:rowOff>
    </xdr:from>
    <xdr:to>
      <xdr:col>6</xdr:col>
      <xdr:colOff>1131795</xdr:colOff>
      <xdr:row>24</xdr:row>
      <xdr:rowOff>1</xdr:rowOff>
    </xdr:to>
    <xdr:graphicFrame>
      <xdr:nvGraphicFramePr>
        <xdr:cNvPr id="3" name="图表 2"/>
        <xdr:cNvGraphicFramePr/>
      </xdr:nvGraphicFramePr>
      <xdr:xfrm>
        <a:off x="475615" y="3450590"/>
        <a:ext cx="4342130" cy="2353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33618</xdr:colOff>
      <xdr:row>13</xdr:row>
      <xdr:rowOff>0</xdr:rowOff>
    </xdr:from>
    <xdr:to>
      <xdr:col>11</xdr:col>
      <xdr:colOff>0</xdr:colOff>
      <xdr:row>24</xdr:row>
      <xdr:rowOff>0</xdr:rowOff>
    </xdr:to>
    <xdr:graphicFrame>
      <xdr:nvGraphicFramePr>
        <xdr:cNvPr id="4" name="图表 3"/>
        <xdr:cNvGraphicFramePr/>
      </xdr:nvGraphicFramePr>
      <xdr:xfrm>
        <a:off x="4850765" y="3450590"/>
        <a:ext cx="4452620" cy="2353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</xdr:colOff>
      <xdr:row>25</xdr:row>
      <xdr:rowOff>0</xdr:rowOff>
    </xdr:from>
    <xdr:to>
      <xdr:col>6</xdr:col>
      <xdr:colOff>1131795</xdr:colOff>
      <xdr:row>36</xdr:row>
      <xdr:rowOff>0</xdr:rowOff>
    </xdr:to>
    <xdr:graphicFrame>
      <xdr:nvGraphicFramePr>
        <xdr:cNvPr id="5" name="图表 4"/>
        <xdr:cNvGraphicFramePr/>
      </xdr:nvGraphicFramePr>
      <xdr:xfrm>
        <a:off x="475615" y="5907405"/>
        <a:ext cx="4342130" cy="2353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33618</xdr:colOff>
      <xdr:row>25</xdr:row>
      <xdr:rowOff>0</xdr:rowOff>
    </xdr:from>
    <xdr:to>
      <xdr:col>11</xdr:col>
      <xdr:colOff>0</xdr:colOff>
      <xdr:row>36</xdr:row>
      <xdr:rowOff>0</xdr:rowOff>
    </xdr:to>
    <xdr:graphicFrame>
      <xdr:nvGraphicFramePr>
        <xdr:cNvPr id="6" name="图表 5"/>
        <xdr:cNvGraphicFramePr/>
      </xdr:nvGraphicFramePr>
      <xdr:xfrm>
        <a:off x="4850765" y="5907405"/>
        <a:ext cx="4452620" cy="2353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12</xdr:row>
      <xdr:rowOff>100965</xdr:rowOff>
    </xdr:from>
    <xdr:to>
      <xdr:col>7</xdr:col>
      <xdr:colOff>0</xdr:colOff>
      <xdr:row>28</xdr:row>
      <xdr:rowOff>184150</xdr:rowOff>
    </xdr:to>
    <xdr:graphicFrame>
      <xdr:nvGraphicFramePr>
        <xdr:cNvPr id="2" name="图表 1"/>
        <xdr:cNvGraphicFramePr/>
      </xdr:nvGraphicFramePr>
      <xdr:xfrm>
        <a:off x="475615" y="3795395"/>
        <a:ext cx="4342130" cy="3284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33020</xdr:colOff>
      <xdr:row>12</xdr:row>
      <xdr:rowOff>100965</xdr:rowOff>
    </xdr:from>
    <xdr:to>
      <xdr:col>10</xdr:col>
      <xdr:colOff>1120140</xdr:colOff>
      <xdr:row>28</xdr:row>
      <xdr:rowOff>184150</xdr:rowOff>
    </xdr:to>
    <xdr:graphicFrame>
      <xdr:nvGraphicFramePr>
        <xdr:cNvPr id="3" name="图表 2"/>
        <xdr:cNvGraphicFramePr/>
      </xdr:nvGraphicFramePr>
      <xdr:xfrm>
        <a:off x="4850765" y="3795395"/>
        <a:ext cx="4451350" cy="3284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29</xdr:row>
      <xdr:rowOff>45085</xdr:rowOff>
    </xdr:from>
    <xdr:to>
      <xdr:col>7</xdr:col>
      <xdr:colOff>0</xdr:colOff>
      <xdr:row>36</xdr:row>
      <xdr:rowOff>1808480</xdr:rowOff>
    </xdr:to>
    <xdr:graphicFrame>
      <xdr:nvGraphicFramePr>
        <xdr:cNvPr id="4" name="图表 3"/>
        <xdr:cNvGraphicFramePr/>
      </xdr:nvGraphicFramePr>
      <xdr:xfrm>
        <a:off x="475615" y="7155180"/>
        <a:ext cx="4342130" cy="32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33020</xdr:colOff>
      <xdr:row>29</xdr:row>
      <xdr:rowOff>45085</xdr:rowOff>
    </xdr:from>
    <xdr:to>
      <xdr:col>10</xdr:col>
      <xdr:colOff>1120140</xdr:colOff>
      <xdr:row>36</xdr:row>
      <xdr:rowOff>1808480</xdr:rowOff>
    </xdr:to>
    <xdr:graphicFrame>
      <xdr:nvGraphicFramePr>
        <xdr:cNvPr id="5" name="图表 4"/>
        <xdr:cNvGraphicFramePr/>
      </xdr:nvGraphicFramePr>
      <xdr:xfrm>
        <a:off x="4850765" y="7155180"/>
        <a:ext cx="4451350" cy="32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M38"/>
  <sheetViews>
    <sheetView showGridLines="0" zoomScale="85" zoomScaleNormal="85" workbookViewId="0">
      <selection activeCell="D11" sqref="D11"/>
    </sheetView>
  </sheetViews>
  <sheetFormatPr defaultColWidth="9" defaultRowHeight="16.85"/>
  <cols>
    <col min="1" max="1" width="1.6283185840708" style="3" customWidth="1"/>
    <col min="2" max="2" width="0.371681415929204" style="3" customWidth="1"/>
    <col min="3" max="3" width="4.6283185840708" style="3" customWidth="1"/>
    <col min="4" max="5" width="14.6283185840708" style="3" customWidth="1"/>
    <col min="6" max="11" width="15.6283185840708" style="3" customWidth="1"/>
    <col min="12" max="12" width="4.6283185840708" style="3" customWidth="1"/>
    <col min="13" max="13" width="0.371681415929204" style="3" customWidth="1"/>
    <col min="14" max="16384" width="9" style="3"/>
  </cols>
  <sheetData>
    <row r="1" ht="8.1" customHeight="1"/>
    <row r="2" ht="2.45" customHeight="1" spans="2:1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34"/>
    </row>
    <row r="3" s="1" customFormat="1" ht="9.95" customHeight="1" spans="2:13">
      <c r="B3" s="6"/>
      <c r="C3" s="7"/>
      <c r="D3" s="7"/>
      <c r="E3" s="7"/>
      <c r="F3" s="7"/>
      <c r="G3" s="7"/>
      <c r="H3" s="7"/>
      <c r="I3" s="7"/>
      <c r="J3" s="7"/>
      <c r="K3" s="7"/>
      <c r="M3" s="35"/>
    </row>
    <row r="4" ht="52.5" customHeight="1" spans="2:13">
      <c r="B4" s="4"/>
      <c r="C4" s="8" t="s">
        <v>0</v>
      </c>
      <c r="D4" s="8"/>
      <c r="E4" s="8"/>
      <c r="F4" s="8"/>
      <c r="G4" s="8"/>
      <c r="H4" s="8"/>
      <c r="I4" s="8"/>
      <c r="J4" s="8"/>
      <c r="K4" s="8"/>
      <c r="L4" s="8"/>
      <c r="M4" s="36"/>
    </row>
    <row r="5" ht="7.9" customHeight="1" spans="2:13">
      <c r="B5" s="4"/>
      <c r="C5" s="9"/>
      <c r="D5" s="10"/>
      <c r="E5" s="10"/>
      <c r="F5" s="10"/>
      <c r="G5" s="10"/>
      <c r="H5" s="10"/>
      <c r="I5" s="10"/>
      <c r="J5" s="37"/>
      <c r="K5" s="37"/>
      <c r="M5" s="36"/>
    </row>
    <row r="6" s="2" customFormat="1" ht="26.1" customHeight="1" spans="2:13">
      <c r="B6" s="11"/>
      <c r="D6" s="40" t="s">
        <v>1</v>
      </c>
      <c r="E6" s="41" t="s">
        <v>2</v>
      </c>
      <c r="F6" s="41" t="s">
        <v>3</v>
      </c>
      <c r="G6" s="41" t="s">
        <v>4</v>
      </c>
      <c r="H6" s="41" t="s">
        <v>5</v>
      </c>
      <c r="I6" s="41" t="s">
        <v>6</v>
      </c>
      <c r="J6" s="41" t="s">
        <v>7</v>
      </c>
      <c r="K6" s="41" t="s">
        <v>8</v>
      </c>
      <c r="M6" s="38"/>
    </row>
    <row r="7" s="2" customFormat="1" ht="26.1" customHeight="1" spans="2:13">
      <c r="B7" s="11"/>
      <c r="D7" s="14">
        <v>2020</v>
      </c>
      <c r="E7" s="15">
        <v>21</v>
      </c>
      <c r="F7" s="15">
        <f>I7*E7*12</f>
        <v>1359540</v>
      </c>
      <c r="G7" s="16">
        <v>0.12</v>
      </c>
      <c r="H7" s="15">
        <f>F7/12</f>
        <v>113295</v>
      </c>
      <c r="I7" s="15">
        <v>5395</v>
      </c>
      <c r="J7" s="15">
        <v>8472000</v>
      </c>
      <c r="K7" s="16">
        <v>0.1</v>
      </c>
      <c r="M7" s="38"/>
    </row>
    <row r="8" s="2" customFormat="1" ht="26.1" customHeight="1" spans="2:13">
      <c r="B8" s="11"/>
      <c r="D8" s="17">
        <v>2021</v>
      </c>
      <c r="E8" s="18">
        <v>37</v>
      </c>
      <c r="F8" s="18">
        <f>I8*E8*12</f>
        <v>2584080</v>
      </c>
      <c r="G8" s="19">
        <f>F8/F7-1</f>
        <v>0.900701707930624</v>
      </c>
      <c r="H8" s="18">
        <f>F8/12</f>
        <v>215340</v>
      </c>
      <c r="I8" s="18">
        <v>5820</v>
      </c>
      <c r="J8" s="18">
        <v>19008000</v>
      </c>
      <c r="K8" s="19">
        <f>J8/J7-1</f>
        <v>1.24362606232295</v>
      </c>
      <c r="M8" s="38"/>
    </row>
    <row r="9" s="2" customFormat="1" ht="26.1" customHeight="1" spans="2:13">
      <c r="B9" s="11"/>
      <c r="D9" s="20">
        <v>2022</v>
      </c>
      <c r="E9" s="21">
        <v>52</v>
      </c>
      <c r="F9" s="21">
        <f>I9*E9*12</f>
        <v>3814512</v>
      </c>
      <c r="G9" s="22">
        <f>F9/F8-1</f>
        <v>0.476158632859664</v>
      </c>
      <c r="H9" s="21">
        <f>F9/12</f>
        <v>317876</v>
      </c>
      <c r="I9" s="21">
        <v>6113</v>
      </c>
      <c r="J9" s="21">
        <v>28307353.8461538</v>
      </c>
      <c r="K9" s="22">
        <f>J9/J8-1</f>
        <v>0.489233682983681</v>
      </c>
      <c r="M9" s="38"/>
    </row>
    <row r="10" s="2" customFormat="1" ht="26.1" customHeight="1" spans="2:13">
      <c r="B10" s="11"/>
      <c r="D10" s="17">
        <v>2023</v>
      </c>
      <c r="E10" s="18">
        <v>73</v>
      </c>
      <c r="F10" s="18">
        <f>I10*E10*12</f>
        <v>5601144</v>
      </c>
      <c r="G10" s="19">
        <f>F10/F9-1</f>
        <v>0.468377606362229</v>
      </c>
      <c r="H10" s="18">
        <f>F10/12</f>
        <v>466762</v>
      </c>
      <c r="I10" s="18">
        <v>6394</v>
      </c>
      <c r="J10" s="18">
        <v>41830892.3076923</v>
      </c>
      <c r="K10" s="19">
        <f>J10/J9-1</f>
        <v>0.47773940775379</v>
      </c>
      <c r="M10" s="38"/>
    </row>
    <row r="11" s="2" customFormat="1" ht="26.1" customHeight="1" spans="2:13">
      <c r="B11" s="11"/>
      <c r="D11" s="23">
        <v>2024</v>
      </c>
      <c r="E11" s="21">
        <v>96</v>
      </c>
      <c r="F11" s="21">
        <f>I11*E11*12</f>
        <v>8487936</v>
      </c>
      <c r="G11" s="24">
        <f>F11/F10-1</f>
        <v>0.515393283943423</v>
      </c>
      <c r="H11" s="25">
        <f>F11/12</f>
        <v>707328</v>
      </c>
      <c r="I11" s="25">
        <v>7368</v>
      </c>
      <c r="J11" s="25">
        <v>69046000</v>
      </c>
      <c r="K11" s="24">
        <f>J11/J10-1</f>
        <v>0.650598306441173</v>
      </c>
      <c r="M11" s="38"/>
    </row>
    <row r="12" s="2" customFormat="1" ht="26.1" customHeight="1" spans="2:13">
      <c r="B12" s="11"/>
      <c r="D12" s="26" t="s">
        <v>9</v>
      </c>
      <c r="E12" s="27"/>
      <c r="F12" s="27">
        <f>SUM(F7:F11)</f>
        <v>21847212</v>
      </c>
      <c r="G12" s="28"/>
      <c r="H12" s="27">
        <f>SUM(H7:H11)/5</f>
        <v>364120.2</v>
      </c>
      <c r="I12" s="27">
        <f>SUM(I7:I11)/5</f>
        <v>6218</v>
      </c>
      <c r="J12" s="27">
        <f>SUM(J7:J11)</f>
        <v>166664246.153846</v>
      </c>
      <c r="K12" s="28"/>
      <c r="M12" s="38"/>
    </row>
    <row r="13" ht="8.1" customHeight="1" spans="2:13">
      <c r="B13" s="4"/>
      <c r="D13" s="29"/>
      <c r="E13" s="30"/>
      <c r="F13" s="30"/>
      <c r="G13" s="30"/>
      <c r="H13" s="30"/>
      <c r="I13" s="30"/>
      <c r="J13" s="30"/>
      <c r="K13" s="39"/>
      <c r="M13" s="36"/>
    </row>
    <row r="14" spans="2:13">
      <c r="B14" s="4"/>
      <c r="D14" s="31"/>
      <c r="E14" s="31"/>
      <c r="F14" s="31"/>
      <c r="G14" s="31"/>
      <c r="H14" s="31"/>
      <c r="I14" s="31"/>
      <c r="J14" s="31"/>
      <c r="K14" s="31"/>
      <c r="M14" s="36"/>
    </row>
    <row r="15" spans="2:13">
      <c r="B15" s="4"/>
      <c r="D15" s="31"/>
      <c r="E15" s="31"/>
      <c r="F15" s="31"/>
      <c r="G15" s="31"/>
      <c r="H15" s="31"/>
      <c r="I15" s="31"/>
      <c r="J15" s="31"/>
      <c r="K15" s="31"/>
      <c r="M15" s="36"/>
    </row>
    <row r="16" spans="2:13">
      <c r="B16" s="4"/>
      <c r="D16" s="31"/>
      <c r="E16" s="31"/>
      <c r="F16" s="31"/>
      <c r="G16" s="31"/>
      <c r="H16" s="31"/>
      <c r="I16" s="31"/>
      <c r="J16" s="31"/>
      <c r="K16" s="31"/>
      <c r="M16" s="36"/>
    </row>
    <row r="17" spans="2:13">
      <c r="B17" s="4"/>
      <c r="D17" s="31"/>
      <c r="E17" s="31"/>
      <c r="F17" s="31"/>
      <c r="G17" s="31"/>
      <c r="H17" s="31"/>
      <c r="I17" s="31"/>
      <c r="J17" s="31"/>
      <c r="K17" s="31"/>
      <c r="M17" s="36"/>
    </row>
    <row r="18" spans="2:13">
      <c r="B18" s="4"/>
      <c r="D18" s="31"/>
      <c r="E18" s="31"/>
      <c r="F18" s="31"/>
      <c r="G18" s="31"/>
      <c r="H18" s="31"/>
      <c r="I18" s="31"/>
      <c r="J18" s="31"/>
      <c r="K18" s="31"/>
      <c r="M18" s="36"/>
    </row>
    <row r="19" spans="2:13">
      <c r="B19" s="4"/>
      <c r="D19" s="31"/>
      <c r="E19" s="31"/>
      <c r="F19" s="31"/>
      <c r="G19" s="31"/>
      <c r="H19" s="31"/>
      <c r="I19" s="31"/>
      <c r="J19" s="31"/>
      <c r="K19" s="31"/>
      <c r="M19" s="36"/>
    </row>
    <row r="20" spans="2:13">
      <c r="B20" s="4"/>
      <c r="D20" s="31"/>
      <c r="E20" s="31"/>
      <c r="F20" s="31"/>
      <c r="G20" s="31"/>
      <c r="H20" s="31"/>
      <c r="I20" s="31"/>
      <c r="J20" s="31"/>
      <c r="K20" s="31"/>
      <c r="M20" s="36"/>
    </row>
    <row r="21" spans="2:13">
      <c r="B21" s="4"/>
      <c r="D21" s="31"/>
      <c r="E21" s="31"/>
      <c r="F21" s="31"/>
      <c r="G21" s="31"/>
      <c r="H21" s="31"/>
      <c r="I21" s="31"/>
      <c r="J21" s="31"/>
      <c r="K21" s="31"/>
      <c r="M21" s="36"/>
    </row>
    <row r="22" spans="2:13">
      <c r="B22" s="4"/>
      <c r="D22" s="31"/>
      <c r="E22" s="31"/>
      <c r="F22" s="31"/>
      <c r="G22" s="31"/>
      <c r="H22" s="31"/>
      <c r="I22" s="31"/>
      <c r="J22" s="31"/>
      <c r="K22" s="31"/>
      <c r="M22" s="36"/>
    </row>
    <row r="23" spans="2:13">
      <c r="B23" s="4"/>
      <c r="D23" s="31"/>
      <c r="E23" s="31"/>
      <c r="F23" s="31"/>
      <c r="G23" s="31"/>
      <c r="H23" s="31"/>
      <c r="I23" s="31"/>
      <c r="J23" s="31"/>
      <c r="K23" s="31"/>
      <c r="M23" s="36"/>
    </row>
    <row r="24" spans="2:13">
      <c r="B24" s="4"/>
      <c r="D24" s="31"/>
      <c r="E24" s="31"/>
      <c r="F24" s="31"/>
      <c r="G24" s="31"/>
      <c r="H24" s="31"/>
      <c r="I24" s="31"/>
      <c r="J24" s="31"/>
      <c r="K24" s="31"/>
      <c r="M24" s="36"/>
    </row>
    <row r="25" ht="8.1" customHeight="1" spans="2:13">
      <c r="B25" s="4"/>
      <c r="D25" s="31"/>
      <c r="E25" s="31"/>
      <c r="F25" s="31"/>
      <c r="G25" s="31"/>
      <c r="H25" s="31"/>
      <c r="I25" s="31"/>
      <c r="J25" s="31"/>
      <c r="K25" s="31"/>
      <c r="M25" s="36"/>
    </row>
    <row r="26" spans="2:13">
      <c r="B26" s="4"/>
      <c r="D26" s="31"/>
      <c r="E26" s="31"/>
      <c r="F26" s="31"/>
      <c r="G26" s="31"/>
      <c r="H26" s="31"/>
      <c r="I26" s="31"/>
      <c r="J26" s="31"/>
      <c r="K26" s="31"/>
      <c r="M26" s="36"/>
    </row>
    <row r="27" spans="2:13">
      <c r="B27" s="4"/>
      <c r="D27" s="31"/>
      <c r="E27" s="31"/>
      <c r="F27" s="31"/>
      <c r="G27" s="31"/>
      <c r="H27" s="31"/>
      <c r="I27" s="31"/>
      <c r="J27" s="31"/>
      <c r="K27" s="31"/>
      <c r="M27" s="36"/>
    </row>
    <row r="28" spans="2:13">
      <c r="B28" s="4"/>
      <c r="D28" s="31"/>
      <c r="E28" s="31"/>
      <c r="F28" s="31"/>
      <c r="G28" s="31"/>
      <c r="H28" s="31"/>
      <c r="I28" s="31"/>
      <c r="J28" s="31"/>
      <c r="K28" s="31"/>
      <c r="M28" s="36"/>
    </row>
    <row r="29" spans="2:13">
      <c r="B29" s="4"/>
      <c r="D29" s="31"/>
      <c r="E29" s="31"/>
      <c r="F29" s="31"/>
      <c r="G29" s="31"/>
      <c r="H29" s="31"/>
      <c r="I29" s="31"/>
      <c r="J29" s="31"/>
      <c r="K29" s="31"/>
      <c r="M29" s="36"/>
    </row>
    <row r="30" spans="2:13">
      <c r="B30" s="4"/>
      <c r="D30" s="31"/>
      <c r="E30" s="31"/>
      <c r="F30" s="31"/>
      <c r="G30" s="31"/>
      <c r="H30" s="31"/>
      <c r="I30" s="31"/>
      <c r="J30" s="31"/>
      <c r="K30" s="31"/>
      <c r="M30" s="36"/>
    </row>
    <row r="31" spans="2:13">
      <c r="B31" s="4"/>
      <c r="D31" s="31"/>
      <c r="E31" s="31"/>
      <c r="F31" s="31"/>
      <c r="G31" s="31"/>
      <c r="H31" s="31"/>
      <c r="I31" s="31"/>
      <c r="J31" s="31"/>
      <c r="K31" s="31"/>
      <c r="M31" s="36"/>
    </row>
    <row r="32" spans="2:13">
      <c r="B32" s="4"/>
      <c r="D32" s="31"/>
      <c r="E32" s="31"/>
      <c r="F32" s="31"/>
      <c r="G32" s="31"/>
      <c r="H32" s="31"/>
      <c r="I32" s="31"/>
      <c r="J32" s="31"/>
      <c r="K32" s="31"/>
      <c r="M32" s="36"/>
    </row>
    <row r="33" spans="2:13">
      <c r="B33" s="4"/>
      <c r="D33" s="31"/>
      <c r="E33" s="31"/>
      <c r="F33" s="31"/>
      <c r="G33" s="31"/>
      <c r="H33" s="31"/>
      <c r="I33" s="31"/>
      <c r="J33" s="31"/>
      <c r="K33" s="31"/>
      <c r="M33" s="36"/>
    </row>
    <row r="34" spans="2:13">
      <c r="B34" s="4"/>
      <c r="D34" s="31"/>
      <c r="E34" s="31"/>
      <c r="F34" s="31"/>
      <c r="G34" s="31"/>
      <c r="H34" s="31"/>
      <c r="I34" s="31"/>
      <c r="J34" s="31"/>
      <c r="K34" s="31"/>
      <c r="M34" s="36"/>
    </row>
    <row r="35" spans="2:13">
      <c r="B35" s="4"/>
      <c r="D35" s="31"/>
      <c r="E35" s="31"/>
      <c r="F35" s="31"/>
      <c r="G35" s="31"/>
      <c r="H35" s="31"/>
      <c r="I35" s="31"/>
      <c r="J35" s="31"/>
      <c r="K35" s="31"/>
      <c r="M35" s="36"/>
    </row>
    <row r="36" spans="2:13">
      <c r="B36" s="4"/>
      <c r="D36" s="31"/>
      <c r="E36" s="31"/>
      <c r="F36" s="31"/>
      <c r="G36" s="31"/>
      <c r="H36" s="31"/>
      <c r="I36" s="31"/>
      <c r="J36" s="31"/>
      <c r="K36" s="31"/>
      <c r="M36" s="36"/>
    </row>
    <row r="37" spans="2:13">
      <c r="B37" s="4"/>
      <c r="M37" s="36"/>
    </row>
    <row r="38" ht="2.45" customHeight="1" spans="2:12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</row>
  </sheetData>
  <mergeCells count="1">
    <mergeCell ref="C4:L4"/>
  </mergeCells>
  <conditionalFormatting sqref="K7:K11">
    <cfRule type="cellIs" dxfId="0" priority="1" operator="lessThan">
      <formula>0</formula>
    </cfRule>
  </conditionalFormatting>
  <printOptions horizontalCentered="1"/>
  <pageMargins left="0.25" right="0.25" top="0.75" bottom="0.75" header="0.3" footer="0.3"/>
  <pageSetup paperSize="9" scale="8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B1:M38"/>
  <sheetViews>
    <sheetView showGridLines="0" tabSelected="1" zoomScale="70" zoomScaleNormal="70" workbookViewId="0">
      <selection activeCell="R27" sqref="R27"/>
    </sheetView>
  </sheetViews>
  <sheetFormatPr defaultColWidth="9" defaultRowHeight="16.85"/>
  <cols>
    <col min="1" max="1" width="1.6283185840708" style="3" customWidth="1"/>
    <col min="2" max="2" width="0.371681415929204" style="3" customWidth="1"/>
    <col min="3" max="3" width="4.6283185840708" style="3" customWidth="1"/>
    <col min="4" max="5" width="14.6283185840708" style="3" customWidth="1"/>
    <col min="6" max="11" width="15.6283185840708" style="3" customWidth="1"/>
    <col min="12" max="12" width="4.6283185840708" style="3" customWidth="1"/>
    <col min="13" max="13" width="0.371681415929204" style="3" customWidth="1"/>
    <col min="14" max="16384" width="9" style="3"/>
  </cols>
  <sheetData>
    <row r="1" ht="8.1" customHeight="1"/>
    <row r="2" ht="2.45" customHeight="1" spans="2:1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34"/>
    </row>
    <row r="3" s="1" customFormat="1" ht="9.95" customHeight="1" spans="2:13">
      <c r="B3" s="6"/>
      <c r="C3" s="7"/>
      <c r="D3" s="7"/>
      <c r="E3" s="7"/>
      <c r="F3" s="7"/>
      <c r="G3" s="7"/>
      <c r="H3" s="7"/>
      <c r="I3" s="7"/>
      <c r="J3" s="7"/>
      <c r="K3" s="7"/>
      <c r="M3" s="35"/>
    </row>
    <row r="4" ht="52.5" customHeight="1" spans="2:13">
      <c r="B4" s="4"/>
      <c r="C4" s="8" t="s">
        <v>0</v>
      </c>
      <c r="D4" s="8"/>
      <c r="E4" s="8"/>
      <c r="F4" s="8"/>
      <c r="G4" s="8"/>
      <c r="H4" s="8"/>
      <c r="I4" s="8"/>
      <c r="J4" s="8"/>
      <c r="K4" s="8"/>
      <c r="L4" s="8"/>
      <c r="M4" s="36"/>
    </row>
    <row r="5" ht="7.9" customHeight="1" spans="2:13">
      <c r="B5" s="4"/>
      <c r="C5" s="9"/>
      <c r="D5" s="10"/>
      <c r="E5" s="10"/>
      <c r="F5" s="10"/>
      <c r="G5" s="10"/>
      <c r="H5" s="10"/>
      <c r="I5" s="10"/>
      <c r="J5" s="37"/>
      <c r="K5" s="37"/>
      <c r="M5" s="36"/>
    </row>
    <row r="6" s="2" customFormat="1" ht="30" customHeight="1" spans="2:13">
      <c r="B6" s="11"/>
      <c r="D6" s="12" t="s">
        <v>1</v>
      </c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M6" s="38"/>
    </row>
    <row r="7" s="2" customFormat="1" ht="30" customHeight="1" spans="2:13">
      <c r="B7" s="11"/>
      <c r="D7" s="14">
        <v>2021</v>
      </c>
      <c r="E7" s="15">
        <v>21</v>
      </c>
      <c r="F7" s="15">
        <f>I7*E7*12</f>
        <v>1384740</v>
      </c>
      <c r="G7" s="16">
        <v>0.12</v>
      </c>
      <c r="H7" s="15">
        <f t="shared" ref="H7:H11" si="0">F7/12</f>
        <v>115395</v>
      </c>
      <c r="I7" s="15">
        <v>5495</v>
      </c>
      <c r="J7" s="15">
        <v>8472000</v>
      </c>
      <c r="K7" s="16">
        <v>0.1</v>
      </c>
      <c r="M7" s="38"/>
    </row>
    <row r="8" s="2" customFormat="1" ht="30" customHeight="1" spans="2:13">
      <c r="B8" s="11"/>
      <c r="D8" s="17">
        <v>2022</v>
      </c>
      <c r="E8" s="18">
        <v>37</v>
      </c>
      <c r="F8" s="18">
        <f t="shared" ref="F7:F11" si="1">I8*E8*12</f>
        <v>2628480</v>
      </c>
      <c r="G8" s="19">
        <f>F8/F7-1</f>
        <v>0.898175830841891</v>
      </c>
      <c r="H8" s="18">
        <f t="shared" si="0"/>
        <v>219040</v>
      </c>
      <c r="I8" s="18">
        <v>5920</v>
      </c>
      <c r="J8" s="18">
        <v>19008000</v>
      </c>
      <c r="K8" s="19">
        <f t="shared" ref="K8:K11" si="2">J8/J7-1</f>
        <v>1.24362606232295</v>
      </c>
      <c r="M8" s="38"/>
    </row>
    <row r="9" s="2" customFormat="1" ht="30" customHeight="1" spans="2:13">
      <c r="B9" s="11"/>
      <c r="D9" s="20">
        <v>2023</v>
      </c>
      <c r="E9" s="21">
        <v>52</v>
      </c>
      <c r="F9" s="21">
        <f t="shared" si="1"/>
        <v>3876912</v>
      </c>
      <c r="G9" s="22">
        <f t="shared" ref="G8:G11" si="3">F9/F8-1</f>
        <v>0.474963476990504</v>
      </c>
      <c r="H9" s="21">
        <f t="shared" si="0"/>
        <v>323076</v>
      </c>
      <c r="I9" s="21">
        <v>6213</v>
      </c>
      <c r="J9" s="21">
        <v>28307353.8461538</v>
      </c>
      <c r="K9" s="22">
        <f t="shared" si="2"/>
        <v>0.489233682983681</v>
      </c>
      <c r="M9" s="38"/>
    </row>
    <row r="10" s="2" customFormat="1" ht="30" customHeight="1" spans="2:13">
      <c r="B10" s="11"/>
      <c r="D10" s="17">
        <v>2024</v>
      </c>
      <c r="E10" s="18">
        <v>73</v>
      </c>
      <c r="F10" s="18">
        <f t="shared" si="1"/>
        <v>5688744</v>
      </c>
      <c r="G10" s="19">
        <f t="shared" si="3"/>
        <v>0.467338954301774</v>
      </c>
      <c r="H10" s="18">
        <f t="shared" si="0"/>
        <v>474062</v>
      </c>
      <c r="I10" s="18">
        <v>6494</v>
      </c>
      <c r="J10" s="18">
        <v>41830892.3076923</v>
      </c>
      <c r="K10" s="19">
        <f t="shared" si="2"/>
        <v>0.47773940775379</v>
      </c>
      <c r="M10" s="38"/>
    </row>
    <row r="11" s="2" customFormat="1" ht="30" customHeight="1" spans="2:13">
      <c r="B11" s="11"/>
      <c r="D11" s="23">
        <v>2025</v>
      </c>
      <c r="E11" s="21">
        <v>96</v>
      </c>
      <c r="F11" s="21">
        <f t="shared" si="1"/>
        <v>8603136</v>
      </c>
      <c r="G11" s="24">
        <f t="shared" si="3"/>
        <v>0.512308516607532</v>
      </c>
      <c r="H11" s="25">
        <f t="shared" si="0"/>
        <v>716928</v>
      </c>
      <c r="I11" s="25">
        <v>7468</v>
      </c>
      <c r="J11" s="25">
        <v>69046000</v>
      </c>
      <c r="K11" s="24">
        <f t="shared" si="2"/>
        <v>0.650598306441173</v>
      </c>
      <c r="M11" s="38"/>
    </row>
    <row r="12" s="2" customFormat="1" ht="30" customHeight="1" spans="2:13">
      <c r="B12" s="11"/>
      <c r="D12" s="26" t="s">
        <v>9</v>
      </c>
      <c r="E12" s="27"/>
      <c r="F12" s="27">
        <f>SUM(F7:F11)</f>
        <v>22182012</v>
      </c>
      <c r="G12" s="28"/>
      <c r="H12" s="27">
        <f>SUM(H7:H11)/5</f>
        <v>369700.2</v>
      </c>
      <c r="I12" s="27">
        <f>SUM(I7:I11)/5</f>
        <v>6318</v>
      </c>
      <c r="J12" s="27">
        <f>SUM(J7:J11)</f>
        <v>166664246.153846</v>
      </c>
      <c r="K12" s="28"/>
      <c r="M12" s="38"/>
    </row>
    <row r="13" ht="8.1" customHeight="1" spans="2:13">
      <c r="B13" s="4"/>
      <c r="D13" s="29"/>
      <c r="E13" s="30"/>
      <c r="F13" s="30"/>
      <c r="G13" s="30"/>
      <c r="H13" s="30"/>
      <c r="I13" s="30"/>
      <c r="J13" s="30"/>
      <c r="K13" s="39"/>
      <c r="M13" s="36"/>
    </row>
    <row r="14" spans="2:13">
      <c r="B14" s="4"/>
      <c r="D14" s="31"/>
      <c r="E14" s="31"/>
      <c r="F14" s="31"/>
      <c r="G14" s="31"/>
      <c r="H14" s="31"/>
      <c r="I14" s="31"/>
      <c r="J14" s="31"/>
      <c r="K14" s="31"/>
      <c r="M14" s="36"/>
    </row>
    <row r="15" spans="2:13">
      <c r="B15" s="4"/>
      <c r="D15" s="31"/>
      <c r="E15" s="31"/>
      <c r="F15" s="31"/>
      <c r="G15" s="31"/>
      <c r="H15" s="31"/>
      <c r="I15" s="31"/>
      <c r="J15" s="31"/>
      <c r="K15" s="31"/>
      <c r="M15" s="36"/>
    </row>
    <row r="16" spans="2:13">
      <c r="B16" s="4"/>
      <c r="D16" s="31"/>
      <c r="E16" s="31"/>
      <c r="F16" s="31"/>
      <c r="G16" s="31"/>
      <c r="H16" s="31"/>
      <c r="I16" s="31"/>
      <c r="J16" s="31"/>
      <c r="K16" s="31"/>
      <c r="M16" s="36"/>
    </row>
    <row r="17" spans="2:13">
      <c r="B17" s="4"/>
      <c r="D17" s="31"/>
      <c r="E17" s="31"/>
      <c r="F17" s="31"/>
      <c r="G17" s="31"/>
      <c r="H17" s="31"/>
      <c r="I17" s="31"/>
      <c r="J17" s="31"/>
      <c r="K17" s="31"/>
      <c r="M17" s="36"/>
    </row>
    <row r="18" spans="2:13">
      <c r="B18" s="4"/>
      <c r="D18" s="31"/>
      <c r="E18" s="31"/>
      <c r="F18" s="31"/>
      <c r="G18" s="31"/>
      <c r="H18" s="31"/>
      <c r="I18" s="31"/>
      <c r="J18" s="31"/>
      <c r="K18" s="31"/>
      <c r="M18" s="36"/>
    </row>
    <row r="19" spans="2:13">
      <c r="B19" s="4"/>
      <c r="D19" s="31"/>
      <c r="E19" s="31"/>
      <c r="F19" s="31"/>
      <c r="G19" s="31"/>
      <c r="H19" s="31"/>
      <c r="I19" s="31"/>
      <c r="J19" s="31"/>
      <c r="K19" s="31"/>
      <c r="M19" s="36"/>
    </row>
    <row r="20" spans="2:13">
      <c r="B20" s="4"/>
      <c r="D20" s="31"/>
      <c r="E20" s="31"/>
      <c r="F20" s="31"/>
      <c r="G20" s="31"/>
      <c r="H20" s="31"/>
      <c r="I20" s="31"/>
      <c r="J20" s="31"/>
      <c r="K20" s="31"/>
      <c r="M20" s="36"/>
    </row>
    <row r="21" spans="2:13">
      <c r="B21" s="4"/>
      <c r="D21" s="31"/>
      <c r="E21" s="31"/>
      <c r="F21" s="31"/>
      <c r="G21" s="31"/>
      <c r="H21" s="31"/>
      <c r="I21" s="31"/>
      <c r="J21" s="31"/>
      <c r="K21" s="31"/>
      <c r="M21" s="36"/>
    </row>
    <row r="22" spans="2:13">
      <c r="B22" s="4"/>
      <c r="D22" s="31"/>
      <c r="E22" s="31"/>
      <c r="F22" s="31"/>
      <c r="G22" s="31"/>
      <c r="H22" s="31"/>
      <c r="I22" s="31"/>
      <c r="J22" s="31"/>
      <c r="K22" s="31"/>
      <c r="M22" s="36"/>
    </row>
    <row r="23" spans="2:13">
      <c r="B23" s="4"/>
      <c r="D23" s="31"/>
      <c r="E23" s="31"/>
      <c r="F23" s="31"/>
      <c r="G23" s="31"/>
      <c r="H23" s="31"/>
      <c r="I23" s="31"/>
      <c r="J23" s="31"/>
      <c r="K23" s="31"/>
      <c r="M23" s="36"/>
    </row>
    <row r="24" spans="2:13">
      <c r="B24" s="4"/>
      <c r="D24" s="31"/>
      <c r="E24" s="31"/>
      <c r="F24" s="31"/>
      <c r="G24" s="31"/>
      <c r="H24" s="31"/>
      <c r="I24" s="31"/>
      <c r="J24" s="31"/>
      <c r="K24" s="31"/>
      <c r="M24" s="36"/>
    </row>
    <row r="25" ht="8.1" customHeight="1" spans="2:13">
      <c r="B25" s="4"/>
      <c r="D25" s="31"/>
      <c r="E25" s="31"/>
      <c r="F25" s="31"/>
      <c r="G25" s="31"/>
      <c r="H25" s="31"/>
      <c r="I25" s="31"/>
      <c r="J25" s="31"/>
      <c r="K25" s="31"/>
      <c r="M25" s="36"/>
    </row>
    <row r="26" spans="2:13">
      <c r="B26" s="4"/>
      <c r="D26" s="31"/>
      <c r="E26" s="31"/>
      <c r="F26" s="31"/>
      <c r="G26" s="31"/>
      <c r="H26" s="31"/>
      <c r="I26" s="31"/>
      <c r="J26" s="31"/>
      <c r="K26" s="31"/>
      <c r="M26" s="36"/>
    </row>
    <row r="27" spans="2:13">
      <c r="B27" s="4"/>
      <c r="D27" s="31"/>
      <c r="E27" s="31"/>
      <c r="F27" s="31"/>
      <c r="G27" s="31"/>
      <c r="H27" s="31"/>
      <c r="I27" s="31"/>
      <c r="J27" s="31"/>
      <c r="K27" s="31"/>
      <c r="M27" s="36"/>
    </row>
    <row r="28" spans="2:13">
      <c r="B28" s="4"/>
      <c r="D28" s="31"/>
      <c r="E28" s="31"/>
      <c r="F28" s="31"/>
      <c r="G28" s="31"/>
      <c r="H28" s="31"/>
      <c r="I28" s="31"/>
      <c r="J28" s="31"/>
      <c r="K28" s="31"/>
      <c r="M28" s="36"/>
    </row>
    <row r="29" spans="2:13">
      <c r="B29" s="4"/>
      <c r="D29" s="31"/>
      <c r="E29" s="31"/>
      <c r="F29" s="31"/>
      <c r="G29" s="31"/>
      <c r="H29" s="31"/>
      <c r="I29" s="31"/>
      <c r="J29" s="31"/>
      <c r="K29" s="31"/>
      <c r="M29" s="36"/>
    </row>
    <row r="30" spans="2:13">
      <c r="B30" s="4"/>
      <c r="D30" s="31"/>
      <c r="E30" s="31"/>
      <c r="F30" s="31"/>
      <c r="G30" s="31"/>
      <c r="H30" s="31"/>
      <c r="I30" s="31"/>
      <c r="J30" s="31"/>
      <c r="K30" s="31"/>
      <c r="M30" s="36"/>
    </row>
    <row r="31" spans="2:13">
      <c r="B31" s="4"/>
      <c r="D31" s="31"/>
      <c r="E31" s="31"/>
      <c r="F31" s="31"/>
      <c r="G31" s="31"/>
      <c r="H31" s="31"/>
      <c r="I31" s="31"/>
      <c r="J31" s="31"/>
      <c r="K31" s="31"/>
      <c r="M31" s="36"/>
    </row>
    <row r="32" spans="2:13">
      <c r="B32" s="4"/>
      <c r="D32" s="31"/>
      <c r="E32" s="31"/>
      <c r="F32" s="31"/>
      <c r="G32" s="31"/>
      <c r="H32" s="31"/>
      <c r="I32" s="31"/>
      <c r="J32" s="31"/>
      <c r="K32" s="31"/>
      <c r="M32" s="36"/>
    </row>
    <row r="33" spans="2:13">
      <c r="B33" s="4"/>
      <c r="D33" s="31"/>
      <c r="E33" s="31"/>
      <c r="F33" s="31"/>
      <c r="G33" s="31"/>
      <c r="H33" s="31"/>
      <c r="I33" s="31"/>
      <c r="J33" s="31"/>
      <c r="K33" s="31"/>
      <c r="M33" s="36"/>
    </row>
    <row r="34" spans="2:13">
      <c r="B34" s="4"/>
      <c r="D34" s="31"/>
      <c r="E34" s="31"/>
      <c r="F34" s="31"/>
      <c r="G34" s="31"/>
      <c r="H34" s="31"/>
      <c r="I34" s="31"/>
      <c r="J34" s="31"/>
      <c r="K34" s="31"/>
      <c r="M34" s="36"/>
    </row>
    <row r="35" spans="2:13">
      <c r="B35" s="4"/>
      <c r="D35" s="31"/>
      <c r="E35" s="31"/>
      <c r="F35" s="31"/>
      <c r="G35" s="31"/>
      <c r="H35" s="31"/>
      <c r="I35" s="31"/>
      <c r="J35" s="31"/>
      <c r="K35" s="31"/>
      <c r="M35" s="36"/>
    </row>
    <row r="36" spans="2:13">
      <c r="B36" s="4"/>
      <c r="D36" s="31"/>
      <c r="E36" s="31"/>
      <c r="F36" s="31"/>
      <c r="G36" s="31"/>
      <c r="H36" s="31"/>
      <c r="I36" s="31"/>
      <c r="J36" s="31"/>
      <c r="K36" s="31"/>
      <c r="M36" s="36"/>
    </row>
    <row r="37" ht="162" customHeight="1" spans="2:13">
      <c r="B37" s="4"/>
      <c r="M37" s="36"/>
    </row>
    <row r="38" ht="2.45" customHeight="1" spans="2:12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</row>
  </sheetData>
  <mergeCells count="1">
    <mergeCell ref="C4:L4"/>
  </mergeCells>
  <conditionalFormatting sqref="K7:K11">
    <cfRule type="cellIs" dxfId="0" priority="1" operator="lessThan">
      <formula>0</formula>
    </cfRule>
  </conditionalFormatting>
  <printOptions horizontalCentered="1"/>
  <pageMargins left="0" right="0" top="0" bottom="0" header="0" footer="0"/>
  <pageSetup paperSize="9" scale="76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</vt:lpstr>
      <vt:lpstr>表格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2022-08-22T15:31:00Z</cp:lastPrinted>
  <dcterms:created xsi:type="dcterms:W3CDTF">2021-10-15T14:47:00Z</dcterms:created>
  <dcterms:modified xsi:type="dcterms:W3CDTF">2025-05-26T01:45:48Z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20C14F35683C4A2B889DAD99FCD64046_11</vt:lpwstr>
  </property>
  <property fmtid="{D5CDD505-2E9C-101B-9397-08002B2CF9AE}" pid="3" name="KSOProductBuildVer">
    <vt:lpwstr>2052-12.1.0.21171</vt:lpwstr>
  </property>
  <property fmtid="{D5CDD505-2E9C-101B-9397-08002B2CF9AE}" pid="4" name="KSOTemplateUUID">
    <vt:lpwstr>v1.0_mb_JBMjLB6grPDWDTxWhQI+uw==</vt:lpwstr>
  </property>
</Properties>
</file>