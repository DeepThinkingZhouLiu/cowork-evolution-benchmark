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底稿" sheetId="1" state="visible" r:id="rId1"/>
    <sheet xmlns:r="http://schemas.openxmlformats.org/officeDocument/2006/relationships" name="月度底稿" sheetId="2" state="visible" r:id="rId2"/>
    <sheet xmlns:r="http://schemas.openxmlformats.org/officeDocument/2006/relationships" name="报告底稿" sheetId="3" state="visible" r:id="rId3"/>
    <sheet xmlns:r="http://schemas.openxmlformats.org/officeDocument/2006/relationships" name="职级情景" sheetId="4" state="visible" r:id="rId4"/>
    <sheet xmlns:r="http://schemas.openxmlformats.org/officeDocument/2006/relationships" name="核对指标" sheetId="5" state="visible" r:id="rId5"/>
    <sheet xmlns:r="http://schemas.openxmlformats.org/officeDocument/2006/relationships" name="部门核对" sheetId="6" state="visible" r:id="rId6"/>
    <sheet xmlns:r="http://schemas.openxmlformats.org/officeDocument/2006/relationships" name="审查结论" sheetId="7" state="visible" r:id="rId7"/>
  </sheets>
  <definedNames>
    <definedName name="_xlnm._FilterDatabase" localSheetId="0" hidden="1">'年度底稿'!$A$1:$G$11</definedName>
    <definedName name="_xlnm.Print_Titles" localSheetId="0">'年度底稿'!$1:$1</definedName>
    <definedName name="_xlnm.Print_Area" localSheetId="0">'年度底稿'!$A$1:$G$11</definedName>
    <definedName name="_xlnm._FilterDatabase" localSheetId="1" hidden="1">'月度底稿'!$A$1:$E$29</definedName>
    <definedName name="_xlnm.Print_Titles" localSheetId="1">'月度底稿'!$1:$1</definedName>
    <definedName name="_xlnm.Print_Area" localSheetId="1">'月度底稿'!$A$1:$E$29</definedName>
    <definedName name="_xlnm._FilterDatabase" localSheetId="2" hidden="1">'报告底稿'!$A$1:$D$5</definedName>
    <definedName name="_xlnm.Print_Titles" localSheetId="2">'报告底稿'!$1:$1</definedName>
    <definedName name="_xlnm.Print_Area" localSheetId="2">'报告底稿'!$A$1:$D$5</definedName>
    <definedName name="_xlnm._FilterDatabase" localSheetId="3" hidden="1">'职级情景'!$A$1:$G$5</definedName>
    <definedName name="_xlnm.Print_Titles" localSheetId="3">'职级情景'!$1:$1</definedName>
    <definedName name="_xlnm.Print_Area" localSheetId="3">'职级情景'!$A$1:$G$5</definedName>
    <definedName name="_xlnm._FilterDatabase" localSheetId="4" hidden="1">'核对指标'!$A$1:$C$14</definedName>
    <definedName name="_xlnm.Print_Titles" localSheetId="4">'核对指标'!$1:$1</definedName>
    <definedName name="_xlnm.Print_Area" localSheetId="4">'核对指标'!$A$1:$C$14</definedName>
    <definedName name="_xlnm._FilterDatabase" localSheetId="5" hidden="1">'部门核对'!$A$1:$H$8</definedName>
    <definedName name="_xlnm.Print_Titles" localSheetId="5">'部门核对'!$1:$1</definedName>
    <definedName name="_xlnm.Print_Area" localSheetId="5">'部门核对'!$A$1:$H$32</definedName>
    <definedName name="_xlnm._FilterDatabase" localSheetId="6" hidden="1">'审查结论'!$A$1:$E$7</definedName>
    <definedName name="_xlnm.Print_Titles" localSheetId="6">'审查结论'!$1:$1</definedName>
    <definedName name="_xlnm.Print_Area" localSheetId="6">'审查结论'!$A$1:$E$7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两个版本部门工资核对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'部门核对'!G1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'部门核对'!$A$2:$A$8</f>
            </numRef>
          </cat>
          <val>
            <numRef>
              <f>'部门核对'!$G$2:$G$8</f>
            </numRef>
          </val>
        </ser>
        <ser>
          <idx val="1"/>
          <order val="1"/>
          <tx>
            <strRef>
              <f>'部门核对'!H1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'部门核对'!$A$2:$A$8</f>
            </numRef>
          </cat>
          <val>
            <numRef>
              <f>'部门核对'!$H$2:$H$8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2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38" customWidth="1" min="5" max="5"/>
    <col width="38" customWidth="1" min="6" max="6"/>
    <col width="65" customWidth="1" min="7" max="7"/>
  </cols>
  <sheetData>
    <row r="1">
      <c r="A1" s="1" t="inlineStr">
        <is>
          <t>版本</t>
        </is>
      </c>
      <c r="B1" s="1" t="inlineStr">
        <is>
          <t>年份</t>
        </is>
      </c>
      <c r="C1" s="1" t="inlineStr">
        <is>
          <t>人数</t>
        </is>
      </c>
      <c r="D1" s="1" t="inlineStr">
        <is>
          <t>年度薪酬</t>
        </is>
      </c>
      <c r="E1" s="1" t="inlineStr">
        <is>
          <t>业绩</t>
        </is>
      </c>
      <c r="F1" s="1" t="inlineStr">
        <is>
          <t>原列月均人均薪酬</t>
        </is>
      </c>
      <c r="G1" s="1" t="inlineStr">
        <is>
          <t>来源定位</t>
        </is>
      </c>
    </row>
    <row r="2" ht="48" customHeight="1">
      <c r="A2" s="2" t="inlineStr">
        <is>
          <t>A</t>
        </is>
      </c>
      <c r="B2" s="3" t="n">
        <v>2020</v>
      </c>
      <c r="C2" s="3" t="n">
        <v>21</v>
      </c>
      <c r="D2" s="3" t="n">
        <v>1359540</v>
      </c>
      <c r="E2" s="3" t="n">
        <v>8472000</v>
      </c>
      <c r="F2" s="3" t="n">
        <v>5395</v>
      </c>
      <c r="G2" s="2" t="inlineStr">
        <is>
          <t>1-公司_年度_人力资源薪酬分析表.xlsx/表格!7</t>
        </is>
      </c>
    </row>
    <row r="3" ht="48" customHeight="1">
      <c r="A3" s="2" t="inlineStr">
        <is>
          <t>A</t>
        </is>
      </c>
      <c r="B3" s="3" t="n">
        <v>2021</v>
      </c>
      <c r="C3" s="3" t="n">
        <v>37</v>
      </c>
      <c r="D3" s="3" t="n">
        <v>2584080</v>
      </c>
      <c r="E3" s="3" t="n">
        <v>19008000</v>
      </c>
      <c r="F3" s="3" t="n">
        <v>5820</v>
      </c>
      <c r="G3" s="2" t="inlineStr">
        <is>
          <t>1-公司_年度_人力资源薪酬分析表.xlsx/表格!8</t>
        </is>
      </c>
    </row>
    <row r="4" ht="48" customHeight="1">
      <c r="A4" s="2" t="inlineStr">
        <is>
          <t>A</t>
        </is>
      </c>
      <c r="B4" s="3" t="n">
        <v>2022</v>
      </c>
      <c r="C4" s="3" t="n">
        <v>52</v>
      </c>
      <c r="D4" s="3" t="n">
        <v>3814512</v>
      </c>
      <c r="E4" s="3" t="n">
        <v>28307353.8461538</v>
      </c>
      <c r="F4" s="3" t="n">
        <v>6113</v>
      </c>
      <c r="G4" s="2" t="inlineStr">
        <is>
          <t>1-公司_年度_人力资源薪酬分析表.xlsx/表格!9</t>
        </is>
      </c>
    </row>
    <row r="5" ht="48" customHeight="1">
      <c r="A5" s="2" t="inlineStr">
        <is>
          <t>A</t>
        </is>
      </c>
      <c r="B5" s="3" t="n">
        <v>2023</v>
      </c>
      <c r="C5" s="3" t="n">
        <v>73</v>
      </c>
      <c r="D5" s="3" t="n">
        <v>5601144</v>
      </c>
      <c r="E5" s="3" t="n">
        <v>41830892.3076923</v>
      </c>
      <c r="F5" s="3" t="n">
        <v>6394</v>
      </c>
      <c r="G5" s="2" t="inlineStr">
        <is>
          <t>1-公司_年度_人力资源薪酬分析表.xlsx/表格!10</t>
        </is>
      </c>
    </row>
    <row r="6" ht="48" customHeight="1">
      <c r="A6" s="2" t="inlineStr">
        <is>
          <t>A</t>
        </is>
      </c>
      <c r="B6" s="3" t="n">
        <v>2024</v>
      </c>
      <c r="C6" s="3" t="n">
        <v>96</v>
      </c>
      <c r="D6" s="3" t="n">
        <v>8487936</v>
      </c>
      <c r="E6" s="3" t="n">
        <v>69046000</v>
      </c>
      <c r="F6" s="3" t="n">
        <v>7368</v>
      </c>
      <c r="G6" s="2" t="inlineStr">
        <is>
          <t>1-公司_年度_人力资源薪酬分析表.xlsx/表格!11</t>
        </is>
      </c>
    </row>
    <row r="7" ht="48" customHeight="1">
      <c r="A7" s="2" t="inlineStr">
        <is>
          <t>B</t>
        </is>
      </c>
      <c r="B7" s="3" t="n">
        <v>2021</v>
      </c>
      <c r="C7" s="3" t="n">
        <v>21</v>
      </c>
      <c r="D7" s="3" t="n">
        <v>1384740</v>
      </c>
      <c r="E7" s="3" t="n">
        <v>8472000</v>
      </c>
      <c r="F7" s="3" t="n">
        <v>5495</v>
      </c>
      <c r="G7" s="2" t="inlineStr">
        <is>
          <t>1-公司_年度_人力资源薪酬分析表.xlsx/表格 (2)!7</t>
        </is>
      </c>
    </row>
    <row r="8" ht="48" customHeight="1">
      <c r="A8" s="2" t="inlineStr">
        <is>
          <t>B</t>
        </is>
      </c>
      <c r="B8" s="3" t="n">
        <v>2022</v>
      </c>
      <c r="C8" s="3" t="n">
        <v>37</v>
      </c>
      <c r="D8" s="3" t="n">
        <v>2628480</v>
      </c>
      <c r="E8" s="3" t="n">
        <v>19008000</v>
      </c>
      <c r="F8" s="3" t="n">
        <v>5920</v>
      </c>
      <c r="G8" s="2" t="inlineStr">
        <is>
          <t>1-公司_年度_人力资源薪酬分析表.xlsx/表格 (2)!8</t>
        </is>
      </c>
    </row>
    <row r="9" ht="48" customHeight="1">
      <c r="A9" s="2" t="inlineStr">
        <is>
          <t>B</t>
        </is>
      </c>
      <c r="B9" s="3" t="n">
        <v>2023</v>
      </c>
      <c r="C9" s="3" t="n">
        <v>52</v>
      </c>
      <c r="D9" s="3" t="n">
        <v>3876912</v>
      </c>
      <c r="E9" s="3" t="n">
        <v>28307353.8461538</v>
      </c>
      <c r="F9" s="3" t="n">
        <v>6213</v>
      </c>
      <c r="G9" s="2" t="inlineStr">
        <is>
          <t>1-公司_年度_人力资源薪酬分析表.xlsx/表格 (2)!9</t>
        </is>
      </c>
    </row>
    <row r="10" ht="48" customHeight="1">
      <c r="A10" s="2" t="inlineStr">
        <is>
          <t>B</t>
        </is>
      </c>
      <c r="B10" s="3" t="n">
        <v>2024</v>
      </c>
      <c r="C10" s="3" t="n">
        <v>73</v>
      </c>
      <c r="D10" s="3" t="n">
        <v>5688744</v>
      </c>
      <c r="E10" s="3" t="n">
        <v>41830892.3076923</v>
      </c>
      <c r="F10" s="3" t="n">
        <v>6494</v>
      </c>
      <c r="G10" s="2" t="inlineStr">
        <is>
          <t>1-公司_年度_人力资源薪酬分析表.xlsx/表格 (2)!10</t>
        </is>
      </c>
    </row>
    <row r="11" ht="48" customHeight="1">
      <c r="A11" s="2" t="inlineStr">
        <is>
          <t>B</t>
        </is>
      </c>
      <c r="B11" s="3" t="n">
        <v>2025</v>
      </c>
      <c r="C11" s="3" t="n">
        <v>96</v>
      </c>
      <c r="D11" s="3" t="n">
        <v>8603136</v>
      </c>
      <c r="E11" s="3" t="n">
        <v>69046000</v>
      </c>
      <c r="F11" s="3" t="n">
        <v>7468</v>
      </c>
      <c r="G11" s="2" t="inlineStr">
        <is>
          <t>1-公司_年度_人力资源薪酬分析表.xlsx/表格 (2)!11</t>
        </is>
      </c>
    </row>
  </sheetData>
  <autoFilter ref="A1:G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65" customWidth="1" min="5" max="5"/>
  </cols>
  <sheetData>
    <row r="1">
      <c r="A1" s="1" t="inlineStr">
        <is>
          <t>版本</t>
        </is>
      </c>
      <c r="B1" s="1" t="inlineStr">
        <is>
          <t>部门</t>
        </is>
      </c>
      <c r="C1" s="1" t="inlineStr">
        <is>
          <t>人数</t>
        </is>
      </c>
      <c r="D1" s="1" t="inlineStr">
        <is>
          <t>工资</t>
        </is>
      </c>
      <c r="E1" s="1" t="inlineStr">
        <is>
          <t>来源定位</t>
        </is>
      </c>
    </row>
    <row r="2" ht="48" customHeight="1">
      <c r="A2" s="2" t="inlineStr">
        <is>
          <t>图A</t>
        </is>
      </c>
      <c r="B2" s="2" t="inlineStr">
        <is>
          <t>综合部</t>
        </is>
      </c>
      <c r="C2" s="3" t="n">
        <v>18</v>
      </c>
      <c r="D2" s="3" t="n">
        <v>188300</v>
      </c>
      <c r="E2" s="2" t="inlineStr">
        <is>
          <t>3-公司_月度_薪酬分析图表.xlsx/公司（月度）薪酬分析图表!4</t>
        </is>
      </c>
    </row>
    <row r="3" ht="48" customHeight="1">
      <c r="A3" s="2" t="inlineStr">
        <is>
          <t>图A</t>
        </is>
      </c>
      <c r="B3" s="2" t="inlineStr">
        <is>
          <t>财务部</t>
        </is>
      </c>
      <c r="C3" s="3" t="n">
        <v>18</v>
      </c>
      <c r="D3" s="3" t="n">
        <v>163450</v>
      </c>
      <c r="E3" s="2" t="inlineStr">
        <is>
          <t>3-公司_月度_薪酬分析图表.xlsx/公司（月度）薪酬分析图表!5</t>
        </is>
      </c>
    </row>
    <row r="4" ht="48" customHeight="1">
      <c r="A4" s="2" t="inlineStr">
        <is>
          <t>图A</t>
        </is>
      </c>
      <c r="B4" s="2" t="inlineStr">
        <is>
          <t>市场部</t>
        </is>
      </c>
      <c r="C4" s="3" t="n">
        <v>30</v>
      </c>
      <c r="D4" s="3" t="n">
        <v>396240</v>
      </c>
      <c r="E4" s="2" t="inlineStr">
        <is>
          <t>3-公司_月度_薪酬分析图表.xlsx/公司（月度）薪酬分析图表!6</t>
        </is>
      </c>
    </row>
    <row r="5" ht="48" customHeight="1">
      <c r="A5" s="2" t="inlineStr">
        <is>
          <t>图A</t>
        </is>
      </c>
      <c r="B5" s="2" t="inlineStr">
        <is>
          <t>销售部</t>
        </is>
      </c>
      <c r="C5" s="3" t="n">
        <v>50</v>
      </c>
      <c r="D5" s="3" t="n">
        <v>570212</v>
      </c>
      <c r="E5" s="2" t="inlineStr">
        <is>
          <t>3-公司_月度_薪酬分析图表.xlsx/公司（月度）薪酬分析图表!7</t>
        </is>
      </c>
    </row>
    <row r="6" ht="48" customHeight="1">
      <c r="A6" s="2" t="inlineStr">
        <is>
          <t>图A</t>
        </is>
      </c>
      <c r="B6" s="2" t="inlineStr">
        <is>
          <t>设计部</t>
        </is>
      </c>
      <c r="C6" s="3" t="n">
        <v>20</v>
      </c>
      <c r="D6" s="3" t="n">
        <v>268400</v>
      </c>
      <c r="E6" s="2" t="inlineStr">
        <is>
          <t>3-公司_月度_薪酬分析图表.xlsx/公司（月度）薪酬分析图表!8</t>
        </is>
      </c>
    </row>
    <row r="7" ht="48" customHeight="1">
      <c r="A7" s="2" t="inlineStr">
        <is>
          <t>图A</t>
        </is>
      </c>
      <c r="B7" s="2" t="inlineStr">
        <is>
          <t>技术部</t>
        </is>
      </c>
      <c r="C7" s="3" t="n">
        <v>28</v>
      </c>
      <c r="D7" s="3" t="n">
        <v>695760</v>
      </c>
      <c r="E7" s="2" t="inlineStr">
        <is>
          <t>3-公司_月度_薪酬分析图表.xlsx/公司（月度）薪酬分析图表!9</t>
        </is>
      </c>
    </row>
    <row r="8" ht="48" customHeight="1">
      <c r="A8" s="2" t="inlineStr">
        <is>
          <t>图A</t>
        </is>
      </c>
      <c r="B8" s="2" t="inlineStr">
        <is>
          <t>售后部</t>
        </is>
      </c>
      <c r="C8" s="3" t="n">
        <v>18</v>
      </c>
      <c r="D8" s="3" t="n">
        <v>160800</v>
      </c>
      <c r="E8" s="2" t="inlineStr">
        <is>
          <t>3-公司_月度_薪酬分析图表.xlsx/公司（月度）薪酬分析图表!10</t>
        </is>
      </c>
    </row>
    <row r="9" ht="48" customHeight="1">
      <c r="A9" s="2" t="inlineStr">
        <is>
          <t>图B</t>
        </is>
      </c>
      <c r="B9" s="2" t="inlineStr">
        <is>
          <t>综合部</t>
        </is>
      </c>
      <c r="C9" s="3" t="n">
        <v>17</v>
      </c>
      <c r="D9" s="3" t="n">
        <v>188300</v>
      </c>
      <c r="E9" s="2" t="inlineStr">
        <is>
          <t>3-公司_月度_薪酬分析图表.xlsx/公司（月度）薪酬分析图表 (2)!4</t>
        </is>
      </c>
    </row>
    <row r="10" ht="48" customHeight="1">
      <c r="A10" s="2" t="inlineStr">
        <is>
          <t>图B</t>
        </is>
      </c>
      <c r="B10" s="2" t="inlineStr">
        <is>
          <t>财务部</t>
        </is>
      </c>
      <c r="C10" s="3" t="n">
        <v>16</v>
      </c>
      <c r="D10" s="3" t="n">
        <v>163450</v>
      </c>
      <c r="E10" s="2" t="inlineStr">
        <is>
          <t>3-公司_月度_薪酬分析图表.xlsx/公司（月度）薪酬分析图表 (2)!5</t>
        </is>
      </c>
    </row>
    <row r="11" ht="48" customHeight="1">
      <c r="A11" s="2" t="inlineStr">
        <is>
          <t>图B</t>
        </is>
      </c>
      <c r="B11" s="2" t="inlineStr">
        <is>
          <t>市场部</t>
        </is>
      </c>
      <c r="C11" s="3" t="n">
        <v>31</v>
      </c>
      <c r="D11" s="3" t="n">
        <v>396240</v>
      </c>
      <c r="E11" s="2" t="inlineStr">
        <is>
          <t>3-公司_月度_薪酬分析图表.xlsx/公司（月度）薪酬分析图表 (2)!6</t>
        </is>
      </c>
    </row>
    <row r="12" ht="48" customHeight="1">
      <c r="A12" s="2" t="inlineStr">
        <is>
          <t>图B</t>
        </is>
      </c>
      <c r="B12" s="2" t="inlineStr">
        <is>
          <t>销售部</t>
        </is>
      </c>
      <c r="C12" s="3" t="n">
        <v>52</v>
      </c>
      <c r="D12" s="3" t="n">
        <v>570212</v>
      </c>
      <c r="E12" s="2" t="inlineStr">
        <is>
          <t>3-公司_月度_薪酬分析图表.xlsx/公司（月度）薪酬分析图表 (2)!7</t>
        </is>
      </c>
    </row>
    <row r="13" ht="48" customHeight="1">
      <c r="A13" s="2" t="inlineStr">
        <is>
          <t>图B</t>
        </is>
      </c>
      <c r="B13" s="2" t="inlineStr">
        <is>
          <t>设计部</t>
        </is>
      </c>
      <c r="C13" s="3" t="n">
        <v>19</v>
      </c>
      <c r="D13" s="3" t="n">
        <v>268400</v>
      </c>
      <c r="E13" s="2" t="inlineStr">
        <is>
          <t>3-公司_月度_薪酬分析图表.xlsx/公司（月度）薪酬分析图表 (2)!8</t>
        </is>
      </c>
    </row>
    <row r="14" ht="48" customHeight="1">
      <c r="A14" s="2" t="inlineStr">
        <is>
          <t>图B</t>
        </is>
      </c>
      <c r="B14" s="2" t="inlineStr">
        <is>
          <t>技术部</t>
        </is>
      </c>
      <c r="C14" s="3" t="n">
        <v>29</v>
      </c>
      <c r="D14" s="3" t="n">
        <v>695760</v>
      </c>
      <c r="E14" s="2" t="inlineStr">
        <is>
          <t>3-公司_月度_薪酬分析图表.xlsx/公司（月度）薪酬分析图表 (2)!9</t>
        </is>
      </c>
    </row>
    <row r="15" ht="48" customHeight="1">
      <c r="A15" s="2" t="inlineStr">
        <is>
          <t>图B</t>
        </is>
      </c>
      <c r="B15" s="2" t="inlineStr">
        <is>
          <t>售后部</t>
        </is>
      </c>
      <c r="C15" s="3" t="n">
        <v>19</v>
      </c>
      <c r="D15" s="3" t="n">
        <v>160800</v>
      </c>
      <c r="E15" s="2" t="inlineStr">
        <is>
          <t>3-公司_月度_薪酬分析图表.xlsx/公司（月度）薪酬分析图表 (2)!10</t>
        </is>
      </c>
    </row>
    <row r="16" ht="48" customHeight="1">
      <c r="A16" s="2" t="inlineStr">
        <is>
          <t>明细A</t>
        </is>
      </c>
      <c r="B16" s="2" t="inlineStr">
        <is>
          <t>综合部</t>
        </is>
      </c>
      <c r="C16" s="3" t="n">
        <v>18</v>
      </c>
      <c r="D16" s="3" t="n">
        <v>188300</v>
      </c>
      <c r="E16" s="2" t="inlineStr">
        <is>
          <t>4-公司_月度_薪酬分析.xlsx/Sheet1!3</t>
        </is>
      </c>
    </row>
    <row r="17" ht="48" customHeight="1">
      <c r="A17" s="2" t="inlineStr">
        <is>
          <t>明细A</t>
        </is>
      </c>
      <c r="B17" s="2" t="inlineStr">
        <is>
          <t>财务部</t>
        </is>
      </c>
      <c r="C17" s="3" t="n">
        <v>18</v>
      </c>
      <c r="D17" s="3" t="n">
        <v>163450</v>
      </c>
      <c r="E17" s="2" t="inlineStr">
        <is>
          <t>4-公司_月度_薪酬分析.xlsx/Sheet1!4</t>
        </is>
      </c>
    </row>
    <row r="18" ht="48" customHeight="1">
      <c r="A18" s="2" t="inlineStr">
        <is>
          <t>明细A</t>
        </is>
      </c>
      <c r="B18" s="2" t="inlineStr">
        <is>
          <t>市场部</t>
        </is>
      </c>
      <c r="C18" s="3" t="n">
        <v>30</v>
      </c>
      <c r="D18" s="3" t="n">
        <v>396240</v>
      </c>
      <c r="E18" s="2" t="inlineStr">
        <is>
          <t>4-公司_月度_薪酬分析.xlsx/Sheet1!5</t>
        </is>
      </c>
    </row>
    <row r="19" ht="48" customHeight="1">
      <c r="A19" s="2" t="inlineStr">
        <is>
          <t>明细A</t>
        </is>
      </c>
      <c r="B19" s="2" t="inlineStr">
        <is>
          <t>销售部</t>
        </is>
      </c>
      <c r="C19" s="3" t="n">
        <v>50</v>
      </c>
      <c r="D19" s="3" t="n">
        <v>570212</v>
      </c>
      <c r="E19" s="2" t="inlineStr">
        <is>
          <t>4-公司_月度_薪酬分析.xlsx/Sheet1!6</t>
        </is>
      </c>
    </row>
    <row r="20" ht="48" customHeight="1">
      <c r="A20" s="2" t="inlineStr">
        <is>
          <t>明细A</t>
        </is>
      </c>
      <c r="B20" s="2" t="inlineStr">
        <is>
          <t>设计部</t>
        </is>
      </c>
      <c r="C20" s="3" t="n">
        <v>20</v>
      </c>
      <c r="D20" s="3" t="n">
        <v>268400</v>
      </c>
      <c r="E20" s="2" t="inlineStr">
        <is>
          <t>4-公司_月度_薪酬分析.xlsx/Sheet1!7</t>
        </is>
      </c>
    </row>
    <row r="21" ht="48" customHeight="1">
      <c r="A21" s="2" t="inlineStr">
        <is>
          <t>明细A</t>
        </is>
      </c>
      <c r="B21" s="2" t="inlineStr">
        <is>
          <t>技术部</t>
        </is>
      </c>
      <c r="C21" s="3" t="n">
        <v>28</v>
      </c>
      <c r="D21" s="3" t="n">
        <v>695760</v>
      </c>
      <c r="E21" s="2" t="inlineStr">
        <is>
          <t>4-公司_月度_薪酬分析.xlsx/Sheet1!8</t>
        </is>
      </c>
    </row>
    <row r="22" ht="48" customHeight="1">
      <c r="A22" s="2" t="inlineStr">
        <is>
          <t>明细A</t>
        </is>
      </c>
      <c r="B22" s="2" t="inlineStr">
        <is>
          <t>售后部</t>
        </is>
      </c>
      <c r="C22" s="3" t="n">
        <v>18</v>
      </c>
      <c r="D22" s="3" t="n">
        <v>160800</v>
      </c>
      <c r="E22" s="2" t="inlineStr">
        <is>
          <t>4-公司_月度_薪酬分析.xlsx/Sheet1!9</t>
        </is>
      </c>
    </row>
    <row r="23" ht="48" customHeight="1">
      <c r="A23" s="2" t="inlineStr">
        <is>
          <t>明细B</t>
        </is>
      </c>
      <c r="B23" s="2" t="inlineStr">
        <is>
          <t>综合部</t>
        </is>
      </c>
      <c r="C23" s="3" t="n">
        <v>17</v>
      </c>
      <c r="D23" s="3" t="n">
        <v>188300</v>
      </c>
      <c r="E23" s="2" t="inlineStr">
        <is>
          <t>4-公司_月度_薪酬分析.xlsx/Sheet1 (2)!3</t>
        </is>
      </c>
    </row>
    <row r="24" ht="48" customHeight="1">
      <c r="A24" s="2" t="inlineStr">
        <is>
          <t>明细B</t>
        </is>
      </c>
      <c r="B24" s="2" t="inlineStr">
        <is>
          <t>财务部</t>
        </is>
      </c>
      <c r="C24" s="3" t="n">
        <v>16</v>
      </c>
      <c r="D24" s="3" t="n">
        <v>163450</v>
      </c>
      <c r="E24" s="2" t="inlineStr">
        <is>
          <t>4-公司_月度_薪酬分析.xlsx/Sheet1 (2)!4</t>
        </is>
      </c>
    </row>
    <row r="25" ht="48" customHeight="1">
      <c r="A25" s="2" t="inlineStr">
        <is>
          <t>明细B</t>
        </is>
      </c>
      <c r="B25" s="2" t="inlineStr">
        <is>
          <t>市场部</t>
        </is>
      </c>
      <c r="C25" s="3" t="n">
        <v>31</v>
      </c>
      <c r="D25" s="3" t="n">
        <v>396240</v>
      </c>
      <c r="E25" s="2" t="inlineStr">
        <is>
          <t>4-公司_月度_薪酬分析.xlsx/Sheet1 (2)!5</t>
        </is>
      </c>
    </row>
    <row r="26" ht="48" customHeight="1">
      <c r="A26" s="2" t="inlineStr">
        <is>
          <t>明细B</t>
        </is>
      </c>
      <c r="B26" s="2" t="inlineStr">
        <is>
          <t>销售部</t>
        </is>
      </c>
      <c r="C26" s="3" t="n">
        <v>52</v>
      </c>
      <c r="D26" s="3" t="n">
        <v>570212</v>
      </c>
      <c r="E26" s="2" t="inlineStr">
        <is>
          <t>4-公司_月度_薪酬分析.xlsx/Sheet1 (2)!6</t>
        </is>
      </c>
    </row>
    <row r="27" ht="48" customHeight="1">
      <c r="A27" s="2" t="inlineStr">
        <is>
          <t>明细B</t>
        </is>
      </c>
      <c r="B27" s="2" t="inlineStr">
        <is>
          <t>设计部</t>
        </is>
      </c>
      <c r="C27" s="3" t="n">
        <v>19</v>
      </c>
      <c r="D27" s="3" t="n">
        <v>268400</v>
      </c>
      <c r="E27" s="2" t="inlineStr">
        <is>
          <t>4-公司_月度_薪酬分析.xlsx/Sheet1 (2)!7</t>
        </is>
      </c>
    </row>
    <row r="28" ht="48" customHeight="1">
      <c r="A28" s="2" t="inlineStr">
        <is>
          <t>明细B</t>
        </is>
      </c>
      <c r="B28" s="2" t="inlineStr">
        <is>
          <t>技术部</t>
        </is>
      </c>
      <c r="C28" s="3" t="n">
        <v>29</v>
      </c>
      <c r="D28" s="3" t="n">
        <v>695760</v>
      </c>
      <c r="E28" s="2" t="inlineStr">
        <is>
          <t>4-公司_月度_薪酬分析.xlsx/Sheet1 (2)!8</t>
        </is>
      </c>
    </row>
    <row r="29" ht="48" customHeight="1">
      <c r="A29" s="2" t="inlineStr">
        <is>
          <t>明细B</t>
        </is>
      </c>
      <c r="B29" s="2" t="inlineStr">
        <is>
          <t>售后部</t>
        </is>
      </c>
      <c r="C29" s="3" t="n">
        <v>19</v>
      </c>
      <c r="D29" s="3" t="n">
        <v>160800</v>
      </c>
      <c r="E29" s="2" t="inlineStr">
        <is>
          <t>4-公司_月度_薪酬分析.xlsx/Sheet1 (2)!9</t>
        </is>
      </c>
    </row>
  </sheetData>
  <autoFilter ref="A1:E29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</cols>
  <sheetData>
    <row r="1">
      <c r="A1" s="1" t="inlineStr">
        <is>
          <t>指标</t>
        </is>
      </c>
      <c r="B1" s="1" t="inlineStr">
        <is>
          <t>原文数值</t>
        </is>
      </c>
      <c r="C1" s="1" t="inlineStr">
        <is>
          <t>单位</t>
        </is>
      </c>
      <c r="D1" s="1" t="inlineStr">
        <is>
          <t>来源章节</t>
        </is>
      </c>
    </row>
    <row r="2" ht="48" customHeight="1">
      <c r="A2" s="2" t="inlineStr">
        <is>
          <t>报告人数</t>
        </is>
      </c>
      <c r="B2" s="3" t="n">
        <v>131</v>
      </c>
      <c r="C2" s="2" t="inlineStr">
        <is>
          <t>人</t>
        </is>
      </c>
      <c r="D2" s="2" t="inlineStr">
        <is>
          <t>5-薪酬分析报告.docx/公司背景与报告目的</t>
        </is>
      </c>
    </row>
    <row r="3" ht="48" customHeight="1">
      <c r="A3" s="2" t="inlineStr">
        <is>
          <t>报告月总额</t>
        </is>
      </c>
      <c r="B3" s="3" t="n">
        <v>1836200</v>
      </c>
      <c r="C3" s="2" t="inlineStr">
        <is>
          <t>元</t>
        </is>
      </c>
      <c r="D3" s="2" t="inlineStr">
        <is>
          <t>5-薪酬分析报告.docx/2.1.1 整体薪酬分布</t>
        </is>
      </c>
    </row>
    <row r="4" ht="48" customHeight="1">
      <c r="A4" s="2" t="inlineStr">
        <is>
          <t>报告月均薪酬</t>
        </is>
      </c>
      <c r="B4" s="3" t="n">
        <v>14020</v>
      </c>
      <c r="C4" s="2" t="inlineStr">
        <is>
          <t>元</t>
        </is>
      </c>
      <c r="D4" s="2" t="inlineStr">
        <is>
          <t>5-薪酬分析报告.docx/2.1.1 整体薪酬分布</t>
        </is>
      </c>
    </row>
    <row r="5" ht="48" customHeight="1">
      <c r="A5" s="2" t="inlineStr">
        <is>
          <t>学习基金每人年额</t>
        </is>
      </c>
      <c r="B5" s="3" t="n">
        <v>2000</v>
      </c>
      <c r="C5" s="2" t="inlineStr">
        <is>
          <t>元</t>
        </is>
      </c>
      <c r="D5" s="2" t="inlineStr">
        <is>
          <t>5-薪酬分析报告.docx/短期措施/福利体系升级</t>
        </is>
      </c>
    </row>
  </sheetData>
  <autoFilter ref="A1:D5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38" customWidth="1" min="5" max="5"/>
    <col width="38" customWidth="1" min="6" max="6"/>
    <col width="38" customWidth="1" min="7" max="7"/>
  </cols>
  <sheetData>
    <row r="1">
      <c r="A1" s="1" t="inlineStr">
        <is>
          <t>职级</t>
        </is>
      </c>
      <c r="B1" s="1" t="inlineStr">
        <is>
          <t>人数</t>
        </is>
      </c>
      <c r="C1" s="1" t="inlineStr">
        <is>
          <t>原月薪</t>
        </is>
      </c>
      <c r="D1" s="1" t="inlineStr">
        <is>
          <t>假设涨幅</t>
        </is>
      </c>
      <c r="E1" s="1" t="inlineStr">
        <is>
          <t>原月成本</t>
        </is>
      </c>
      <c r="F1" s="1" t="inlineStr">
        <is>
          <t>新月成本</t>
        </is>
      </c>
      <c r="G1" s="1" t="inlineStr">
        <is>
          <t>月增量</t>
        </is>
      </c>
    </row>
    <row r="2" ht="34" customHeight="1">
      <c r="A2" s="2" t="inlineStr">
        <is>
          <t>初级</t>
        </is>
      </c>
      <c r="B2" s="3" t="n">
        <v>35</v>
      </c>
      <c r="C2" s="3" t="n">
        <v>9500</v>
      </c>
      <c r="D2" s="4" t="n">
        <v>0</v>
      </c>
      <c r="E2" s="3">
        <f>B2*C2</f>
        <v/>
      </c>
      <c r="F2" s="3">
        <f>E2*(1+D2)</f>
        <v/>
      </c>
      <c r="G2" s="3">
        <f>F2-E2</f>
        <v/>
      </c>
    </row>
    <row r="3" ht="34" customHeight="1">
      <c r="A3" s="2" t="inlineStr">
        <is>
          <t>中级</t>
        </is>
      </c>
      <c r="B3" s="3" t="n">
        <v>50</v>
      </c>
      <c r="C3" s="3" t="n">
        <v>15000</v>
      </c>
      <c r="D3" s="4" t="n">
        <v>0.1</v>
      </c>
      <c r="E3" s="3">
        <f>B3*C3</f>
        <v/>
      </c>
      <c r="F3" s="3">
        <f>E3*(1+D3)</f>
        <v/>
      </c>
      <c r="G3" s="3">
        <f>F3-E3</f>
        <v/>
      </c>
    </row>
    <row r="4" ht="34" customHeight="1">
      <c r="A4" s="2" t="inlineStr">
        <is>
          <t>高级</t>
        </is>
      </c>
      <c r="B4" s="3" t="n">
        <v>30</v>
      </c>
      <c r="C4" s="3" t="n">
        <v>22000</v>
      </c>
      <c r="D4" s="4" t="n">
        <v>0</v>
      </c>
      <c r="E4" s="3">
        <f>B4*C4</f>
        <v/>
      </c>
      <c r="F4" s="3">
        <f>E4*(1+D4)</f>
        <v/>
      </c>
      <c r="G4" s="3">
        <f>F4-E4</f>
        <v/>
      </c>
    </row>
    <row r="5" ht="34" customHeight="1">
      <c r="A5" s="2" t="inlineStr">
        <is>
          <t>专家</t>
        </is>
      </c>
      <c r="B5" s="3" t="n">
        <v>16</v>
      </c>
      <c r="C5" s="3" t="n">
        <v>32000</v>
      </c>
      <c r="D5" s="4" t="n">
        <v>0.18</v>
      </c>
      <c r="E5" s="3">
        <f>B5*C5</f>
        <v/>
      </c>
      <c r="F5" s="3">
        <f>E5*(1+D5)</f>
        <v/>
      </c>
      <c r="G5" s="3">
        <f>F5-E5</f>
        <v/>
      </c>
    </row>
  </sheetData>
  <autoFilter ref="A1:G5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指标</t>
        </is>
      </c>
      <c r="B1" s="1" t="inlineStr">
        <is>
          <t>计算结果</t>
        </is>
      </c>
      <c r="C1" s="1" t="inlineStr">
        <is>
          <t>来源/口径</t>
        </is>
      </c>
    </row>
    <row r="2" ht="34" customHeight="1">
      <c r="A2" s="2" t="inlineStr">
        <is>
          <t>A版2021至2024薪酬合计</t>
        </is>
      </c>
      <c r="B2" s="3">
        <f>SUMIFS(年度底稿!D2:D11,年度底稿!A2:A11,"A",年度底稿!B2:B11,"&gt;=2021",年度底稿!B2:B11,"&lt;=2024")</f>
        <v/>
      </c>
      <c r="C2" s="2" t="inlineStr">
        <is>
          <t>A版/2021—2024</t>
        </is>
      </c>
    </row>
    <row r="3" ht="34" customHeight="1">
      <c r="A3" s="2" t="inlineStr">
        <is>
          <t>A版同期原列人均薪酬算术均值</t>
        </is>
      </c>
      <c r="B3" s="3">
        <f>AVERAGEIFS(年度底稿!F2:F11,年度底稿!A2:A11,"A",年度底稿!B2:B11,"&gt;=2021",年度底稿!B2:B11,"&lt;=2024")</f>
        <v/>
      </c>
      <c r="C3" s="2" t="inlineStr">
        <is>
          <t>原列按年算术平均，非加权平均</t>
        </is>
      </c>
    </row>
    <row r="4" ht="34" customHeight="1">
      <c r="A4" s="2" t="inlineStr">
        <is>
          <t>图A人数</t>
        </is>
      </c>
      <c r="B4" s="3">
        <f>SUMIF(月度底稿!A2:A29,"图A",月度底稿!C2:C29)</f>
        <v/>
      </c>
      <c r="C4" s="2" t="inlineStr">
        <is>
          <t>图A部门合计</t>
        </is>
      </c>
    </row>
    <row r="5" ht="34" customHeight="1">
      <c r="A5" s="2" t="inlineStr">
        <is>
          <t>图B人数</t>
        </is>
      </c>
      <c r="B5" s="3">
        <f>SUMIF(月度底稿!A2:A29,"图B",月度底稿!C2:C29)</f>
        <v/>
      </c>
      <c r="C5" s="2" t="inlineStr">
        <is>
          <t>图B部门合计</t>
        </is>
      </c>
    </row>
    <row r="6" ht="34" customHeight="1">
      <c r="A6" s="2" t="inlineStr">
        <is>
          <t>图A工资</t>
        </is>
      </c>
      <c r="B6" s="3">
        <f>SUMIF(月度底稿!A2:A29,"图A",月度底稿!D2:D29)</f>
        <v/>
      </c>
      <c r="C6" s="2" t="inlineStr">
        <is>
          <t>图A部门合计</t>
        </is>
      </c>
    </row>
    <row r="7" ht="34" customHeight="1">
      <c r="A7" s="2" t="inlineStr">
        <is>
          <t>图B工资</t>
        </is>
      </c>
      <c r="B7" s="3">
        <f>SUMIF(月度底稿!A2:A29,"图B",月度底稿!D2:D29)</f>
        <v/>
      </c>
      <c r="C7" s="2" t="inlineStr">
        <is>
          <t>图B部门合计</t>
        </is>
      </c>
    </row>
    <row r="8" ht="34" customHeight="1">
      <c r="A8" s="2" t="inlineStr">
        <is>
          <t>B减A人数差</t>
        </is>
      </c>
      <c r="B8" s="3">
        <f>B5-B4</f>
        <v/>
      </c>
      <c r="C8" s="2" t="inlineStr">
        <is>
          <t>版本差异，非人员流动</t>
        </is>
      </c>
    </row>
    <row r="9" ht="34" customHeight="1">
      <c r="A9" s="2" t="inlineStr">
        <is>
          <t>报告月总额除人数</t>
        </is>
      </c>
      <c r="B9" s="3">
        <f>报告底稿!B3/报告底稿!B2</f>
        <v/>
      </c>
      <c r="C9" s="2" t="inlineStr">
        <is>
          <t>报告内部算术复核</t>
        </is>
      </c>
    </row>
    <row r="10" ht="34" customHeight="1">
      <c r="A10" s="2" t="inlineStr">
        <is>
          <t>报告公布均薪减重算均薪</t>
        </is>
      </c>
      <c r="B10" s="3">
        <f>报告底稿!B4-B9</f>
        <v/>
      </c>
      <c r="C10" s="2" t="inlineStr">
        <is>
          <t>公布减重算</t>
        </is>
      </c>
    </row>
    <row r="11" ht="34" customHeight="1">
      <c r="A11" s="2" t="inlineStr">
        <is>
          <t>职级表月成本合计</t>
        </is>
      </c>
      <c r="B11" s="3">
        <f>SUM(职级情景!E2:E5)</f>
        <v/>
      </c>
      <c r="C11" s="2" t="inlineStr">
        <is>
          <t>人数乘月薪后合计</t>
        </is>
      </c>
    </row>
    <row r="12" ht="34" customHeight="1">
      <c r="A12" s="2" t="inlineStr">
        <is>
          <t>职级月成本减报告月总额</t>
        </is>
      </c>
      <c r="B12" s="3">
        <f>B11-报告底稿!B3</f>
        <v/>
      </c>
      <c r="C12" s="2" t="inlineStr">
        <is>
          <t>内部口径差异待核实</t>
        </is>
      </c>
    </row>
    <row r="13" ht="34" customHeight="1">
      <c r="A13" s="2" t="inlineStr">
        <is>
          <t>情景年度新增工资</t>
        </is>
      </c>
      <c r="B13" s="3">
        <f>SUM(职级情景!G2:G5)*12</f>
        <v/>
      </c>
      <c r="C13" s="2" t="inlineStr">
        <is>
          <t>全年静态情景，非批准支出</t>
        </is>
      </c>
    </row>
    <row r="14" ht="34" customHeight="1">
      <c r="A14" s="2" t="inlineStr">
        <is>
          <t>报告口径年度学习基金</t>
        </is>
      </c>
      <c r="B14" s="3">
        <f>报告底稿!B2*报告底稿!B5</f>
        <v/>
      </c>
      <c r="C14" s="2" t="inlineStr">
        <is>
          <t>仅用报告人数</t>
        </is>
      </c>
    </row>
  </sheetData>
  <autoFilter ref="A1:C14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38" customWidth="1" min="5" max="5"/>
    <col width="38" customWidth="1" min="6" max="6"/>
    <col width="38" customWidth="1" min="7" max="7"/>
    <col width="38" customWidth="1" min="8" max="8"/>
  </cols>
  <sheetData>
    <row r="1">
      <c r="A1" s="1" t="inlineStr">
        <is>
          <t>部门</t>
        </is>
      </c>
      <c r="B1" s="1" t="inlineStr">
        <is>
          <t>A版人数差</t>
        </is>
      </c>
      <c r="C1" s="1" t="inlineStr">
        <is>
          <t>A版工资差</t>
        </is>
      </c>
      <c r="D1" s="1" t="inlineStr">
        <is>
          <t>B版人数差</t>
        </is>
      </c>
      <c r="E1" s="1" t="inlineStr">
        <is>
          <t>B版工资差</t>
        </is>
      </c>
      <c r="F1" s="1" t="inlineStr">
        <is>
          <t>B减A人数差</t>
        </is>
      </c>
      <c r="G1" s="1" t="inlineStr">
        <is>
          <t>图A工资</t>
        </is>
      </c>
      <c r="H1" s="1" t="inlineStr">
        <is>
          <t>图B工资</t>
        </is>
      </c>
    </row>
    <row r="2" ht="34" customHeight="1">
      <c r="A2" s="2" t="inlineStr">
        <is>
          <t>综合部</t>
        </is>
      </c>
      <c r="B2" s="3">
        <f>SUMIFS(月度底稿!C2:C29,月度底稿!A2:A29,"图A",月度底稿!B2:B29,A2)-SUMIFS(月度底稿!C2:C29,月度底稿!A2:A29,"明细A",月度底稿!B2:B29,A2)</f>
        <v/>
      </c>
      <c r="C2" s="3">
        <f>SUMIFS(月度底稿!D2:D29,月度底稿!A2:A29,"图A",月度底稿!B2:B29,A2)-SUMIFS(月度底稿!D2:D29,月度底稿!A2:A29,"明细A",月度底稿!B2:B29,A2)</f>
        <v/>
      </c>
      <c r="D2" s="3">
        <f>SUMIFS(月度底稿!C2:C29,月度底稿!A2:A29,"图B",月度底稿!B2:B29,A2)-SUMIFS(月度底稿!C2:C29,月度底稿!A2:A29,"明细B",月度底稿!B2:B29,A2)</f>
        <v/>
      </c>
      <c r="E2" s="3">
        <f>SUMIFS(月度底稿!D2:D29,月度底稿!A2:A29,"图B",月度底稿!B2:B29,A2)-SUMIFS(月度底稿!D2:D29,月度底稿!A2:A29,"明细B",月度底稿!B2:B29,A2)</f>
        <v/>
      </c>
      <c r="F2" s="3">
        <f>SUMIFS(月度底稿!C2:C29,月度底稿!A2:A29,"图B",月度底稿!B2:B29,A2)-SUMIFS(月度底稿!C2:C29,月度底稿!A2:A29,"图A",月度底稿!B2:B29,A2)</f>
        <v/>
      </c>
      <c r="G2" s="3">
        <f>SUMIFS(月度底稿!D2:D29,月度底稿!A2:A29,"图A",月度底稿!B2:B29,A2)</f>
        <v/>
      </c>
      <c r="H2" s="3">
        <f>SUMIFS(月度底稿!D2:D29,月度底稿!A2:A29,"图B",月度底稿!B2:B29,A2)</f>
        <v/>
      </c>
    </row>
    <row r="3" ht="34" customHeight="1">
      <c r="A3" s="2" t="inlineStr">
        <is>
          <t>财务部</t>
        </is>
      </c>
      <c r="B3" s="3">
        <f>SUMIFS(月度底稿!C2:C29,月度底稿!A2:A29,"图A",月度底稿!B2:B29,A3)-SUMIFS(月度底稿!C2:C29,月度底稿!A2:A29,"明细A",月度底稿!B2:B29,A3)</f>
        <v/>
      </c>
      <c r="C3" s="3">
        <f>SUMIFS(月度底稿!D2:D29,月度底稿!A2:A29,"图A",月度底稿!B2:B29,A3)-SUMIFS(月度底稿!D2:D29,月度底稿!A2:A29,"明细A",月度底稿!B2:B29,A3)</f>
        <v/>
      </c>
      <c r="D3" s="3">
        <f>SUMIFS(月度底稿!C2:C29,月度底稿!A2:A29,"图B",月度底稿!B2:B29,A3)-SUMIFS(月度底稿!C2:C29,月度底稿!A2:A29,"明细B",月度底稿!B2:B29,A3)</f>
        <v/>
      </c>
      <c r="E3" s="3">
        <f>SUMIFS(月度底稿!D2:D29,月度底稿!A2:A29,"图B",月度底稿!B2:B29,A3)-SUMIFS(月度底稿!D2:D29,月度底稿!A2:A29,"明细B",月度底稿!B2:B29,A3)</f>
        <v/>
      </c>
      <c r="F3" s="3">
        <f>SUMIFS(月度底稿!C2:C29,月度底稿!A2:A29,"图B",月度底稿!B2:B29,A3)-SUMIFS(月度底稿!C2:C29,月度底稿!A2:A29,"图A",月度底稿!B2:B29,A3)</f>
        <v/>
      </c>
      <c r="G3" s="3">
        <f>SUMIFS(月度底稿!D2:D29,月度底稿!A2:A29,"图A",月度底稿!B2:B29,A3)</f>
        <v/>
      </c>
      <c r="H3" s="3">
        <f>SUMIFS(月度底稿!D2:D29,月度底稿!A2:A29,"图B",月度底稿!B2:B29,A3)</f>
        <v/>
      </c>
    </row>
    <row r="4" ht="34" customHeight="1">
      <c r="A4" s="2" t="inlineStr">
        <is>
          <t>市场部</t>
        </is>
      </c>
      <c r="B4" s="3">
        <f>SUMIFS(月度底稿!C2:C29,月度底稿!A2:A29,"图A",月度底稿!B2:B29,A4)-SUMIFS(月度底稿!C2:C29,月度底稿!A2:A29,"明细A",月度底稿!B2:B29,A4)</f>
        <v/>
      </c>
      <c r="C4" s="3">
        <f>SUMIFS(月度底稿!D2:D29,月度底稿!A2:A29,"图A",月度底稿!B2:B29,A4)-SUMIFS(月度底稿!D2:D29,月度底稿!A2:A29,"明细A",月度底稿!B2:B29,A4)</f>
        <v/>
      </c>
      <c r="D4" s="3">
        <f>SUMIFS(月度底稿!C2:C29,月度底稿!A2:A29,"图B",月度底稿!B2:B29,A4)-SUMIFS(月度底稿!C2:C29,月度底稿!A2:A29,"明细B",月度底稿!B2:B29,A4)</f>
        <v/>
      </c>
      <c r="E4" s="3">
        <f>SUMIFS(月度底稿!D2:D29,月度底稿!A2:A29,"图B",月度底稿!B2:B29,A4)-SUMIFS(月度底稿!D2:D29,月度底稿!A2:A29,"明细B",月度底稿!B2:B29,A4)</f>
        <v/>
      </c>
      <c r="F4" s="3">
        <f>SUMIFS(月度底稿!C2:C29,月度底稿!A2:A29,"图B",月度底稿!B2:B29,A4)-SUMIFS(月度底稿!C2:C29,月度底稿!A2:A29,"图A",月度底稿!B2:B29,A4)</f>
        <v/>
      </c>
      <c r="G4" s="3">
        <f>SUMIFS(月度底稿!D2:D29,月度底稿!A2:A29,"图A",月度底稿!B2:B29,A4)</f>
        <v/>
      </c>
      <c r="H4" s="3">
        <f>SUMIFS(月度底稿!D2:D29,月度底稿!A2:A29,"图B",月度底稿!B2:B29,A4)</f>
        <v/>
      </c>
    </row>
    <row r="5" ht="34" customHeight="1">
      <c r="A5" s="2" t="inlineStr">
        <is>
          <t>销售部</t>
        </is>
      </c>
      <c r="B5" s="3">
        <f>SUMIFS(月度底稿!C2:C29,月度底稿!A2:A29,"图A",月度底稿!B2:B29,A5)-SUMIFS(月度底稿!C2:C29,月度底稿!A2:A29,"明细A",月度底稿!B2:B29,A5)</f>
        <v/>
      </c>
      <c r="C5" s="3">
        <f>SUMIFS(月度底稿!D2:D29,月度底稿!A2:A29,"图A",月度底稿!B2:B29,A5)-SUMIFS(月度底稿!D2:D29,月度底稿!A2:A29,"明细A",月度底稿!B2:B29,A5)</f>
        <v/>
      </c>
      <c r="D5" s="3">
        <f>SUMIFS(月度底稿!C2:C29,月度底稿!A2:A29,"图B",月度底稿!B2:B29,A5)-SUMIFS(月度底稿!C2:C29,月度底稿!A2:A29,"明细B",月度底稿!B2:B29,A5)</f>
        <v/>
      </c>
      <c r="E5" s="3">
        <f>SUMIFS(月度底稿!D2:D29,月度底稿!A2:A29,"图B",月度底稿!B2:B29,A5)-SUMIFS(月度底稿!D2:D29,月度底稿!A2:A29,"明细B",月度底稿!B2:B29,A5)</f>
        <v/>
      </c>
      <c r="F5" s="3">
        <f>SUMIFS(月度底稿!C2:C29,月度底稿!A2:A29,"图B",月度底稿!B2:B29,A5)-SUMIFS(月度底稿!C2:C29,月度底稿!A2:A29,"图A",月度底稿!B2:B29,A5)</f>
        <v/>
      </c>
      <c r="G5" s="3">
        <f>SUMIFS(月度底稿!D2:D29,月度底稿!A2:A29,"图A",月度底稿!B2:B29,A5)</f>
        <v/>
      </c>
      <c r="H5" s="3">
        <f>SUMIFS(月度底稿!D2:D29,月度底稿!A2:A29,"图B",月度底稿!B2:B29,A5)</f>
        <v/>
      </c>
    </row>
    <row r="6" ht="34" customHeight="1">
      <c r="A6" s="2" t="inlineStr">
        <is>
          <t>设计部</t>
        </is>
      </c>
      <c r="B6" s="3">
        <f>SUMIFS(月度底稿!C2:C29,月度底稿!A2:A29,"图A",月度底稿!B2:B29,A6)-SUMIFS(月度底稿!C2:C29,月度底稿!A2:A29,"明细A",月度底稿!B2:B29,A6)</f>
        <v/>
      </c>
      <c r="C6" s="3">
        <f>SUMIFS(月度底稿!D2:D29,月度底稿!A2:A29,"图A",月度底稿!B2:B29,A6)-SUMIFS(月度底稿!D2:D29,月度底稿!A2:A29,"明细A",月度底稿!B2:B29,A6)</f>
        <v/>
      </c>
      <c r="D6" s="3">
        <f>SUMIFS(月度底稿!C2:C29,月度底稿!A2:A29,"图B",月度底稿!B2:B29,A6)-SUMIFS(月度底稿!C2:C29,月度底稿!A2:A29,"明细B",月度底稿!B2:B29,A6)</f>
        <v/>
      </c>
      <c r="E6" s="3">
        <f>SUMIFS(月度底稿!D2:D29,月度底稿!A2:A29,"图B",月度底稿!B2:B29,A6)-SUMIFS(月度底稿!D2:D29,月度底稿!A2:A29,"明细B",月度底稿!B2:B29,A6)</f>
        <v/>
      </c>
      <c r="F6" s="3">
        <f>SUMIFS(月度底稿!C2:C29,月度底稿!A2:A29,"图B",月度底稿!B2:B29,A6)-SUMIFS(月度底稿!C2:C29,月度底稿!A2:A29,"图A",月度底稿!B2:B29,A6)</f>
        <v/>
      </c>
      <c r="G6" s="3">
        <f>SUMIFS(月度底稿!D2:D29,月度底稿!A2:A29,"图A",月度底稿!B2:B29,A6)</f>
        <v/>
      </c>
      <c r="H6" s="3">
        <f>SUMIFS(月度底稿!D2:D29,月度底稿!A2:A29,"图B",月度底稿!B2:B29,A6)</f>
        <v/>
      </c>
    </row>
    <row r="7" ht="34" customHeight="1">
      <c r="A7" s="2" t="inlineStr">
        <is>
          <t>技术部</t>
        </is>
      </c>
      <c r="B7" s="3">
        <f>SUMIFS(月度底稿!C2:C29,月度底稿!A2:A29,"图A",月度底稿!B2:B29,A7)-SUMIFS(月度底稿!C2:C29,月度底稿!A2:A29,"明细A",月度底稿!B2:B29,A7)</f>
        <v/>
      </c>
      <c r="C7" s="3">
        <f>SUMIFS(月度底稿!D2:D29,月度底稿!A2:A29,"图A",月度底稿!B2:B29,A7)-SUMIFS(月度底稿!D2:D29,月度底稿!A2:A29,"明细A",月度底稿!B2:B29,A7)</f>
        <v/>
      </c>
      <c r="D7" s="3">
        <f>SUMIFS(月度底稿!C2:C29,月度底稿!A2:A29,"图B",月度底稿!B2:B29,A7)-SUMIFS(月度底稿!C2:C29,月度底稿!A2:A29,"明细B",月度底稿!B2:B29,A7)</f>
        <v/>
      </c>
      <c r="E7" s="3">
        <f>SUMIFS(月度底稿!D2:D29,月度底稿!A2:A29,"图B",月度底稿!B2:B29,A7)-SUMIFS(月度底稿!D2:D29,月度底稿!A2:A29,"明细B",月度底稿!B2:B29,A7)</f>
        <v/>
      </c>
      <c r="F7" s="3">
        <f>SUMIFS(月度底稿!C2:C29,月度底稿!A2:A29,"图B",月度底稿!B2:B29,A7)-SUMIFS(月度底稿!C2:C29,月度底稿!A2:A29,"图A",月度底稿!B2:B29,A7)</f>
        <v/>
      </c>
      <c r="G7" s="3">
        <f>SUMIFS(月度底稿!D2:D29,月度底稿!A2:A29,"图A",月度底稿!B2:B29,A7)</f>
        <v/>
      </c>
      <c r="H7" s="3">
        <f>SUMIFS(月度底稿!D2:D29,月度底稿!A2:A29,"图B",月度底稿!B2:B29,A7)</f>
        <v/>
      </c>
    </row>
    <row r="8" ht="34" customHeight="1">
      <c r="A8" s="2" t="inlineStr">
        <is>
          <t>售后部</t>
        </is>
      </c>
      <c r="B8" s="3">
        <f>SUMIFS(月度底稿!C2:C29,月度底稿!A2:A29,"图A",月度底稿!B2:B29,A8)-SUMIFS(月度底稿!C2:C29,月度底稿!A2:A29,"明细A",月度底稿!B2:B29,A8)</f>
        <v/>
      </c>
      <c r="C8" s="3">
        <f>SUMIFS(月度底稿!D2:D29,月度底稿!A2:A29,"图A",月度底稿!B2:B29,A8)-SUMIFS(月度底稿!D2:D29,月度底稿!A2:A29,"明细A",月度底稿!B2:B29,A8)</f>
        <v/>
      </c>
      <c r="D8" s="3">
        <f>SUMIFS(月度底稿!C2:C29,月度底稿!A2:A29,"图B",月度底稿!B2:B29,A8)-SUMIFS(月度底稿!C2:C29,月度底稿!A2:A29,"明细B",月度底稿!B2:B29,A8)</f>
        <v/>
      </c>
      <c r="E8" s="3">
        <f>SUMIFS(月度底稿!D2:D29,月度底稿!A2:A29,"图B",月度底稿!B2:B29,A8)-SUMIFS(月度底稿!D2:D29,月度底稿!A2:A29,"明细B",月度底稿!B2:B29,A8)</f>
        <v/>
      </c>
      <c r="F8" s="3">
        <f>SUMIFS(月度底稿!C2:C29,月度底稿!A2:A29,"图B",月度底稿!B2:B29,A8)-SUMIFS(月度底稿!C2:C29,月度底稿!A2:A29,"图A",月度底稿!B2:B29,A8)</f>
        <v/>
      </c>
      <c r="G8" s="3">
        <f>SUMIFS(月度底稿!D2:D29,月度底稿!A2:A29,"图A",月度底稿!B2:B29,A8)</f>
        <v/>
      </c>
      <c r="H8" s="3">
        <f>SUMIFS(月度底稿!D2:D29,月度底稿!A2:A29,"图B",月度底稿!B2:B29,A8)</f>
        <v/>
      </c>
    </row>
  </sheetData>
  <autoFilter ref="A1:H8"/>
  <pageMargins left="0.75" right="0.75" top="1" bottom="1" header="0.5" footer="0.5"/>
  <pageSetup orientation="landscape" paperSize="8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38" customWidth="1" min="5" max="5"/>
  </cols>
  <sheetData>
    <row r="1">
      <c r="A1" s="1" t="inlineStr">
        <is>
          <t>问题</t>
        </is>
      </c>
      <c r="B1" s="1" t="inlineStr">
        <is>
          <t>证据定位</t>
        </is>
      </c>
      <c r="C1" s="1" t="inlineStr">
        <is>
          <t>数值依据</t>
        </is>
      </c>
      <c r="D1" s="1" t="inlineStr">
        <is>
          <t>判断</t>
        </is>
      </c>
      <c r="E1" s="1" t="inlineStr">
        <is>
          <t>后续核验动作</t>
        </is>
      </c>
    </row>
    <row r="2" ht="85" customHeight="1">
      <c r="A2" s="2" t="inlineStr">
        <is>
          <t>年度版本</t>
        </is>
      </c>
      <c r="B2" s="2" t="inlineStr">
        <is>
          <t>1-公司_年度_人力资源薪酬分析表.xlsx/表格与表格 (2)</t>
        </is>
      </c>
      <c r="C2" s="2" t="inlineStr">
        <is>
          <t>A:2020—2024；B:2021—2025</t>
        </is>
      </c>
      <c r="D2" s="2" t="inlineStr">
        <is>
          <t>不同版本不可合并，不能认定后缀版获批</t>
        </is>
      </c>
      <c r="E2" s="2" t="inlineStr">
        <is>
          <t>请HR确认年度口径和批准版本</t>
        </is>
      </c>
    </row>
    <row r="3" ht="85" customHeight="1">
      <c r="A3" s="2" t="inlineStr">
        <is>
          <t>月度版本</t>
        </is>
      </c>
      <c r="B3" s="2" t="inlineStr">
        <is>
          <t>3-公司_月度_薪酬分析图表.xlsx 与 4-公司_月度_薪酬分析.xlsx</t>
        </is>
      </c>
      <c r="C3" s="2" t="inlineStr">
        <is>
          <t>A=182人，B=183人；工资相同</t>
        </is>
      </c>
      <c r="D3" s="2" t="inlineStr">
        <is>
          <t>每版本图表/明细一致，版本之间人数不同，未说明月份</t>
        </is>
      </c>
      <c r="E3" s="2" t="inlineStr">
        <is>
          <t>确认适用月份和人员范围</t>
        </is>
      </c>
    </row>
    <row r="4" ht="85" customHeight="1">
      <c r="A4" s="2" t="inlineStr">
        <is>
          <t>跨期比较</t>
        </is>
      </c>
      <c r="B4" s="2" t="inlineStr">
        <is>
          <t>年度底稿/报告概述/分析方法与数据来源</t>
        </is>
      </c>
      <c r="C4" s="2" t="inlineStr">
        <is>
          <t>报告131人、2025年1—6月；年度2021—2024</t>
        </is>
      </c>
      <c r="D4" s="2" t="inlineStr">
        <is>
          <t>期间和人员范围不同，不可直接比较，不宣称增长率</t>
        </is>
      </c>
      <c r="E4" s="2" t="inlineStr">
        <is>
          <t>核实报告样本与年度在职范围</t>
        </is>
      </c>
    </row>
    <row r="5" ht="85" customHeight="1">
      <c r="A5" s="2" t="inlineStr">
        <is>
          <t>均薪算术</t>
        </is>
      </c>
      <c r="B5" s="2" t="inlineStr">
        <is>
          <t>报告底稿/2.1.1</t>
        </is>
      </c>
      <c r="C5" s="2" t="inlineStr">
        <is>
          <t>1836200/131，与公布14020不同</t>
        </is>
      </c>
      <c r="D5" s="2" t="inlineStr">
        <is>
          <t>差额待核实，不能擅自更正原文</t>
        </is>
      </c>
      <c r="E5" s="2" t="inlineStr">
        <is>
          <t>核实四舍五入或发放范围</t>
        </is>
      </c>
    </row>
    <row r="6" ht="85" customHeight="1">
      <c r="A6" s="2" t="inlineStr">
        <is>
          <t>职级成本</t>
        </is>
      </c>
      <c r="B6" s="2" t="inlineStr">
        <is>
          <t>报告职级薪酬分布与市场对标/2.1.1</t>
        </is>
      </c>
      <c r="C6" s="2" t="inlineStr">
        <is>
          <t>2254500与1836200差418300</t>
        </is>
      </c>
      <c r="D6" s="2" t="inlineStr">
        <is>
          <t>报告内部不一致，待核实，不混算工资预算</t>
        </is>
      </c>
      <c r="E6" s="2" t="inlineStr">
        <is>
          <t>确认职级均薪是否同一基期</t>
        </is>
      </c>
    </row>
    <row r="7" ht="85" customHeight="1">
      <c r="A7" s="2" t="inlineStr">
        <is>
          <t>情景假设</t>
        </is>
      </c>
      <c r="B7" s="2" t="inlineStr">
        <is>
          <t>报告短期措施/职级情景</t>
        </is>
      </c>
      <c r="C7" s="2" t="inlineStr">
        <is>
          <t>中级10%、专家18%演算</t>
        </is>
      </c>
      <c r="D7" s="2" t="inlineStr">
        <is>
          <t>岗位层级到职级的假设映射，非已批准支出</t>
        </is>
      </c>
      <c r="E7" s="2" t="inlineStr">
        <is>
          <t>批准前核实对象和实施月份</t>
        </is>
      </c>
    </row>
  </sheetData>
  <autoFilter ref="A1:E7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2026-09-08T16:10:35Z</dcterms:created>
  <dcterms:modified xmlns:dcterms="http://purl.org/dc/terms/" xmlns:xsi="http://www.w3.org/2001/XMLSchema-instance" xsi:type="dcterms:W3CDTF">2026-09-08T16:10:35Z</dcterms:modified>
</cp:coreProperties>
</file>