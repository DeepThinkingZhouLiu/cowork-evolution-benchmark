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底稿" sheetId="1" state="visible" r:id="rId1"/>
    <sheet xmlns:r="http://schemas.openxmlformats.org/officeDocument/2006/relationships" name="累计底稿" sheetId="2" state="visible" r:id="rId2"/>
    <sheet xmlns:r="http://schemas.openxmlformats.org/officeDocument/2006/relationships" name="商品拆分" sheetId="3" state="visible" r:id="rId3"/>
    <sheet xmlns:r="http://schemas.openxmlformats.org/officeDocument/2006/relationships" name="年度复核" sheetId="4" state="visible" r:id="rId4"/>
    <sheet xmlns:r="http://schemas.openxmlformats.org/officeDocument/2006/relationships" name="累计复核" sheetId="5" state="visible" r:id="rId5"/>
    <sheet xmlns:r="http://schemas.openxmlformats.org/officeDocument/2006/relationships" name="窗口指标" sheetId="6" state="visible" r:id="rId6"/>
    <sheet xmlns:r="http://schemas.openxmlformats.org/officeDocument/2006/relationships" name="审计说明" sheetId="7" state="visible" r:id="rId7"/>
  </sheets>
  <definedNames>
    <definedName name="_xlnm._FilterDatabase" localSheetId="0" hidden="1">'年度底稿'!$A$1:$H$11</definedName>
    <definedName name="_xlnm.Print_Titles" localSheetId="0">'年度底稿'!$1:$1</definedName>
    <definedName name="_xlnm._FilterDatabase" localSheetId="1" hidden="1">'累计底稿'!$A$1:$G$6</definedName>
    <definedName name="_xlnm.Print_Titles" localSheetId="1">'累计底稿'!$1:$1</definedName>
    <definedName name="_xlnm._FilterDatabase" localSheetId="2" hidden="1">'商品拆分'!$A$1:$F$49</definedName>
    <definedName name="_xlnm.Print_Titles" localSheetId="2">'商品拆分'!$1:$1</definedName>
    <definedName name="_xlnm._FilterDatabase" localSheetId="3" hidden="1">'年度复核'!$A$1:$O$9</definedName>
    <definedName name="_xlnm.Print_Titles" localSheetId="3">'年度复核'!$1:$1</definedName>
    <definedName name="_xlnm._FilterDatabase" localSheetId="4" hidden="1">'累计复核'!$A$1:$H$6</definedName>
    <definedName name="_xlnm.Print_Titles" localSheetId="4">'累计复核'!$1:$1</definedName>
    <definedName name="_xlnm._FilterDatabase" localSheetId="5" hidden="1">'窗口指标'!$A$1:$B$13</definedName>
    <definedName name="_xlnm.Print_Titles" localSheetId="5">'窗口指标'!$1:$1</definedName>
    <definedName name="_xlnm._FilterDatabase" localSheetId="6" hidden="1">'审计说明'!$A$1:$D$5</definedName>
    <definedName name="_xlnm.Print_Titles" localSheetId="6">'审计说明'!$1:$1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出口与进口年度序列（亿元）</a:t>
            </a:r>
          </a:p>
        </rich>
      </tx>
    </title>
    <plotArea>
      <lineChart>
        <grouping val="standard"/>
        <ser>
          <idx val="0"/>
          <order val="0"/>
          <tx>
            <strRef>
              <f>'年度复核'!C1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'年度复核'!$A$2:$A$9</f>
            </numRef>
          </cat>
          <val>
            <numRef>
              <f>'年度复核'!$C$2:$C$9</f>
            </numRef>
          </val>
        </ser>
        <ser>
          <idx val="1"/>
          <order val="1"/>
          <tx>
            <strRef>
              <f>'年度复核'!D1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'年度复核'!$A$2:$A$9</f>
            </numRef>
          </cat>
          <val>
            <numRef>
              <f>'年度复核'!$D$2:$D$9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年份</t>
        </is>
      </c>
      <c r="B1" s="1" t="inlineStr">
        <is>
          <t>原总额亿元</t>
        </is>
      </c>
      <c r="C1" s="1" t="inlineStr">
        <is>
          <t>出口亿元</t>
        </is>
      </c>
      <c r="D1" s="1" t="inlineStr">
        <is>
          <t>进口亿元</t>
        </is>
      </c>
      <c r="E1" s="1" t="inlineStr">
        <is>
          <t>原差额亿元</t>
        </is>
      </c>
      <c r="F1" s="1" t="inlineStr">
        <is>
          <t>出口商品</t>
        </is>
      </c>
      <c r="G1" s="1" t="inlineStr">
        <is>
          <t>进口商品</t>
        </is>
      </c>
      <c r="H1" s="1" t="inlineStr">
        <is>
          <t>来源</t>
        </is>
      </c>
    </row>
    <row r="2" ht="52" customHeight="1">
      <c r="A2" s="2" t="n">
        <v>2015</v>
      </c>
      <c r="B2" s="2" t="n">
        <v>18734.5</v>
      </c>
      <c r="C2" s="2" t="n">
        <v>8523.200000000001</v>
      </c>
      <c r="D2" s="2" t="n">
        <v>10211.3</v>
      </c>
      <c r="E2" s="2" t="n">
        <v>-1688.1</v>
      </c>
      <c r="F2" s="3" t="inlineStr">
        <is>
          <t>机电产品(45.2%)、纺织品(12.8%)、农产品(8.5%)</t>
        </is>
      </c>
      <c r="G2" s="3" t="inlineStr">
        <is>
          <t>汽车及零部件(18.5%)、半导体器件(15.3%)、精密仪器(12.1%)</t>
        </is>
      </c>
      <c r="H2" s="3" t="inlineStr">
        <is>
          <t>2015-2016 年中国对日本贸易统计.xlsx!sheet1!A2:G2</t>
        </is>
      </c>
    </row>
    <row r="3" ht="52" customHeight="1">
      <c r="A3" s="2" t="n">
        <v>2016</v>
      </c>
      <c r="B3" s="2" t="n">
        <v>18206.3</v>
      </c>
      <c r="C3" s="2" t="n">
        <v>8345.6</v>
      </c>
      <c r="D3" s="2" t="n">
        <v>9860.700000000001</v>
      </c>
      <c r="E3" s="2" t="n">
        <v>-1515.1</v>
      </c>
      <c r="F3" s="3" t="inlineStr">
        <is>
          <t>机电产品(46.1%)、纺织品(12.5%)、轻工制品(7.9%)</t>
        </is>
      </c>
      <c r="G3" s="3" t="inlineStr">
        <is>
          <t>半导体器件(16.2%)、汽车及零部件(17.8%)、化工原料(11.5%)</t>
        </is>
      </c>
      <c r="H3" s="3" t="inlineStr">
        <is>
          <t>2015-2016 年中国对日本贸易统计.xlsx!sheet1!A3:G3</t>
        </is>
      </c>
    </row>
    <row r="4" ht="52" customHeight="1">
      <c r="A4" s="2" t="n">
        <v>2017</v>
      </c>
      <c r="B4" s="2" t="n">
        <v>20506.8</v>
      </c>
      <c r="C4" s="2" t="n">
        <v>9405.299999999999</v>
      </c>
      <c r="D4" s="2" t="n">
        <v>11101.5</v>
      </c>
      <c r="E4" s="2" t="n">
        <v>-1696.2</v>
      </c>
      <c r="F4" s="3" t="inlineStr">
        <is>
          <t>机电产品(47.5%)、纺织品(11.9%)、家具玩具(7.2%)</t>
        </is>
      </c>
      <c r="G4" s="3" t="inlineStr">
        <is>
          <t>半导体器件(17.8%)、汽车及零部件(16.9%)、精密仪器(13.2%)</t>
        </is>
      </c>
      <c r="H4" s="3" t="inlineStr">
        <is>
          <t>2017-2018 年中国对日本贸易统计.xlsx!sheet1!A2:G2</t>
        </is>
      </c>
    </row>
    <row r="5" ht="52" customHeight="1">
      <c r="A5" s="2" t="n">
        <v>2018</v>
      </c>
      <c r="B5" s="2" t="n">
        <v>21763.5</v>
      </c>
      <c r="C5" s="2" t="n">
        <v>10068.7</v>
      </c>
      <c r="D5" s="2" t="n">
        <v>11694.8</v>
      </c>
      <c r="E5" s="2" t="n">
        <v>-1626.1</v>
      </c>
      <c r="F5" s="3" t="inlineStr">
        <is>
          <t>机电产品(48.2%)、农产品(9.1%)、纺织品(11.5%)</t>
        </is>
      </c>
      <c r="G5" s="3" t="inlineStr">
        <is>
          <t>半导体器件(18.5%)、汽车及零部件(16.2%)、化工原料(12.8%)</t>
        </is>
      </c>
      <c r="H5" s="3" t="inlineStr">
        <is>
          <t>2017-2018 年中国对日本贸易统计.xlsx!sheet1!A3:G3</t>
        </is>
      </c>
    </row>
    <row r="6" ht="52" customHeight="1">
      <c r="A6" s="2" t="n">
        <v>2019</v>
      </c>
      <c r="B6" s="2" t="n">
        <v>20906.2</v>
      </c>
      <c r="C6" s="2" t="n">
        <v>9723.5</v>
      </c>
      <c r="D6" s="2" t="n">
        <v>11182.7</v>
      </c>
      <c r="E6" s="2" t="n">
        <v>-1459.2</v>
      </c>
      <c r="F6" s="3" t="inlineStr">
        <is>
          <t>机电产品(49.8%)、纺织品(10.8%)、家电(6.9%)</t>
        </is>
      </c>
      <c r="G6" s="3" t="inlineStr">
        <is>
          <t>半导体器件(19.2%)、汽车及零部件(15.8%)、精密仪器(12.9%)</t>
        </is>
      </c>
      <c r="H6" s="3" t="inlineStr">
        <is>
          <t>2019-2020 年中国对日本贸易统计.xlsx!sheet1!A2:G2</t>
        </is>
      </c>
    </row>
    <row r="7" ht="52" customHeight="1">
      <c r="A7" s="2" t="n">
        <v>2020</v>
      </c>
      <c r="B7" s="2" t="n">
        <v>21973.1</v>
      </c>
      <c r="C7" s="2" t="n">
        <v>9883.1</v>
      </c>
      <c r="D7" s="2" t="n">
        <v>12090</v>
      </c>
      <c r="E7" s="2" t="n">
        <v>-2206.9</v>
      </c>
      <c r="F7" s="3" t="inlineStr">
        <is>
          <t>机电产品(50.5%)、防疫物资(8.2%)、农产品(7.8%)</t>
        </is>
      </c>
      <c r="G7" s="3" t="inlineStr">
        <is>
          <t>半导体器件(20.5%)、汽车及零部件(15.2%)、化工原料(13.1%)</t>
        </is>
      </c>
      <c r="H7" s="3" t="inlineStr">
        <is>
          <t>2019-2020 年中国对日本贸易统计.xlsx!sheet1!A3:G3</t>
        </is>
      </c>
    </row>
    <row r="8" ht="52" customHeight="1">
      <c r="A8" s="2" t="n">
        <v>2021</v>
      </c>
      <c r="B8" s="2" t="n">
        <v>24019.7</v>
      </c>
      <c r="C8" s="2" t="n">
        <v>10656</v>
      </c>
      <c r="D8" s="2" t="n">
        <v>13363.7</v>
      </c>
      <c r="E8" s="2" t="n">
        <v>-2707.7</v>
      </c>
      <c r="F8" s="3" t="inlineStr">
        <is>
          <t>机电产品(52.3%)、新能源产品(6.8%)、农产品(7.2%)</t>
        </is>
      </c>
      <c r="G8" s="3" t="inlineStr">
        <is>
          <t>半导体器件(21.8%)、汽车及零部件(14.9%)、矿产资源(12.5%)</t>
        </is>
      </c>
      <c r="H8" s="3" t="inlineStr">
        <is>
          <t>2021-2022 年中国对日本贸易统计.xlsx!sheet1!A2:G2</t>
        </is>
      </c>
    </row>
    <row r="9" ht="52" customHeight="1">
      <c r="A9" s="2" t="n">
        <v>2022</v>
      </c>
      <c r="B9" s="2" t="n">
        <v>23831.1</v>
      </c>
      <c r="C9" s="2" t="n">
        <v>12080.5</v>
      </c>
      <c r="D9" s="2" t="n">
        <v>11750.6</v>
      </c>
      <c r="E9" s="2" t="n">
        <v>-1670.1</v>
      </c>
      <c r="F9" s="3" t="inlineStr">
        <is>
          <t>机电产品(53.1%)、新能源产品(8.5%)、纺织品(9.2%)</t>
        </is>
      </c>
      <c r="G9" s="3" t="inlineStr">
        <is>
          <t>半导体器件(20.9%)、汽车及零部件(14.2%)、精密仪器(13.8%)</t>
        </is>
      </c>
      <c r="H9" s="3" t="inlineStr">
        <is>
          <t>2021-2022 年中国对日本贸易统计.xlsx!sheet1!A3:G3</t>
        </is>
      </c>
    </row>
    <row r="10" ht="52" customHeight="1">
      <c r="A10" s="2" t="n">
        <v>2023</v>
      </c>
      <c r="B10" s="2" t="n">
        <v>22384.7</v>
      </c>
      <c r="C10" s="2" t="n">
        <v>11562.3</v>
      </c>
      <c r="D10" s="2" t="n">
        <v>10822.4</v>
      </c>
      <c r="E10" s="2" t="n">
        <v>-1260.1</v>
      </c>
      <c r="F10" s="3" t="inlineStr">
        <is>
          <t>机电产品(54.5%)、新能源产品(10.2%)、家电(7.8%)</t>
        </is>
      </c>
      <c r="G10" s="3" t="inlineStr">
        <is>
          <t>半导体器件(22.5%)、半导体制造设备(9.2%)、汽车及零部件(13.8%)</t>
        </is>
      </c>
      <c r="H10" s="3" t="inlineStr">
        <is>
          <t>2023-2024 年中国对日本贸易统计.xlsx!sheet1!A2:G2</t>
        </is>
      </c>
    </row>
    <row r="11" ht="52" customHeight="1">
      <c r="A11" s="2" t="n">
        <v>2024</v>
      </c>
      <c r="B11" s="2" t="n">
        <v>23568.9</v>
      </c>
      <c r="C11" s="2" t="n">
        <v>12285.7</v>
      </c>
      <c r="D11" s="2" t="n">
        <v>11283.2</v>
      </c>
      <c r="E11" s="2" t="n">
        <v>-997.5</v>
      </c>
      <c r="F11" s="3" t="inlineStr">
        <is>
          <t>机电产品(55.8%)、新能源产品(11.5%)、农产品(7.2%)</t>
        </is>
      </c>
      <c r="G11" s="3" t="inlineStr">
        <is>
          <t>半导体器件(23.1%)、半导体制造设备(10.1%)、精密仪器(14.2%)</t>
        </is>
      </c>
      <c r="H11" s="3" t="inlineStr">
        <is>
          <t>2023-2024 年中国对日本贸易统计.xlsx!sheet1!A3:G3</t>
        </is>
      </c>
    </row>
  </sheetData>
  <autoFilter ref="A1:H1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起年</t>
        </is>
      </c>
      <c r="B1" s="1" t="inlineStr">
        <is>
          <t>止年</t>
        </is>
      </c>
      <c r="C1" s="1" t="inlineStr">
        <is>
          <t>原总额</t>
        </is>
      </c>
      <c r="D1" s="1" t="inlineStr">
        <is>
          <t>原出口</t>
        </is>
      </c>
      <c r="E1" s="1" t="inlineStr">
        <is>
          <t>原进口</t>
        </is>
      </c>
      <c r="F1" s="1" t="inlineStr">
        <is>
          <t>原差额</t>
        </is>
      </c>
      <c r="G1" s="1" t="inlineStr">
        <is>
          <t>来源</t>
        </is>
      </c>
    </row>
    <row r="2">
      <c r="A2" s="2" t="n">
        <v>2015</v>
      </c>
      <c r="B2" s="2" t="n">
        <v>2016</v>
      </c>
      <c r="C2" s="2" t="n">
        <v>36940.8</v>
      </c>
      <c r="D2" s="2" t="n">
        <v>16868.8</v>
      </c>
      <c r="E2" s="2" t="n">
        <v>20072</v>
      </c>
      <c r="F2" s="2" t="n">
        <v>-3203.2</v>
      </c>
      <c r="G2" s="3" t="inlineStr">
        <is>
          <t>2015-2016 年中国对日本贸易统计.xlsx!sheet1!A4:E4</t>
        </is>
      </c>
    </row>
    <row r="3">
      <c r="A3" s="2" t="n">
        <v>2017</v>
      </c>
      <c r="B3" s="2" t="n">
        <v>2018</v>
      </c>
      <c r="C3" s="2" t="n">
        <v>42270.3</v>
      </c>
      <c r="D3" s="2" t="n">
        <v>19474</v>
      </c>
      <c r="E3" s="2" t="n">
        <v>22796.3</v>
      </c>
      <c r="F3" s="2" t="n">
        <v>-3322.3</v>
      </c>
      <c r="G3" s="3" t="inlineStr">
        <is>
          <t>2017-2018 年中国对日本贸易统计.xlsx!sheet1!A4:E4</t>
        </is>
      </c>
    </row>
    <row r="4">
      <c r="A4" s="2" t="n">
        <v>2019</v>
      </c>
      <c r="B4" s="2" t="n">
        <v>2020</v>
      </c>
      <c r="C4" s="2" t="n">
        <v>42879.3</v>
      </c>
      <c r="D4" s="2" t="n">
        <v>19606.6</v>
      </c>
      <c r="E4" s="2" t="n">
        <v>23272.7</v>
      </c>
      <c r="F4" s="2" t="n">
        <v>-3666.1</v>
      </c>
      <c r="G4" s="3" t="inlineStr">
        <is>
          <t>2019-2020 年中国对日本贸易统计.xlsx!sheet1!A4:E4</t>
        </is>
      </c>
    </row>
    <row r="5">
      <c r="A5" s="2" t="n">
        <v>2021</v>
      </c>
      <c r="B5" s="2" t="n">
        <v>2022</v>
      </c>
      <c r="C5" s="2" t="n">
        <v>47850.8</v>
      </c>
      <c r="D5" s="2" t="n">
        <v>22736.5</v>
      </c>
      <c r="E5" s="2" t="n">
        <v>25114.3</v>
      </c>
      <c r="F5" s="2" t="n">
        <v>-4377.8</v>
      </c>
      <c r="G5" s="3" t="inlineStr">
        <is>
          <t>2021-2022 年中国对日本贸易统计.xlsx!sheet1!A4:E4</t>
        </is>
      </c>
    </row>
    <row r="6">
      <c r="A6" s="2" t="n">
        <v>2023</v>
      </c>
      <c r="B6" s="2" t="n">
        <v>2024</v>
      </c>
      <c r="C6" s="2" t="n">
        <v>45953.6</v>
      </c>
      <c r="D6" s="2" t="n">
        <v>23848</v>
      </c>
      <c r="E6" s="2" t="n">
        <v>22105.6</v>
      </c>
      <c r="F6" s="2" t="n">
        <v>-2257.6</v>
      </c>
      <c r="G6" s="3" t="inlineStr">
        <is>
          <t>2023-2024 年中国对日本贸易统计.xlsx!sheet1!A4:E4</t>
        </is>
      </c>
    </row>
  </sheetData>
  <autoFilter ref="A1:G6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70" customWidth="1" min="6" max="6"/>
  </cols>
  <sheetData>
    <row r="1">
      <c r="A1" s="1" t="inlineStr">
        <is>
          <t>年份</t>
        </is>
      </c>
      <c r="B1" s="1" t="inlineStr">
        <is>
          <t>方向</t>
        </is>
      </c>
      <c r="C1" s="1" t="inlineStr">
        <is>
          <t>商品</t>
        </is>
      </c>
      <c r="D1" s="1" t="inlineStr">
        <is>
          <t>份额</t>
        </is>
      </c>
      <c r="E1" s="1" t="inlineStr">
        <is>
          <t>金额亿元</t>
        </is>
      </c>
      <c r="F1" s="1" t="inlineStr">
        <is>
          <t>来源</t>
        </is>
      </c>
    </row>
    <row r="2" ht="32" customHeight="1">
      <c r="A2" s="2" t="n">
        <v>2017</v>
      </c>
      <c r="B2" s="3" t="inlineStr">
        <is>
          <t>出口</t>
        </is>
      </c>
      <c r="C2" s="3" t="inlineStr">
        <is>
          <t>机电产品</t>
        </is>
      </c>
      <c r="D2" s="4" t="n">
        <v>0.475</v>
      </c>
      <c r="E2" s="2">
        <f>SUMIF('年度底稿'!A$2:A$11,A2,'年度底稿'!C$2:C$11)*D2</f>
        <v/>
      </c>
      <c r="F2" s="3" t="inlineStr">
        <is>
          <t>2017-2018 年中国对日本贸易统计.xlsx!sheet1!A2:G2;原F列</t>
        </is>
      </c>
    </row>
    <row r="3" ht="32" customHeight="1">
      <c r="A3" s="2" t="n">
        <v>2017</v>
      </c>
      <c r="B3" s="3" t="inlineStr">
        <is>
          <t>出口</t>
        </is>
      </c>
      <c r="C3" s="3" t="inlineStr">
        <is>
          <t>纺织品</t>
        </is>
      </c>
      <c r="D3" s="4" t="n">
        <v>0.119</v>
      </c>
      <c r="E3" s="2">
        <f>SUMIF('年度底稿'!A$2:A$11,A3,'年度底稿'!C$2:C$11)*D3</f>
        <v/>
      </c>
      <c r="F3" s="3" t="inlineStr">
        <is>
          <t>2017-2018 年中国对日本贸易统计.xlsx!sheet1!A2:G2;原F列</t>
        </is>
      </c>
    </row>
    <row r="4" ht="32" customHeight="1">
      <c r="A4" s="2" t="n">
        <v>2017</v>
      </c>
      <c r="B4" s="3" t="inlineStr">
        <is>
          <t>出口</t>
        </is>
      </c>
      <c r="C4" s="3" t="inlineStr">
        <is>
          <t>家具玩具</t>
        </is>
      </c>
      <c r="D4" s="4" t="n">
        <v>0.07200000000000001</v>
      </c>
      <c r="E4" s="2">
        <f>SUMIF('年度底稿'!A$2:A$11,A4,'年度底稿'!C$2:C$11)*D4</f>
        <v/>
      </c>
      <c r="F4" s="3" t="inlineStr">
        <is>
          <t>2017-2018 年中国对日本贸易统计.xlsx!sheet1!A2:G2;原F列</t>
        </is>
      </c>
    </row>
    <row r="5" ht="32" customHeight="1">
      <c r="A5" s="2" t="n">
        <v>2017</v>
      </c>
      <c r="B5" s="3" t="inlineStr">
        <is>
          <t>进口</t>
        </is>
      </c>
      <c r="C5" s="3" t="inlineStr">
        <is>
          <t>半导体器件</t>
        </is>
      </c>
      <c r="D5" s="4" t="n">
        <v>0.178</v>
      </c>
      <c r="E5" s="2">
        <f>SUMIF('年度底稿'!A$2:A$11,A5,'年度底稿'!D$2:D$11)*D5</f>
        <v/>
      </c>
      <c r="F5" s="3" t="inlineStr">
        <is>
          <t>2017-2018 年中国对日本贸易统计.xlsx!sheet1!A2:G2;原G列</t>
        </is>
      </c>
    </row>
    <row r="6" ht="32" customHeight="1">
      <c r="A6" s="2" t="n">
        <v>2017</v>
      </c>
      <c r="B6" s="3" t="inlineStr">
        <is>
          <t>进口</t>
        </is>
      </c>
      <c r="C6" s="3" t="inlineStr">
        <is>
          <t>汽车及零部件</t>
        </is>
      </c>
      <c r="D6" s="4" t="n">
        <v>0.169</v>
      </c>
      <c r="E6" s="2">
        <f>SUMIF('年度底稿'!A$2:A$11,A6,'年度底稿'!D$2:D$11)*D6</f>
        <v/>
      </c>
      <c r="F6" s="3" t="inlineStr">
        <is>
          <t>2017-2018 年中国对日本贸易统计.xlsx!sheet1!A2:G2;原G列</t>
        </is>
      </c>
    </row>
    <row r="7" ht="32" customHeight="1">
      <c r="A7" s="2" t="n">
        <v>2017</v>
      </c>
      <c r="B7" s="3" t="inlineStr">
        <is>
          <t>进口</t>
        </is>
      </c>
      <c r="C7" s="3" t="inlineStr">
        <is>
          <t>精密仪器</t>
        </is>
      </c>
      <c r="D7" s="4" t="n">
        <v>0.132</v>
      </c>
      <c r="E7" s="2">
        <f>SUMIF('年度底稿'!A$2:A$11,A7,'年度底稿'!D$2:D$11)*D7</f>
        <v/>
      </c>
      <c r="F7" s="3" t="inlineStr">
        <is>
          <t>2017-2018 年中国对日本贸易统计.xlsx!sheet1!A2:G2;原G列</t>
        </is>
      </c>
    </row>
    <row r="8" ht="32" customHeight="1">
      <c r="A8" s="2" t="n">
        <v>2018</v>
      </c>
      <c r="B8" s="3" t="inlineStr">
        <is>
          <t>出口</t>
        </is>
      </c>
      <c r="C8" s="3" t="inlineStr">
        <is>
          <t>机电产品</t>
        </is>
      </c>
      <c r="D8" s="4" t="n">
        <v>0.482</v>
      </c>
      <c r="E8" s="2">
        <f>SUMIF('年度底稿'!A$2:A$11,A8,'年度底稿'!C$2:C$11)*D8</f>
        <v/>
      </c>
      <c r="F8" s="3" t="inlineStr">
        <is>
          <t>2017-2018 年中国对日本贸易统计.xlsx!sheet1!A3:G3;原F列</t>
        </is>
      </c>
    </row>
    <row r="9" ht="32" customHeight="1">
      <c r="A9" s="2" t="n">
        <v>2018</v>
      </c>
      <c r="B9" s="3" t="inlineStr">
        <is>
          <t>出口</t>
        </is>
      </c>
      <c r="C9" s="3" t="inlineStr">
        <is>
          <t>农产品</t>
        </is>
      </c>
      <c r="D9" s="4" t="n">
        <v>0.091</v>
      </c>
      <c r="E9" s="2">
        <f>SUMIF('年度底稿'!A$2:A$11,A9,'年度底稿'!C$2:C$11)*D9</f>
        <v/>
      </c>
      <c r="F9" s="3" t="inlineStr">
        <is>
          <t>2017-2018 年中国对日本贸易统计.xlsx!sheet1!A3:G3;原F列</t>
        </is>
      </c>
    </row>
    <row r="10" ht="32" customHeight="1">
      <c r="A10" s="2" t="n">
        <v>2018</v>
      </c>
      <c r="B10" s="3" t="inlineStr">
        <is>
          <t>出口</t>
        </is>
      </c>
      <c r="C10" s="3" t="inlineStr">
        <is>
          <t>纺织品</t>
        </is>
      </c>
      <c r="D10" s="4" t="n">
        <v>0.115</v>
      </c>
      <c r="E10" s="2">
        <f>SUMIF('年度底稿'!A$2:A$11,A10,'年度底稿'!C$2:C$11)*D10</f>
        <v/>
      </c>
      <c r="F10" s="3" t="inlineStr">
        <is>
          <t>2017-2018 年中国对日本贸易统计.xlsx!sheet1!A3:G3;原F列</t>
        </is>
      </c>
    </row>
    <row r="11" ht="32" customHeight="1">
      <c r="A11" s="2" t="n">
        <v>2018</v>
      </c>
      <c r="B11" s="3" t="inlineStr">
        <is>
          <t>进口</t>
        </is>
      </c>
      <c r="C11" s="3" t="inlineStr">
        <is>
          <t>半导体器件</t>
        </is>
      </c>
      <c r="D11" s="4" t="n">
        <v>0.185</v>
      </c>
      <c r="E11" s="2">
        <f>SUMIF('年度底稿'!A$2:A$11,A11,'年度底稿'!D$2:D$11)*D11</f>
        <v/>
      </c>
      <c r="F11" s="3" t="inlineStr">
        <is>
          <t>2017-2018 年中国对日本贸易统计.xlsx!sheet1!A3:G3;原G列</t>
        </is>
      </c>
    </row>
    <row r="12" ht="32" customHeight="1">
      <c r="A12" s="2" t="n">
        <v>2018</v>
      </c>
      <c r="B12" s="3" t="inlineStr">
        <is>
          <t>进口</t>
        </is>
      </c>
      <c r="C12" s="3" t="inlineStr">
        <is>
          <t>汽车及零部件</t>
        </is>
      </c>
      <c r="D12" s="4" t="n">
        <v>0.162</v>
      </c>
      <c r="E12" s="2">
        <f>SUMIF('年度底稿'!A$2:A$11,A12,'年度底稿'!D$2:D$11)*D12</f>
        <v/>
      </c>
      <c r="F12" s="3" t="inlineStr">
        <is>
          <t>2017-2018 年中国对日本贸易统计.xlsx!sheet1!A3:G3;原G列</t>
        </is>
      </c>
    </row>
    <row r="13" ht="32" customHeight="1">
      <c r="A13" s="2" t="n">
        <v>2018</v>
      </c>
      <c r="B13" s="3" t="inlineStr">
        <is>
          <t>进口</t>
        </is>
      </c>
      <c r="C13" s="3" t="inlineStr">
        <is>
          <t>化工原料</t>
        </is>
      </c>
      <c r="D13" s="4" t="n">
        <v>0.128</v>
      </c>
      <c r="E13" s="2">
        <f>SUMIF('年度底稿'!A$2:A$11,A13,'年度底稿'!D$2:D$11)*D13</f>
        <v/>
      </c>
      <c r="F13" s="3" t="inlineStr">
        <is>
          <t>2017-2018 年中国对日本贸易统计.xlsx!sheet1!A3:G3;原G列</t>
        </is>
      </c>
    </row>
    <row r="14" ht="32" customHeight="1">
      <c r="A14" s="2" t="n">
        <v>2019</v>
      </c>
      <c r="B14" s="3" t="inlineStr">
        <is>
          <t>出口</t>
        </is>
      </c>
      <c r="C14" s="3" t="inlineStr">
        <is>
          <t>机电产品</t>
        </is>
      </c>
      <c r="D14" s="4" t="n">
        <v>0.498</v>
      </c>
      <c r="E14" s="2">
        <f>SUMIF('年度底稿'!A$2:A$11,A14,'年度底稿'!C$2:C$11)*D14</f>
        <v/>
      </c>
      <c r="F14" s="3" t="inlineStr">
        <is>
          <t>2019-2020 年中国对日本贸易统计.xlsx!sheet1!A2:G2;原F列</t>
        </is>
      </c>
    </row>
    <row r="15" ht="32" customHeight="1">
      <c r="A15" s="2" t="n">
        <v>2019</v>
      </c>
      <c r="B15" s="3" t="inlineStr">
        <is>
          <t>出口</t>
        </is>
      </c>
      <c r="C15" s="3" t="inlineStr">
        <is>
          <t>纺织品</t>
        </is>
      </c>
      <c r="D15" s="4" t="n">
        <v>0.108</v>
      </c>
      <c r="E15" s="2">
        <f>SUMIF('年度底稿'!A$2:A$11,A15,'年度底稿'!C$2:C$11)*D15</f>
        <v/>
      </c>
      <c r="F15" s="3" t="inlineStr">
        <is>
          <t>2019-2020 年中国对日本贸易统计.xlsx!sheet1!A2:G2;原F列</t>
        </is>
      </c>
    </row>
    <row r="16" ht="32" customHeight="1">
      <c r="A16" s="2" t="n">
        <v>2019</v>
      </c>
      <c r="B16" s="3" t="inlineStr">
        <is>
          <t>出口</t>
        </is>
      </c>
      <c r="C16" s="3" t="inlineStr">
        <is>
          <t>家电</t>
        </is>
      </c>
      <c r="D16" s="4" t="n">
        <v>0.06900000000000001</v>
      </c>
      <c r="E16" s="2">
        <f>SUMIF('年度底稿'!A$2:A$11,A16,'年度底稿'!C$2:C$11)*D16</f>
        <v/>
      </c>
      <c r="F16" s="3" t="inlineStr">
        <is>
          <t>2019-2020 年中国对日本贸易统计.xlsx!sheet1!A2:G2;原F列</t>
        </is>
      </c>
    </row>
    <row r="17" ht="32" customHeight="1">
      <c r="A17" s="2" t="n">
        <v>2019</v>
      </c>
      <c r="B17" s="3" t="inlineStr">
        <is>
          <t>进口</t>
        </is>
      </c>
      <c r="C17" s="3" t="inlineStr">
        <is>
          <t>半导体器件</t>
        </is>
      </c>
      <c r="D17" s="4" t="n">
        <v>0.192</v>
      </c>
      <c r="E17" s="2">
        <f>SUMIF('年度底稿'!A$2:A$11,A17,'年度底稿'!D$2:D$11)*D17</f>
        <v/>
      </c>
      <c r="F17" s="3" t="inlineStr">
        <is>
          <t>2019-2020 年中国对日本贸易统计.xlsx!sheet1!A2:G2;原G列</t>
        </is>
      </c>
    </row>
    <row r="18" ht="32" customHeight="1">
      <c r="A18" s="2" t="n">
        <v>2019</v>
      </c>
      <c r="B18" s="3" t="inlineStr">
        <is>
          <t>进口</t>
        </is>
      </c>
      <c r="C18" s="3" t="inlineStr">
        <is>
          <t>汽车及零部件</t>
        </is>
      </c>
      <c r="D18" s="4" t="n">
        <v>0.158</v>
      </c>
      <c r="E18" s="2">
        <f>SUMIF('年度底稿'!A$2:A$11,A18,'年度底稿'!D$2:D$11)*D18</f>
        <v/>
      </c>
      <c r="F18" s="3" t="inlineStr">
        <is>
          <t>2019-2020 年中国对日本贸易统计.xlsx!sheet1!A2:G2;原G列</t>
        </is>
      </c>
    </row>
    <row r="19" ht="32" customHeight="1">
      <c r="A19" s="2" t="n">
        <v>2019</v>
      </c>
      <c r="B19" s="3" t="inlineStr">
        <is>
          <t>进口</t>
        </is>
      </c>
      <c r="C19" s="3" t="inlineStr">
        <is>
          <t>精密仪器</t>
        </is>
      </c>
      <c r="D19" s="4" t="n">
        <v>0.129</v>
      </c>
      <c r="E19" s="2">
        <f>SUMIF('年度底稿'!A$2:A$11,A19,'年度底稿'!D$2:D$11)*D19</f>
        <v/>
      </c>
      <c r="F19" s="3" t="inlineStr">
        <is>
          <t>2019-2020 年中国对日本贸易统计.xlsx!sheet1!A2:G2;原G列</t>
        </is>
      </c>
    </row>
    <row r="20" ht="32" customHeight="1">
      <c r="A20" s="2" t="n">
        <v>2020</v>
      </c>
      <c r="B20" s="3" t="inlineStr">
        <is>
          <t>出口</t>
        </is>
      </c>
      <c r="C20" s="3" t="inlineStr">
        <is>
          <t>机电产品</t>
        </is>
      </c>
      <c r="D20" s="4" t="n">
        <v>0.505</v>
      </c>
      <c r="E20" s="2">
        <f>SUMIF('年度底稿'!A$2:A$11,A20,'年度底稿'!C$2:C$11)*D20</f>
        <v/>
      </c>
      <c r="F20" s="3" t="inlineStr">
        <is>
          <t>2019-2020 年中国对日本贸易统计.xlsx!sheet1!A3:G3;原F列</t>
        </is>
      </c>
    </row>
    <row r="21" ht="32" customHeight="1">
      <c r="A21" s="2" t="n">
        <v>2020</v>
      </c>
      <c r="B21" s="3" t="inlineStr">
        <is>
          <t>出口</t>
        </is>
      </c>
      <c r="C21" s="3" t="inlineStr">
        <is>
          <t>防疫物资</t>
        </is>
      </c>
      <c r="D21" s="4" t="n">
        <v>0.08199999999999999</v>
      </c>
      <c r="E21" s="2">
        <f>SUMIF('年度底稿'!A$2:A$11,A21,'年度底稿'!C$2:C$11)*D21</f>
        <v/>
      </c>
      <c r="F21" s="3" t="inlineStr">
        <is>
          <t>2019-2020 年中国对日本贸易统计.xlsx!sheet1!A3:G3;原F列</t>
        </is>
      </c>
    </row>
    <row r="22" ht="32" customHeight="1">
      <c r="A22" s="2" t="n">
        <v>2020</v>
      </c>
      <c r="B22" s="3" t="inlineStr">
        <is>
          <t>出口</t>
        </is>
      </c>
      <c r="C22" s="3" t="inlineStr">
        <is>
          <t>农产品</t>
        </is>
      </c>
      <c r="D22" s="4" t="n">
        <v>0.078</v>
      </c>
      <c r="E22" s="2">
        <f>SUMIF('年度底稿'!A$2:A$11,A22,'年度底稿'!C$2:C$11)*D22</f>
        <v/>
      </c>
      <c r="F22" s="3" t="inlineStr">
        <is>
          <t>2019-2020 年中国对日本贸易统计.xlsx!sheet1!A3:G3;原F列</t>
        </is>
      </c>
    </row>
    <row r="23" ht="32" customHeight="1">
      <c r="A23" s="2" t="n">
        <v>2020</v>
      </c>
      <c r="B23" s="3" t="inlineStr">
        <is>
          <t>进口</t>
        </is>
      </c>
      <c r="C23" s="3" t="inlineStr">
        <is>
          <t>半导体器件</t>
        </is>
      </c>
      <c r="D23" s="4" t="n">
        <v>0.205</v>
      </c>
      <c r="E23" s="2">
        <f>SUMIF('年度底稿'!A$2:A$11,A23,'年度底稿'!D$2:D$11)*D23</f>
        <v/>
      </c>
      <c r="F23" s="3" t="inlineStr">
        <is>
          <t>2019-2020 年中国对日本贸易统计.xlsx!sheet1!A3:G3;原G列</t>
        </is>
      </c>
    </row>
    <row r="24" ht="32" customHeight="1">
      <c r="A24" s="2" t="n">
        <v>2020</v>
      </c>
      <c r="B24" s="3" t="inlineStr">
        <is>
          <t>进口</t>
        </is>
      </c>
      <c r="C24" s="3" t="inlineStr">
        <is>
          <t>汽车及零部件</t>
        </is>
      </c>
      <c r="D24" s="4" t="n">
        <v>0.152</v>
      </c>
      <c r="E24" s="2">
        <f>SUMIF('年度底稿'!A$2:A$11,A24,'年度底稿'!D$2:D$11)*D24</f>
        <v/>
      </c>
      <c r="F24" s="3" t="inlineStr">
        <is>
          <t>2019-2020 年中国对日本贸易统计.xlsx!sheet1!A3:G3;原G列</t>
        </is>
      </c>
    </row>
    <row r="25" ht="32" customHeight="1">
      <c r="A25" s="2" t="n">
        <v>2020</v>
      </c>
      <c r="B25" s="3" t="inlineStr">
        <is>
          <t>进口</t>
        </is>
      </c>
      <c r="C25" s="3" t="inlineStr">
        <is>
          <t>化工原料</t>
        </is>
      </c>
      <c r="D25" s="4" t="n">
        <v>0.131</v>
      </c>
      <c r="E25" s="2">
        <f>SUMIF('年度底稿'!A$2:A$11,A25,'年度底稿'!D$2:D$11)*D25</f>
        <v/>
      </c>
      <c r="F25" s="3" t="inlineStr">
        <is>
          <t>2019-2020 年中国对日本贸易统计.xlsx!sheet1!A3:G3;原G列</t>
        </is>
      </c>
    </row>
    <row r="26" ht="32" customHeight="1">
      <c r="A26" s="2" t="n">
        <v>2021</v>
      </c>
      <c r="B26" s="3" t="inlineStr">
        <is>
          <t>出口</t>
        </is>
      </c>
      <c r="C26" s="3" t="inlineStr">
        <is>
          <t>机电产品</t>
        </is>
      </c>
      <c r="D26" s="4" t="n">
        <v>0.523</v>
      </c>
      <c r="E26" s="2">
        <f>SUMIF('年度底稿'!A$2:A$11,A26,'年度底稿'!C$2:C$11)*D26</f>
        <v/>
      </c>
      <c r="F26" s="3" t="inlineStr">
        <is>
          <t>2021-2022 年中国对日本贸易统计.xlsx!sheet1!A2:G2;原F列</t>
        </is>
      </c>
    </row>
    <row r="27" ht="32" customHeight="1">
      <c r="A27" s="2" t="n">
        <v>2021</v>
      </c>
      <c r="B27" s="3" t="inlineStr">
        <is>
          <t>出口</t>
        </is>
      </c>
      <c r="C27" s="3" t="inlineStr">
        <is>
          <t>新能源产品</t>
        </is>
      </c>
      <c r="D27" s="4" t="n">
        <v>0.068</v>
      </c>
      <c r="E27" s="2">
        <f>SUMIF('年度底稿'!A$2:A$11,A27,'年度底稿'!C$2:C$11)*D27</f>
        <v/>
      </c>
      <c r="F27" s="3" t="inlineStr">
        <is>
          <t>2021-2022 年中国对日本贸易统计.xlsx!sheet1!A2:G2;原F列</t>
        </is>
      </c>
    </row>
    <row r="28" ht="32" customHeight="1">
      <c r="A28" s="2" t="n">
        <v>2021</v>
      </c>
      <c r="B28" s="3" t="inlineStr">
        <is>
          <t>出口</t>
        </is>
      </c>
      <c r="C28" s="3" t="inlineStr">
        <is>
          <t>农产品</t>
        </is>
      </c>
      <c r="D28" s="4" t="n">
        <v>0.07200000000000001</v>
      </c>
      <c r="E28" s="2">
        <f>SUMIF('年度底稿'!A$2:A$11,A28,'年度底稿'!C$2:C$11)*D28</f>
        <v/>
      </c>
      <c r="F28" s="3" t="inlineStr">
        <is>
          <t>2021-2022 年中国对日本贸易统计.xlsx!sheet1!A2:G2;原F列</t>
        </is>
      </c>
    </row>
    <row r="29" ht="32" customHeight="1">
      <c r="A29" s="2" t="n">
        <v>2021</v>
      </c>
      <c r="B29" s="3" t="inlineStr">
        <is>
          <t>进口</t>
        </is>
      </c>
      <c r="C29" s="3" t="inlineStr">
        <is>
          <t>半导体器件</t>
        </is>
      </c>
      <c r="D29" s="4" t="n">
        <v>0.218</v>
      </c>
      <c r="E29" s="2">
        <f>SUMIF('年度底稿'!A$2:A$11,A29,'年度底稿'!D$2:D$11)*D29</f>
        <v/>
      </c>
      <c r="F29" s="3" t="inlineStr">
        <is>
          <t>2021-2022 年中国对日本贸易统计.xlsx!sheet1!A2:G2;原G列</t>
        </is>
      </c>
    </row>
    <row r="30" ht="32" customHeight="1">
      <c r="A30" s="2" t="n">
        <v>2021</v>
      </c>
      <c r="B30" s="3" t="inlineStr">
        <is>
          <t>进口</t>
        </is>
      </c>
      <c r="C30" s="3" t="inlineStr">
        <is>
          <t>汽车及零部件</t>
        </is>
      </c>
      <c r="D30" s="4" t="n">
        <v>0.149</v>
      </c>
      <c r="E30" s="2">
        <f>SUMIF('年度底稿'!A$2:A$11,A30,'年度底稿'!D$2:D$11)*D30</f>
        <v/>
      </c>
      <c r="F30" s="3" t="inlineStr">
        <is>
          <t>2021-2022 年中国对日本贸易统计.xlsx!sheet1!A2:G2;原G列</t>
        </is>
      </c>
    </row>
    <row r="31" ht="32" customHeight="1">
      <c r="A31" s="2" t="n">
        <v>2021</v>
      </c>
      <c r="B31" s="3" t="inlineStr">
        <is>
          <t>进口</t>
        </is>
      </c>
      <c r="C31" s="3" t="inlineStr">
        <is>
          <t>矿产资源</t>
        </is>
      </c>
      <c r="D31" s="4" t="n">
        <v>0.125</v>
      </c>
      <c r="E31" s="2">
        <f>SUMIF('年度底稿'!A$2:A$11,A31,'年度底稿'!D$2:D$11)*D31</f>
        <v/>
      </c>
      <c r="F31" s="3" t="inlineStr">
        <is>
          <t>2021-2022 年中国对日本贸易统计.xlsx!sheet1!A2:G2;原G列</t>
        </is>
      </c>
    </row>
    <row r="32" ht="32" customHeight="1">
      <c r="A32" s="2" t="n">
        <v>2022</v>
      </c>
      <c r="B32" s="3" t="inlineStr">
        <is>
          <t>出口</t>
        </is>
      </c>
      <c r="C32" s="3" t="inlineStr">
        <is>
          <t>机电产品</t>
        </is>
      </c>
      <c r="D32" s="4" t="n">
        <v>0.531</v>
      </c>
      <c r="E32" s="2">
        <f>SUMIF('年度底稿'!A$2:A$11,A32,'年度底稿'!C$2:C$11)*D32</f>
        <v/>
      </c>
      <c r="F32" s="3" t="inlineStr">
        <is>
          <t>2021-2022 年中国对日本贸易统计.xlsx!sheet1!A3:G3;原F列</t>
        </is>
      </c>
    </row>
    <row r="33" ht="32" customHeight="1">
      <c r="A33" s="2" t="n">
        <v>2022</v>
      </c>
      <c r="B33" s="3" t="inlineStr">
        <is>
          <t>出口</t>
        </is>
      </c>
      <c r="C33" s="3" t="inlineStr">
        <is>
          <t>新能源产品</t>
        </is>
      </c>
      <c r="D33" s="4" t="n">
        <v>0.08500000000000001</v>
      </c>
      <c r="E33" s="2">
        <f>SUMIF('年度底稿'!A$2:A$11,A33,'年度底稿'!C$2:C$11)*D33</f>
        <v/>
      </c>
      <c r="F33" s="3" t="inlineStr">
        <is>
          <t>2021-2022 年中国对日本贸易统计.xlsx!sheet1!A3:G3;原F列</t>
        </is>
      </c>
    </row>
    <row r="34" ht="32" customHeight="1">
      <c r="A34" s="2" t="n">
        <v>2022</v>
      </c>
      <c r="B34" s="3" t="inlineStr">
        <is>
          <t>出口</t>
        </is>
      </c>
      <c r="C34" s="3" t="inlineStr">
        <is>
          <t>纺织品</t>
        </is>
      </c>
      <c r="D34" s="4" t="n">
        <v>0.092</v>
      </c>
      <c r="E34" s="2">
        <f>SUMIF('年度底稿'!A$2:A$11,A34,'年度底稿'!C$2:C$11)*D34</f>
        <v/>
      </c>
      <c r="F34" s="3" t="inlineStr">
        <is>
          <t>2021-2022 年中国对日本贸易统计.xlsx!sheet1!A3:G3;原F列</t>
        </is>
      </c>
    </row>
    <row r="35" ht="32" customHeight="1">
      <c r="A35" s="2" t="n">
        <v>2022</v>
      </c>
      <c r="B35" s="3" t="inlineStr">
        <is>
          <t>进口</t>
        </is>
      </c>
      <c r="C35" s="3" t="inlineStr">
        <is>
          <t>半导体器件</t>
        </is>
      </c>
      <c r="D35" s="4" t="n">
        <v>0.209</v>
      </c>
      <c r="E35" s="2">
        <f>SUMIF('年度底稿'!A$2:A$11,A35,'年度底稿'!D$2:D$11)*D35</f>
        <v/>
      </c>
      <c r="F35" s="3" t="inlineStr">
        <is>
          <t>2021-2022 年中国对日本贸易统计.xlsx!sheet1!A3:G3;原G列</t>
        </is>
      </c>
    </row>
    <row r="36" ht="32" customHeight="1">
      <c r="A36" s="2" t="n">
        <v>2022</v>
      </c>
      <c r="B36" s="3" t="inlineStr">
        <is>
          <t>进口</t>
        </is>
      </c>
      <c r="C36" s="3" t="inlineStr">
        <is>
          <t>汽车及零部件</t>
        </is>
      </c>
      <c r="D36" s="4" t="n">
        <v>0.142</v>
      </c>
      <c r="E36" s="2">
        <f>SUMIF('年度底稿'!A$2:A$11,A36,'年度底稿'!D$2:D$11)*D36</f>
        <v/>
      </c>
      <c r="F36" s="3" t="inlineStr">
        <is>
          <t>2021-2022 年中国对日本贸易统计.xlsx!sheet1!A3:G3;原G列</t>
        </is>
      </c>
    </row>
    <row r="37" ht="32" customHeight="1">
      <c r="A37" s="2" t="n">
        <v>2022</v>
      </c>
      <c r="B37" s="3" t="inlineStr">
        <is>
          <t>进口</t>
        </is>
      </c>
      <c r="C37" s="3" t="inlineStr">
        <is>
          <t>精密仪器</t>
        </is>
      </c>
      <c r="D37" s="4" t="n">
        <v>0.138</v>
      </c>
      <c r="E37" s="2">
        <f>SUMIF('年度底稿'!A$2:A$11,A37,'年度底稿'!D$2:D$11)*D37</f>
        <v/>
      </c>
      <c r="F37" s="3" t="inlineStr">
        <is>
          <t>2021-2022 年中国对日本贸易统计.xlsx!sheet1!A3:G3;原G列</t>
        </is>
      </c>
    </row>
    <row r="38" ht="32" customHeight="1">
      <c r="A38" s="2" t="n">
        <v>2023</v>
      </c>
      <c r="B38" s="3" t="inlineStr">
        <is>
          <t>出口</t>
        </is>
      </c>
      <c r="C38" s="3" t="inlineStr">
        <is>
          <t>机电产品</t>
        </is>
      </c>
      <c r="D38" s="4" t="n">
        <v>0.545</v>
      </c>
      <c r="E38" s="2">
        <f>SUMIF('年度底稿'!A$2:A$11,A38,'年度底稿'!C$2:C$11)*D38</f>
        <v/>
      </c>
      <c r="F38" s="3" t="inlineStr">
        <is>
          <t>2023-2024 年中国对日本贸易统计.xlsx!sheet1!A2:G2;原F列</t>
        </is>
      </c>
    </row>
    <row r="39" ht="32" customHeight="1">
      <c r="A39" s="2" t="n">
        <v>2023</v>
      </c>
      <c r="B39" s="3" t="inlineStr">
        <is>
          <t>出口</t>
        </is>
      </c>
      <c r="C39" s="3" t="inlineStr">
        <is>
          <t>新能源产品</t>
        </is>
      </c>
      <c r="D39" s="4" t="n">
        <v>0.102</v>
      </c>
      <c r="E39" s="2">
        <f>SUMIF('年度底稿'!A$2:A$11,A39,'年度底稿'!C$2:C$11)*D39</f>
        <v/>
      </c>
      <c r="F39" s="3" t="inlineStr">
        <is>
          <t>2023-2024 年中国对日本贸易统计.xlsx!sheet1!A2:G2;原F列</t>
        </is>
      </c>
    </row>
    <row r="40" ht="32" customHeight="1">
      <c r="A40" s="2" t="n">
        <v>2023</v>
      </c>
      <c r="B40" s="3" t="inlineStr">
        <is>
          <t>出口</t>
        </is>
      </c>
      <c r="C40" s="3" t="inlineStr">
        <is>
          <t>家电</t>
        </is>
      </c>
      <c r="D40" s="4" t="n">
        <v>0.078</v>
      </c>
      <c r="E40" s="2">
        <f>SUMIF('年度底稿'!A$2:A$11,A40,'年度底稿'!C$2:C$11)*D40</f>
        <v/>
      </c>
      <c r="F40" s="3" t="inlineStr">
        <is>
          <t>2023-2024 年中国对日本贸易统计.xlsx!sheet1!A2:G2;原F列</t>
        </is>
      </c>
    </row>
    <row r="41" ht="32" customHeight="1">
      <c r="A41" s="2" t="n">
        <v>2023</v>
      </c>
      <c r="B41" s="3" t="inlineStr">
        <is>
          <t>进口</t>
        </is>
      </c>
      <c r="C41" s="3" t="inlineStr">
        <is>
          <t>半导体器件</t>
        </is>
      </c>
      <c r="D41" s="4" t="n">
        <v>0.225</v>
      </c>
      <c r="E41" s="2">
        <f>SUMIF('年度底稿'!A$2:A$11,A41,'年度底稿'!D$2:D$11)*D41</f>
        <v/>
      </c>
      <c r="F41" s="3" t="inlineStr">
        <is>
          <t>2023-2024 年中国对日本贸易统计.xlsx!sheet1!A2:G2;原G列</t>
        </is>
      </c>
    </row>
    <row r="42" ht="32" customHeight="1">
      <c r="A42" s="2" t="n">
        <v>2023</v>
      </c>
      <c r="B42" s="3" t="inlineStr">
        <is>
          <t>进口</t>
        </is>
      </c>
      <c r="C42" s="3" t="inlineStr">
        <is>
          <t>半导体制造设备</t>
        </is>
      </c>
      <c r="D42" s="4" t="n">
        <v>0.092</v>
      </c>
      <c r="E42" s="2">
        <f>SUMIF('年度底稿'!A$2:A$11,A42,'年度底稿'!D$2:D$11)*D42</f>
        <v/>
      </c>
      <c r="F42" s="3" t="inlineStr">
        <is>
          <t>2023-2024 年中国对日本贸易统计.xlsx!sheet1!A2:G2;原G列</t>
        </is>
      </c>
    </row>
    <row r="43" ht="32" customHeight="1">
      <c r="A43" s="2" t="n">
        <v>2023</v>
      </c>
      <c r="B43" s="3" t="inlineStr">
        <is>
          <t>进口</t>
        </is>
      </c>
      <c r="C43" s="3" t="inlineStr">
        <is>
          <t>汽车及零部件</t>
        </is>
      </c>
      <c r="D43" s="4" t="n">
        <v>0.138</v>
      </c>
      <c r="E43" s="2">
        <f>SUMIF('年度底稿'!A$2:A$11,A43,'年度底稿'!D$2:D$11)*D43</f>
        <v/>
      </c>
      <c r="F43" s="3" t="inlineStr">
        <is>
          <t>2023-2024 年中国对日本贸易统计.xlsx!sheet1!A2:G2;原G列</t>
        </is>
      </c>
    </row>
    <row r="44" ht="32" customHeight="1">
      <c r="A44" s="2" t="n">
        <v>2024</v>
      </c>
      <c r="B44" s="3" t="inlineStr">
        <is>
          <t>出口</t>
        </is>
      </c>
      <c r="C44" s="3" t="inlineStr">
        <is>
          <t>机电产品</t>
        </is>
      </c>
      <c r="D44" s="4" t="n">
        <v>0.5579999999999999</v>
      </c>
      <c r="E44" s="2">
        <f>SUMIF('年度底稿'!A$2:A$11,A44,'年度底稿'!C$2:C$11)*D44</f>
        <v/>
      </c>
      <c r="F44" s="3" t="inlineStr">
        <is>
          <t>2023-2024 年中国对日本贸易统计.xlsx!sheet1!A3:G3;原F列</t>
        </is>
      </c>
    </row>
    <row r="45" ht="32" customHeight="1">
      <c r="A45" s="2" t="n">
        <v>2024</v>
      </c>
      <c r="B45" s="3" t="inlineStr">
        <is>
          <t>出口</t>
        </is>
      </c>
      <c r="C45" s="3" t="inlineStr">
        <is>
          <t>新能源产品</t>
        </is>
      </c>
      <c r="D45" s="4" t="n">
        <v>0.115</v>
      </c>
      <c r="E45" s="2">
        <f>SUMIF('年度底稿'!A$2:A$11,A45,'年度底稿'!C$2:C$11)*D45</f>
        <v/>
      </c>
      <c r="F45" s="3" t="inlineStr">
        <is>
          <t>2023-2024 年中国对日本贸易统计.xlsx!sheet1!A3:G3;原F列</t>
        </is>
      </c>
    </row>
    <row r="46" ht="32" customHeight="1">
      <c r="A46" s="2" t="n">
        <v>2024</v>
      </c>
      <c r="B46" s="3" t="inlineStr">
        <is>
          <t>出口</t>
        </is>
      </c>
      <c r="C46" s="3" t="inlineStr">
        <is>
          <t>农产品</t>
        </is>
      </c>
      <c r="D46" s="4" t="n">
        <v>0.07200000000000001</v>
      </c>
      <c r="E46" s="2">
        <f>SUMIF('年度底稿'!A$2:A$11,A46,'年度底稿'!C$2:C$11)*D46</f>
        <v/>
      </c>
      <c r="F46" s="3" t="inlineStr">
        <is>
          <t>2023-2024 年中国对日本贸易统计.xlsx!sheet1!A3:G3;原F列</t>
        </is>
      </c>
    </row>
    <row r="47" ht="32" customHeight="1">
      <c r="A47" s="2" t="n">
        <v>2024</v>
      </c>
      <c r="B47" s="3" t="inlineStr">
        <is>
          <t>进口</t>
        </is>
      </c>
      <c r="C47" s="3" t="inlineStr">
        <is>
          <t>半导体器件</t>
        </is>
      </c>
      <c r="D47" s="4" t="n">
        <v>0.231</v>
      </c>
      <c r="E47" s="2">
        <f>SUMIF('年度底稿'!A$2:A$11,A47,'年度底稿'!D$2:D$11)*D47</f>
        <v/>
      </c>
      <c r="F47" s="3" t="inlineStr">
        <is>
          <t>2023-2024 年中国对日本贸易统计.xlsx!sheet1!A3:G3;原G列</t>
        </is>
      </c>
    </row>
    <row r="48" ht="32" customHeight="1">
      <c r="A48" s="2" t="n">
        <v>2024</v>
      </c>
      <c r="B48" s="3" t="inlineStr">
        <is>
          <t>进口</t>
        </is>
      </c>
      <c r="C48" s="3" t="inlineStr">
        <is>
          <t>半导体制造设备</t>
        </is>
      </c>
      <c r="D48" s="4" t="n">
        <v>0.101</v>
      </c>
      <c r="E48" s="2">
        <f>SUMIF('年度底稿'!A$2:A$11,A48,'年度底稿'!D$2:D$11)*D48</f>
        <v/>
      </c>
      <c r="F48" s="3" t="inlineStr">
        <is>
          <t>2023-2024 年中国对日本贸易统计.xlsx!sheet1!A3:G3;原G列</t>
        </is>
      </c>
    </row>
    <row r="49" ht="32" customHeight="1">
      <c r="A49" s="2" t="n">
        <v>2024</v>
      </c>
      <c r="B49" s="3" t="inlineStr">
        <is>
          <t>进口</t>
        </is>
      </c>
      <c r="C49" s="3" t="inlineStr">
        <is>
          <t>精密仪器</t>
        </is>
      </c>
      <c r="D49" s="4" t="n">
        <v>0.142</v>
      </c>
      <c r="E49" s="2">
        <f>SUMIF('年度底稿'!A$2:A$11,A49,'年度底稿'!D$2:D$11)*D49</f>
        <v/>
      </c>
      <c r="F49" s="3" t="inlineStr">
        <is>
          <t>2023-2024 年中国对日本贸易统计.xlsx!sheet1!A3:G3;原G列</t>
        </is>
      </c>
    </row>
  </sheetData>
  <autoFilter ref="A1:F49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年份</t>
        </is>
      </c>
      <c r="B1" s="1" t="inlineStr">
        <is>
          <t>原总额</t>
        </is>
      </c>
      <c r="C1" s="1" t="inlineStr">
        <is>
          <t>出口</t>
        </is>
      </c>
      <c r="D1" s="1" t="inlineStr">
        <is>
          <t>进口</t>
        </is>
      </c>
      <c r="E1" s="1" t="inlineStr">
        <is>
          <t>原差额</t>
        </is>
      </c>
      <c r="F1" s="1" t="inlineStr">
        <is>
          <t>重算总额</t>
        </is>
      </c>
      <c r="G1" s="1" t="inlineStr">
        <is>
          <t>重算差额</t>
        </is>
      </c>
      <c r="H1" s="1" t="inlineStr">
        <is>
          <t>总额残差</t>
        </is>
      </c>
      <c r="I1" s="1" t="inlineStr">
        <is>
          <t>差额残差</t>
        </is>
      </c>
      <c r="J1" s="1" t="inlineStr">
        <is>
          <t>总额同比</t>
        </is>
      </c>
      <c r="K1" s="1" t="inlineStr">
        <is>
          <t>出口同比</t>
        </is>
      </c>
      <c r="L1" s="1" t="inlineStr">
        <is>
          <t>进口同比</t>
        </is>
      </c>
      <c r="M1" s="1" t="inlineStr">
        <is>
          <t>进出口比</t>
        </is>
      </c>
      <c r="N1" s="1" t="inlineStr">
        <is>
          <t>出口核心金额</t>
        </is>
      </c>
      <c r="O1" s="1" t="inlineStr">
        <is>
          <t>进口核心金额</t>
        </is>
      </c>
    </row>
    <row r="2">
      <c r="A2" s="5" t="n">
        <v>2017</v>
      </c>
      <c r="B2" s="2">
        <f>SUMIF('年度底稿'!A$2:A$11,A2,'年度底稿'!B$2:B$11)</f>
        <v/>
      </c>
      <c r="C2" s="2">
        <f>SUMIF('年度底稿'!A$2:A$11,A2,'年度底稿'!C$2:C$11)</f>
        <v/>
      </c>
      <c r="D2" s="2">
        <f>SUMIF('年度底稿'!A$2:A$11,A2,'年度底稿'!D$2:D$11)</f>
        <v/>
      </c>
      <c r="E2" s="2">
        <f>SUMIF('年度底稿'!A$2:A$11,A2,'年度底稿'!E$2:E$11)</f>
        <v/>
      </c>
      <c r="F2" s="2">
        <f>C2+D2</f>
        <v/>
      </c>
      <c r="G2" s="2">
        <f>C2-D2</f>
        <v/>
      </c>
      <c r="H2" s="2">
        <f>B2-F2</f>
        <v/>
      </c>
      <c r="I2" s="2">
        <f>E2-G2</f>
        <v/>
      </c>
      <c r="J2" s="4">
        <f>F2/(SUMIF('年度底稿'!A$2:A$11,A2-1,'年度底稿'!C$2:C$11)+SUMIF('年度底稿'!A$2:A$11,A2-1,'年度底稿'!D$2:D$11))-1</f>
        <v/>
      </c>
      <c r="K2" s="4">
        <f>C2/SUMIF('年度底稿'!A$2:A$11,A2-1,'年度底稿'!C$2:C$11)-1</f>
        <v/>
      </c>
      <c r="L2" s="4">
        <f>D2/SUMIF('年度底稿'!A$2:A$11,A2-1,'年度底稿'!D$2:D$11)-1</f>
        <v/>
      </c>
      <c r="M2" s="4">
        <f>C2/D2</f>
        <v/>
      </c>
      <c r="N2" s="2">
        <f>SUMIFS('商品拆分'!E$2:E$49,'商品拆分'!A$2:A$49,A2,'商品拆分'!B$2:B$49,"出口")</f>
        <v/>
      </c>
      <c r="O2" s="2">
        <f>SUMIFS('商品拆分'!E$2:E$49,'商品拆分'!A$2:A$49,A2,'商品拆分'!B$2:B$49,"进口")</f>
        <v/>
      </c>
    </row>
    <row r="3">
      <c r="A3" s="5" t="n">
        <v>2018</v>
      </c>
      <c r="B3" s="2">
        <f>SUMIF('年度底稿'!A$2:A$11,A3,'年度底稿'!B$2:B$11)</f>
        <v/>
      </c>
      <c r="C3" s="2">
        <f>SUMIF('年度底稿'!A$2:A$11,A3,'年度底稿'!C$2:C$11)</f>
        <v/>
      </c>
      <c r="D3" s="2">
        <f>SUMIF('年度底稿'!A$2:A$11,A3,'年度底稿'!D$2:D$11)</f>
        <v/>
      </c>
      <c r="E3" s="2">
        <f>SUMIF('年度底稿'!A$2:A$11,A3,'年度底稿'!E$2:E$11)</f>
        <v/>
      </c>
      <c r="F3" s="2">
        <f>C3+D3</f>
        <v/>
      </c>
      <c r="G3" s="2">
        <f>C3-D3</f>
        <v/>
      </c>
      <c r="H3" s="2">
        <f>B3-F3</f>
        <v/>
      </c>
      <c r="I3" s="2">
        <f>E3-G3</f>
        <v/>
      </c>
      <c r="J3" s="4">
        <f>F3/(SUMIF('年度底稿'!A$2:A$11,A3-1,'年度底稿'!C$2:C$11)+SUMIF('年度底稿'!A$2:A$11,A3-1,'年度底稿'!D$2:D$11))-1</f>
        <v/>
      </c>
      <c r="K3" s="4">
        <f>C3/SUMIF('年度底稿'!A$2:A$11,A3-1,'年度底稿'!C$2:C$11)-1</f>
        <v/>
      </c>
      <c r="L3" s="4">
        <f>D3/SUMIF('年度底稿'!A$2:A$11,A3-1,'年度底稿'!D$2:D$11)-1</f>
        <v/>
      </c>
      <c r="M3" s="4">
        <f>C3/D3</f>
        <v/>
      </c>
      <c r="N3" s="2">
        <f>SUMIFS('商品拆分'!E$2:E$49,'商品拆分'!A$2:A$49,A3,'商品拆分'!B$2:B$49,"出口")</f>
        <v/>
      </c>
      <c r="O3" s="2">
        <f>SUMIFS('商品拆分'!E$2:E$49,'商品拆分'!A$2:A$49,A3,'商品拆分'!B$2:B$49,"进口")</f>
        <v/>
      </c>
    </row>
    <row r="4">
      <c r="A4" s="5" t="n">
        <v>2019</v>
      </c>
      <c r="B4" s="2">
        <f>SUMIF('年度底稿'!A$2:A$11,A4,'年度底稿'!B$2:B$11)</f>
        <v/>
      </c>
      <c r="C4" s="2">
        <f>SUMIF('年度底稿'!A$2:A$11,A4,'年度底稿'!C$2:C$11)</f>
        <v/>
      </c>
      <c r="D4" s="2">
        <f>SUMIF('年度底稿'!A$2:A$11,A4,'年度底稿'!D$2:D$11)</f>
        <v/>
      </c>
      <c r="E4" s="2">
        <f>SUMIF('年度底稿'!A$2:A$11,A4,'年度底稿'!E$2:E$11)</f>
        <v/>
      </c>
      <c r="F4" s="2">
        <f>C4+D4</f>
        <v/>
      </c>
      <c r="G4" s="2">
        <f>C4-D4</f>
        <v/>
      </c>
      <c r="H4" s="2">
        <f>B4-F4</f>
        <v/>
      </c>
      <c r="I4" s="2">
        <f>E4-G4</f>
        <v/>
      </c>
      <c r="J4" s="4">
        <f>F4/(SUMIF('年度底稿'!A$2:A$11,A4-1,'年度底稿'!C$2:C$11)+SUMIF('年度底稿'!A$2:A$11,A4-1,'年度底稿'!D$2:D$11))-1</f>
        <v/>
      </c>
      <c r="K4" s="4">
        <f>C4/SUMIF('年度底稿'!A$2:A$11,A4-1,'年度底稿'!C$2:C$11)-1</f>
        <v/>
      </c>
      <c r="L4" s="4">
        <f>D4/SUMIF('年度底稿'!A$2:A$11,A4-1,'年度底稿'!D$2:D$11)-1</f>
        <v/>
      </c>
      <c r="M4" s="4">
        <f>C4/D4</f>
        <v/>
      </c>
      <c r="N4" s="2">
        <f>SUMIFS('商品拆分'!E$2:E$49,'商品拆分'!A$2:A$49,A4,'商品拆分'!B$2:B$49,"出口")</f>
        <v/>
      </c>
      <c r="O4" s="2">
        <f>SUMIFS('商品拆分'!E$2:E$49,'商品拆分'!A$2:A$49,A4,'商品拆分'!B$2:B$49,"进口")</f>
        <v/>
      </c>
    </row>
    <row r="5">
      <c r="A5" s="5" t="n">
        <v>2020</v>
      </c>
      <c r="B5" s="2">
        <f>SUMIF('年度底稿'!A$2:A$11,A5,'年度底稿'!B$2:B$11)</f>
        <v/>
      </c>
      <c r="C5" s="2">
        <f>SUMIF('年度底稿'!A$2:A$11,A5,'年度底稿'!C$2:C$11)</f>
        <v/>
      </c>
      <c r="D5" s="2">
        <f>SUMIF('年度底稿'!A$2:A$11,A5,'年度底稿'!D$2:D$11)</f>
        <v/>
      </c>
      <c r="E5" s="2">
        <f>SUMIF('年度底稿'!A$2:A$11,A5,'年度底稿'!E$2:E$11)</f>
        <v/>
      </c>
      <c r="F5" s="2">
        <f>C5+D5</f>
        <v/>
      </c>
      <c r="G5" s="2">
        <f>C5-D5</f>
        <v/>
      </c>
      <c r="H5" s="2">
        <f>B5-F5</f>
        <v/>
      </c>
      <c r="I5" s="2">
        <f>E5-G5</f>
        <v/>
      </c>
      <c r="J5" s="4">
        <f>F5/(SUMIF('年度底稿'!A$2:A$11,A5-1,'年度底稿'!C$2:C$11)+SUMIF('年度底稿'!A$2:A$11,A5-1,'年度底稿'!D$2:D$11))-1</f>
        <v/>
      </c>
      <c r="K5" s="4">
        <f>C5/SUMIF('年度底稿'!A$2:A$11,A5-1,'年度底稿'!C$2:C$11)-1</f>
        <v/>
      </c>
      <c r="L5" s="4">
        <f>D5/SUMIF('年度底稿'!A$2:A$11,A5-1,'年度底稿'!D$2:D$11)-1</f>
        <v/>
      </c>
      <c r="M5" s="4">
        <f>C5/D5</f>
        <v/>
      </c>
      <c r="N5" s="2">
        <f>SUMIFS('商品拆分'!E$2:E$49,'商品拆分'!A$2:A$49,A5,'商品拆分'!B$2:B$49,"出口")</f>
        <v/>
      </c>
      <c r="O5" s="2">
        <f>SUMIFS('商品拆分'!E$2:E$49,'商品拆分'!A$2:A$49,A5,'商品拆分'!B$2:B$49,"进口")</f>
        <v/>
      </c>
    </row>
    <row r="6">
      <c r="A6" s="5" t="n">
        <v>2021</v>
      </c>
      <c r="B6" s="2">
        <f>SUMIF('年度底稿'!A$2:A$11,A6,'年度底稿'!B$2:B$11)</f>
        <v/>
      </c>
      <c r="C6" s="2">
        <f>SUMIF('年度底稿'!A$2:A$11,A6,'年度底稿'!C$2:C$11)</f>
        <v/>
      </c>
      <c r="D6" s="2">
        <f>SUMIF('年度底稿'!A$2:A$11,A6,'年度底稿'!D$2:D$11)</f>
        <v/>
      </c>
      <c r="E6" s="2">
        <f>SUMIF('年度底稿'!A$2:A$11,A6,'年度底稿'!E$2:E$11)</f>
        <v/>
      </c>
      <c r="F6" s="2">
        <f>C6+D6</f>
        <v/>
      </c>
      <c r="G6" s="2">
        <f>C6-D6</f>
        <v/>
      </c>
      <c r="H6" s="2">
        <f>B6-F6</f>
        <v/>
      </c>
      <c r="I6" s="2">
        <f>E6-G6</f>
        <v/>
      </c>
      <c r="J6" s="4">
        <f>F6/(SUMIF('年度底稿'!A$2:A$11,A6-1,'年度底稿'!C$2:C$11)+SUMIF('年度底稿'!A$2:A$11,A6-1,'年度底稿'!D$2:D$11))-1</f>
        <v/>
      </c>
      <c r="K6" s="4">
        <f>C6/SUMIF('年度底稿'!A$2:A$11,A6-1,'年度底稿'!C$2:C$11)-1</f>
        <v/>
      </c>
      <c r="L6" s="4">
        <f>D6/SUMIF('年度底稿'!A$2:A$11,A6-1,'年度底稿'!D$2:D$11)-1</f>
        <v/>
      </c>
      <c r="M6" s="4">
        <f>C6/D6</f>
        <v/>
      </c>
      <c r="N6" s="2">
        <f>SUMIFS('商品拆分'!E$2:E$49,'商品拆分'!A$2:A$49,A6,'商品拆分'!B$2:B$49,"出口")</f>
        <v/>
      </c>
      <c r="O6" s="2">
        <f>SUMIFS('商品拆分'!E$2:E$49,'商品拆分'!A$2:A$49,A6,'商品拆分'!B$2:B$49,"进口")</f>
        <v/>
      </c>
    </row>
    <row r="7">
      <c r="A7" s="5" t="n">
        <v>2022</v>
      </c>
      <c r="B7" s="2">
        <f>SUMIF('年度底稿'!A$2:A$11,A7,'年度底稿'!B$2:B$11)</f>
        <v/>
      </c>
      <c r="C7" s="2">
        <f>SUMIF('年度底稿'!A$2:A$11,A7,'年度底稿'!C$2:C$11)</f>
        <v/>
      </c>
      <c r="D7" s="2">
        <f>SUMIF('年度底稿'!A$2:A$11,A7,'年度底稿'!D$2:D$11)</f>
        <v/>
      </c>
      <c r="E7" s="2">
        <f>SUMIF('年度底稿'!A$2:A$11,A7,'年度底稿'!E$2:E$11)</f>
        <v/>
      </c>
      <c r="F7" s="2">
        <f>C7+D7</f>
        <v/>
      </c>
      <c r="G7" s="2">
        <f>C7-D7</f>
        <v/>
      </c>
      <c r="H7" s="2">
        <f>B7-F7</f>
        <v/>
      </c>
      <c r="I7" s="2">
        <f>E7-G7</f>
        <v/>
      </c>
      <c r="J7" s="4">
        <f>F7/(SUMIF('年度底稿'!A$2:A$11,A7-1,'年度底稿'!C$2:C$11)+SUMIF('年度底稿'!A$2:A$11,A7-1,'年度底稿'!D$2:D$11))-1</f>
        <v/>
      </c>
      <c r="K7" s="4">
        <f>C7/SUMIF('年度底稿'!A$2:A$11,A7-1,'年度底稿'!C$2:C$11)-1</f>
        <v/>
      </c>
      <c r="L7" s="4">
        <f>D7/SUMIF('年度底稿'!A$2:A$11,A7-1,'年度底稿'!D$2:D$11)-1</f>
        <v/>
      </c>
      <c r="M7" s="4">
        <f>C7/D7</f>
        <v/>
      </c>
      <c r="N7" s="2">
        <f>SUMIFS('商品拆分'!E$2:E$49,'商品拆分'!A$2:A$49,A7,'商品拆分'!B$2:B$49,"出口")</f>
        <v/>
      </c>
      <c r="O7" s="2">
        <f>SUMIFS('商品拆分'!E$2:E$49,'商品拆分'!A$2:A$49,A7,'商品拆分'!B$2:B$49,"进口")</f>
        <v/>
      </c>
    </row>
    <row r="8">
      <c r="A8" s="5" t="n">
        <v>2023</v>
      </c>
      <c r="B8" s="2">
        <f>SUMIF('年度底稿'!A$2:A$11,A8,'年度底稿'!B$2:B$11)</f>
        <v/>
      </c>
      <c r="C8" s="2">
        <f>SUMIF('年度底稿'!A$2:A$11,A8,'年度底稿'!C$2:C$11)</f>
        <v/>
      </c>
      <c r="D8" s="2">
        <f>SUMIF('年度底稿'!A$2:A$11,A8,'年度底稿'!D$2:D$11)</f>
        <v/>
      </c>
      <c r="E8" s="2">
        <f>SUMIF('年度底稿'!A$2:A$11,A8,'年度底稿'!E$2:E$11)</f>
        <v/>
      </c>
      <c r="F8" s="2">
        <f>C8+D8</f>
        <v/>
      </c>
      <c r="G8" s="2">
        <f>C8-D8</f>
        <v/>
      </c>
      <c r="H8" s="2">
        <f>B8-F8</f>
        <v/>
      </c>
      <c r="I8" s="2">
        <f>E8-G8</f>
        <v/>
      </c>
      <c r="J8" s="4">
        <f>F8/(SUMIF('年度底稿'!A$2:A$11,A8-1,'年度底稿'!C$2:C$11)+SUMIF('年度底稿'!A$2:A$11,A8-1,'年度底稿'!D$2:D$11))-1</f>
        <v/>
      </c>
      <c r="K8" s="4">
        <f>C8/SUMIF('年度底稿'!A$2:A$11,A8-1,'年度底稿'!C$2:C$11)-1</f>
        <v/>
      </c>
      <c r="L8" s="4">
        <f>D8/SUMIF('年度底稿'!A$2:A$11,A8-1,'年度底稿'!D$2:D$11)-1</f>
        <v/>
      </c>
      <c r="M8" s="4">
        <f>C8/D8</f>
        <v/>
      </c>
      <c r="N8" s="2">
        <f>SUMIFS('商品拆分'!E$2:E$49,'商品拆分'!A$2:A$49,A8,'商品拆分'!B$2:B$49,"出口")</f>
        <v/>
      </c>
      <c r="O8" s="2">
        <f>SUMIFS('商品拆分'!E$2:E$49,'商品拆分'!A$2:A$49,A8,'商品拆分'!B$2:B$49,"进口")</f>
        <v/>
      </c>
    </row>
    <row r="9">
      <c r="A9" s="5" t="n">
        <v>2024</v>
      </c>
      <c r="B9" s="2">
        <f>SUMIF('年度底稿'!A$2:A$11,A9,'年度底稿'!B$2:B$11)</f>
        <v/>
      </c>
      <c r="C9" s="2">
        <f>SUMIF('年度底稿'!A$2:A$11,A9,'年度底稿'!C$2:C$11)</f>
        <v/>
      </c>
      <c r="D9" s="2">
        <f>SUMIF('年度底稿'!A$2:A$11,A9,'年度底稿'!D$2:D$11)</f>
        <v/>
      </c>
      <c r="E9" s="2">
        <f>SUMIF('年度底稿'!A$2:A$11,A9,'年度底稿'!E$2:E$11)</f>
        <v/>
      </c>
      <c r="F9" s="2">
        <f>C9+D9</f>
        <v/>
      </c>
      <c r="G9" s="2">
        <f>C9-D9</f>
        <v/>
      </c>
      <c r="H9" s="2">
        <f>B9-F9</f>
        <v/>
      </c>
      <c r="I9" s="2">
        <f>E9-G9</f>
        <v/>
      </c>
      <c r="J9" s="4">
        <f>F9/(SUMIF('年度底稿'!A$2:A$11,A9-1,'年度底稿'!C$2:C$11)+SUMIF('年度底稿'!A$2:A$11,A9-1,'年度底稿'!D$2:D$11))-1</f>
        <v/>
      </c>
      <c r="K9" s="4">
        <f>C9/SUMIF('年度底稿'!A$2:A$11,A9-1,'年度底稿'!C$2:C$11)-1</f>
        <v/>
      </c>
      <c r="L9" s="4">
        <f>D9/SUMIF('年度底稿'!A$2:A$11,A9-1,'年度底稿'!D$2:D$11)-1</f>
        <v/>
      </c>
      <c r="M9" s="4">
        <f>C9/D9</f>
        <v/>
      </c>
      <c r="N9" s="2">
        <f>SUMIFS('商品拆分'!E$2:E$49,'商品拆分'!A$2:A$49,A9,'商品拆分'!B$2:B$49,"出口")</f>
        <v/>
      </c>
      <c r="O9" s="2">
        <f>SUMIFS('商品拆分'!E$2:E$49,'商品拆分'!A$2:A$49,A9,'商品拆分'!B$2:B$49,"进口")</f>
        <v/>
      </c>
    </row>
  </sheetData>
  <autoFilter ref="A1:O9"/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起年</t>
        </is>
      </c>
      <c r="B1" s="1" t="inlineStr">
        <is>
          <t>止年</t>
        </is>
      </c>
      <c r="C1" s="1" t="inlineStr">
        <is>
          <t>合成总额</t>
        </is>
      </c>
      <c r="D1" s="1" t="inlineStr">
        <is>
          <t>合成出口</t>
        </is>
      </c>
      <c r="E1" s="1" t="inlineStr">
        <is>
          <t>合成进口</t>
        </is>
      </c>
      <c r="F1" s="1" t="inlineStr">
        <is>
          <t>合成差额</t>
        </is>
      </c>
      <c r="G1" s="1" t="inlineStr">
        <is>
          <t>差额残差</t>
        </is>
      </c>
      <c r="H1" s="1" t="inlineStr">
        <is>
          <t>总额残差</t>
        </is>
      </c>
    </row>
    <row r="2">
      <c r="A2" s="2" t="n">
        <v>2015</v>
      </c>
      <c r="B2" s="2" t="n">
        <v>2016</v>
      </c>
      <c r="C2" s="2">
        <f>D2+E2</f>
        <v/>
      </c>
      <c r="D2" s="2">
        <f>SUMIFS('年度底稿'!C$2:C$11,'年度底稿'!A$2:A$11,"&gt;="&amp;A2,'年度底稿'!A$2:A$11,"&lt;="&amp;B2)</f>
        <v/>
      </c>
      <c r="E2" s="2">
        <f>SUMIFS('年度底稿'!D$2:D$11,'年度底稿'!A$2:A$11,"&gt;="&amp;A2,'年度底稿'!A$2:A$11,"&lt;="&amp;B2)</f>
        <v/>
      </c>
      <c r="F2" s="2">
        <f>D2-E2</f>
        <v/>
      </c>
      <c r="G2" s="2">
        <f>'累计底稿'!F2-F2</f>
        <v/>
      </c>
      <c r="H2" s="2">
        <f>'累计底稿'!C2-C2</f>
        <v/>
      </c>
    </row>
    <row r="3">
      <c r="A3" s="2" t="n">
        <v>2017</v>
      </c>
      <c r="B3" s="2" t="n">
        <v>2018</v>
      </c>
      <c r="C3" s="2">
        <f>D3+E3</f>
        <v/>
      </c>
      <c r="D3" s="2">
        <f>SUMIFS('年度底稿'!C$2:C$11,'年度底稿'!A$2:A$11,"&gt;="&amp;A3,'年度底稿'!A$2:A$11,"&lt;="&amp;B3)</f>
        <v/>
      </c>
      <c r="E3" s="2">
        <f>SUMIFS('年度底稿'!D$2:D$11,'年度底稿'!A$2:A$11,"&gt;="&amp;A3,'年度底稿'!A$2:A$11,"&lt;="&amp;B3)</f>
        <v/>
      </c>
      <c r="F3" s="2">
        <f>D3-E3</f>
        <v/>
      </c>
      <c r="G3" s="2">
        <f>'累计底稿'!F3-F3</f>
        <v/>
      </c>
      <c r="H3" s="2">
        <f>'累计底稿'!C3-C3</f>
        <v/>
      </c>
    </row>
    <row r="4">
      <c r="A4" s="2" t="n">
        <v>2019</v>
      </c>
      <c r="B4" s="2" t="n">
        <v>2020</v>
      </c>
      <c r="C4" s="2">
        <f>D4+E4</f>
        <v/>
      </c>
      <c r="D4" s="2">
        <f>SUMIFS('年度底稿'!C$2:C$11,'年度底稿'!A$2:A$11,"&gt;="&amp;A4,'年度底稿'!A$2:A$11,"&lt;="&amp;B4)</f>
        <v/>
      </c>
      <c r="E4" s="2">
        <f>SUMIFS('年度底稿'!D$2:D$11,'年度底稿'!A$2:A$11,"&gt;="&amp;A4,'年度底稿'!A$2:A$11,"&lt;="&amp;B4)</f>
        <v/>
      </c>
      <c r="F4" s="2">
        <f>D4-E4</f>
        <v/>
      </c>
      <c r="G4" s="2">
        <f>'累计底稿'!F4-F4</f>
        <v/>
      </c>
      <c r="H4" s="2">
        <f>'累计底稿'!C4-C4</f>
        <v/>
      </c>
    </row>
    <row r="5">
      <c r="A5" s="2" t="n">
        <v>2021</v>
      </c>
      <c r="B5" s="2" t="n">
        <v>2022</v>
      </c>
      <c r="C5" s="2">
        <f>D5+E5</f>
        <v/>
      </c>
      <c r="D5" s="2">
        <f>SUMIFS('年度底稿'!C$2:C$11,'年度底稿'!A$2:A$11,"&gt;="&amp;A5,'年度底稿'!A$2:A$11,"&lt;="&amp;B5)</f>
        <v/>
      </c>
      <c r="E5" s="2">
        <f>SUMIFS('年度底稿'!D$2:D$11,'年度底稿'!A$2:A$11,"&gt;="&amp;A5,'年度底稿'!A$2:A$11,"&lt;="&amp;B5)</f>
        <v/>
      </c>
      <c r="F5" s="2">
        <f>D5-E5</f>
        <v/>
      </c>
      <c r="G5" s="2">
        <f>'累计底稿'!F5-F5</f>
        <v/>
      </c>
      <c r="H5" s="2">
        <f>'累计底稿'!C5-C5</f>
        <v/>
      </c>
    </row>
    <row r="6">
      <c r="A6" s="2" t="n">
        <v>2023</v>
      </c>
      <c r="B6" s="2" t="n">
        <v>2024</v>
      </c>
      <c r="C6" s="2">
        <f>D6+E6</f>
        <v/>
      </c>
      <c r="D6" s="2">
        <f>SUMIFS('年度底稿'!C$2:C$11,'年度底稿'!A$2:A$11,"&gt;="&amp;A6,'年度底稿'!A$2:A$11,"&lt;="&amp;B6)</f>
        <v/>
      </c>
      <c r="E6" s="2">
        <f>SUMIFS('年度底稿'!D$2:D$11,'年度底稿'!A$2:A$11,"&gt;="&amp;A6,'年度底稿'!A$2:A$11,"&lt;="&amp;B6)</f>
        <v/>
      </c>
      <c r="F6" s="2">
        <f>D6-E6</f>
        <v/>
      </c>
      <c r="G6" s="2">
        <f>'累计底稿'!F6-F6</f>
        <v/>
      </c>
      <c r="H6" s="2">
        <f>'累计底稿'!C6-C6</f>
        <v/>
      </c>
    </row>
  </sheetData>
  <autoFilter ref="A1:H6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结果</t>
        </is>
      </c>
    </row>
    <row r="2">
      <c r="A2" s="3" t="inlineStr">
        <is>
          <t>重算总额累计</t>
        </is>
      </c>
      <c r="B2" s="2">
        <f>SUM('年度复核'!F2:F9)</f>
        <v/>
      </c>
    </row>
    <row r="3">
      <c r="A3" s="3" t="inlineStr">
        <is>
          <t>出口累计</t>
        </is>
      </c>
      <c r="B3" s="2">
        <f>SUM('年度复核'!C2:C9)</f>
        <v/>
      </c>
    </row>
    <row r="4">
      <c r="A4" s="3" t="inlineStr">
        <is>
          <t>进口累计</t>
        </is>
      </c>
      <c r="B4" s="2">
        <f>SUM('年度复核'!D2:D9)</f>
        <v/>
      </c>
    </row>
    <row r="5">
      <c r="A5" s="3" t="inlineStr">
        <is>
          <t>重算差额累计</t>
        </is>
      </c>
      <c r="B5" s="2">
        <f>SUM('年度复核'!G2:G9)</f>
        <v/>
      </c>
    </row>
    <row r="6">
      <c r="A6" s="3" t="inlineStr">
        <is>
          <t>原差额累计</t>
        </is>
      </c>
      <c r="B6" s="2">
        <f>SUM('年度复核'!E2:E9)</f>
        <v/>
      </c>
    </row>
    <row r="7">
      <c r="A7" s="3" t="inlineStr">
        <is>
          <t>差额残差累计</t>
        </is>
      </c>
      <c r="B7" s="2">
        <f>B6-B5</f>
        <v/>
      </c>
    </row>
    <row r="8">
      <c r="A8" s="3" t="inlineStr">
        <is>
          <t>差额异常年数</t>
        </is>
      </c>
      <c r="B8" s="2">
        <f>COUNTIF('年度复核'!I2:I9,"&gt;0.005")+COUNTIF('年度复核'!I2:I9,"&lt;-0.005")</f>
        <v/>
      </c>
    </row>
    <row r="9">
      <c r="A9" s="3" t="inlineStr">
        <is>
          <t>2017至2024总额CAGR</t>
        </is>
      </c>
      <c r="B9" s="4">
        <f>('年度复核'!F9/'年度复核'!F2)^(1/7)-1</f>
        <v/>
      </c>
    </row>
    <row r="10">
      <c r="A10" s="3" t="inlineStr">
        <is>
          <t>2024出口机电占比</t>
        </is>
      </c>
      <c r="B10" s="4">
        <f>SUMIFS('商品拆分'!D2:D49,'商品拆分'!A2:A49,2024,'商品拆分'!B2:B49,"出口",'商品拆分'!C2:C49,"机电产品")</f>
        <v/>
      </c>
    </row>
    <row r="11">
      <c r="A11" s="3" t="inlineStr">
        <is>
          <t>2024进口半导体器件占比</t>
        </is>
      </c>
      <c r="B11" s="4">
        <f>SUMIFS('商品拆分'!D2:D49,'商品拆分'!A2:A49,2024,'商品拆分'!B2:B49,"进口",'商品拆分'!C2:C49,"半导体器件")</f>
        <v/>
      </c>
    </row>
    <row r="12">
      <c r="A12" s="3" t="inlineStr">
        <is>
          <t>进口半导体器件金额累计</t>
        </is>
      </c>
      <c r="B12" s="2">
        <f>SUMIFS('商品拆分'!E2:E49,'商品拆分'!B2:B49,"进口",'商品拆分'!C2:C49,"半导体器件")</f>
        <v/>
      </c>
    </row>
    <row r="13">
      <c r="A13" s="3" t="inlineStr">
        <is>
          <t>跨年加权进口份额</t>
        </is>
      </c>
      <c r="B13" s="4">
        <f>B12/B4</f>
        <v/>
      </c>
    </row>
  </sheetData>
  <autoFilter ref="A1:B13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疑点</t>
        </is>
      </c>
      <c r="B1" s="1" t="inlineStr">
        <is>
          <t>定位</t>
        </is>
      </c>
      <c r="C1" s="1" t="inlineStr">
        <is>
          <t>数值影响</t>
        </is>
      </c>
      <c r="D1" s="1" t="inlineStr">
        <is>
          <t>待核实</t>
        </is>
      </c>
    </row>
    <row r="2" ht="70" customHeight="1">
      <c r="A2" s="3" t="inlineStr">
        <is>
          <t>年度差额异常</t>
        </is>
      </c>
      <c r="B2" s="3" t="inlineStr">
        <is>
          <t>2021-2022源表E3、2023-2024源表E2:E3</t>
        </is>
      </c>
      <c r="C2" s="3" t="inlineStr">
        <is>
          <t>2022/2023/2024原差额各比出口减进口少2000亿元</t>
        </is>
      </c>
      <c r="D2" s="3" t="inlineStr">
        <is>
          <t>保留原值与重算值，请核实出口/进口和差额口径，不能自行宣布底层数正确</t>
        </is>
      </c>
    </row>
    <row r="3" ht="70" customHeight="1">
      <c r="A3" s="3" t="inlineStr">
        <is>
          <t>累计行受影响</t>
        </is>
      </c>
      <c r="B3" s="3" t="inlineStr">
        <is>
          <t>两份相关源文件第4行</t>
        </is>
      </c>
      <c r="C3" s="3" t="inlineStr">
        <is>
          <t>2021-2022累计差额少2000；2023-2024少4000；窗口合计少6000亿元</t>
        </is>
      </c>
      <c r="D3" s="3" t="inlineStr">
        <is>
          <t>累计行不当年度；追踪异常年度的累加影响</t>
        </is>
      </c>
    </row>
    <row r="4" ht="70" customHeight="1">
      <c r="A4" s="3" t="inlineStr">
        <is>
          <t>窗口外基准</t>
        </is>
      </c>
      <c r="B4" s="3" t="inlineStr">
        <is>
          <t>2015-2016源文件2016年度</t>
        </is>
      </c>
      <c r="C4" s="3" t="inlineStr">
        <is>
          <t>2016只用于2017同比；最终累计仅2017-2024八年</t>
        </is>
      </c>
      <c r="D4" s="3" t="inlineStr">
        <is>
          <t>禁止为了同比把2016加入最终窗口；CAGR用七个间隔</t>
        </is>
      </c>
    </row>
    <row r="5" ht="70" customHeight="1">
      <c r="A5" s="3" t="inlineStr">
        <is>
          <t>商品方向</t>
        </is>
      </c>
      <c r="B5" s="3" t="inlineStr">
        <is>
          <t>2019-2020文件F3/G3</t>
        </is>
      </c>
      <c r="C5" s="3" t="inlineStr">
        <is>
          <t>2020半导体器件20.5%在进口G列，不是出口；设备与器件不同类</t>
        </is>
      </c>
      <c r="D5" s="3" t="inlineStr">
        <is>
          <t>逐年逐方向核实；加权占比用金额除进口总额，不平均百分比</t>
        </is>
      </c>
    </row>
  </sheetData>
  <autoFilter ref="A1:D5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2026-09-08T16:48:39Z</dcterms:created>
  <dcterms:modified xmlns:dcterms="http://purl.org/dc/terms/" xmlns:xsi="http://www.w3.org/2001/XMLSchema-instance" xsi:type="dcterms:W3CDTF">2026-09-08T16:48:39Z</dcterms:modified>
</cp:coreProperties>
</file>