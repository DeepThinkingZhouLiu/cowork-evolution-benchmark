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数据" sheetId="1" state="visible" r:id="rId1"/>
    <sheet xmlns:r="http://schemas.openxmlformats.org/officeDocument/2006/relationships" name="KPI摘要" sheetId="2" state="visible" r:id="rId2"/>
    <sheet xmlns:r="http://schemas.openxmlformats.org/officeDocument/2006/relationships" name="趋势分析" sheetId="3" state="visible" r:id="rId3"/>
  </sheets>
  <definedNames>
    <definedName name="_xlnm._FilterDatabase" localSheetId="0" hidden="1">'月度数据'!$A$1:$I$13</definedName>
    <definedName name="_xlnm._FilterDatabase" localSheetId="1" hidden="1">'KPI摘要'!$A$1:$B$9</definedName>
    <definedName name="_xlnm._FilterDatabase" localSheetId="2" hidden="1">'趋势分析'!$A$1:$E$13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#,##0.00;[Red]-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与 CSAT 月度趋势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'趋势分析'!B1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'趋势分析'!$A$2:$A$13</f>
            </numRef>
          </cat>
          <val>
            <numRef>
              <f>'趋势分析'!$B$2:$B$13</f>
            </numRef>
          </val>
        </ser>
        <ser>
          <idx val="1"/>
          <order val="1"/>
          <tx>
            <strRef>
              <f>'趋势分析'!C1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'趋势分析'!$A$2:$A$13</f>
            </numRef>
          </cat>
          <val>
            <numRef>
              <f>'趋势分析'!$C$2:$C$13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月度利润趋势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'趋势分析'!D1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'趋势分析'!$A$2:$A$13</f>
            </numRef>
          </cat>
          <val>
            <numRef>
              <f>'趋势分析'!$D$2:$D$13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rviceMonthly" displayName="ServiceMonthly" ref="A1:I13" headerRowCount="1">
  <autoFilter ref="A1:I13"/>
  <tableColumns count="9">
    <tableColumn id="1" name="月份"/>
    <tableColumn id="2" name="工单量"/>
    <tableColumn id="3" name="SLA达成率"/>
    <tableColumn id="4" name="CSAT"/>
    <tableColumn id="5" name="流失客户数"/>
    <tableColumn id="6" name="收入"/>
    <tableColumn id="7" name="服务成本"/>
    <tableColumn id="8" name="利润"/>
    <tableColumn id="9" name="利润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10" customWidth="1" min="5" max="5"/>
    <col width="10.4" customWidth="1" min="6" max="6"/>
    <col width="10" customWidth="1" min="7" max="7"/>
    <col width="10" customWidth="1" min="8" max="8"/>
    <col width="24.8" customWidth="1" min="9" max="9"/>
  </cols>
  <sheetData>
    <row r="1" ht="28" customHeight="1">
      <c r="A1" s="1" t="inlineStr">
        <is>
          <t>月份</t>
        </is>
      </c>
      <c r="B1" s="1" t="inlineStr">
        <is>
          <t>工单量</t>
        </is>
      </c>
      <c r="C1" s="1" t="inlineStr">
        <is>
          <t>SLA达成率</t>
        </is>
      </c>
      <c r="D1" s="1" t="inlineStr">
        <is>
          <t>CSAT</t>
        </is>
      </c>
      <c r="E1" s="1" t="inlineStr">
        <is>
          <t>流失客户数</t>
        </is>
      </c>
      <c r="F1" s="1" t="inlineStr">
        <is>
          <t>收入</t>
        </is>
      </c>
      <c r="G1" s="1" t="inlineStr">
        <is>
          <t>服务成本</t>
        </is>
      </c>
      <c r="H1" s="1" t="inlineStr">
        <is>
          <t>利润</t>
        </is>
      </c>
      <c r="I1" s="1" t="inlineStr">
        <is>
          <t>利润率</t>
        </is>
      </c>
    </row>
    <row r="2">
      <c r="A2" s="2" t="inlineStr">
        <is>
          <t>2026-01</t>
        </is>
      </c>
      <c r="B2" s="2" t="n">
        <v>8200</v>
      </c>
      <c r="C2" s="3" t="n">
        <v>0.9419999999999999</v>
      </c>
      <c r="D2" s="2" t="n">
        <v>4.58</v>
      </c>
      <c r="E2" s="2" t="n">
        <v>18</v>
      </c>
      <c r="F2" s="4" t="n">
        <v>1280000</v>
      </c>
      <c r="G2" s="4" t="n">
        <v>760000</v>
      </c>
      <c r="H2" s="4" t="n">
        <v>520000</v>
      </c>
      <c r="I2" s="3" t="n">
        <v>0.40625</v>
      </c>
    </row>
    <row r="3">
      <c r="A3" s="2" t="inlineStr">
        <is>
          <t>2026-02</t>
        </is>
      </c>
      <c r="B3" s="2" t="n">
        <v>7900</v>
      </c>
      <c r="C3" s="3" t="n">
        <v>0.951</v>
      </c>
      <c r="D3" s="2" t="n">
        <v>4.61</v>
      </c>
      <c r="E3" s="2" t="n">
        <v>16</v>
      </c>
      <c r="F3" s="4" t="n">
        <v>1265000</v>
      </c>
      <c r="G3" s="4" t="n">
        <v>742000</v>
      </c>
      <c r="H3" s="4" t="n">
        <v>523000</v>
      </c>
      <c r="I3" s="3" t="n">
        <v>0.4134387351778656</v>
      </c>
    </row>
    <row r="4">
      <c r="A4" s="2" t="inlineStr">
        <is>
          <t>2026-03</t>
        </is>
      </c>
      <c r="B4" s="2" t="n">
        <v>8600</v>
      </c>
      <c r="C4" s="3" t="n">
        <v>0.9360000000000001</v>
      </c>
      <c r="D4" s="2" t="n">
        <v>4.52</v>
      </c>
      <c r="E4" s="2" t="n">
        <v>22</v>
      </c>
      <c r="F4" s="4" t="n">
        <v>1320000</v>
      </c>
      <c r="G4" s="4" t="n">
        <v>785000</v>
      </c>
      <c r="H4" s="4" t="n">
        <v>535000</v>
      </c>
      <c r="I4" s="3" t="n">
        <v>0.4053030303030303</v>
      </c>
    </row>
    <row r="5">
      <c r="A5" s="2" t="inlineStr">
        <is>
          <t>2026-04</t>
        </is>
      </c>
      <c r="B5" s="2" t="n">
        <v>9100</v>
      </c>
      <c r="C5" s="3" t="n">
        <v>0.928</v>
      </c>
      <c r="D5" s="2" t="n">
        <v>4.46</v>
      </c>
      <c r="E5" s="2" t="n">
        <v>27</v>
      </c>
      <c r="F5" s="4" t="n">
        <v>1350000</v>
      </c>
      <c r="G5" s="4" t="n">
        <v>820000</v>
      </c>
      <c r="H5" s="4" t="n">
        <v>530000</v>
      </c>
      <c r="I5" s="3" t="n">
        <v>0.3925925925925926</v>
      </c>
    </row>
    <row r="6">
      <c r="A6" s="2" t="inlineStr">
        <is>
          <t>2026-05</t>
        </is>
      </c>
      <c r="B6" s="2" t="n">
        <v>9400</v>
      </c>
      <c r="C6" s="3" t="n">
        <v>0.917</v>
      </c>
      <c r="D6" s="2" t="n">
        <v>4.39</v>
      </c>
      <c r="E6" s="2" t="n">
        <v>31</v>
      </c>
      <c r="F6" s="4" t="n">
        <v>1375000</v>
      </c>
      <c r="G6" s="4" t="n">
        <v>848000</v>
      </c>
      <c r="H6" s="4" t="n">
        <v>527000</v>
      </c>
      <c r="I6" s="3" t="n">
        <v>0.3832727272727273</v>
      </c>
    </row>
    <row r="7">
      <c r="A7" s="2" t="inlineStr">
        <is>
          <t>2026-06</t>
        </is>
      </c>
      <c r="B7" s="2" t="n">
        <v>9700</v>
      </c>
      <c r="C7" s="3" t="n">
        <v>0.905</v>
      </c>
      <c r="D7" s="2" t="n">
        <v>4.32</v>
      </c>
      <c r="E7" s="2" t="n">
        <v>36</v>
      </c>
      <c r="F7" s="4" t="n">
        <v>1380000</v>
      </c>
      <c r="G7" s="4" t="n">
        <v>875000</v>
      </c>
      <c r="H7" s="4" t="n">
        <v>505000</v>
      </c>
      <c r="I7" s="3" t="n">
        <v>0.3659420289855073</v>
      </c>
    </row>
    <row r="8">
      <c r="A8" s="2" t="inlineStr">
        <is>
          <t>2026-07</t>
        </is>
      </c>
      <c r="B8" s="2" t="n">
        <v>10100</v>
      </c>
      <c r="C8" s="3" t="n">
        <v>0.912</v>
      </c>
      <c r="D8" s="2" t="n">
        <v>4.35</v>
      </c>
      <c r="E8" s="2" t="n">
        <v>33</v>
      </c>
      <c r="F8" s="4" t="n">
        <v>1410000</v>
      </c>
      <c r="G8" s="4" t="n">
        <v>892000</v>
      </c>
      <c r="H8" s="4" t="n">
        <v>518000</v>
      </c>
      <c r="I8" s="3" t="n">
        <v>0.3673758865248227</v>
      </c>
    </row>
    <row r="9">
      <c r="A9" s="2" t="inlineStr">
        <is>
          <t>2026-08</t>
        </is>
      </c>
      <c r="B9" s="2" t="n">
        <v>9800</v>
      </c>
      <c r="C9" s="3" t="n">
        <v>0.926</v>
      </c>
      <c r="D9" s="2" t="n">
        <v>4.43</v>
      </c>
      <c r="E9" s="2" t="n">
        <v>28</v>
      </c>
      <c r="F9" s="4" t="n">
        <v>1425000</v>
      </c>
      <c r="G9" s="4" t="n">
        <v>880000</v>
      </c>
      <c r="H9" s="4" t="n">
        <v>545000</v>
      </c>
      <c r="I9" s="3" t="n">
        <v>0.3824561403508772</v>
      </c>
    </row>
    <row r="10">
      <c r="A10" s="2" t="inlineStr">
        <is>
          <t>2026-09</t>
        </is>
      </c>
      <c r="B10" s="2" t="n">
        <v>9300</v>
      </c>
      <c r="C10" s="3" t="n">
        <v>0.9379999999999999</v>
      </c>
      <c r="D10" s="2" t="n">
        <v>4.49</v>
      </c>
      <c r="E10" s="2" t="n">
        <v>24</v>
      </c>
      <c r="F10" s="4" t="n">
        <v>1440000</v>
      </c>
      <c r="G10" s="4" t="n">
        <v>865000</v>
      </c>
      <c r="H10" s="4" t="n">
        <v>575000</v>
      </c>
      <c r="I10" s="3" t="n">
        <v>0.3993055555555556</v>
      </c>
    </row>
    <row r="11">
      <c r="A11" s="2" t="inlineStr">
        <is>
          <t>2026-10</t>
        </is>
      </c>
      <c r="B11" s="2" t="n">
        <v>9000</v>
      </c>
      <c r="C11" s="3" t="n">
        <v>0.947</v>
      </c>
      <c r="D11" s="2" t="n">
        <v>4.55</v>
      </c>
      <c r="E11" s="2" t="n">
        <v>20</v>
      </c>
      <c r="F11" s="4" t="n">
        <v>1460000</v>
      </c>
      <c r="G11" s="4" t="n">
        <v>850000</v>
      </c>
      <c r="H11" s="4" t="n">
        <v>610000</v>
      </c>
      <c r="I11" s="3" t="n">
        <v>0.4178082191780822</v>
      </c>
    </row>
    <row r="12">
      <c r="A12" s="2" t="inlineStr">
        <is>
          <t>2026-11</t>
        </is>
      </c>
      <c r="B12" s="2" t="n">
        <v>8800</v>
      </c>
      <c r="C12" s="3" t="n">
        <v>0.955</v>
      </c>
      <c r="D12" s="2" t="n">
        <v>4.62</v>
      </c>
      <c r="E12" s="2" t="n">
        <v>17</v>
      </c>
      <c r="F12" s="4" t="n">
        <v>1490000</v>
      </c>
      <c r="G12" s="4" t="n">
        <v>842000</v>
      </c>
      <c r="H12" s="4" t="n">
        <v>648000</v>
      </c>
      <c r="I12" s="3" t="n">
        <v>0.4348993288590604</v>
      </c>
    </row>
    <row r="13">
      <c r="A13" s="2" t="inlineStr">
        <is>
          <t>2026-12</t>
        </is>
      </c>
      <c r="B13" s="2" t="n">
        <v>10500</v>
      </c>
      <c r="C13" s="3" t="n">
        <v>0.931</v>
      </c>
      <c r="D13" s="2" t="n">
        <v>4.5</v>
      </c>
      <c r="E13" s="2" t="n">
        <v>26</v>
      </c>
      <c r="F13" s="4" t="n">
        <v>1560000</v>
      </c>
      <c r="G13" s="4" t="n">
        <v>930000</v>
      </c>
      <c r="H13" s="4" t="n">
        <v>630000</v>
      </c>
      <c r="I13" s="3" t="n">
        <v>0.4038461538461539</v>
      </c>
    </row>
  </sheetData>
  <autoFilter ref="A1:I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.8" customWidth="1" min="2" max="2"/>
  </cols>
  <sheetData>
    <row r="1" ht="28" customHeight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全年工单量</t>
        </is>
      </c>
      <c r="B2" s="2" t="n">
        <v>110400</v>
      </c>
    </row>
    <row r="3">
      <c r="A3" s="2" t="inlineStr">
        <is>
          <t>平均 SLA 达成率</t>
        </is>
      </c>
      <c r="B3" s="3" t="n">
        <v>0.9323333333333332</v>
      </c>
    </row>
    <row r="4">
      <c r="A4" s="2" t="inlineStr">
        <is>
          <t>加权平均 CSAT</t>
        </is>
      </c>
      <c r="B4" s="5" t="n">
        <v>4.479755434782609</v>
      </c>
    </row>
    <row r="5">
      <c r="A5" s="2" t="inlineStr">
        <is>
          <t>流失客户数</t>
        </is>
      </c>
      <c r="B5" s="2" t="n">
        <v>298</v>
      </c>
    </row>
    <row r="6">
      <c r="A6" s="2" t="inlineStr">
        <is>
          <t>全年收入</t>
        </is>
      </c>
      <c r="B6" s="4" t="n">
        <v>16755000</v>
      </c>
    </row>
    <row r="7">
      <c r="A7" s="2" t="inlineStr">
        <is>
          <t>全年服务成本</t>
        </is>
      </c>
      <c r="B7" s="4" t="n">
        <v>10089000</v>
      </c>
    </row>
    <row r="8">
      <c r="A8" s="2" t="inlineStr">
        <is>
          <t>全年利润</t>
        </is>
      </c>
      <c r="B8" s="4" t="n">
        <v>6666000</v>
      </c>
    </row>
    <row r="9">
      <c r="A9" s="2" t="inlineStr">
        <is>
          <t>全年利润率</t>
        </is>
      </c>
      <c r="B9" s="3" t="n">
        <v>0.3978513876454789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0" customWidth="1" min="3" max="3"/>
    <col width="10" customWidth="1" min="4" max="4"/>
    <col width="24.8" customWidth="1" min="5" max="5"/>
  </cols>
  <sheetData>
    <row r="1" ht="28" customHeight="1">
      <c r="A1" s="1" t="inlineStr">
        <is>
          <t>月份</t>
        </is>
      </c>
      <c r="B1" s="1" t="inlineStr">
        <is>
          <t>SLA达成率</t>
        </is>
      </c>
      <c r="C1" s="1" t="inlineStr">
        <is>
          <t>CSAT</t>
        </is>
      </c>
      <c r="D1" s="1" t="inlineStr">
        <is>
          <t>利润</t>
        </is>
      </c>
      <c r="E1" s="1" t="inlineStr">
        <is>
          <t>利润率</t>
        </is>
      </c>
    </row>
    <row r="2">
      <c r="A2" s="2" t="inlineStr">
        <is>
          <t>2026-01</t>
        </is>
      </c>
      <c r="B2" s="3" t="n">
        <v>0.9419999999999999</v>
      </c>
      <c r="C2" s="2" t="n">
        <v>4.58</v>
      </c>
      <c r="D2" s="4" t="n">
        <v>520000</v>
      </c>
      <c r="E2" s="3" t="n">
        <v>0.40625</v>
      </c>
    </row>
    <row r="3">
      <c r="A3" s="2" t="inlineStr">
        <is>
          <t>2026-02</t>
        </is>
      </c>
      <c r="B3" s="3" t="n">
        <v>0.951</v>
      </c>
      <c r="C3" s="2" t="n">
        <v>4.61</v>
      </c>
      <c r="D3" s="4" t="n">
        <v>523000</v>
      </c>
      <c r="E3" s="3" t="n">
        <v>0.4134387351778656</v>
      </c>
    </row>
    <row r="4">
      <c r="A4" s="2" t="inlineStr">
        <is>
          <t>2026-03</t>
        </is>
      </c>
      <c r="B4" s="3" t="n">
        <v>0.9360000000000001</v>
      </c>
      <c r="C4" s="2" t="n">
        <v>4.52</v>
      </c>
      <c r="D4" s="4" t="n">
        <v>535000</v>
      </c>
      <c r="E4" s="3" t="n">
        <v>0.4053030303030303</v>
      </c>
    </row>
    <row r="5">
      <c r="A5" s="2" t="inlineStr">
        <is>
          <t>2026-04</t>
        </is>
      </c>
      <c r="B5" s="3" t="n">
        <v>0.928</v>
      </c>
      <c r="C5" s="2" t="n">
        <v>4.46</v>
      </c>
      <c r="D5" s="4" t="n">
        <v>530000</v>
      </c>
      <c r="E5" s="3" t="n">
        <v>0.3925925925925926</v>
      </c>
    </row>
    <row r="6">
      <c r="A6" s="2" t="inlineStr">
        <is>
          <t>2026-05</t>
        </is>
      </c>
      <c r="B6" s="3" t="n">
        <v>0.917</v>
      </c>
      <c r="C6" s="2" t="n">
        <v>4.39</v>
      </c>
      <c r="D6" s="4" t="n">
        <v>527000</v>
      </c>
      <c r="E6" s="3" t="n">
        <v>0.3832727272727273</v>
      </c>
    </row>
    <row r="7">
      <c r="A7" s="2" t="inlineStr">
        <is>
          <t>2026-06</t>
        </is>
      </c>
      <c r="B7" s="3" t="n">
        <v>0.905</v>
      </c>
      <c r="C7" s="2" t="n">
        <v>4.32</v>
      </c>
      <c r="D7" s="4" t="n">
        <v>505000</v>
      </c>
      <c r="E7" s="3" t="n">
        <v>0.3659420289855073</v>
      </c>
    </row>
    <row r="8">
      <c r="A8" s="2" t="inlineStr">
        <is>
          <t>2026-07</t>
        </is>
      </c>
      <c r="B8" s="3" t="n">
        <v>0.912</v>
      </c>
      <c r="C8" s="2" t="n">
        <v>4.35</v>
      </c>
      <c r="D8" s="4" t="n">
        <v>518000</v>
      </c>
      <c r="E8" s="3" t="n">
        <v>0.3673758865248227</v>
      </c>
    </row>
    <row r="9">
      <c r="A9" s="2" t="inlineStr">
        <is>
          <t>2026-08</t>
        </is>
      </c>
      <c r="B9" s="3" t="n">
        <v>0.926</v>
      </c>
      <c r="C9" s="2" t="n">
        <v>4.43</v>
      </c>
      <c r="D9" s="4" t="n">
        <v>545000</v>
      </c>
      <c r="E9" s="3" t="n">
        <v>0.3824561403508772</v>
      </c>
    </row>
    <row r="10">
      <c r="A10" s="2" t="inlineStr">
        <is>
          <t>2026-09</t>
        </is>
      </c>
      <c r="B10" s="3" t="n">
        <v>0.9379999999999999</v>
      </c>
      <c r="C10" s="2" t="n">
        <v>4.49</v>
      </c>
      <c r="D10" s="4" t="n">
        <v>575000</v>
      </c>
      <c r="E10" s="3" t="n">
        <v>0.3993055555555556</v>
      </c>
    </row>
    <row r="11">
      <c r="A11" s="2" t="inlineStr">
        <is>
          <t>2026-10</t>
        </is>
      </c>
      <c r="B11" s="3" t="n">
        <v>0.947</v>
      </c>
      <c r="C11" s="2" t="n">
        <v>4.55</v>
      </c>
      <c r="D11" s="4" t="n">
        <v>610000</v>
      </c>
      <c r="E11" s="3" t="n">
        <v>0.4178082191780822</v>
      </c>
    </row>
    <row r="12">
      <c r="A12" s="2" t="inlineStr">
        <is>
          <t>2026-11</t>
        </is>
      </c>
      <c r="B12" s="3" t="n">
        <v>0.955</v>
      </c>
      <c r="C12" s="2" t="n">
        <v>4.62</v>
      </c>
      <c r="D12" s="4" t="n">
        <v>648000</v>
      </c>
      <c r="E12" s="3" t="n">
        <v>0.4348993288590604</v>
      </c>
    </row>
    <row r="13">
      <c r="A13" s="2" t="inlineStr">
        <is>
          <t>2026-12</t>
        </is>
      </c>
      <c r="B13" s="3" t="n">
        <v>0.931</v>
      </c>
      <c r="C13" s="2" t="n">
        <v>4.5</v>
      </c>
      <c r="D13" s="4" t="n">
        <v>630000</v>
      </c>
      <c r="E13" s="3" t="n">
        <v>0.4038461538461539</v>
      </c>
    </row>
  </sheetData>
  <autoFilter ref="A1:E1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2026-08-23T17:58:42Z</dcterms:created>
  <dcterms:modified xmlns:dcterms="http://purl.org/dc/terms/" xmlns:xsi="http://www.w3.org/2001/XMLSchema-instance" xsi:type="dcterms:W3CDTF">2026-08-23T17:58:42Z</dcterms:modified>
</cp:coreProperties>
</file>