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度数据" sheetId="1" state="visible" r:id="rId1"/>
    <sheet xmlns:r="http://schemas.openxmlformats.org/officeDocument/2006/relationships" name="图表看板" sheetId="2" state="visible" r:id="rId2"/>
  </sheets>
  <definedNames>
    <definedName name="_xlnm._FilterDatabase" localSheetId="0" hidden="1">'周度数据'!$A$1:$G$9</definedName>
    <definedName name="_xlnm._FilterDatabase" localSheetId="1" hidden="1">'图表看板'!$A$1:$B$5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周度漏斗规模趋势</a:t>
            </a:r>
          </a:p>
        </rich>
      </tx>
    </title>
    <plotArea>
      <lineChart>
        <grouping val="standard"/>
        <ser>
          <idx val="0"/>
          <order val="0"/>
          <tx>
            <strRef>
              <f>'周度数据'!C1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'周度数据'!$A$2:$A$9</f>
            </numRef>
          </cat>
          <val>
            <numRef>
              <f>'周度数据'!$C$2:$C$9</f>
            </numRef>
          </val>
        </ser>
        <ser>
          <idx val="1"/>
          <order val="1"/>
          <tx>
            <strRef>
              <f>'周度数据'!D1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'周度数据'!$A$2:$A$9</f>
            </numRef>
          </cat>
          <val>
            <numRef>
              <f>'周度数据'!$D$2:$D$9</f>
            </numRef>
          </val>
        </ser>
        <ser>
          <idx val="2"/>
          <order val="2"/>
          <tx>
            <strRef>
              <f>'周度数据'!E1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'周度数据'!$A$2:$A$9</f>
            </numRef>
          </cat>
          <val>
            <numRef>
              <f>'周度数据'!$E$2:$E$9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周度转化率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'周度数据'!F1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'周度数据'!$A$2:$A$9</f>
            </numRef>
          </cat>
          <val>
            <numRef>
              <f>'周度数据'!$F$2:$F$9</f>
            </numRef>
          </val>
        </ser>
        <ser>
          <idx val="1"/>
          <order val="1"/>
          <tx>
            <strRef>
              <f>'周度数据'!G1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'周度数据'!$A$2:$A$9</f>
            </numRef>
          </cat>
          <val>
            <numRef>
              <f>'周度数据'!$G$2:$G$9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转化率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Funnel" displayName="GrowthFunnel" ref="A1:G9" headerRowCount="1">
  <autoFilter ref="A1:G9"/>
  <tableColumns count="7">
    <tableColumn id="1" name="周次"/>
    <tableColumn id="2" name="周开始日"/>
    <tableColumn id="3" name="线索数"/>
    <tableColumn id="4" name="商机数"/>
    <tableColumn id="5" name="订单数"/>
    <tableColumn id="6" name="线索→商机转化率"/>
    <tableColumn id="7" name="商机→订单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.8" customWidth="1" min="2" max="2"/>
    <col width="10" customWidth="1" min="3" max="3"/>
    <col width="10" customWidth="1" min="4" max="4"/>
    <col width="10" customWidth="1" min="5" max="5"/>
    <col width="24.8" customWidth="1" min="6" max="6"/>
    <col width="24.8" customWidth="1" min="7" max="7"/>
  </cols>
  <sheetData>
    <row r="1" ht="28" customHeight="1">
      <c r="A1" s="1" t="inlineStr">
        <is>
          <t>周次</t>
        </is>
      </c>
      <c r="B1" s="1" t="inlineStr">
        <is>
          <t>周开始日</t>
        </is>
      </c>
      <c r="C1" s="1" t="inlineStr">
        <is>
          <t>线索数</t>
        </is>
      </c>
      <c r="D1" s="1" t="inlineStr">
        <is>
          <t>商机数</t>
        </is>
      </c>
      <c r="E1" s="1" t="inlineStr">
        <is>
          <t>订单数</t>
        </is>
      </c>
      <c r="F1" s="1" t="inlineStr">
        <is>
          <t>线索→商机转化率</t>
        </is>
      </c>
      <c r="G1" s="1" t="inlineStr">
        <is>
          <t>商机→订单转化率</t>
        </is>
      </c>
    </row>
    <row r="2">
      <c r="A2" s="2" t="inlineStr">
        <is>
          <t>W01</t>
        </is>
      </c>
      <c r="B2" s="3" t="n">
        <v>46174</v>
      </c>
      <c r="C2" s="2" t="n">
        <v>1240</v>
      </c>
      <c r="D2" s="2" t="n">
        <v>310</v>
      </c>
      <c r="E2" s="2" t="n">
        <v>86</v>
      </c>
      <c r="F2" s="4" t="n">
        <v>0.25</v>
      </c>
      <c r="G2" s="4" t="n">
        <v>0.2774193548387097</v>
      </c>
    </row>
    <row r="3">
      <c r="A3" s="2" t="inlineStr">
        <is>
          <t>W02</t>
        </is>
      </c>
      <c r="B3" s="3" t="n">
        <v>46181</v>
      </c>
      <c r="C3" s="2" t="n">
        <v>1310</v>
      </c>
      <c r="D3" s="2" t="n">
        <v>345</v>
      </c>
      <c r="E3" s="2" t="n">
        <v>94</v>
      </c>
      <c r="F3" s="4" t="n">
        <v>0.2633587786259542</v>
      </c>
      <c r="G3" s="4" t="n">
        <v>0.272463768115942</v>
      </c>
    </row>
    <row r="4">
      <c r="A4" s="2" t="inlineStr">
        <is>
          <t>W03</t>
        </is>
      </c>
      <c r="B4" s="3" t="n">
        <v>46188</v>
      </c>
      <c r="C4" s="2" t="n">
        <v>1285</v>
      </c>
      <c r="D4" s="2" t="n">
        <v>338</v>
      </c>
      <c r="E4" s="2" t="n">
        <v>101</v>
      </c>
      <c r="F4" s="4" t="n">
        <v>0.2630350194552529</v>
      </c>
      <c r="G4" s="4" t="n">
        <v>0.2988165680473373</v>
      </c>
    </row>
    <row r="5">
      <c r="A5" s="2" t="inlineStr">
        <is>
          <t>W04</t>
        </is>
      </c>
      <c r="B5" s="3" t="n">
        <v>46195</v>
      </c>
      <c r="C5" s="2" t="n">
        <v>1420</v>
      </c>
      <c r="D5" s="2" t="n">
        <v>372</v>
      </c>
      <c r="E5" s="2" t="n">
        <v>110</v>
      </c>
      <c r="F5" s="4" t="n">
        <v>0.2619718309859155</v>
      </c>
      <c r="G5" s="4" t="n">
        <v>0.2956989247311828</v>
      </c>
    </row>
    <row r="6">
      <c r="A6" s="2" t="inlineStr">
        <is>
          <t>W05</t>
        </is>
      </c>
      <c r="B6" s="3" t="n">
        <v>46202</v>
      </c>
      <c r="C6" s="2" t="n">
        <v>1510</v>
      </c>
      <c r="D6" s="2" t="n">
        <v>410</v>
      </c>
      <c r="E6" s="2" t="n">
        <v>126</v>
      </c>
      <c r="F6" s="4" t="n">
        <v>0.271523178807947</v>
      </c>
      <c r="G6" s="4" t="n">
        <v>0.3073170731707317</v>
      </c>
    </row>
    <row r="7">
      <c r="A7" s="2" t="inlineStr">
        <is>
          <t>W06</t>
        </is>
      </c>
      <c r="B7" s="3" t="n">
        <v>46209</v>
      </c>
      <c r="C7" s="2" t="n">
        <v>1495</v>
      </c>
      <c r="D7" s="2" t="n">
        <v>422</v>
      </c>
      <c r="E7" s="2" t="n">
        <v>131</v>
      </c>
      <c r="F7" s="4" t="n">
        <v>0.2822742474916388</v>
      </c>
      <c r="G7" s="4" t="n">
        <v>0.3104265402843602</v>
      </c>
    </row>
    <row r="8">
      <c r="A8" s="2" t="inlineStr">
        <is>
          <t>W07</t>
        </is>
      </c>
      <c r="B8" s="3" t="n">
        <v>46216</v>
      </c>
      <c r="C8" s="2" t="n">
        <v>1610</v>
      </c>
      <c r="D8" s="2" t="n">
        <v>455</v>
      </c>
      <c r="E8" s="2" t="n">
        <v>144</v>
      </c>
      <c r="F8" s="4" t="n">
        <v>0.2826086956521739</v>
      </c>
      <c r="G8" s="4" t="n">
        <v>0.3164835164835165</v>
      </c>
    </row>
    <row r="9">
      <c r="A9" s="2" t="inlineStr">
        <is>
          <t>W08</t>
        </is>
      </c>
      <c r="B9" s="3" t="n">
        <v>46223</v>
      </c>
      <c r="C9" s="2" t="n">
        <v>1705</v>
      </c>
      <c r="D9" s="2" t="n">
        <v>492</v>
      </c>
      <c r="E9" s="2" t="n">
        <v>160</v>
      </c>
      <c r="F9" s="4" t="n">
        <v>0.2885630498533724</v>
      </c>
      <c r="G9" s="4" t="n">
        <v>0.3252032520325203</v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24.8" customWidth="1" min="2" max="2"/>
  </cols>
  <sheetData>
    <row r="1" ht="28" customHeight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累计线索</t>
        </is>
      </c>
      <c r="B2" s="2" t="n">
        <v>11575</v>
      </c>
    </row>
    <row r="3">
      <c r="A3" s="2" t="inlineStr">
        <is>
          <t>累计商机</t>
        </is>
      </c>
      <c r="B3" s="2" t="n">
        <v>3144</v>
      </c>
    </row>
    <row r="4">
      <c r="A4" s="2" t="inlineStr">
        <is>
          <t>累计订单</t>
        </is>
      </c>
      <c r="B4" s="2" t="n">
        <v>952</v>
      </c>
    </row>
    <row r="5">
      <c r="A5" s="2" t="inlineStr">
        <is>
          <t>整体线索转订单率</t>
        </is>
      </c>
      <c r="B5" s="4" t="n">
        <v>0.08224622030237581</v>
      </c>
    </row>
  </sheetData>
  <autoFilter ref="A1:B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2026-08-23T17:58:39Z</dcterms:created>
  <dcterms:modified xmlns:dcterms="http://purl.org/dc/terms/" xmlns:xsi="http://www.w3.org/2001/XMLSchema-instance" xsi:type="dcterms:W3CDTF">2026-08-23T17:58:39Z</dcterms:modified>
</cp:coreProperties>
</file>