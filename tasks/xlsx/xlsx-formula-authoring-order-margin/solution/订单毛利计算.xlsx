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明细" sheetId="1" state="visible" r:id="rId1"/>
    <sheet xmlns:r="http://schemas.openxmlformats.org/officeDocument/2006/relationships" name="经营摘要" sheetId="2" state="visible" r:id="rId2"/>
  </sheets>
  <definedNames>
    <definedName name="_xlnm._FilterDatabase" localSheetId="0" hidden="1">'订单明细'!$A$1:$K$9</definedName>
    <definedName name="_xlnm._FilterDatabase" localSheetId="1" hidden="1">'经营摘要'!$A$1:$B$6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¥#,##0.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6" customWidth="1" min="1" max="1"/>
    <col width="24.8" customWidth="1" min="2" max="2"/>
    <col width="11.6" customWidth="1" min="3" max="3"/>
    <col width="10" customWidth="1" min="4" max="4"/>
    <col width="10" customWidth="1" min="5" max="5"/>
    <col width="10" customWidth="1" min="6" max="6"/>
    <col width="10" customWidth="1" min="7" max="7"/>
    <col width="17.6" customWidth="1" min="8" max="8"/>
    <col width="10" customWidth="1" min="9" max="9"/>
    <col width="10" customWidth="1" min="10" max="10"/>
    <col width="22.4" customWidth="1" min="11" max="11"/>
  </cols>
  <sheetData>
    <row r="1" ht="28" customHeight="1">
      <c r="A1" s="1" t="inlineStr">
        <is>
          <t>订单号</t>
        </is>
      </c>
      <c r="B1" s="1" t="inlineStr">
        <is>
          <t>订单日期</t>
        </is>
      </c>
      <c r="C1" s="1" t="inlineStr">
        <is>
          <t>产品</t>
        </is>
      </c>
      <c r="D1" s="1" t="inlineStr">
        <is>
          <t>数量</t>
        </is>
      </c>
      <c r="E1" s="1" t="inlineStr">
        <is>
          <t>含税单价</t>
        </is>
      </c>
      <c r="F1" s="1" t="inlineStr">
        <is>
          <t>折扣率</t>
        </is>
      </c>
      <c r="G1" s="1" t="inlineStr">
        <is>
          <t>单位成本</t>
        </is>
      </c>
      <c r="H1" s="1" t="inlineStr">
        <is>
          <t>销售额</t>
        </is>
      </c>
      <c r="I1" s="1" t="inlineStr">
        <is>
          <t>成本</t>
        </is>
      </c>
      <c r="J1" s="1" t="inlineStr">
        <is>
          <t>毛利</t>
        </is>
      </c>
      <c r="K1" s="1" t="inlineStr">
        <is>
          <t>毛利率</t>
        </is>
      </c>
    </row>
    <row r="2">
      <c r="A2" s="2" t="inlineStr">
        <is>
          <t>O-260801</t>
        </is>
      </c>
      <c r="B2" s="3" t="n">
        <v>46235</v>
      </c>
      <c r="C2" s="2" t="inlineStr">
        <is>
          <t>Pro 订阅</t>
        </is>
      </c>
      <c r="D2" s="2" t="n">
        <v>5</v>
      </c>
      <c r="E2" s="4" t="n">
        <v>1200</v>
      </c>
      <c r="F2" s="5" t="n">
        <v>0.05</v>
      </c>
      <c r="G2" s="4" t="n">
        <v>760</v>
      </c>
      <c r="H2" s="4">
        <f>D2*E2*(1-F2)</f>
        <v/>
      </c>
      <c r="I2" s="4">
        <f>D2*G2</f>
        <v/>
      </c>
      <c r="J2" s="4">
        <f>H2-I2</f>
        <v/>
      </c>
      <c r="K2" s="5">
        <f>IFERROR(J2/H2,0)</f>
        <v/>
      </c>
    </row>
    <row r="3">
      <c r="A3" s="2" t="inlineStr">
        <is>
          <t>O-260802</t>
        </is>
      </c>
      <c r="B3" s="3" t="n">
        <v>46236</v>
      </c>
      <c r="C3" s="2" t="inlineStr">
        <is>
          <t>Basic 订阅</t>
        </is>
      </c>
      <c r="D3" s="2" t="n">
        <v>12</v>
      </c>
      <c r="E3" s="4" t="n">
        <v>350</v>
      </c>
      <c r="F3" s="5" t="n">
        <v>0</v>
      </c>
      <c r="G3" s="4" t="n">
        <v>210</v>
      </c>
      <c r="H3" s="4">
        <f>D3*E3*(1-F3)</f>
        <v/>
      </c>
      <c r="I3" s="4">
        <f>D3*G3</f>
        <v/>
      </c>
      <c r="J3" s="4">
        <f>H3-I3</f>
        <v/>
      </c>
      <c r="K3" s="5">
        <f>IFERROR(J3/H3,0)</f>
        <v/>
      </c>
    </row>
    <row r="4">
      <c r="A4" s="2" t="inlineStr">
        <is>
          <t>O-260803</t>
        </is>
      </c>
      <c r="B4" s="3" t="n">
        <v>46237</v>
      </c>
      <c r="C4" s="2" t="inlineStr">
        <is>
          <t>Team 订阅</t>
        </is>
      </c>
      <c r="D4" s="2" t="n">
        <v>8</v>
      </c>
      <c r="E4" s="4" t="n">
        <v>890</v>
      </c>
      <c r="F4" s="5" t="n">
        <v>0.1</v>
      </c>
      <c r="G4" s="4" t="n">
        <v>560</v>
      </c>
      <c r="H4" s="4">
        <f>D4*E4*(1-F4)</f>
        <v/>
      </c>
      <c r="I4" s="4">
        <f>D4*G4</f>
        <v/>
      </c>
      <c r="J4" s="4">
        <f>H4-I4</f>
        <v/>
      </c>
      <c r="K4" s="5">
        <f>IFERROR(J4/H4,0)</f>
        <v/>
      </c>
    </row>
    <row r="5">
      <c r="A5" s="2" t="inlineStr">
        <is>
          <t>O-260804</t>
        </is>
      </c>
      <c r="B5" s="3" t="n">
        <v>46239</v>
      </c>
      <c r="C5" s="2" t="inlineStr">
        <is>
          <t>Pro 订阅</t>
        </is>
      </c>
      <c r="D5" s="2" t="n">
        <v>3</v>
      </c>
      <c r="E5" s="4" t="n">
        <v>1200</v>
      </c>
      <c r="F5" s="5" t="n">
        <v>0</v>
      </c>
      <c r="G5" s="4" t="n">
        <v>760</v>
      </c>
      <c r="H5" s="4">
        <f>D5*E5*(1-F5)</f>
        <v/>
      </c>
      <c r="I5" s="4">
        <f>D5*G5</f>
        <v/>
      </c>
      <c r="J5" s="4">
        <f>H5-I5</f>
        <v/>
      </c>
      <c r="K5" s="5">
        <f>IFERROR(J5/H5,0)</f>
        <v/>
      </c>
    </row>
    <row r="6">
      <c r="A6" s="2" t="inlineStr">
        <is>
          <t>O-260805</t>
        </is>
      </c>
      <c r="B6" s="3" t="n">
        <v>46242</v>
      </c>
      <c r="C6" s="2" t="inlineStr">
        <is>
          <t>Basic 订阅</t>
        </is>
      </c>
      <c r="D6" s="2" t="n">
        <v>20</v>
      </c>
      <c r="E6" s="4" t="n">
        <v>350</v>
      </c>
      <c r="F6" s="5" t="n">
        <v>0.08</v>
      </c>
      <c r="G6" s="4" t="n">
        <v>210</v>
      </c>
      <c r="H6" s="4">
        <f>D6*E6*(1-F6)</f>
        <v/>
      </c>
      <c r="I6" s="4">
        <f>D6*G6</f>
        <v/>
      </c>
      <c r="J6" s="4">
        <f>H6-I6</f>
        <v/>
      </c>
      <c r="K6" s="5">
        <f>IFERROR(J6/H6,0)</f>
        <v/>
      </c>
    </row>
    <row r="7">
      <c r="A7" s="2" t="inlineStr">
        <is>
          <t>O-260806</t>
        </is>
      </c>
      <c r="B7" s="3" t="n">
        <v>46247</v>
      </c>
      <c r="C7" s="2" t="inlineStr">
        <is>
          <t>Team 订阅</t>
        </is>
      </c>
      <c r="D7" s="2" t="n">
        <v>6</v>
      </c>
      <c r="E7" s="4" t="n">
        <v>890</v>
      </c>
      <c r="F7" s="5" t="n">
        <v>0.05</v>
      </c>
      <c r="G7" s="4" t="n">
        <v>560</v>
      </c>
      <c r="H7" s="4">
        <f>D7*E7*(1-F7)</f>
        <v/>
      </c>
      <c r="I7" s="4">
        <f>D7*G7</f>
        <v/>
      </c>
      <c r="J7" s="4">
        <f>H7-I7</f>
        <v/>
      </c>
      <c r="K7" s="5">
        <f>IFERROR(J7/H7,0)</f>
        <v/>
      </c>
    </row>
    <row r="8">
      <c r="A8" s="2" t="inlineStr">
        <is>
          <t>O-260807</t>
        </is>
      </c>
      <c r="B8" s="3" t="n">
        <v>46252</v>
      </c>
      <c r="C8" s="2" t="inlineStr">
        <is>
          <t>Pro 订阅</t>
        </is>
      </c>
      <c r="D8" s="2" t="n">
        <v>9</v>
      </c>
      <c r="E8" s="4" t="n">
        <v>1200</v>
      </c>
      <c r="F8" s="5" t="n">
        <v>0.12</v>
      </c>
      <c r="G8" s="4" t="n">
        <v>760</v>
      </c>
      <c r="H8" s="4">
        <f>D8*E8*(1-F8)</f>
        <v/>
      </c>
      <c r="I8" s="4">
        <f>D8*G8</f>
        <v/>
      </c>
      <c r="J8" s="4">
        <f>H8-I8</f>
        <v/>
      </c>
      <c r="K8" s="5">
        <f>IFERROR(J8/H8,0)</f>
        <v/>
      </c>
    </row>
    <row r="9">
      <c r="A9" s="2" t="inlineStr">
        <is>
          <t>O-260808</t>
        </is>
      </c>
      <c r="B9" s="3" t="n">
        <v>46255</v>
      </c>
      <c r="C9" s="2" t="inlineStr">
        <is>
          <t>Basic 订阅</t>
        </is>
      </c>
      <c r="D9" s="2" t="n">
        <v>15</v>
      </c>
      <c r="E9" s="4" t="n">
        <v>350</v>
      </c>
      <c r="F9" s="5" t="n">
        <v>0.03</v>
      </c>
      <c r="G9" s="4" t="n">
        <v>210</v>
      </c>
      <c r="H9" s="4">
        <f>D9*E9*(1-F9)</f>
        <v/>
      </c>
      <c r="I9" s="4">
        <f>D9*G9</f>
        <v/>
      </c>
      <c r="J9" s="4">
        <f>H9-I9</f>
        <v/>
      </c>
      <c r="K9" s="5">
        <f>IFERROR(J9/H9,0)</f>
        <v/>
      </c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.2" customWidth="1" min="2" max="2"/>
  </cols>
  <sheetData>
    <row r="1" ht="28" customHeight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订单数</t>
        </is>
      </c>
      <c r="B2" s="2">
        <f>COUNTA('订单明细'!A2:A9)</f>
        <v/>
      </c>
    </row>
    <row r="3">
      <c r="A3" s="2" t="inlineStr">
        <is>
          <t>总销售额</t>
        </is>
      </c>
      <c r="B3" s="4">
        <f>SUM('订单明细'!H2:H9)</f>
        <v/>
      </c>
    </row>
    <row r="4">
      <c r="A4" s="2" t="inlineStr">
        <is>
          <t>总成本</t>
        </is>
      </c>
      <c r="B4" s="4">
        <f>SUM('订单明细'!I2:I9)</f>
        <v/>
      </c>
    </row>
    <row r="5">
      <c r="A5" s="2" t="inlineStr">
        <is>
          <t>总毛利</t>
        </is>
      </c>
      <c r="B5" s="4">
        <f>SUM('订单明细'!J2:J9)</f>
        <v/>
      </c>
    </row>
    <row r="6">
      <c r="A6" s="2" t="inlineStr">
        <is>
          <t>整体毛利率</t>
        </is>
      </c>
      <c r="B6" s="5">
        <f>IFERROR(B5/B2,0)</f>
        <v/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2026-08-23T17:58:38Z</dcterms:created>
  <dcterms:modified xmlns:dcterms="http://purl.org/dc/terms/" xmlns:xsi="http://www.w3.org/2001/XMLSchema-instance" xsi:type="dcterms:W3CDTF">2026-08-23T17:58:38Z</dcterms:modified>
</cp:coreProperties>
</file>