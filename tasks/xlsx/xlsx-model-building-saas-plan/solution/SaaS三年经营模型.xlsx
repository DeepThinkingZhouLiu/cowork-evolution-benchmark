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历史数据" sheetId="1" state="visible" r:id="rId1"/>
    <sheet xmlns:r="http://schemas.openxmlformats.org/officeDocument/2006/relationships" name="经营假设" sheetId="2" state="visible" r:id="rId2"/>
    <sheet xmlns:r="http://schemas.openxmlformats.org/officeDocument/2006/relationships" name="三年模型" sheetId="3" state="visible" r:id="rId3"/>
    <sheet xmlns:r="http://schemas.openxmlformats.org/officeDocument/2006/relationships" name="指标摘要" sheetId="4" state="visible" r:id="rId4"/>
  </sheets>
  <definedNames>
    <definedName name="_xlnm._FilterDatabase" localSheetId="0" hidden="1">'历史数据'!$A$1:$C$8</definedName>
    <definedName name="_xlnm._FilterDatabase" localSheetId="1" hidden="1">'经营假设'!$A$1:$D$8</definedName>
    <definedName name="_xlnm._FilterDatabase" localSheetId="3" hidden="1">'指标摘要'!$A$1:$B$4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¥#,##0.00;[Red]-¥#,##0.00"/>
  </numFmts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color rgb="00222222"/>
      <sz val="10"/>
    </font>
    <font>
      <name val="微软雅黑"/>
      <b val="1"/>
      <color rgb="00FFFFFF"/>
      <sz val="15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10" fontId="2" fillId="0" borderId="1" applyAlignment="1" pivotButton="0" quotePrefix="0" xfId="0">
      <alignment vertical="center"/>
    </xf>
    <xf numFmtId="0" fontId="3" fillId="2" borderId="0" applyAlignment="1" pivotButton="0" quotePrefix="0" xfId="0">
      <alignment horizontal="center"/>
    </xf>
    <xf numFmtId="0" fontId="2" fillId="3" borderId="1" applyAlignment="1" pivotButton="0" quotePrefix="0" xfId="0">
      <alignment vertical="center"/>
    </xf>
    <xf numFmtId="164" fontId="2" fillId="3" borderId="1" applyAlignment="1" pivotButton="0" quotePrefix="0" xfId="0">
      <alignment vertical="center"/>
    </xf>
    <xf numFmtId="164" fontId="2" fillId="0" borderId="1" applyAlignment="1" pivotButton="0" quotePrefix="0" xfId="0">
      <alignment vertical="center"/>
    </xf>
    <xf numFmtId="10" fontId="2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.4" customWidth="1" min="2" max="2"/>
    <col width="10.4" customWidth="1" min="3" max="3"/>
  </cols>
  <sheetData>
    <row r="1" ht="28" customHeight="1">
      <c r="A1" s="1" t="inlineStr">
        <is>
          <t>指标</t>
        </is>
      </c>
      <c r="B1" s="1" t="inlineStr">
        <is>
          <t>2024实际</t>
        </is>
      </c>
      <c r="C1" s="1" t="inlineStr">
        <is>
          <t>2025实际</t>
        </is>
      </c>
    </row>
    <row r="2">
      <c r="A2" s="2" t="inlineStr">
        <is>
          <t>期末客户数</t>
        </is>
      </c>
      <c r="B2" s="2" t="n">
        <v>820</v>
      </c>
      <c r="C2" s="2" t="n">
        <v>1040</v>
      </c>
    </row>
    <row r="3">
      <c r="A3" s="2" t="inlineStr">
        <is>
          <t>月 ARPU</t>
        </is>
      </c>
      <c r="B3" s="2" t="n">
        <v>465</v>
      </c>
      <c r="C3" s="2" t="n">
        <v>492</v>
      </c>
    </row>
    <row r="4">
      <c r="A4" s="2" t="inlineStr">
        <is>
          <t>年流失率</t>
        </is>
      </c>
      <c r="B4" s="3" t="n">
        <v>0.13</v>
      </c>
      <c r="C4" s="3" t="n">
        <v>0.115</v>
      </c>
    </row>
    <row r="5">
      <c r="A5" s="2" t="inlineStr">
        <is>
          <t>销售成本率</t>
        </is>
      </c>
      <c r="B5" s="3" t="n">
        <v>0.24</v>
      </c>
      <c r="C5" s="3" t="n">
        <v>0.225</v>
      </c>
    </row>
    <row r="6">
      <c r="A6" s="2" t="inlineStr">
        <is>
          <t>薪酬</t>
        </is>
      </c>
      <c r="B6" s="2" t="n">
        <v>2380000</v>
      </c>
      <c r="C6" s="2" t="n">
        <v>2980000</v>
      </c>
    </row>
    <row r="7">
      <c r="A7" s="2" t="inlineStr">
        <is>
          <t>营销费用</t>
        </is>
      </c>
      <c r="B7" s="2" t="n">
        <v>1260000</v>
      </c>
      <c r="C7" s="2" t="n">
        <v>1580000</v>
      </c>
    </row>
    <row r="8">
      <c r="A8" s="2" t="inlineStr">
        <is>
          <t>其他费用</t>
        </is>
      </c>
      <c r="B8" s="2" t="n">
        <v>820000</v>
      </c>
      <c r="C8" s="2" t="n">
        <v>960000</v>
      </c>
    </row>
  </sheetData>
  <autoFilter ref="A1:C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.4" customWidth="1" min="2" max="2"/>
    <col width="10.4" customWidth="1" min="3" max="3"/>
    <col width="10.4" customWidth="1" min="4" max="4"/>
  </cols>
  <sheetData>
    <row r="1" ht="28" customHeight="1">
      <c r="A1" s="1" t="inlineStr">
        <is>
          <t>假设</t>
        </is>
      </c>
      <c r="B1" s="1" t="n">
        <v>2026</v>
      </c>
      <c r="C1" s="1" t="n">
        <v>2027</v>
      </c>
      <c r="D1" s="1" t="n">
        <v>2028</v>
      </c>
    </row>
    <row r="2">
      <c r="A2" s="2" t="inlineStr">
        <is>
          <t>新增客户</t>
        </is>
      </c>
      <c r="B2" s="2" t="n">
        <v>360</v>
      </c>
      <c r="C2" s="2" t="n">
        <v>420</v>
      </c>
      <c r="D2" s="2" t="n">
        <v>500</v>
      </c>
    </row>
    <row r="3">
      <c r="A3" s="2" t="inlineStr">
        <is>
          <t>年流失率</t>
        </is>
      </c>
      <c r="B3" s="3" t="n">
        <v>0.105</v>
      </c>
      <c r="C3" s="3" t="n">
        <v>0.095</v>
      </c>
      <c r="D3" s="3" t="n">
        <v>0.09</v>
      </c>
    </row>
    <row r="4">
      <c r="A4" s="2" t="inlineStr">
        <is>
          <t>月 ARPU</t>
        </is>
      </c>
      <c r="B4" s="2" t="n">
        <v>510</v>
      </c>
      <c r="C4" s="2" t="n">
        <v>530</v>
      </c>
      <c r="D4" s="2" t="n">
        <v>555</v>
      </c>
    </row>
    <row r="5">
      <c r="A5" s="2" t="inlineStr">
        <is>
          <t>销售成本率</t>
        </is>
      </c>
      <c r="B5" s="3" t="n">
        <v>0.215</v>
      </c>
      <c r="C5" s="3" t="n">
        <v>0.205</v>
      </c>
      <c r="D5" s="3" t="n">
        <v>0.195</v>
      </c>
    </row>
    <row r="6">
      <c r="A6" s="2" t="inlineStr">
        <is>
          <t>薪酬</t>
        </is>
      </c>
      <c r="B6" s="2" t="n">
        <v>3450000</v>
      </c>
      <c r="C6" s="2" t="n">
        <v>3850000</v>
      </c>
      <c r="D6" s="2" t="n">
        <v>4320000</v>
      </c>
    </row>
    <row r="7">
      <c r="A7" s="2" t="inlineStr">
        <is>
          <t>营销费用</t>
        </is>
      </c>
      <c r="B7" s="2" t="n">
        <v>1820000</v>
      </c>
      <c r="C7" s="2" t="n">
        <v>2050000</v>
      </c>
      <c r="D7" s="2" t="n">
        <v>2350000</v>
      </c>
    </row>
    <row r="8">
      <c r="A8" s="2" t="inlineStr">
        <is>
          <t>其他费用</t>
        </is>
      </c>
      <c r="B8" s="2" t="n">
        <v>1080000</v>
      </c>
      <c r="C8" s="2" t="n">
        <v>1180000</v>
      </c>
      <c r="D8" s="2" t="n">
        <v>1300000</v>
      </c>
    </row>
  </sheetData>
  <autoFilter ref="A1:D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.2" customWidth="1" min="1" max="1"/>
    <col width="23.6" customWidth="1" min="2" max="2"/>
    <col width="23.6" customWidth="1" min="3" max="3"/>
    <col width="23.6" customWidth="1" min="4" max="4"/>
  </cols>
  <sheetData>
    <row r="1">
      <c r="A1" s="4" t="inlineStr">
        <is>
          <t>SaaS 2026–2028 三年经营模型</t>
        </is>
      </c>
    </row>
    <row r="2" ht="28" customHeight="1">
      <c r="A2" s="1" t="inlineStr">
        <is>
          <t>指标</t>
        </is>
      </c>
      <c r="B2" s="1" t="n">
        <v>2026</v>
      </c>
      <c r="C2" s="1" t="n">
        <v>2027</v>
      </c>
      <c r="D2" s="1" t="n">
        <v>2028</v>
      </c>
    </row>
    <row r="3">
      <c r="A3" s="2" t="inlineStr">
        <is>
          <t>期初客户数</t>
        </is>
      </c>
      <c r="B3" s="2">
        <f>'历史数据'!C2</f>
        <v/>
      </c>
      <c r="C3" s="2">
        <f>B6</f>
        <v/>
      </c>
      <c r="D3" s="2">
        <f>C6</f>
        <v/>
      </c>
    </row>
    <row r="4">
      <c r="A4" s="2" t="inlineStr">
        <is>
          <t>新增客户</t>
        </is>
      </c>
      <c r="B4" s="5">
        <f>'经营假设'!B2</f>
        <v/>
      </c>
      <c r="C4" s="5">
        <f>'经营假设'!C2</f>
        <v/>
      </c>
      <c r="D4" s="5">
        <f>'经营假设'!D2</f>
        <v/>
      </c>
    </row>
    <row r="5">
      <c r="A5" s="2" t="inlineStr">
        <is>
          <t>流失客户</t>
        </is>
      </c>
      <c r="B5" s="5">
        <f>B3*'经营假设'!B3</f>
        <v/>
      </c>
      <c r="C5" s="5">
        <f>C3*'经营假设'!C3</f>
        <v/>
      </c>
      <c r="D5" s="5">
        <f>D3*'经营假设'!D3</f>
        <v/>
      </c>
    </row>
    <row r="6">
      <c r="A6" s="2" t="inlineStr">
        <is>
          <t>期末客户数</t>
        </is>
      </c>
      <c r="B6" s="2">
        <f>B3+B4-B5</f>
        <v/>
      </c>
      <c r="C6" s="2">
        <f>C3+C4-C5</f>
        <v/>
      </c>
      <c r="D6" s="2">
        <f>D3+D4-D5</f>
        <v/>
      </c>
    </row>
    <row r="7">
      <c r="A7" s="2" t="inlineStr">
        <is>
          <t>平均客户数</t>
        </is>
      </c>
      <c r="B7" s="2">
        <f>AVERAGE(B3,B6)</f>
        <v/>
      </c>
      <c r="C7" s="2">
        <f>AVERAGE(C3,C6)</f>
        <v/>
      </c>
      <c r="D7" s="2">
        <f>AVERAGE(D3,D6)</f>
        <v/>
      </c>
    </row>
    <row r="8">
      <c r="A8" s="2" t="inlineStr">
        <is>
          <t>月 ARPU</t>
        </is>
      </c>
      <c r="B8" s="6">
        <f>'经营假设'!B4</f>
        <v/>
      </c>
      <c r="C8" s="6">
        <f>'经营假设'!C4</f>
        <v/>
      </c>
      <c r="D8" s="6">
        <f>'经营假设'!D4</f>
        <v/>
      </c>
    </row>
    <row r="9">
      <c r="A9" s="2" t="inlineStr">
        <is>
          <t>订阅收入</t>
        </is>
      </c>
      <c r="B9" s="7">
        <f>B7*B8*12</f>
        <v/>
      </c>
      <c r="C9" s="7">
        <f>C7*C8*12</f>
        <v/>
      </c>
      <c r="D9" s="7">
        <f>D7*D8*12</f>
        <v/>
      </c>
    </row>
    <row r="10">
      <c r="A10" s="2" t="inlineStr">
        <is>
          <t>销售成本率</t>
        </is>
      </c>
      <c r="B10" s="8">
        <f>'经营假设'!B5</f>
        <v/>
      </c>
      <c r="C10" s="8">
        <f>'经营假设'!C5</f>
        <v/>
      </c>
      <c r="D10" s="8">
        <f>'经营假设'!D5</f>
        <v/>
      </c>
    </row>
    <row r="11">
      <c r="A11" s="2" t="inlineStr">
        <is>
          <t>销售成本</t>
        </is>
      </c>
      <c r="B11" s="7">
        <f>B9*B10</f>
        <v/>
      </c>
      <c r="C11" s="7">
        <f>C9*C10</f>
        <v/>
      </c>
      <c r="D11" s="7">
        <f>D9*D10</f>
        <v/>
      </c>
    </row>
    <row r="12">
      <c r="A12" s="2" t="inlineStr">
        <is>
          <t>毛利</t>
        </is>
      </c>
      <c r="B12" s="7">
        <f>B9-B11</f>
        <v/>
      </c>
      <c r="C12" s="7">
        <f>C9-C11</f>
        <v/>
      </c>
      <c r="D12" s="7">
        <f>D9-D11</f>
        <v/>
      </c>
    </row>
    <row r="13">
      <c r="A13" s="2" t="inlineStr">
        <is>
          <t>毛利率</t>
        </is>
      </c>
      <c r="B13" s="3">
        <f>IFERROR(B12/B9,0)</f>
        <v/>
      </c>
      <c r="C13" s="3">
        <f>IFERROR(C12/C9,0)</f>
        <v/>
      </c>
      <c r="D13" s="3">
        <f>IFERROR(D12/D9,0)</f>
        <v/>
      </c>
    </row>
    <row r="14">
      <c r="A14" s="2" t="inlineStr">
        <is>
          <t>薪酬</t>
        </is>
      </c>
      <c r="B14" s="6">
        <f>'经营假设'!B6</f>
        <v/>
      </c>
      <c r="C14" s="6">
        <f>'经营假设'!C6</f>
        <v/>
      </c>
      <c r="D14" s="6">
        <f>'经营假设'!D6</f>
        <v/>
      </c>
    </row>
    <row r="15">
      <c r="A15" s="2" t="inlineStr">
        <is>
          <t>营销费用</t>
        </is>
      </c>
      <c r="B15" s="6">
        <f>'经营假设'!B7</f>
        <v/>
      </c>
      <c r="C15" s="6">
        <f>'经营假设'!C7</f>
        <v/>
      </c>
      <c r="D15" s="6">
        <f>'经营假设'!D7</f>
        <v/>
      </c>
    </row>
    <row r="16">
      <c r="A16" s="2" t="inlineStr">
        <is>
          <t>其他费用</t>
        </is>
      </c>
      <c r="B16" s="6">
        <f>'经营假设'!B8</f>
        <v/>
      </c>
      <c r="C16" s="6">
        <f>'经营假设'!C8</f>
        <v/>
      </c>
      <c r="D16" s="6">
        <f>'经营假设'!D8</f>
        <v/>
      </c>
    </row>
    <row r="17">
      <c r="A17" s="2" t="inlineStr">
        <is>
          <t>EBITDA</t>
        </is>
      </c>
      <c r="B17" s="7">
        <f>B12-SUM(B14:B16)</f>
        <v/>
      </c>
      <c r="C17" s="7">
        <f>C12-SUM(C14:C16)</f>
        <v/>
      </c>
      <c r="D17" s="7">
        <f>D12-SUM(D14:D16)</f>
        <v/>
      </c>
    </row>
    <row r="18">
      <c r="A18" s="2" t="inlineStr">
        <is>
          <t>EBITDA 率</t>
        </is>
      </c>
      <c r="B18" s="3">
        <f>IFERROR(B17/B9,0)</f>
        <v/>
      </c>
      <c r="C18" s="3">
        <f>IFERROR(C17/C9,0)</f>
        <v/>
      </c>
      <c r="D18" s="3">
        <f>IFERROR(D17/D9,0)</f>
        <v/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.6" customWidth="1" min="1" max="1"/>
    <col width="30" customWidth="1" min="2" max="2"/>
  </cols>
  <sheetData>
    <row r="1" ht="28" customHeight="1">
      <c r="A1" s="1" t="inlineStr">
        <is>
          <t>指标</t>
        </is>
      </c>
      <c r="B1" s="1" t="inlineStr">
        <is>
          <t>数值</t>
        </is>
      </c>
    </row>
    <row r="2">
      <c r="A2" s="2" t="inlineStr">
        <is>
          <t>收入 CAGR（2026–2028）</t>
        </is>
      </c>
      <c r="B2" s="3">
        <f>IFERROR(('三年模型'!D9/'三年模型'!B9)^(1/2)-1,0)</f>
        <v/>
      </c>
    </row>
    <row r="3">
      <c r="A3" s="2" t="inlineStr">
        <is>
          <t>2028 年毛利率</t>
        </is>
      </c>
      <c r="B3" s="3">
        <f>'三年模型'!D13</f>
        <v/>
      </c>
    </row>
    <row r="4">
      <c r="A4" s="2" t="inlineStr">
        <is>
          <t>2028 年 EBITDA 率</t>
        </is>
      </c>
      <c r="B4" s="3">
        <f>'三年模型'!D18</f>
        <v/>
      </c>
    </row>
  </sheetData>
  <autoFilter ref="A1:B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2026-08-23T17:58:38Z</dcterms:created>
  <dcterms:modified xmlns:dcterms="http://purl.org/dc/terms/" xmlns:xsi="http://www.w3.org/2001/XMLSchema-instance" xsi:type="dcterms:W3CDTF">2026-08-23T17:58:38Z</dcterms:modified>
</cp:coreProperties>
</file>