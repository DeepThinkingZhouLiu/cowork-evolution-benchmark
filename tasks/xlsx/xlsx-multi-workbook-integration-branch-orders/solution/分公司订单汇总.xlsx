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明细" sheetId="1" state="visible" r:id="rId1"/>
    <sheet xmlns:r="http://schemas.openxmlformats.org/officeDocument/2006/relationships" name="分公司汇总" sheetId="2" state="visible" r:id="rId2"/>
    <sheet xmlns:r="http://schemas.openxmlformats.org/officeDocument/2006/relationships" name="对账清单" sheetId="3" state="visible" r:id="rId3"/>
  </sheets>
  <definedNames>
    <definedName name="_xlnm._FilterDatabase" localSheetId="0" hidden="1">'合并明细'!$A$1:$M$11</definedName>
    <definedName name="_xlnm._FilterDatabase" localSheetId="1" hidden="1">'分公司汇总'!$A$1:$D$4</definedName>
    <definedName name="_xlnm._FilterDatabase" localSheetId="2" hidden="1">'对账清单'!$A$1:$F$3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¥#,##0.00;[Red]-¥#,##0.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tegratedOrders" displayName="IntegratedOrders" ref="A1:M11" headerRowCount="1">
  <autoFilter ref="A1:M11"/>
  <tableColumns count="13">
    <tableColumn id="1" name="订单号"/>
    <tableColumn id="2" name="订单日期"/>
    <tableColumn id="3" name="来源分公司"/>
    <tableColumn id="4" name="SKU"/>
    <tableColumn id="5" name="品类"/>
    <tableColumn id="6" name="数量"/>
    <tableColumn id="7" name="成交单价"/>
    <tableColumn id="8" name="销售额"/>
    <tableColumn id="9" name="标准单位成本"/>
    <tableColumn id="10" name="标准成本"/>
    <tableColumn id="11" name="标准毛利"/>
    <tableColumn id="12" name="更新时间"/>
    <tableColumn id="13" name="主数据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.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.2" customWidth="1" min="12" max="12"/>
    <col width="10" customWidth="1" min="13" max="13"/>
  </cols>
  <sheetData>
    <row r="1" ht="28" customHeight="1">
      <c r="A1" s="1" t="inlineStr">
        <is>
          <t>订单号</t>
        </is>
      </c>
      <c r="B1" s="1" t="inlineStr">
        <is>
          <t>订单日期</t>
        </is>
      </c>
      <c r="C1" s="1" t="inlineStr">
        <is>
          <t>来源分公司</t>
        </is>
      </c>
      <c r="D1" s="1" t="inlineStr">
        <is>
          <t>SKU</t>
        </is>
      </c>
      <c r="E1" s="1" t="inlineStr">
        <is>
          <t>品类</t>
        </is>
      </c>
      <c r="F1" s="1" t="inlineStr">
        <is>
          <t>数量</t>
        </is>
      </c>
      <c r="G1" s="1" t="inlineStr">
        <is>
          <t>成交单价</t>
        </is>
      </c>
      <c r="H1" s="1" t="inlineStr">
        <is>
          <t>销售额</t>
        </is>
      </c>
      <c r="I1" s="1" t="inlineStr">
        <is>
          <t>标准单位成本</t>
        </is>
      </c>
      <c r="J1" s="1" t="inlineStr">
        <is>
          <t>标准成本</t>
        </is>
      </c>
      <c r="K1" s="1" t="inlineStr">
        <is>
          <t>标准毛利</t>
        </is>
      </c>
      <c r="L1" s="1" t="inlineStr">
        <is>
          <t>更新时间</t>
        </is>
      </c>
      <c r="M1" s="1" t="inlineStr">
        <is>
          <t>主数据状态</t>
        </is>
      </c>
    </row>
    <row r="2">
      <c r="A2" s="2" t="inlineStr">
        <is>
          <t>B001</t>
        </is>
      </c>
      <c r="B2" s="3" t="n">
        <v>46235</v>
      </c>
      <c r="C2" s="2" t="inlineStr">
        <is>
          <t>华东</t>
        </is>
      </c>
      <c r="D2" s="2" t="inlineStr">
        <is>
          <t>SKU-A</t>
        </is>
      </c>
      <c r="E2" s="2" t="inlineStr">
        <is>
          <t>净化器</t>
        </is>
      </c>
      <c r="F2" s="2" t="n">
        <v>12</v>
      </c>
      <c r="G2" s="4" t="n">
        <v>1580</v>
      </c>
      <c r="H2" s="4" t="n">
        <v>18960</v>
      </c>
      <c r="I2" s="4" t="n">
        <v>980</v>
      </c>
      <c r="J2" s="4" t="n">
        <v>11760</v>
      </c>
      <c r="K2" s="4" t="n">
        <v>7200</v>
      </c>
      <c r="L2" s="2" t="inlineStr">
        <is>
          <t>2026-08-02 09:00</t>
        </is>
      </c>
      <c r="M2" s="2" t="inlineStr">
        <is>
          <t>已匹配</t>
        </is>
      </c>
    </row>
    <row r="3">
      <c r="A3" s="2" t="inlineStr">
        <is>
          <t>B002</t>
        </is>
      </c>
      <c r="B3" s="3" t="n">
        <v>46236</v>
      </c>
      <c r="C3" s="2" t="inlineStr">
        <is>
          <t>华东</t>
        </is>
      </c>
      <c r="D3" s="2" t="inlineStr">
        <is>
          <t>SKU-B</t>
        </is>
      </c>
      <c r="E3" s="2" t="inlineStr">
        <is>
          <t>加湿器</t>
        </is>
      </c>
      <c r="F3" s="2" t="n">
        <v>25</v>
      </c>
      <c r="G3" s="4" t="n">
        <v>620</v>
      </c>
      <c r="H3" s="4" t="n">
        <v>15500</v>
      </c>
      <c r="I3" s="4" t="n">
        <v>360</v>
      </c>
      <c r="J3" s="4" t="n">
        <v>9000</v>
      </c>
      <c r="K3" s="4" t="n">
        <v>6500</v>
      </c>
      <c r="L3" s="2" t="inlineStr">
        <is>
          <t>2026-08-02 14:00</t>
        </is>
      </c>
      <c r="M3" s="2" t="inlineStr">
        <is>
          <t>已匹配</t>
        </is>
      </c>
    </row>
    <row r="4">
      <c r="A4" s="2" t="inlineStr">
        <is>
          <t>B003</t>
        </is>
      </c>
      <c r="B4" s="3" t="n">
        <v>46237</v>
      </c>
      <c r="C4" s="2" t="inlineStr">
        <is>
          <t>华南</t>
        </is>
      </c>
      <c r="D4" s="2" t="inlineStr">
        <is>
          <t>SKU-C</t>
        </is>
      </c>
      <c r="E4" s="2" t="inlineStr">
        <is>
          <t>耗材</t>
        </is>
      </c>
      <c r="F4" s="2" t="n">
        <v>42</v>
      </c>
      <c r="G4" s="4" t="n">
        <v>195</v>
      </c>
      <c r="H4" s="4" t="n">
        <v>8190</v>
      </c>
      <c r="I4" s="4" t="n">
        <v>95</v>
      </c>
      <c r="J4" s="4" t="n">
        <v>3990</v>
      </c>
      <c r="K4" s="4" t="n">
        <v>4200</v>
      </c>
      <c r="L4" s="2" t="inlineStr">
        <is>
          <t>2026-08-05 10:00</t>
        </is>
      </c>
      <c r="M4" s="2" t="inlineStr">
        <is>
          <t>已匹配</t>
        </is>
      </c>
    </row>
    <row r="5">
      <c r="A5" s="2" t="inlineStr">
        <is>
          <t>B004</t>
        </is>
      </c>
      <c r="B5" s="3" t="n">
        <v>46238</v>
      </c>
      <c r="C5" s="2" t="inlineStr">
        <is>
          <t>华北</t>
        </is>
      </c>
      <c r="D5" s="2" t="inlineStr">
        <is>
          <t>SKU-A</t>
        </is>
      </c>
      <c r="E5" s="2" t="inlineStr">
        <is>
          <t>净化器</t>
        </is>
      </c>
      <c r="F5" s="2" t="n">
        <v>9</v>
      </c>
      <c r="G5" s="4" t="n">
        <v>1590</v>
      </c>
      <c r="H5" s="4" t="n">
        <v>14310</v>
      </c>
      <c r="I5" s="4" t="n">
        <v>980</v>
      </c>
      <c r="J5" s="4" t="n">
        <v>8820</v>
      </c>
      <c r="K5" s="4" t="n">
        <v>5490</v>
      </c>
      <c r="L5" s="2" t="inlineStr">
        <is>
          <t>2026-08-06 09:30</t>
        </is>
      </c>
      <c r="M5" s="2" t="inlineStr">
        <is>
          <t>已匹配</t>
        </is>
      </c>
    </row>
    <row r="6">
      <c r="A6" s="2" t="inlineStr">
        <is>
          <t>B005</t>
        </is>
      </c>
      <c r="B6" s="3" t="n">
        <v>46236</v>
      </c>
      <c r="C6" s="2" t="inlineStr">
        <is>
          <t>华南</t>
        </is>
      </c>
      <c r="D6" s="2" t="inlineStr">
        <is>
          <t>SKU-B</t>
        </is>
      </c>
      <c r="E6" s="2" t="inlineStr">
        <is>
          <t>加湿器</t>
        </is>
      </c>
      <c r="F6" s="2" t="n">
        <v>18</v>
      </c>
      <c r="G6" s="4" t="n">
        <v>610</v>
      </c>
      <c r="H6" s="4" t="n">
        <v>10980</v>
      </c>
      <c r="I6" s="4" t="n">
        <v>360</v>
      </c>
      <c r="J6" s="4" t="n">
        <v>6480</v>
      </c>
      <c r="K6" s="4" t="n">
        <v>4500</v>
      </c>
      <c r="L6" s="2" t="inlineStr">
        <is>
          <t>2026-08-02 12:00</t>
        </is>
      </c>
      <c r="M6" s="2" t="inlineStr">
        <is>
          <t>已匹配</t>
        </is>
      </c>
    </row>
    <row r="7">
      <c r="A7" s="2" t="inlineStr">
        <is>
          <t>B006</t>
        </is>
      </c>
      <c r="B7" s="3" t="n">
        <v>46237</v>
      </c>
      <c r="C7" s="2" t="inlineStr">
        <is>
          <t>华南</t>
        </is>
      </c>
      <c r="D7" s="2" t="inlineStr">
        <is>
          <t>SKU-A</t>
        </is>
      </c>
      <c r="E7" s="2" t="inlineStr">
        <is>
          <t>净化器</t>
        </is>
      </c>
      <c r="F7" s="2" t="n">
        <v>10</v>
      </c>
      <c r="G7" s="4" t="n">
        <v>1560</v>
      </c>
      <c r="H7" s="4" t="n">
        <v>15600</v>
      </c>
      <c r="I7" s="4" t="n">
        <v>980</v>
      </c>
      <c r="J7" s="4" t="n">
        <v>9800</v>
      </c>
      <c r="K7" s="4" t="n">
        <v>5800</v>
      </c>
      <c r="L7" s="2" t="inlineStr">
        <is>
          <t>2026-08-03 16:00</t>
        </is>
      </c>
      <c r="M7" s="2" t="inlineStr">
        <is>
          <t>已匹配</t>
        </is>
      </c>
    </row>
    <row r="8">
      <c r="A8" s="2" t="inlineStr">
        <is>
          <t>B007</t>
        </is>
      </c>
      <c r="B8" s="3" t="n">
        <v>46239</v>
      </c>
      <c r="C8" s="2" t="inlineStr">
        <is>
          <t>华南</t>
        </is>
      </c>
      <c r="D8" s="2" t="inlineStr">
        <is>
          <t>SKU-X</t>
        </is>
      </c>
      <c r="E8" s="2" t="inlineStr">
        <is>
          <t>未匹配</t>
        </is>
      </c>
      <c r="F8" s="2" t="n">
        <v>6</v>
      </c>
      <c r="G8" s="4" t="n">
        <v>880</v>
      </c>
      <c r="H8" s="4" t="n">
        <v>5280</v>
      </c>
      <c r="I8" s="4" t="n"/>
      <c r="J8" s="4" t="n"/>
      <c r="K8" s="4" t="n"/>
      <c r="L8" s="2" t="inlineStr">
        <is>
          <t>2026-08-05 18:00</t>
        </is>
      </c>
      <c r="M8" s="2" t="inlineStr">
        <is>
          <t>未匹配</t>
        </is>
      </c>
    </row>
    <row r="9">
      <c r="A9" s="2" t="inlineStr">
        <is>
          <t>B008</t>
        </is>
      </c>
      <c r="B9" s="3" t="n">
        <v>46235</v>
      </c>
      <c r="C9" s="2" t="inlineStr">
        <is>
          <t>华北</t>
        </is>
      </c>
      <c r="D9" s="2" t="inlineStr">
        <is>
          <t>SKU-C</t>
        </is>
      </c>
      <c r="E9" s="2" t="inlineStr">
        <is>
          <t>耗材</t>
        </is>
      </c>
      <c r="F9" s="2" t="n">
        <v>35</v>
      </c>
      <c r="G9" s="4" t="n">
        <v>205</v>
      </c>
      <c r="H9" s="4" t="n">
        <v>7175</v>
      </c>
      <c r="I9" s="4" t="n">
        <v>95</v>
      </c>
      <c r="J9" s="4" t="n">
        <v>3325</v>
      </c>
      <c r="K9" s="4" t="n">
        <v>3850</v>
      </c>
      <c r="L9" s="2" t="inlineStr">
        <is>
          <t>2026-08-01 13:00</t>
        </is>
      </c>
      <c r="M9" s="2" t="inlineStr">
        <is>
          <t>已匹配</t>
        </is>
      </c>
    </row>
    <row r="10">
      <c r="A10" s="2" t="inlineStr">
        <is>
          <t>B009</t>
        </is>
      </c>
      <c r="B10" s="3" t="n">
        <v>46238</v>
      </c>
      <c r="C10" s="2" t="inlineStr">
        <is>
          <t>华北</t>
        </is>
      </c>
      <c r="D10" s="2" t="inlineStr">
        <is>
          <t>SKU-B</t>
        </is>
      </c>
      <c r="E10" s="2" t="inlineStr">
        <is>
          <t>加湿器</t>
        </is>
      </c>
      <c r="F10" s="2" t="n">
        <v>22</v>
      </c>
      <c r="G10" s="4" t="n">
        <v>625</v>
      </c>
      <c r="H10" s="4" t="n">
        <v>13750</v>
      </c>
      <c r="I10" s="4" t="n">
        <v>360</v>
      </c>
      <c r="J10" s="4" t="n">
        <v>7920</v>
      </c>
      <c r="K10" s="4" t="n">
        <v>5830</v>
      </c>
      <c r="L10" s="2" t="inlineStr">
        <is>
          <t>2026-08-04 11:00</t>
        </is>
      </c>
      <c r="M10" s="2" t="inlineStr">
        <is>
          <t>已匹配</t>
        </is>
      </c>
    </row>
    <row r="11">
      <c r="A11" s="2" t="inlineStr">
        <is>
          <t>B010</t>
        </is>
      </c>
      <c r="B11" s="3" t="n">
        <v>46240</v>
      </c>
      <c r="C11" s="2" t="inlineStr">
        <is>
          <t>华北</t>
        </is>
      </c>
      <c r="D11" s="2" t="inlineStr">
        <is>
          <t>SKU-C</t>
        </is>
      </c>
      <c r="E11" s="2" t="inlineStr">
        <is>
          <t>耗材</t>
        </is>
      </c>
      <c r="F11" s="2" t="n">
        <v>50</v>
      </c>
      <c r="G11" s="4" t="n">
        <v>190</v>
      </c>
      <c r="H11" s="4" t="n">
        <v>9500</v>
      </c>
      <c r="I11" s="4" t="n">
        <v>95</v>
      </c>
      <c r="J11" s="4" t="n">
        <v>4750</v>
      </c>
      <c r="K11" s="4" t="n">
        <v>4750</v>
      </c>
      <c r="L11" s="2" t="inlineStr">
        <is>
          <t>2026-08-06 12:00</t>
        </is>
      </c>
      <c r="M11" s="2" t="inlineStr">
        <is>
          <t>已匹配</t>
        </is>
      </c>
    </row>
  </sheetData>
  <autoFilter ref="A1:M11"/>
  <conditionalFormatting sqref="M2:M11">
    <cfRule type="cellIs" priority="1" operator="equal" dxfId="0">
      <formula>"未匹配"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.4" customWidth="1" min="3" max="3"/>
    <col width="17.6" customWidth="1" min="4" max="4"/>
  </cols>
  <sheetData>
    <row r="1" ht="28" customHeight="1">
      <c r="A1" s="1" t="inlineStr">
        <is>
          <t>来源分公司</t>
        </is>
      </c>
      <c r="B1" s="1" t="inlineStr">
        <is>
          <t>订单数</t>
        </is>
      </c>
      <c r="C1" s="1" t="inlineStr">
        <is>
          <t>销售额</t>
        </is>
      </c>
      <c r="D1" s="1" t="inlineStr">
        <is>
          <t>标准毛利（已匹配 SKU）</t>
        </is>
      </c>
    </row>
    <row r="2">
      <c r="A2" s="2" t="inlineStr">
        <is>
          <t>华东</t>
        </is>
      </c>
      <c r="B2" s="2" t="n">
        <v>2</v>
      </c>
      <c r="C2" s="4" t="n">
        <v>34460</v>
      </c>
      <c r="D2" s="4" t="n">
        <v>13700</v>
      </c>
    </row>
    <row r="3">
      <c r="A3" s="2" t="inlineStr">
        <is>
          <t>华北</t>
        </is>
      </c>
      <c r="B3" s="2" t="n">
        <v>4</v>
      </c>
      <c r="C3" s="4" t="n">
        <v>44735</v>
      </c>
      <c r="D3" s="4" t="n">
        <v>19920</v>
      </c>
    </row>
    <row r="4">
      <c r="A4" s="2" t="inlineStr">
        <is>
          <t>华南</t>
        </is>
      </c>
      <c r="B4" s="2" t="n">
        <v>4</v>
      </c>
      <c r="C4" s="4" t="n">
        <v>40050</v>
      </c>
      <c r="D4" s="4" t="n">
        <v>14500</v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.2" customWidth="1" min="3" max="3"/>
    <col width="10" customWidth="1" min="4" max="4"/>
    <col width="21.2" customWidth="1" min="5" max="5"/>
    <col width="15.2" customWidth="1" min="6" max="6"/>
  </cols>
  <sheetData>
    <row r="1" ht="28" customHeight="1">
      <c r="A1" s="1" t="inlineStr">
        <is>
          <t>订单号</t>
        </is>
      </c>
      <c r="B1" s="1" t="inlineStr">
        <is>
          <t>被舍弃来源</t>
        </is>
      </c>
      <c r="C1" s="1" t="inlineStr">
        <is>
          <t>被舍弃更新时间</t>
        </is>
      </c>
      <c r="D1" s="1" t="inlineStr">
        <is>
          <t>保留来源</t>
        </is>
      </c>
      <c r="E1" s="1" t="inlineStr">
        <is>
          <t>保留更新时间</t>
        </is>
      </c>
      <c r="F1" s="1" t="inlineStr">
        <is>
          <t>原因</t>
        </is>
      </c>
    </row>
    <row r="2">
      <c r="A2" s="2" t="inlineStr">
        <is>
          <t>B003</t>
        </is>
      </c>
      <c r="B2" s="2" t="inlineStr">
        <is>
          <t>华东</t>
        </is>
      </c>
      <c r="C2" s="2" t="inlineStr">
        <is>
          <t>2026-08-03 15:00</t>
        </is>
      </c>
      <c r="D2" s="2" t="inlineStr">
        <is>
          <t>华南</t>
        </is>
      </c>
      <c r="E2" s="2" t="inlineStr">
        <is>
          <t>2026-08-05 10:00</t>
        </is>
      </c>
      <c r="F2" s="2" t="inlineStr">
        <is>
          <t>保留更新时间最晚的记录</t>
        </is>
      </c>
    </row>
    <row r="3">
      <c r="A3" s="2" t="inlineStr">
        <is>
          <t>B004</t>
        </is>
      </c>
      <c r="B3" s="2" t="inlineStr">
        <is>
          <t>华东</t>
        </is>
      </c>
      <c r="C3" s="2" t="inlineStr">
        <is>
          <t>2026-08-04 17:00</t>
        </is>
      </c>
      <c r="D3" s="2" t="inlineStr">
        <is>
          <t>华北</t>
        </is>
      </c>
      <c r="E3" s="2" t="inlineStr">
        <is>
          <t>2026-08-06 09:30</t>
        </is>
      </c>
      <c r="F3" s="2" t="inlineStr">
        <is>
          <t>保留更新时间最晚的记录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2026-08-23T17:58:41Z</dcterms:created>
  <dcterms:modified xmlns:dcterms="http://purl.org/dc/terms/" xmlns:xsi="http://www.w3.org/2001/XMLSchema-instance" xsi:type="dcterms:W3CDTF">2026-08-23T17:58:41Z</dcterms:modified>
</cp:coreProperties>
</file>