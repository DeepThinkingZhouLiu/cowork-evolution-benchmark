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参数" sheetId="1" state="visible" r:id="rId1"/>
    <sheet xmlns:r="http://schemas.openxmlformats.org/officeDocument/2006/relationships" name="情景参数" sheetId="2" state="visible" r:id="rId2"/>
    <sheet xmlns:r="http://schemas.openxmlformats.org/officeDocument/2006/relationships" name="情景分析" sheetId="3" state="visible" r:id="rId3"/>
    <sheet xmlns:r="http://schemas.openxmlformats.org/officeDocument/2006/relationships" name="敏感性矩阵" sheetId="4" state="visible" r:id="rId4"/>
  </sheets>
  <definedNames>
    <definedName name="_xlnm._FilterDatabase" localSheetId="0" hidden="1">'基础参数'!$A$1:$C$6</definedName>
    <definedName name="_xlnm._FilterDatabase" localSheetId="1" hidden="1">'情景参数'!$A$1:$B$4</definedName>
    <definedName name="_xlnm._FilterDatabase" localSheetId="2" hidden="1">'情景分析'!$A$1:$H$4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#,##0.00;[Red]-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9" fontId="1" fillId="2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8" customHeight="1">
      <c r="A1" s="1" t="inlineStr">
        <is>
          <t>参数</t>
        </is>
      </c>
      <c r="B1" s="1" t="inlineStr">
        <is>
          <t>数值</t>
        </is>
      </c>
      <c r="C1" s="1" t="inlineStr">
        <is>
          <t>单位</t>
        </is>
      </c>
    </row>
    <row r="2">
      <c r="A2" s="2" t="inlineStr">
        <is>
          <t>基准年包裹量</t>
        </is>
      </c>
      <c r="B2" s="2" t="n">
        <v>120000</v>
      </c>
      <c r="C2" s="2" t="inlineStr">
        <is>
          <t>票</t>
        </is>
      </c>
    </row>
    <row r="3">
      <c r="A3" s="2" t="inlineStr">
        <is>
          <t>基准单票价格</t>
        </is>
      </c>
      <c r="B3" s="2" t="n">
        <v>12.5</v>
      </c>
      <c r="C3" s="2" t="inlineStr">
        <is>
          <t>元</t>
        </is>
      </c>
    </row>
    <row r="4">
      <c r="A4" s="2" t="inlineStr">
        <is>
          <t>单票变动成本</t>
        </is>
      </c>
      <c r="B4" s="2" t="n">
        <v>7.2</v>
      </c>
      <c r="C4" s="2" t="inlineStr">
        <is>
          <t>元</t>
        </is>
      </c>
    </row>
    <row r="5">
      <c r="A5" s="2" t="inlineStr">
        <is>
          <t>年固定成本</t>
        </is>
      </c>
      <c r="B5" s="2" t="n">
        <v>380000</v>
      </c>
      <c r="C5" s="2" t="inlineStr">
        <is>
          <t>元</t>
        </is>
      </c>
    </row>
    <row r="6">
      <c r="A6" s="2" t="inlineStr">
        <is>
          <t>价格弹性</t>
        </is>
      </c>
      <c r="B6" s="2" t="n">
        <v>-0.8</v>
      </c>
      <c r="C6" s="2" t="inlineStr">
        <is>
          <t>倍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情景</t>
        </is>
      </c>
      <c r="B1" s="1" t="inlineStr">
        <is>
          <t>调价幅度</t>
        </is>
      </c>
    </row>
    <row r="2">
      <c r="A2" s="2" t="inlineStr">
        <is>
          <t>悲观</t>
        </is>
      </c>
      <c r="B2" s="3" t="n">
        <v>-0.08</v>
      </c>
    </row>
    <row r="3">
      <c r="A3" s="2" t="inlineStr">
        <is>
          <t>基准</t>
        </is>
      </c>
      <c r="B3" s="3" t="n">
        <v>0</v>
      </c>
    </row>
    <row r="4">
      <c r="A4" s="2" t="inlineStr">
        <is>
          <t>乐观</t>
        </is>
      </c>
      <c r="B4" s="3" t="n">
        <v>0.1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.4" customWidth="1" min="3" max="3"/>
    <col width="30" customWidth="1" min="4" max="4"/>
    <col width="10" customWidth="1" min="5" max="5"/>
    <col width="17.6" customWidth="1" min="6" max="6"/>
    <col width="10" customWidth="1" min="7" max="7"/>
    <col width="17.6" customWidth="1" min="8" max="8"/>
  </cols>
  <sheetData>
    <row r="1" ht="28" customHeight="1">
      <c r="A1" s="1" t="inlineStr">
        <is>
          <t>情景</t>
        </is>
      </c>
      <c r="B1" s="1" t="inlineStr">
        <is>
          <t>调价幅度</t>
        </is>
      </c>
      <c r="C1" s="1" t="inlineStr">
        <is>
          <t>调整后价格</t>
        </is>
      </c>
      <c r="D1" s="1" t="inlineStr">
        <is>
          <t>预计包裹量</t>
        </is>
      </c>
      <c r="E1" s="1" t="inlineStr">
        <is>
          <t>收入</t>
        </is>
      </c>
      <c r="F1" s="1" t="inlineStr">
        <is>
          <t>变动成本</t>
        </is>
      </c>
      <c r="G1" s="1" t="inlineStr">
        <is>
          <t>贡献毛利</t>
        </is>
      </c>
      <c r="H1" s="1" t="inlineStr">
        <is>
          <t>营业利润</t>
        </is>
      </c>
    </row>
    <row r="2">
      <c r="A2" s="2">
        <f>'情景参数'!A2</f>
        <v/>
      </c>
      <c r="B2" s="3">
        <f>'情景参数'!B2</f>
        <v/>
      </c>
      <c r="C2" s="4">
        <f>'基础参数'!B3*(1+B2)</f>
        <v/>
      </c>
      <c r="D2" s="2">
        <f>'基础参数'!B2*(1+'基础参数'!B6*B2)</f>
        <v/>
      </c>
      <c r="E2" s="4">
        <f>C2*D2</f>
        <v/>
      </c>
      <c r="F2" s="4">
        <f>D2*'基础参数'!B4</f>
        <v/>
      </c>
      <c r="G2" s="4">
        <f>E2-F2</f>
        <v/>
      </c>
      <c r="H2" s="4">
        <f>G2-'基础参数'!B5</f>
        <v/>
      </c>
    </row>
    <row r="3">
      <c r="A3" s="2">
        <f>'情景参数'!A3</f>
        <v/>
      </c>
      <c r="B3" s="3">
        <f>'情景参数'!B3</f>
        <v/>
      </c>
      <c r="C3" s="4">
        <f>'基础参数'!B3*(1+B3)</f>
        <v/>
      </c>
      <c r="D3" s="2">
        <f>'基础参数'!B2*(1+'基础参数'!B6*B3)</f>
        <v/>
      </c>
      <c r="E3" s="4">
        <f>C3*D3</f>
        <v/>
      </c>
      <c r="F3" s="4">
        <f>D3*'基础参数'!B4</f>
        <v/>
      </c>
      <c r="G3" s="4">
        <f>E3-F3</f>
        <v/>
      </c>
      <c r="H3" s="4">
        <f>G3-'基础参数'!B5</f>
        <v/>
      </c>
    </row>
    <row r="4">
      <c r="A4" s="2">
        <f>'情景参数'!A4</f>
        <v/>
      </c>
      <c r="B4" s="3">
        <f>'情景参数'!B4</f>
        <v/>
      </c>
      <c r="C4" s="4">
        <f>'基础参数'!B3*(1+B4)</f>
        <v/>
      </c>
      <c r="D4" s="2">
        <f>'基础参数'!B2*(1+'基础参数'!B6*B4)</f>
        <v/>
      </c>
      <c r="E4" s="4">
        <f>C4*D4</f>
        <v/>
      </c>
      <c r="F4" s="4">
        <f>D4*'基础参数'!B4</f>
        <v/>
      </c>
      <c r="G4" s="4">
        <f>E4-F4</f>
        <v/>
      </c>
      <c r="H4" s="4">
        <f>G4-'基础参数'!B5</f>
        <v/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营业利润敏感性：调价幅度 × 额外业务量变动</t>
        </is>
      </c>
    </row>
    <row r="2" ht="28" customHeight="1">
      <c r="A2" s="1" t="inlineStr">
        <is>
          <t>额外业务量变动</t>
        </is>
      </c>
      <c r="B2" s="5" t="n">
        <v>-0.1</v>
      </c>
      <c r="C2" s="5" t="n">
        <v>-0.05</v>
      </c>
      <c r="D2" s="5" t="n">
        <v>0</v>
      </c>
      <c r="E2" s="5" t="n">
        <v>0.05</v>
      </c>
      <c r="F2" s="5" t="n">
        <v>0.1</v>
      </c>
    </row>
    <row r="3">
      <c r="A3" s="6" t="n">
        <v>-0.1</v>
      </c>
      <c r="B3" s="4">
        <f>('基础参数'!B2*(1+'基础参数'!B6*B$2)*(1+$A3))*('基础参数'!B3*(1+B$2)-'基础参数'!B4)-'基础参数'!B5</f>
        <v/>
      </c>
      <c r="C3" s="4">
        <f>('基础参数'!B2*(1+'基础参数'!B6*C$2)*(1+$A3))*('基础参数'!B3*(1+C$2)-'基础参数'!B4)-'基础参数'!B5</f>
        <v/>
      </c>
      <c r="D3" s="4">
        <f>('基础参数'!B2*(1+'基础参数'!B6*D$2)*(1+$A3))*('基础参数'!B3*(1+D$2)-'基础参数'!B4)-'基础参数'!B5</f>
        <v/>
      </c>
      <c r="E3" s="4">
        <f>('基础参数'!B2*(1+'基础参数'!B6*E$2)*(1+$A3))*('基础参数'!B3*(1+E$2)-'基础参数'!B4)-'基础参数'!B5</f>
        <v/>
      </c>
      <c r="F3" s="4">
        <f>('基础参数'!B2*(1+'基础参数'!B6*F$2)*(1+$A3))*('基础参数'!B3*(1+F$2)-'基础参数'!B4)-'基础参数'!B5</f>
        <v/>
      </c>
    </row>
    <row r="4">
      <c r="A4" s="6" t="n">
        <v>0</v>
      </c>
      <c r="B4" s="4">
        <f>('基础参数'!B2*(1+'基础参数'!B6*B$2)*(1+$A4))*('基础参数'!B3*(1+B$2)-'基础参数'!B4)-'基础参数'!B5</f>
        <v/>
      </c>
      <c r="C4" s="4">
        <f>('基础参数'!B2*(1+'基础参数'!B6*C$2)*(1+$A4))*('基础参数'!B3*(1+C$2)-'基础参数'!B4)-'基础参数'!B5</f>
        <v/>
      </c>
      <c r="D4" s="4">
        <f>('基础参数'!B2*(1+'基础参数'!B6*D$2)*(1+$A4))*('基础参数'!B3*(1+D$2)-'基础参数'!B4)-'基础参数'!B5</f>
        <v/>
      </c>
      <c r="E4" s="4">
        <f>('基础参数'!B2*(1+'基础参数'!B6*E$2)*(1+$A4))*('基础参数'!B3*(1+E$2)-'基础参数'!B4)-'基础参数'!B5</f>
        <v/>
      </c>
      <c r="F4" s="4">
        <f>('基础参数'!B2*(1+'基础参数'!B6*F$2)*(1+$A4))*('基础参数'!B3*(1+F$2)-'基础参数'!B4)-'基础参数'!B5</f>
        <v/>
      </c>
    </row>
    <row r="5">
      <c r="A5" s="6" t="n">
        <v>0.1</v>
      </c>
      <c r="B5" s="4">
        <f>('基础参数'!B2*(1+'基础参数'!B6*B$2)*(1+$A5))*('基础参数'!B3*(1+B$2)-'基础参数'!B4)-'基础参数'!B5</f>
        <v/>
      </c>
      <c r="C5" s="4">
        <f>('基础参数'!B2*(1+'基础参数'!B6*C$2)*(1+$A5))*('基础参数'!B3*(1+C$2)-'基础参数'!B4)-'基础参数'!B5</f>
        <v/>
      </c>
      <c r="D5" s="4">
        <f>('基础参数'!B2*(1+'基础参数'!B6*D$2)*(1+$A5))*('基础参数'!B3*(1+D$2)-'基础参数'!B4)-'基础参数'!B5</f>
        <v/>
      </c>
      <c r="E5" s="4">
        <f>('基础参数'!B2*(1+'基础参数'!B6*E$2)*(1+$A5))*('基础参数'!B3*(1+E$2)-'基础参数'!B4)-'基础参数'!B5</f>
        <v/>
      </c>
      <c r="F5" s="4">
        <f>('基础参数'!B2*(1+'基础参数'!B6*F$2)*(1+$A5))*('基础参数'!B3*(1+F$2)-'基础参数'!B4)-'基础参数'!B5</f>
        <v/>
      </c>
    </row>
  </sheetData>
  <mergeCells count="1">
    <mergeCell ref="A1:F1"/>
  </mergeCells>
  <conditionalFormatting sqref="B3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2026-08-23T17:58:38Z</dcterms:created>
  <dcterms:modified xmlns:dcterms="http://purl.org/dc/terms/" xmlns:xsi="http://www.w3.org/2001/XMLSchema-instance" xsi:type="dcterms:W3CDTF">2026-08-23T17:58:39Z</dcterms:modified>
</cp:coreProperties>
</file>