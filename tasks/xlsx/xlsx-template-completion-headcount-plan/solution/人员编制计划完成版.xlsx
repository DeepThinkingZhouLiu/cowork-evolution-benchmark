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需求" sheetId="1" state="visible" r:id="rId1"/>
    <sheet xmlns:r="http://schemas.openxmlformats.org/officeDocument/2006/relationships" name="说明" sheetId="2" state="hidden" r:id="rId2"/>
    <sheet xmlns:r="http://schemas.openxmlformats.org/officeDocument/2006/relationships" name="部门汇总" sheetId="3" state="visible" r:id="rId3"/>
  </sheets>
  <definedNames>
    <definedName name="_xlnm._FilterDatabase" localSheetId="0" hidden="1">'岗位需求'!$A$3:$G$11</definedName>
    <definedName name="_xlnm._FilterDatabase" localSheetId="1" hidden="1">'说明'!$A$1:$B$3</definedName>
    <definedName name="_xlnm._FilterDatabase" localSheetId="2" hidden="1">'部门汇总'!$A$1:$D$7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2" customHeight="1">
      <c r="A1" s="1" t="inlineStr">
        <is>
          <t>2026 年第四季度人员编制与招聘计划</t>
        </is>
      </c>
    </row>
    <row r="2">
      <c r="A2" t="inlineStr">
        <is>
          <t>更新日期：2026-08-24；编制口径：全职员工。</t>
        </is>
      </c>
    </row>
    <row r="3" ht="28" customHeight="1">
      <c r="A3" s="2" t="inlineStr">
        <is>
          <t>部门</t>
        </is>
      </c>
      <c r="B3" s="2" t="inlineStr">
        <is>
          <t>岗位</t>
        </is>
      </c>
      <c r="C3" s="2" t="inlineStr">
        <is>
          <t>目标编制</t>
        </is>
      </c>
      <c r="D3" s="2" t="inlineStr">
        <is>
          <t>现有人数</t>
        </is>
      </c>
      <c r="E3" s="2" t="inlineStr">
        <is>
          <t>招聘缺口</t>
        </is>
      </c>
      <c r="F3" s="2" t="inlineStr">
        <is>
          <t>期望到岗日</t>
        </is>
      </c>
      <c r="G3" s="2" t="inlineStr">
        <is>
          <t>优先级</t>
        </is>
      </c>
    </row>
    <row r="4">
      <c r="A4" s="4" t="inlineStr">
        <is>
          <t>研发部</t>
        </is>
      </c>
      <c r="B4" s="4" t="inlineStr">
        <is>
          <t>后端工程师</t>
        </is>
      </c>
      <c r="C4" s="4" t="n">
        <v>12</v>
      </c>
      <c r="D4" s="4" t="n">
        <v>8</v>
      </c>
      <c r="E4" s="4">
        <f>MAX(C4-D4,0)</f>
        <v/>
      </c>
      <c r="F4" s="5" t="n">
        <v>46285</v>
      </c>
      <c r="G4" s="4">
        <f>IF(OR(E4&gt;2,F4&lt;DATE(2026,10,1)),"高","常规")</f>
        <v/>
      </c>
    </row>
    <row r="5">
      <c r="A5" s="4" t="inlineStr">
        <is>
          <t>研发部</t>
        </is>
      </c>
      <c r="B5" s="4" t="inlineStr">
        <is>
          <t>测试工程师</t>
        </is>
      </c>
      <c r="C5" s="4" t="n">
        <v>6</v>
      </c>
      <c r="D5" s="4" t="n">
        <v>5</v>
      </c>
      <c r="E5" s="4">
        <f>MAX(C5-D5,0)</f>
        <v/>
      </c>
      <c r="F5" s="5" t="n">
        <v>46310</v>
      </c>
      <c r="G5" s="4">
        <f>IF(OR(E5&gt;2,F5&lt;DATE(2026,10,1)),"高","常规")</f>
        <v/>
      </c>
    </row>
    <row r="6">
      <c r="A6" s="4" t="inlineStr">
        <is>
          <t>产品部</t>
        </is>
      </c>
      <c r="B6" s="4" t="inlineStr">
        <is>
          <t>产品经理</t>
        </is>
      </c>
      <c r="C6" s="4" t="n">
        <v>7</v>
      </c>
      <c r="D6" s="4" t="n">
        <v>5</v>
      </c>
      <c r="E6" s="4">
        <f>MAX(C6-D6,0)</f>
        <v/>
      </c>
      <c r="F6" s="5" t="n">
        <v>46290</v>
      </c>
      <c r="G6" s="4">
        <f>IF(OR(E6&gt;2,F6&lt;DATE(2026,10,1)),"高","常规")</f>
        <v/>
      </c>
    </row>
    <row r="7">
      <c r="A7" s="4" t="inlineStr">
        <is>
          <t>销售部</t>
        </is>
      </c>
      <c r="B7" s="4" t="inlineStr">
        <is>
          <t>大客户经理</t>
        </is>
      </c>
      <c r="C7" s="4" t="n">
        <v>15</v>
      </c>
      <c r="D7" s="4" t="n">
        <v>11</v>
      </c>
      <c r="E7" s="4">
        <f>MAX(C7-D7,0)</f>
        <v/>
      </c>
      <c r="F7" s="5" t="n">
        <v>46315</v>
      </c>
      <c r="G7" s="4">
        <f>IF(OR(E7&gt;2,F7&lt;DATE(2026,10,1)),"高","常规")</f>
        <v/>
      </c>
    </row>
    <row r="8">
      <c r="A8" s="4" t="inlineStr">
        <is>
          <t>销售部</t>
        </is>
      </c>
      <c r="B8" s="4" t="inlineStr">
        <is>
          <t>售前顾问</t>
        </is>
      </c>
      <c r="C8" s="4" t="n">
        <v>8</v>
      </c>
      <c r="D8" s="4" t="n">
        <v>7</v>
      </c>
      <c r="E8" s="4">
        <f>MAX(C8-D8,0)</f>
        <v/>
      </c>
      <c r="F8" s="5" t="n">
        <v>46327</v>
      </c>
      <c r="G8" s="4">
        <f>IF(OR(E8&gt;2,F8&lt;DATE(2026,10,1)),"高","常规")</f>
        <v/>
      </c>
    </row>
    <row r="9">
      <c r="A9" s="4" t="inlineStr">
        <is>
          <t>客服部</t>
        </is>
      </c>
      <c r="B9" s="4" t="inlineStr">
        <is>
          <t>客户成功经理</t>
        </is>
      </c>
      <c r="C9" s="4" t="n">
        <v>10</v>
      </c>
      <c r="D9" s="4" t="n">
        <v>7</v>
      </c>
      <c r="E9" s="4">
        <f>MAX(C9-D9,0)</f>
        <v/>
      </c>
      <c r="F9" s="5" t="n">
        <v>46283</v>
      </c>
      <c r="G9" s="4">
        <f>IF(OR(E9&gt;2,F9&lt;DATE(2026,10,1)),"高","常规")</f>
        <v/>
      </c>
    </row>
    <row r="10">
      <c r="A10" s="4" t="inlineStr">
        <is>
          <t>财务部</t>
        </is>
      </c>
      <c r="B10" s="4" t="inlineStr">
        <is>
          <t>FP&amp;A 分析师</t>
        </is>
      </c>
      <c r="C10" s="4" t="n">
        <v>4</v>
      </c>
      <c r="D10" s="4" t="n">
        <v>3</v>
      </c>
      <c r="E10" s="4">
        <f>MAX(C10-D10,0)</f>
        <v/>
      </c>
      <c r="F10" s="5" t="n">
        <v>46305</v>
      </c>
      <c r="G10" s="4">
        <f>IF(OR(E10&gt;2,F10&lt;DATE(2026,10,1)),"高","常规")</f>
        <v/>
      </c>
    </row>
    <row r="11">
      <c r="A11" s="4" t="inlineStr">
        <is>
          <t>人力资源部</t>
        </is>
      </c>
      <c r="B11" s="4" t="inlineStr">
        <is>
          <t>招聘专员</t>
        </is>
      </c>
      <c r="C11" s="4" t="n">
        <v>5</v>
      </c>
      <c r="D11" s="4" t="n">
        <v>4</v>
      </c>
      <c r="E11" s="4">
        <f>MAX(C11-D11,0)</f>
        <v/>
      </c>
      <c r="F11" s="5" t="n">
        <v>46295</v>
      </c>
      <c r="G11" s="4">
        <f>IF(OR(E11&gt;2,F11&lt;DATE(2026,10,1)),"高","常规")</f>
        <v/>
      </c>
    </row>
  </sheetData>
  <autoFilter ref="A3:G11"/>
  <mergeCells count="2">
    <mergeCell ref="A2:G2"/>
    <mergeCell ref="A1:G1"/>
  </mergeCells>
  <conditionalFormatting sqref="G4:G11">
    <cfRule type="cellIs" priority="1" operator="equal" dxfId="0">
      <formula>"高"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 ht="28" customHeight="1">
      <c r="A1" s="2" t="inlineStr">
        <is>
          <t>规则</t>
        </is>
      </c>
      <c r="B1" s="2" t="inlineStr">
        <is>
          <t>内容</t>
        </is>
      </c>
    </row>
    <row r="2">
      <c r="A2" s="4" t="inlineStr">
        <is>
          <t>缺口</t>
        </is>
      </c>
      <c r="B2" s="4" t="inlineStr">
        <is>
          <t>目标编制-现有人数，不小于 0</t>
        </is>
      </c>
    </row>
    <row r="3">
      <c r="A3" s="4" t="inlineStr">
        <is>
          <t>高优先级</t>
        </is>
      </c>
      <c r="B3" s="4" t="inlineStr">
        <is>
          <t>缺口&gt;2 或期望到岗日早于 2026-10-01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2" t="inlineStr">
        <is>
          <t>部门</t>
        </is>
      </c>
      <c r="B1" s="2" t="inlineStr">
        <is>
          <t>目标编制</t>
        </is>
      </c>
      <c r="C1" s="2" t="inlineStr">
        <is>
          <t>现有人数</t>
        </is>
      </c>
      <c r="D1" s="2" t="inlineStr">
        <is>
          <t>招聘缺口</t>
        </is>
      </c>
    </row>
    <row r="2">
      <c r="A2" s="4" t="inlineStr">
        <is>
          <t>产品部</t>
        </is>
      </c>
      <c r="B2" s="4">
        <f>SUMIF('岗位需求'!A4:A11,A2,'岗位需求'!C4:C11)</f>
        <v/>
      </c>
      <c r="C2" s="4">
        <f>SUMIF('岗位需求'!A4:A11,A2,'岗位需求'!D4:D11)</f>
        <v/>
      </c>
      <c r="D2" s="4">
        <f>SUMIF('岗位需求'!A4:A11,A2,'岗位需求'!E4:E11)</f>
        <v/>
      </c>
    </row>
    <row r="3">
      <c r="A3" s="4" t="inlineStr">
        <is>
          <t>人力资源部</t>
        </is>
      </c>
      <c r="B3" s="4">
        <f>SUMIF('岗位需求'!A4:A11,A3,'岗位需求'!C4:C11)</f>
        <v/>
      </c>
      <c r="C3" s="4">
        <f>SUMIF('岗位需求'!A4:A11,A3,'岗位需求'!D4:D11)</f>
        <v/>
      </c>
      <c r="D3" s="4">
        <f>SUMIF('岗位需求'!A4:A11,A3,'岗位需求'!E4:E11)</f>
        <v/>
      </c>
    </row>
    <row r="4">
      <c r="A4" s="4" t="inlineStr">
        <is>
          <t>客服部</t>
        </is>
      </c>
      <c r="B4" s="4">
        <f>SUMIF('岗位需求'!A4:A11,A4,'岗位需求'!C4:C11)</f>
        <v/>
      </c>
      <c r="C4" s="4">
        <f>SUMIF('岗位需求'!A4:A11,A4,'岗位需求'!D4:D11)</f>
        <v/>
      </c>
      <c r="D4" s="4">
        <f>SUMIF('岗位需求'!A4:A11,A4,'岗位需求'!E4:E11)</f>
        <v/>
      </c>
    </row>
    <row r="5">
      <c r="A5" s="4" t="inlineStr">
        <is>
          <t>研发部</t>
        </is>
      </c>
      <c r="B5" s="4">
        <f>SUMIF('岗位需求'!A4:A11,A5,'岗位需求'!C4:C11)</f>
        <v/>
      </c>
      <c r="C5" s="4">
        <f>SUMIF('岗位需求'!A4:A11,A5,'岗位需求'!D4:D11)</f>
        <v/>
      </c>
      <c r="D5" s="4">
        <f>SUMIF('岗位需求'!A4:A11,A5,'岗位需求'!E4:E11)</f>
        <v/>
      </c>
    </row>
    <row r="6">
      <c r="A6" s="4" t="inlineStr">
        <is>
          <t>财务部</t>
        </is>
      </c>
      <c r="B6" s="4">
        <f>SUMIF('岗位需求'!A4:A11,A6,'岗位需求'!C4:C11)</f>
        <v/>
      </c>
      <c r="C6" s="4">
        <f>SUMIF('岗位需求'!A4:A11,A6,'岗位需求'!D4:D11)</f>
        <v/>
      </c>
      <c r="D6" s="4">
        <f>SUMIF('岗位需求'!A4:A11,A6,'岗位需求'!E4:E11)</f>
        <v/>
      </c>
    </row>
    <row r="7">
      <c r="A7" s="4" t="inlineStr">
        <is>
          <t>销售部</t>
        </is>
      </c>
      <c r="B7" s="4">
        <f>SUMIF('岗位需求'!A4:A11,A7,'岗位需求'!C4:C11)</f>
        <v/>
      </c>
      <c r="C7" s="4">
        <f>SUMIF('岗位需求'!A4:A11,A7,'岗位需求'!D4:D11)</f>
        <v/>
      </c>
      <c r="D7" s="4">
        <f>SUMIF('岗位需求'!A4:A11,A7,'岗位需求'!E4:E11)</f>
        <v/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2026-08-23T17:58:40Z</dcterms:created>
  <dcterms:modified xmlns:dcterms="http://purl.org/dc/terms/" xmlns:xsi="http://www.w3.org/2001/XMLSchema-instance" xsi:type="dcterms:W3CDTF">2026-08-23T17:58:40Z</dcterms:modified>
</cp:coreProperties>
</file>